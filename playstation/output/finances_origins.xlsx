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2-31" sheetId="1" r:id="rId4"/>
    <sheet state="visible" name="distinct" sheetId="2" r:id="rId5"/>
    <sheet state="visible" name="c_finances" sheetId="3" r:id="rId6"/>
    <sheet state="visible" name="c_chart" sheetId="4" r:id="rId7"/>
    <sheet state="visible" name="countries" sheetId="5" r:id="rId8"/>
    <sheet state="visible" name="d_finances" sheetId="6" r:id="rId9"/>
    <sheet state="visible" name="d_chart" sheetId="7" r:id="rId10"/>
    <sheet state="visible" name="developers" sheetId="8" r:id="rId11"/>
    <sheet state="visible" name="consoles" sheetId="9" r:id="rId12"/>
  </sheets>
  <definedNames>
    <definedName hidden="1" localSheetId="1" name="_xlnm._FilterDatabase">distinct!$A$1:$B$547</definedName>
    <definedName hidden="1" localSheetId="2" name="_xlnm._FilterDatabase">c_finances!$D$1:$N$1201</definedName>
    <definedName hidden="1" localSheetId="3" name="_xlnm._FilterDatabase">c_chart!$A$1:$H$50</definedName>
    <definedName hidden="1" localSheetId="4" name="_xlnm._FilterDatabase">countries!$A$1:$C$50</definedName>
    <definedName hidden="1" localSheetId="5" name="_xlnm._FilterDatabase">d_finances!$D$1:$N$1323</definedName>
    <definedName hidden="1" localSheetId="7" name="_xlnm._FilterDatabase">developers!$A$1:$C$547</definedName>
    <definedName hidden="1" localSheetId="8" name="_xlnm._FilterDatabase">consoles!$A$1:$B$37</definedName>
  </definedNames>
  <calcPr/>
</workbook>
</file>

<file path=xl/sharedStrings.xml><?xml version="1.0" encoding="utf-8"?>
<sst xmlns="http://schemas.openxmlformats.org/spreadsheetml/2006/main" count="11819" uniqueCount="1803">
  <si>
    <t>Tasks</t>
  </si>
  <si>
    <t>Insert data into all Excel tabs, from the all_data [MASTER] Excel and SELECT FROM Origins, Platinums &amp; Trophies SQL files</t>
  </si>
  <si>
    <t>UPDATE Excel</t>
  </si>
  <si>
    <t>Update data in all Excel tabs, from PS App and PSNProfiles</t>
  </si>
  <si>
    <t>Country</t>
  </si>
  <si>
    <t>Developer</t>
  </si>
  <si>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</si>
  <si>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</si>
  <si>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</si>
  <si>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</si>
  <si>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</si>
  <si>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</si>
  <si>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</si>
  <si>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</si>
  <si>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</si>
  <si>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</si>
  <si>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</si>
  <si>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</si>
  <si>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distinct</t>
  </si>
  <si>
    <t>SELECT DISTINCT country FROM origins ORDER BY country</t>
  </si>
  <si>
    <t>SELECT DISTINCT developer, country FROM origins WHERE country = 'USA' ORDER BY country</t>
  </si>
  <si>
    <t>SELECT DISTINCT developer FROM origins ORDER BY developer</t>
  </si>
  <si>
    <t>SELECT DISTINCT developer, country FROM origins ORDER BY developer</t>
  </si>
  <si>
    <t>Devs</t>
  </si>
  <si>
    <t>Coal Supper</t>
  </si>
  <si>
    <t>England</t>
  </si>
  <si>
    <t>Robert Kurvitz (ZA/UM)</t>
  </si>
  <si>
    <t>Estonia</t>
  </si>
  <si>
    <t>Ivy Road</t>
  </si>
  <si>
    <t>USA</t>
  </si>
  <si>
    <t>c_finances</t>
  </si>
  <si>
    <t>SELECT o.country, o.developer,
                        d.id, d.game, d.console, d.release_date, d.purchase_date, d.start_date, d.finish_date,
                        f.full_price, f.paid_price, f.savings, f.hours, f.value
                        FROM finances f
                        JOIN dates d ON d.id = f.id
                        JOIN origins o ON o.id = f.id
                        ORDER BY country, console, release_date</t>
  </si>
  <si>
    <t>Thank Goodness You're Here</t>
  </si>
  <si>
    <t>PS4</t>
  </si>
  <si>
    <t>Disco Elysium: The Final Cut</t>
  </si>
  <si>
    <t>High Impact Games</t>
  </si>
  <si>
    <t>Secret Agent Clank</t>
  </si>
  <si>
    <t>PSP</t>
  </si>
  <si>
    <t>Wanderstop</t>
  </si>
  <si>
    <t>PS5</t>
  </si>
  <si>
    <t>c_chart</t>
  </si>
  <si>
    <t>SELECT SUM(full_price) AS 'Full Price',
                        SUM(paid_price) AS 'Paid Price',
                        SUM(savings) AS 'Savings',
                        SUM(hours) AS 'Hours',
                        SUM(value) AS 'Value'
                        FROM origins o 
                        JOIN finances f ON o.id = f.id
                        WHERE country = 'Japan'</t>
  </si>
  <si>
    <t>Games</t>
  </si>
  <si>
    <t>Developers</t>
  </si>
  <si>
    <t>countries</t>
  </si>
  <si>
    <t>SELECT country, COUNT(*) AS 'Games'
                FROM origins
                GROUP BY country
                ORDER BY COUNT(*) DESC</t>
  </si>
  <si>
    <t>d_finances</t>
  </si>
  <si>
    <t>SELECT o.country, o.developer,
                        d.id, d.game, d.console, d.release_date, d.purchase_date, d.start_date, d.finish_date,
                        f.full_price, f.paid_price, f.savings, f.hours, f.value
                        FROM finances f
                        JOIN dates d ON d.id = f.id
                        JOIN origins o ON o.id = f.id
                        ORDER BY country, developer, console, release_date</t>
  </si>
  <si>
    <t>d_chart</t>
  </si>
  <si>
    <t>SELECT SUM(full_price) AS 'Full Price',
                        SUM(paid_price) AS 'Paid Price',
                        SUM(savings) AS 'Savings',
                        SUM(hours) AS 'Hours',
                        SUM(value) AS 'Value'
                        FROM origins o 
                        JOIN finances f ON o.id = f.id
                        WHERE developer = 'Halfbrick Studios'</t>
  </si>
  <si>
    <t>Ratchet &amp; Clank: Size Matters</t>
  </si>
  <si>
    <t>Jak and Daxter: The Lost Frontier</t>
  </si>
  <si>
    <t>developers</t>
  </si>
  <si>
    <t>SELECT developer, COUNT(*) AS 'Games per Developer'
                FROM origins
                GROUP BY developer
                ORDER BY COUNT(*) DESC</t>
  </si>
  <si>
    <t>consoles</t>
  </si>
  <si>
    <t>SELECT console, COUNT(*) AS 'Games'
                FROM origins
                GROUP BY console
                ORDER BY COUNT(*) DESC</t>
  </si>
  <si>
    <t>2K Australia</t>
  </si>
  <si>
    <t>Australia</t>
  </si>
  <si>
    <t>2pt Interactive</t>
  </si>
  <si>
    <t>Beam Team Games</t>
  </si>
  <si>
    <t>Big Ant Studios</t>
  </si>
  <si>
    <t>Black Matter Games</t>
  </si>
  <si>
    <t>Blue Tongue Entertainment</t>
  </si>
  <si>
    <t>Caustic Reality</t>
  </si>
  <si>
    <t>Christian Whitehead</t>
  </si>
  <si>
    <t>Halfbrick Studios</t>
  </si>
  <si>
    <t>Hipster Whale</t>
  </si>
  <si>
    <t>House House</t>
  </si>
  <si>
    <t>Jammed Up Studios</t>
  </si>
  <si>
    <t>Krome Studios</t>
  </si>
  <si>
    <t>League of Geeks</t>
  </si>
  <si>
    <t>Massive Monster</t>
  </si>
  <si>
    <t>Samurai Punk</t>
  </si>
  <si>
    <t>SMG Studio</t>
  </si>
  <si>
    <t>Team Bondi</t>
  </si>
  <si>
    <t>Team Cherry</t>
  </si>
  <si>
    <t>The Binary Mill</t>
  </si>
  <si>
    <t>Witch Beam</t>
  </si>
  <si>
    <t>Awfully Nice Studios</t>
  </si>
  <si>
    <t>Austria</t>
  </si>
  <si>
    <t>ClockStone Studios</t>
  </si>
  <si>
    <t>Purple Lamp Studios</t>
  </si>
  <si>
    <t>Liquid Pug</t>
  </si>
  <si>
    <t>Belarus</t>
  </si>
  <si>
    <t>Weappy Studio</t>
  </si>
  <si>
    <t>I-Illusions</t>
  </si>
  <si>
    <t>Belgium</t>
  </si>
  <si>
    <t>VRMonkey</t>
  </si>
  <si>
    <t>Brazil</t>
  </si>
  <si>
    <t>Haemimont Games</t>
  </si>
  <si>
    <t>Bulgaria</t>
  </si>
  <si>
    <t>Asteroid Base</t>
  </si>
  <si>
    <t>Canada</t>
  </si>
  <si>
    <t>Beenox</t>
  </si>
  <si>
    <t>Behaviour Interactive (Artificial Mind and Movement)</t>
  </si>
  <si>
    <t>Benjamin Rivers Inc</t>
  </si>
  <si>
    <t>BioWare</t>
  </si>
  <si>
    <t>Blue Isle Studios</t>
  </si>
  <si>
    <t>Breaking Walls</t>
  </si>
  <si>
    <t>Capcom Vancouver (Blue Castle Games)</t>
  </si>
  <si>
    <t>Capybara Games</t>
  </si>
  <si>
    <t>Cellar Door Games</t>
  </si>
  <si>
    <t>Digital Extremes</t>
  </si>
  <si>
    <t>Digital Leisure Inc</t>
  </si>
  <si>
    <t>Drinkbox Studios</t>
  </si>
  <si>
    <t>DryGin Studios</t>
  </si>
  <si>
    <t>EA Black Box</t>
  </si>
  <si>
    <t>EA Montreal</t>
  </si>
  <si>
    <t>EA Vancouver</t>
  </si>
  <si>
    <t>Eidos Montreal</t>
  </si>
  <si>
    <t>Frima Studio</t>
  </si>
  <si>
    <t>Funselektor Labs Inc</t>
  </si>
  <si>
    <t>Gameloft Montreal</t>
  </si>
  <si>
    <t>Gearbox Quebec</t>
  </si>
  <si>
    <t>HB Studios</t>
  </si>
  <si>
    <t>Hothead Games</t>
  </si>
  <si>
    <t>Isometricorp Games</t>
  </si>
  <si>
    <t>Klei Entertainment</t>
  </si>
  <si>
    <t>Maddy Makes Games</t>
  </si>
  <si>
    <t>Motive Studio</t>
  </si>
  <si>
    <t>Necrophone Games</t>
  </si>
  <si>
    <t>Norsfell Games</t>
  </si>
  <si>
    <t>Other Ocean Interactive</t>
  </si>
  <si>
    <t>Parabole</t>
  </si>
  <si>
    <t>Polytron Corporation</t>
  </si>
  <si>
    <t>Pseudo Interactive</t>
  </si>
  <si>
    <t>Queasy Games</t>
  </si>
  <si>
    <t>Radical Entertainment</t>
  </si>
  <si>
    <t>Red Barrels</t>
  </si>
  <si>
    <t>Rockstar Toronto</t>
  </si>
  <si>
    <t>Rockstar Vancouver</t>
  </si>
  <si>
    <t>Slick Entertainment</t>
  </si>
  <si>
    <t>Steel Crate Games</t>
  </si>
  <si>
    <t>Tribute Games (Jonathan Lavigne)</t>
  </si>
  <si>
    <t>Typhoon Studios</t>
  </si>
  <si>
    <t>Ubisoft Montreal</t>
  </si>
  <si>
    <t>Ubisoft Toronto</t>
  </si>
  <si>
    <t>United Front Games</t>
  </si>
  <si>
    <t>Vblank Entertainment</t>
  </si>
  <si>
    <t>VitruviusVR</t>
  </si>
  <si>
    <t>ISVR</t>
  </si>
  <si>
    <t>China</t>
  </si>
  <si>
    <t>miHoYo</t>
  </si>
  <si>
    <t>Spicy Horse</t>
  </si>
  <si>
    <t>Ubisoft Chengdu</t>
  </si>
  <si>
    <t>Ubisoft Shanghai</t>
  </si>
  <si>
    <t>Vanimals</t>
  </si>
  <si>
    <t>Glitchy Pixel</t>
  </si>
  <si>
    <t>Colombia</t>
  </si>
  <si>
    <t>Croteam</t>
  </si>
  <si>
    <t>Croatia</t>
  </si>
  <si>
    <t>Exordium Games</t>
  </si>
  <si>
    <t>2K Czech</t>
  </si>
  <si>
    <t>Czech Republic</t>
  </si>
  <si>
    <t>Beat Games</t>
  </si>
  <si>
    <t>Dreadlocks Ltd</t>
  </si>
  <si>
    <t>Grip Games</t>
  </si>
  <si>
    <t>Ingame Studios</t>
  </si>
  <si>
    <t>3D Realms</t>
  </si>
  <si>
    <t>Denmark</t>
  </si>
  <si>
    <t>Game Swing</t>
  </si>
  <si>
    <t>Geometric Interactive</t>
  </si>
  <si>
    <t>Ghost Ship Games</t>
  </si>
  <si>
    <t>Invisible Walls</t>
  </si>
  <si>
    <t>IO Interactive</t>
  </si>
  <si>
    <t>Slipgate Ironworks</t>
  </si>
  <si>
    <t>The Domaginarium</t>
  </si>
  <si>
    <t>El Salvador</t>
  </si>
  <si>
    <t>Acid Nerve</t>
  </si>
  <si>
    <t>All Possible Futures</t>
  </si>
  <si>
    <t>Alphanu Game Studios</t>
  </si>
  <si>
    <t>Argonaut Games</t>
  </si>
  <si>
    <t>Atomicom</t>
  </si>
  <si>
    <t>Bithell Games</t>
  </si>
  <si>
    <t>Bizarre Creations</t>
  </si>
  <si>
    <t>Bossa Studios</t>
  </si>
  <si>
    <t>Chequered Ink Ltd</t>
  </si>
  <si>
    <t>Clever Beans</t>
  </si>
  <si>
    <t>Cloak and Dagger Games</t>
  </si>
  <si>
    <t>Codemasters</t>
  </si>
  <si>
    <t>Codemasters Birmingham</t>
  </si>
  <si>
    <t>Cold Beam Games</t>
  </si>
  <si>
    <t>Criterion Games</t>
  </si>
  <si>
    <t>Curve Studios</t>
  </si>
  <si>
    <t>Dambuster Studios (Deep Silver)</t>
  </si>
  <si>
    <t>Eurocom Entertainment Software</t>
  </si>
  <si>
    <t>Evolution Studios</t>
  </si>
  <si>
    <t>Fallen Tree Games</t>
  </si>
  <si>
    <t>Fiddlesticks</t>
  </si>
  <si>
    <t>Firesprite</t>
  </si>
  <si>
    <t>Four Door Lemon</t>
  </si>
  <si>
    <t>FreakZone Games</t>
  </si>
  <si>
    <t>Free Radical Design</t>
  </si>
  <si>
    <t>Frontier Developments</t>
  </si>
  <si>
    <t>Funbox Media</t>
  </si>
  <si>
    <t>FuturLab</t>
  </si>
  <si>
    <t>Ghost Town Games</t>
  </si>
  <si>
    <t>Guerrilla Cambridge (SCE Studio Cambridge)</t>
  </si>
  <si>
    <t>Hello Games</t>
  </si>
  <si>
    <t>Honeyslug</t>
  </si>
  <si>
    <t>Infogrames Sheffield House (Gremlin Interactive)</t>
  </si>
  <si>
    <t>iSquared Games</t>
  </si>
  <si>
    <t>It's Happening</t>
  </si>
  <si>
    <t>Just Add Water</t>
  </si>
  <si>
    <t>Krisalis Software</t>
  </si>
  <si>
    <t>Laser Dog</t>
  </si>
  <si>
    <t>Laughing Jackal Ltd</t>
  </si>
  <si>
    <t>Lightwood Games</t>
  </si>
  <si>
    <t>Llamasoft</t>
  </si>
  <si>
    <t>London Studio</t>
  </si>
  <si>
    <t>Lucid Games</t>
  </si>
  <si>
    <t>Media Molecule</t>
  </si>
  <si>
    <t>Mediatonic</t>
  </si>
  <si>
    <t>Modern Dream</t>
  </si>
  <si>
    <t>Mouldy Toof Studios</t>
  </si>
  <si>
    <t>nDreams</t>
  </si>
  <si>
    <t>Odd Bug Studios</t>
  </si>
  <si>
    <t>Playrise Digital Ltd</t>
  </si>
  <si>
    <t>Playtonic Games</t>
  </si>
  <si>
    <t>Prospect Games</t>
  </si>
  <si>
    <t>Puppy Games</t>
  </si>
  <si>
    <t>Rebellion Developments (Core Design)</t>
  </si>
  <si>
    <t>Red Phantom Games</t>
  </si>
  <si>
    <t>Relentless Software</t>
  </si>
  <si>
    <t>Repixel8</t>
  </si>
  <si>
    <t>Rockstar Leeds</t>
  </si>
  <si>
    <t>Rocksteady Studios</t>
  </si>
  <si>
    <t>Roll7</t>
  </si>
  <si>
    <t>Secret Sorcery</t>
  </si>
  <si>
    <t>Shedworks</t>
  </si>
  <si>
    <t>Slightly Mad Studios</t>
  </si>
  <si>
    <t>Spiral House</t>
  </si>
  <si>
    <t>Splash Damage</t>
  </si>
  <si>
    <t>Sports Interactive</t>
  </si>
  <si>
    <t>Studio Liverpool (Psygnosis)</t>
  </si>
  <si>
    <t>Sumo Digital</t>
  </si>
  <si>
    <t>Superflat Games</t>
  </si>
  <si>
    <t>Supermassive Games</t>
  </si>
  <si>
    <t>Supersonic Software</t>
  </si>
  <si>
    <t>System 3 Software</t>
  </si>
  <si>
    <t>Team17</t>
  </si>
  <si>
    <t>The Chinese Room</t>
  </si>
  <si>
    <t>Three Fields Entertainment</t>
  </si>
  <si>
    <t>Tikipod</t>
  </si>
  <si>
    <t>TT Games (Travellers Tales)</t>
  </si>
  <si>
    <t>Twistplay</t>
  </si>
  <si>
    <t>Two Point Studios</t>
  </si>
  <si>
    <t>Ubisoft Leamington (FreeStyleGames and Exient Entertainment)</t>
  </si>
  <si>
    <t>Ubisoft Reflections (Reflections Interactive)</t>
  </si>
  <si>
    <t>Viewpoint Games</t>
  </si>
  <si>
    <t>VooFoo Studios</t>
  </si>
  <si>
    <t>Wish Studios</t>
  </si>
  <si>
    <t>Wolf &amp; Wood Interactive Ltd</t>
  </si>
  <si>
    <t>Yeah Us!</t>
  </si>
  <si>
    <t>10tons</t>
  </si>
  <si>
    <t>Finland</t>
  </si>
  <si>
    <t>Bugbear Entertainment</t>
  </si>
  <si>
    <t>Colossal Order</t>
  </si>
  <si>
    <t>Facepalm Games</t>
  </si>
  <si>
    <t>Frozenbyte</t>
  </si>
  <si>
    <t>Housemarque</t>
  </si>
  <si>
    <t>HypeHype (Frogmind)</t>
  </si>
  <si>
    <t>Remedy Entertainment</t>
  </si>
  <si>
    <t>Rovio Entertainment (Housemarque)</t>
  </si>
  <si>
    <t>Arkane Studios</t>
  </si>
  <si>
    <t>France</t>
  </si>
  <si>
    <t>Asobo Studio</t>
  </si>
  <si>
    <t>Atari SA (Infogrames Lyon House)</t>
  </si>
  <si>
    <t>Awaceb</t>
  </si>
  <si>
    <t>Bento Studio</t>
  </si>
  <si>
    <t>BlueTwelve Studio</t>
  </si>
  <si>
    <t>Cyanide</t>
  </si>
  <si>
    <t>Delphine Software International</t>
  </si>
  <si>
    <t>Dontnod Entertainment</t>
  </si>
  <si>
    <t>Gameloft</t>
  </si>
  <si>
    <t>Ivory Tower</t>
  </si>
  <si>
    <t>Kylotonn</t>
  </si>
  <si>
    <t>Le Cartel Studio</t>
  </si>
  <si>
    <t>Lizardcube</t>
  </si>
  <si>
    <t>Louis Rigaud</t>
  </si>
  <si>
    <t>Mighty Rocket Studio</t>
  </si>
  <si>
    <t>Nadeo</t>
  </si>
  <si>
    <t>Passtech Games</t>
  </si>
  <si>
    <t>Quantic Dream</t>
  </si>
  <si>
    <t>RedLynx</t>
  </si>
  <si>
    <t>Sloclap</t>
  </si>
  <si>
    <t>Spiders</t>
  </si>
  <si>
    <t>The Game Atelier</t>
  </si>
  <si>
    <t>Ubisoft Montpellier</t>
  </si>
  <si>
    <t>WolfEye Studios</t>
  </si>
  <si>
    <t>Black Forest Games</t>
  </si>
  <si>
    <t>Germany</t>
  </si>
  <si>
    <t>Brainseed Factory</t>
  </si>
  <si>
    <t>CrazyBunch</t>
  </si>
  <si>
    <t>Crows Crows Crows</t>
  </si>
  <si>
    <t>Crytek</t>
  </si>
  <si>
    <t>Dexai Arts</t>
  </si>
  <si>
    <t>FAKT Software</t>
  </si>
  <si>
    <t>Gaming Minds Studios</t>
  </si>
  <si>
    <t>Hucast Games</t>
  </si>
  <si>
    <t>Ion Lands</t>
  </si>
  <si>
    <t>metricminds</t>
  </si>
  <si>
    <t>Noowanda</t>
  </si>
  <si>
    <t>Pixel Maniacs</t>
  </si>
  <si>
    <t>Realmforge Studios</t>
  </si>
  <si>
    <t>Shin`en Multimedia</t>
  </si>
  <si>
    <t>Yager Development</t>
  </si>
  <si>
    <t>Playbox (Digital Reality)</t>
  </si>
  <si>
    <t>Hungary</t>
  </si>
  <si>
    <t>The Wild Gentlemen</t>
  </si>
  <si>
    <t>CCP Games</t>
  </si>
  <si>
    <t>Iceland</t>
  </si>
  <si>
    <t>MassHive Media</t>
  </si>
  <si>
    <t>Indonesia</t>
  </si>
  <si>
    <t>Toge Productions</t>
  </si>
  <si>
    <t>CrazyLabs</t>
  </si>
  <si>
    <t>Israel</t>
  </si>
  <si>
    <t>Chubby Pixel</t>
  </si>
  <si>
    <t>Italy</t>
  </si>
  <si>
    <t>Milestone</t>
  </si>
  <si>
    <t>MixedBag</t>
  </si>
  <si>
    <t>Reddoll Srl</t>
  </si>
  <si>
    <t>The Fox Software</t>
  </si>
  <si>
    <t>Trinity Team</t>
  </si>
  <si>
    <t>ACQUIRE Corp</t>
  </si>
  <si>
    <t>Japan</t>
  </si>
  <si>
    <t>Adglobe Live Wire</t>
  </si>
  <si>
    <t>Alvion</t>
  </si>
  <si>
    <t>Aqua Style</t>
  </si>
  <si>
    <t>Arc System Works</t>
  </si>
  <si>
    <t>Atlus</t>
  </si>
  <si>
    <t>Bandai Namco Studios</t>
  </si>
  <si>
    <t>Bimboosoft</t>
  </si>
  <si>
    <t>Brownies</t>
  </si>
  <si>
    <t>Capcom</t>
  </si>
  <si>
    <t>Clap Hanz</t>
  </si>
  <si>
    <t>Clover Studio</t>
  </si>
  <si>
    <t>Exact (EXcellent Application Create Team)</t>
  </si>
  <si>
    <t>FromSoftware</t>
  </si>
  <si>
    <t>Game Freak</t>
  </si>
  <si>
    <t>Ganbarion</t>
  </si>
  <si>
    <t>Gibier Games</t>
  </si>
  <si>
    <t>Grasshopper Manufacture</t>
  </si>
  <si>
    <t>Honey Parade Games</t>
  </si>
  <si>
    <t>Konami</t>
  </si>
  <si>
    <t>Level-5</t>
  </si>
  <si>
    <t>Love-De-Lic</t>
  </si>
  <si>
    <t>Marvelous Interactive</t>
  </si>
  <si>
    <t>Masaya</t>
  </si>
  <si>
    <t>Monstars</t>
  </si>
  <si>
    <t>Moppin (Ojiro Fumoto)</t>
  </si>
  <si>
    <t>NanaOn-Sha</t>
  </si>
  <si>
    <t>Nippon Ichi Software</t>
  </si>
  <si>
    <t>Now Production</t>
  </si>
  <si>
    <t>Omega Force</t>
  </si>
  <si>
    <t>Paon</t>
  </si>
  <si>
    <t>PlatinumGames</t>
  </si>
  <si>
    <t>Pocket Pair</t>
  </si>
  <si>
    <t>Polyphony Digital</t>
  </si>
  <si>
    <t>Q-Games</t>
  </si>
  <si>
    <t>Ryu Ga Gotoku Studio</t>
  </si>
  <si>
    <t>SEGA</t>
  </si>
  <si>
    <t>Sony Interactive Entertainment</t>
  </si>
  <si>
    <t>souvenir circ</t>
  </si>
  <si>
    <t>Spike Chunsoft</t>
  </si>
  <si>
    <t>Square Enix (SquareSoft)</t>
  </si>
  <si>
    <t>Tamsoft</t>
  </si>
  <si>
    <t>Tango Gameworks</t>
  </si>
  <si>
    <t>Team Arcana (Examu)</t>
  </si>
  <si>
    <t>Team Asobi (Japan Studio)</t>
  </si>
  <si>
    <t>Team Ninja</t>
  </si>
  <si>
    <t>Whoopee Camp</t>
  </si>
  <si>
    <t>Workyrie Game Studio</t>
  </si>
  <si>
    <t>Yukes</t>
  </si>
  <si>
    <t>Nurijoy</t>
  </si>
  <si>
    <t>Korea Republic</t>
  </si>
  <si>
    <t>SouthPAW Games</t>
  </si>
  <si>
    <t>No Brakes Games</t>
  </si>
  <si>
    <t>Lithuania</t>
  </si>
  <si>
    <t>pixel.lu</t>
  </si>
  <si>
    <t>Luxembourg</t>
  </si>
  <si>
    <t>Squad</t>
  </si>
  <si>
    <t>Mexico</t>
  </si>
  <si>
    <t>Abstraction Games</t>
  </si>
  <si>
    <t>Netherlands</t>
  </si>
  <si>
    <t>Guerrilla Games</t>
  </si>
  <si>
    <t>Little Chicken</t>
  </si>
  <si>
    <t>RageSquid</t>
  </si>
  <si>
    <t>Tiger &amp; Squid</t>
  </si>
  <si>
    <t>Vertigo Games</t>
  </si>
  <si>
    <t>WeirdBeard</t>
  </si>
  <si>
    <t>Oddboy</t>
  </si>
  <si>
    <t>New Zealand</t>
  </si>
  <si>
    <t>Billy Goat Entertainment Ltd</t>
  </si>
  <si>
    <t>Northern Ireland</t>
  </si>
  <si>
    <t>Perfectly Paranormal</t>
  </si>
  <si>
    <t>Norway</t>
  </si>
  <si>
    <t>Bamtang Games</t>
  </si>
  <si>
    <t>Peru</t>
  </si>
  <si>
    <t>Bloober Team</t>
  </si>
  <si>
    <t>Poland</t>
  </si>
  <si>
    <t>CD Projekt Red</t>
  </si>
  <si>
    <t>Flying Wild Hog</t>
  </si>
  <si>
    <t>Juggler Games</t>
  </si>
  <si>
    <t>Jutsu Games</t>
  </si>
  <si>
    <t>Klabater</t>
  </si>
  <si>
    <t>Lichthund</t>
  </si>
  <si>
    <t>Mass Creation</t>
  </si>
  <si>
    <t>Pixel Crow</t>
  </si>
  <si>
    <t>Robot Gentleman</t>
  </si>
  <si>
    <t>Superhot Team</t>
  </si>
  <si>
    <t>Techland</t>
  </si>
  <si>
    <t>Teyon</t>
  </si>
  <si>
    <t>Vile Monarch</t>
  </si>
  <si>
    <t>VR Factory</t>
  </si>
  <si>
    <t>AstralShiftPro</t>
  </si>
  <si>
    <t>Portugal</t>
  </si>
  <si>
    <t>Upfall Studios</t>
  </si>
  <si>
    <t>Romero Games</t>
  </si>
  <si>
    <t>Republic of Ireland</t>
  </si>
  <si>
    <t>Spooky Doorway</t>
  </si>
  <si>
    <t>BUG-Studio</t>
  </si>
  <si>
    <t>Russia</t>
  </si>
  <si>
    <t>Four Quarters</t>
  </si>
  <si>
    <t>IzHard</t>
  </si>
  <si>
    <t>Luden.io</t>
  </si>
  <si>
    <t>PigeonDev</t>
  </si>
  <si>
    <t>Sergey Noskov</t>
  </si>
  <si>
    <t>Sometimes You</t>
  </si>
  <si>
    <t>Ant Workshop</t>
  </si>
  <si>
    <t>Scotland</t>
  </si>
  <si>
    <t>Extra Mile Studios</t>
  </si>
  <si>
    <t>Rockstar North</t>
  </si>
  <si>
    <t>Sad Owl Studios</t>
  </si>
  <si>
    <t>Uncommon Chocolate</t>
  </si>
  <si>
    <t>Daylight Studios</t>
  </si>
  <si>
    <t>Singapore</t>
  </si>
  <si>
    <t>Ratloop Asia</t>
  </si>
  <si>
    <t>Fraoula</t>
  </si>
  <si>
    <t>Slovenia</t>
  </si>
  <si>
    <t>Free Lives</t>
  </si>
  <si>
    <t>South Africa</t>
  </si>
  <si>
    <t>aheartfulofgames</t>
  </si>
  <si>
    <t>Spain</t>
  </si>
  <si>
    <t>Beautiful Glitch</t>
  </si>
  <si>
    <t>Herobeat Studios</t>
  </si>
  <si>
    <t>JanduSoft</t>
  </si>
  <si>
    <t>Pendulo Studios</t>
  </si>
  <si>
    <t>Rampage Game Studios</t>
  </si>
  <si>
    <t>Tequila Works</t>
  </si>
  <si>
    <t>Thinice Games</t>
  </si>
  <si>
    <t>Unfinished Pixel</t>
  </si>
  <si>
    <t>Wildbit Studios</t>
  </si>
  <si>
    <t>Xaloc Studios</t>
  </si>
  <si>
    <t>Arrowhead Game Studios</t>
  </si>
  <si>
    <t>Sweden</t>
  </si>
  <si>
    <t>Coffee Stain Studios</t>
  </si>
  <si>
    <t>Coldwood Interactive</t>
  </si>
  <si>
    <t>Dennaton Games</t>
  </si>
  <si>
    <t>DoubleMoose Games</t>
  </si>
  <si>
    <t>EA DICE (Digital Illusions CE)</t>
  </si>
  <si>
    <t>EA Gothenburg (Ghost Games)</t>
  </si>
  <si>
    <t>Experiment 101</t>
  </si>
  <si>
    <t>Fast Travel Games</t>
  </si>
  <si>
    <t>Frictional Games</t>
  </si>
  <si>
    <t>Game Design Sweden AB</t>
  </si>
  <si>
    <t>Hazelight Studios</t>
  </si>
  <si>
    <t>Image &amp; Form</t>
  </si>
  <si>
    <t>Landfall Games</t>
  </si>
  <si>
    <t>Ludosity</t>
  </si>
  <si>
    <t>MachineGames</t>
  </si>
  <si>
    <t>Mojang Studios</t>
  </si>
  <si>
    <t>Neat Corporation</t>
  </si>
  <si>
    <t>Overkill Software</t>
  </si>
  <si>
    <t>Pretty Fly Studios</t>
  </si>
  <si>
    <t>Something We Made</t>
  </si>
  <si>
    <t>Starbreeze Studios</t>
  </si>
  <si>
    <t>Systemic Reaction</t>
  </si>
  <si>
    <t>Tarsier Studios</t>
  </si>
  <si>
    <t>Whirlybird Games</t>
  </si>
  <si>
    <t>GIANTS Software</t>
  </si>
  <si>
    <t>Switzerland</t>
  </si>
  <si>
    <t>maJAJa</t>
  </si>
  <si>
    <t>Taiwan</t>
  </si>
  <si>
    <t>Squid Shock Studios</t>
  </si>
  <si>
    <t>Thailand</t>
  </si>
  <si>
    <t>4A Games</t>
  </si>
  <si>
    <t>Ukraine</t>
  </si>
  <si>
    <t>Frogwares</t>
  </si>
  <si>
    <t>Pinokl Games</t>
  </si>
  <si>
    <t>2K Boston (Irrational Games)</t>
  </si>
  <si>
    <t>2K Marin</t>
  </si>
  <si>
    <t>5th Cell</t>
  </si>
  <si>
    <t>Aggro Crab</t>
  </si>
  <si>
    <t>Airtight Games</t>
  </si>
  <si>
    <t>Avalanche Software</t>
  </si>
  <si>
    <t>Ben Esposito</t>
  </si>
  <si>
    <t>Bend Studio (Eidetic)</t>
  </si>
  <si>
    <t>Bethesda Game Studios</t>
  </si>
  <si>
    <t>Big Huge Games</t>
  </si>
  <si>
    <t>Bit Planet Games</t>
  </si>
  <si>
    <t>Bungie</t>
  </si>
  <si>
    <t>Camouflaj</t>
  </si>
  <si>
    <t>Cat Daddy Games</t>
  </si>
  <si>
    <t>Cold Iron Studios</t>
  </si>
  <si>
    <t>Cold Symmetry</t>
  </si>
  <si>
    <t>ConcernedApe (Eric Barone)</t>
  </si>
  <si>
    <t>Counterplay Games</t>
  </si>
  <si>
    <t>Cowardly Creations</t>
  </si>
  <si>
    <t>Crystal Dynamics</t>
  </si>
  <si>
    <t>Dead Drop Studios LLC</t>
  </si>
  <si>
    <t>Dee Dee Creations</t>
  </si>
  <si>
    <t>Deep Silver Volition</t>
  </si>
  <si>
    <t>Depth First Games</t>
  </si>
  <si>
    <t>Digital Eclipse</t>
  </si>
  <si>
    <t>Dingaling Productions</t>
  </si>
  <si>
    <t>Dodge Roll</t>
  </si>
  <si>
    <t>Double Fine Productions</t>
  </si>
  <si>
    <t>Dynamighty</t>
  </si>
  <si>
    <t>EA Tiburon</t>
  </si>
  <si>
    <t>Eat Sleep Play</t>
  </si>
  <si>
    <t>Ember Lab</t>
  </si>
  <si>
    <t>Empty Clip Studios</t>
  </si>
  <si>
    <t>Enhance Games</t>
  </si>
  <si>
    <t>Epic Games</t>
  </si>
  <si>
    <t>EQ-Games</t>
  </si>
  <si>
    <t>Firaxis Games</t>
  </si>
  <si>
    <t>FireForge Games</t>
  </si>
  <si>
    <t>First Watch Games</t>
  </si>
  <si>
    <t>FitXR</t>
  </si>
  <si>
    <t>Frame Interactive</t>
  </si>
  <si>
    <t>Fun Bits Interactive</t>
  </si>
  <si>
    <t>Gearbox Software</t>
  </si>
  <si>
    <t>Giant Sparrow</t>
  </si>
  <si>
    <t>Giant Squid Studios</t>
  </si>
  <si>
    <t>Grab Games</t>
  </si>
  <si>
    <t>Graceful Decay</t>
  </si>
  <si>
    <t>Hailstorm Games</t>
  </si>
  <si>
    <t>Hangar 13 (2K Czech)</t>
  </si>
  <si>
    <t>HappyGiant</t>
  </si>
  <si>
    <t>Harmonix Music Systems</t>
  </si>
  <si>
    <t>Heavy Iron Studios</t>
  </si>
  <si>
    <t>High Moon Studios</t>
  </si>
  <si>
    <t>Hopoo Games</t>
  </si>
  <si>
    <t>HumaNature Studios</t>
  </si>
  <si>
    <t>id Software</t>
  </si>
  <si>
    <t>Incognito Entertainment</t>
  </si>
  <si>
    <t>Infinity Ward</t>
  </si>
  <si>
    <t>Infuse Studio</t>
  </si>
  <si>
    <t>Insomniac Games</t>
  </si>
  <si>
    <t>Ion Storm</t>
  </si>
  <si>
    <t>Iron Galaxy Studios</t>
  </si>
  <si>
    <t>Ironwood Studios</t>
  </si>
  <si>
    <t>Johnson Voorsanger Productions</t>
  </si>
  <si>
    <t>Kronos Digital Entertainment</t>
  </si>
  <si>
    <t>Kung Fu Factory</t>
  </si>
  <si>
    <t>LucasArts</t>
  </si>
  <si>
    <t>Maxis</t>
  </si>
  <si>
    <t>Mega Crit</t>
  </si>
  <si>
    <t>Midway</t>
  </si>
  <si>
    <t>Monolith Productions</t>
  </si>
  <si>
    <t>Mossmouth LLC</t>
  </si>
  <si>
    <t>Mothership Entertainment</t>
  </si>
  <si>
    <t>Naughty Dog</t>
  </si>
  <si>
    <t>NetherRealm Studios</t>
  </si>
  <si>
    <t>Nicalis</t>
  </si>
  <si>
    <t>Night School Studio</t>
  </si>
  <si>
    <t>Nihilistic Software</t>
  </si>
  <si>
    <t>NomNomNami</t>
  </si>
  <si>
    <t>Obsidian Entertainment</t>
  </si>
  <si>
    <t>Oddworld Inhabitants</t>
  </si>
  <si>
    <t>One Loop Games</t>
  </si>
  <si>
    <t>Other Ocean Emeryville</t>
  </si>
  <si>
    <t>Owlchemy Labs</t>
  </si>
  <si>
    <t>Pandemic Studios</t>
  </si>
  <si>
    <t>Paradigm Entertainment</t>
  </si>
  <si>
    <t>Pencil Test Studios</t>
  </si>
  <si>
    <t>Pixelopus</t>
  </si>
  <si>
    <t>Play-Em</t>
  </si>
  <si>
    <t>Polyarc</t>
  </si>
  <si>
    <t>PopCap Games</t>
  </si>
  <si>
    <t>Psyonix</t>
  </si>
  <si>
    <t>Question Games</t>
  </si>
  <si>
    <t>Ratloop</t>
  </si>
  <si>
    <t>Re-Logic</t>
  </si>
  <si>
    <t>Ready At Dawn Studios</t>
  </si>
  <si>
    <t>Red Storm Entertainment</t>
  </si>
  <si>
    <t>Respawn Entertainment</t>
  </si>
  <si>
    <t>Robomodo</t>
  </si>
  <si>
    <t>Rockstar San Diego</t>
  </si>
  <si>
    <t>Running With Scissors</t>
  </si>
  <si>
    <t>Saber Interactive</t>
  </si>
  <si>
    <t>San Diego Studio</t>
  </si>
  <si>
    <t>Santa Monica Studio</t>
  </si>
  <si>
    <t>Sanzaru Games</t>
  </si>
  <si>
    <t>Schell Games</t>
  </si>
  <si>
    <t>Shared Memory</t>
  </si>
  <si>
    <t>SingleTrac</t>
  </si>
  <si>
    <t>Skookum Arts</t>
  </si>
  <si>
    <t>Skydance Interactive</t>
  </si>
  <si>
    <t>Snoozy Kazoo</t>
  </si>
  <si>
    <t>SoMa Play</t>
  </si>
  <si>
    <t>Sony Interactive Studios America (989 Studios)</t>
  </si>
  <si>
    <t>Squanch Games</t>
  </si>
  <si>
    <t>Striking Distance Studios</t>
  </si>
  <si>
    <t>Studio Wildcard</t>
  </si>
  <si>
    <t>Sucker Punch Productions</t>
  </si>
  <si>
    <t>Superbot Entertainment</t>
  </si>
  <si>
    <t>Survios</t>
  </si>
  <si>
    <t>Team Meat</t>
  </si>
  <si>
    <t>Team Salvato</t>
  </si>
  <si>
    <t>Telltale Games</t>
  </si>
  <si>
    <t>Terminal Reality</t>
  </si>
  <si>
    <t>Terrifying Jellyfish</t>
  </si>
  <si>
    <t>Thatgamecompany</t>
  </si>
  <si>
    <t>The Behemoth</t>
  </si>
  <si>
    <t>The Molasses Flood</t>
  </si>
  <si>
    <t>The Munky</t>
  </si>
  <si>
    <t>Thekla Inc</t>
  </si>
  <si>
    <t>Thomas Happ Games</t>
  </si>
  <si>
    <t>Titan Studios</t>
  </si>
  <si>
    <t>Toby Fox</t>
  </si>
  <si>
    <t>Toys For Bob</t>
  </si>
  <si>
    <t>Treyarch</t>
  </si>
  <si>
    <t>Tripwire Interactive</t>
  </si>
  <si>
    <t>Turbo Button</t>
  </si>
  <si>
    <t>Ubisoft San Francisco</t>
  </si>
  <si>
    <t>Unbound Creations</t>
  </si>
  <si>
    <t>Unbroken Studios</t>
  </si>
  <si>
    <t>Unknown Worlds Entertainment</t>
  </si>
  <si>
    <t>Vector Unit</t>
  </si>
  <si>
    <t>Velan Studios</t>
  </si>
  <si>
    <t>Vicarious Visions</t>
  </si>
  <si>
    <t>Visceral Games (EA Redwood Shores)</t>
  </si>
  <si>
    <t>Visual Concepts</t>
  </si>
  <si>
    <t>WayForward Technologies Inc</t>
  </si>
  <si>
    <t>WayTooManyGames</t>
  </si>
  <si>
    <t>Wishes Unlimited (Greg Lobanov)</t>
  </si>
  <si>
    <t>Wolf Brew Games</t>
  </si>
  <si>
    <t>Yacht Club Games</t>
  </si>
  <si>
    <t>Young Horses</t>
  </si>
  <si>
    <t>Triple Eh? Ltd</t>
  </si>
  <si>
    <t>Wales</t>
  </si>
  <si>
    <t>Wales Interactive</t>
  </si>
  <si>
    <t>TY the Tasmanian Tiger</t>
  </si>
  <si>
    <t>PS2</t>
  </si>
  <si>
    <t>TY the Tasmanian Tiger 2: Bush Rescue</t>
  </si>
  <si>
    <t>Jetpack Joyride</t>
  </si>
  <si>
    <t>LA Noire</t>
  </si>
  <si>
    <t>PS3</t>
  </si>
  <si>
    <t>Borderlands: The Pre-Sequel</t>
  </si>
  <si>
    <t>Armello</t>
  </si>
  <si>
    <t>Assault Android Cactus</t>
  </si>
  <si>
    <t>PAC-MAN 256</t>
  </si>
  <si>
    <t>Death Squared</t>
  </si>
  <si>
    <t>Sonic Mania</t>
  </si>
  <si>
    <t>de Blob</t>
  </si>
  <si>
    <t>Hollow Knight</t>
  </si>
  <si>
    <t>Think of the Children</t>
  </si>
  <si>
    <t>Infliction: Extended Cut</t>
  </si>
  <si>
    <t>Untitled Goose Game</t>
  </si>
  <si>
    <t>Stranded Deep</t>
  </si>
  <si>
    <t>Tennis World Tour 2</t>
  </si>
  <si>
    <t>Heavenly Bodies</t>
  </si>
  <si>
    <t>Cult of the Lamb</t>
  </si>
  <si>
    <t>Fruit Ninja VR</t>
  </si>
  <si>
    <t>VR</t>
  </si>
  <si>
    <t>The American Dream</t>
  </si>
  <si>
    <t>Gun Club VR</t>
  </si>
  <si>
    <t>Hell Let Loose</t>
  </si>
  <si>
    <t>Bridge Constructor</t>
  </si>
  <si>
    <t>VITA</t>
  </si>
  <si>
    <t>The Bug Butcher</t>
  </si>
  <si>
    <t>SpongeBob SquarePants: Battle for Bikini Bottom - Rehydrated</t>
  </si>
  <si>
    <t>SpongeBob SquarePants: The Cosmic Shake</t>
  </si>
  <si>
    <t>Disney Epic Mickey: Rebrushed</t>
  </si>
  <si>
    <t>This Is The Police</t>
  </si>
  <si>
    <t>Godlike Burger</t>
  </si>
  <si>
    <t>Space Pirate Trainer</t>
  </si>
  <si>
    <t>Apocalypse Rider</t>
  </si>
  <si>
    <t>Tropico 5</t>
  </si>
  <si>
    <t>Monsters Inc Scare Island</t>
  </si>
  <si>
    <t>PS1</t>
  </si>
  <si>
    <t>Cel Damage</t>
  </si>
  <si>
    <t>Prince of Persia: The Sands of Time</t>
  </si>
  <si>
    <t>Prince of Persia: Warrior Within</t>
  </si>
  <si>
    <t>The Warriors</t>
  </si>
  <si>
    <t>Prince of Persia: The Two Thrones</t>
  </si>
  <si>
    <t>Canis Canem Edit (Bully)</t>
  </si>
  <si>
    <t>Army of Two</t>
  </si>
  <si>
    <t>Far Cry 2</t>
  </si>
  <si>
    <t>Skate 2</t>
  </si>
  <si>
    <t>Prototype</t>
  </si>
  <si>
    <t>ModNation Racers</t>
  </si>
  <si>
    <t>Naughty Bear</t>
  </si>
  <si>
    <t>Scott Pilgrim vs The World: The Game</t>
  </si>
  <si>
    <t>Dead Rising 2</t>
  </si>
  <si>
    <t>Mass Effect 2</t>
  </si>
  <si>
    <t>Fight Night Champion</t>
  </si>
  <si>
    <t>Deus Ex: Human Revolution</t>
  </si>
  <si>
    <t>DeathSpank: The Baconing</t>
  </si>
  <si>
    <t>Need for Speed: The Run</t>
  </si>
  <si>
    <t>The Darkness II</t>
  </si>
  <si>
    <t>Mass Effect 3</t>
  </si>
  <si>
    <t>FIFA Street (2012)</t>
  </si>
  <si>
    <t>Prototype 2</t>
  </si>
  <si>
    <t>The Amazing Spider-Man</t>
  </si>
  <si>
    <t>Sound Shapes</t>
  </si>
  <si>
    <t>Sleeping Dogs</t>
  </si>
  <si>
    <t>LittleBigPlanet Karting</t>
  </si>
  <si>
    <t>Far Cry 3</t>
  </si>
  <si>
    <t>Mass Effect</t>
  </si>
  <si>
    <t>Retro City Rampage</t>
  </si>
  <si>
    <t>Zombie Tycoon 2: Brainhovs Revenge</t>
  </si>
  <si>
    <t>FEZ</t>
  </si>
  <si>
    <t>Yu-Gi-Oh! Millennium Duels</t>
  </si>
  <si>
    <t>Child of Light</t>
  </si>
  <si>
    <t>Watch Dogs</t>
  </si>
  <si>
    <t>Rogue Legacy</t>
  </si>
  <si>
    <t>Slender: The Arrival</t>
  </si>
  <si>
    <t>Far Cry 4</t>
  </si>
  <si>
    <t>FIFA 16</t>
  </si>
  <si>
    <t>FIFA 17</t>
  </si>
  <si>
    <t>FIFA 18</t>
  </si>
  <si>
    <t>FIFA 19</t>
  </si>
  <si>
    <t>Home: A Unique Horror Adventure</t>
  </si>
  <si>
    <t>Get Off My Lawn!</t>
  </si>
  <si>
    <t>Ninja Senki DX</t>
  </si>
  <si>
    <t>Warframe</t>
  </si>
  <si>
    <t>Dont Starve</t>
  </si>
  <si>
    <t>Outlast</t>
  </si>
  <si>
    <t>Yu-Gi-Oh! Legacy of the Duelist</t>
  </si>
  <si>
    <t>Lovers in a Dangerous Spacetime</t>
  </si>
  <si>
    <t>Far Cry: Primal</t>
  </si>
  <si>
    <t>Absolute Drift</t>
  </si>
  <si>
    <t>Jazzpunk: Directors Cut</t>
  </si>
  <si>
    <t>Viking Squad</t>
  </si>
  <si>
    <t>Watch_Dogs 2</t>
  </si>
  <si>
    <t>Celeste</t>
  </si>
  <si>
    <t>Far Cry 5</t>
  </si>
  <si>
    <t>Shadow of the Tomb Raider</t>
  </si>
  <si>
    <t>Far Cry: New Dawn</t>
  </si>
  <si>
    <t>Crash Team Racing Nitro-Fueled</t>
  </si>
  <si>
    <t>FIFA 20</t>
  </si>
  <si>
    <t>Journey to the Savage Planet</t>
  </si>
  <si>
    <t>EA Sports UFC 4</t>
  </si>
  <si>
    <t>PGA Tour 2K21</t>
  </si>
  <si>
    <t>FIFA 21</t>
  </si>
  <si>
    <t>Watch_Dogs: Legion</t>
  </si>
  <si>
    <t>Assassins Creed Valhalla</t>
  </si>
  <si>
    <t>Tribes of Midgard</t>
  </si>
  <si>
    <t>AWAY: The Survival Series</t>
  </si>
  <si>
    <t>FIFA 22</t>
  </si>
  <si>
    <t>Art of Rally</t>
  </si>
  <si>
    <t>Far Cry 6</t>
  </si>
  <si>
    <t>Nobody Saves The World</t>
  </si>
  <si>
    <t>Disney Dreamlight Valley</t>
  </si>
  <si>
    <t>Tunic</t>
  </si>
  <si>
    <t>FIFA 23</t>
  </si>
  <si>
    <t>New Tales from the Borderlands</t>
  </si>
  <si>
    <t>Meet Your Maker</t>
  </si>
  <si>
    <t>Grindstone</t>
  </si>
  <si>
    <t>EA Sports FC 24</t>
  </si>
  <si>
    <t>NHL 24</t>
  </si>
  <si>
    <t>Bio Inc Redemption</t>
  </si>
  <si>
    <t>Keep Talking and Nobody Explodes</t>
  </si>
  <si>
    <t>Eagle Flight</t>
  </si>
  <si>
    <t>Mervils: A VR Adventure</t>
  </si>
  <si>
    <t>Kona VR</t>
  </si>
  <si>
    <t>Dead Space (2023)</t>
  </si>
  <si>
    <t>Rayman 2: The Great Escape</t>
  </si>
  <si>
    <t>UNO</t>
  </si>
  <si>
    <t>Alice: Madness Returns</t>
  </si>
  <si>
    <t>Animal Force</t>
  </si>
  <si>
    <t>Genshin Impact</t>
  </si>
  <si>
    <t>Undying</t>
  </si>
  <si>
    <t>Poltergeist: A Pixelated Horror</t>
  </si>
  <si>
    <t>Serious Sam 3: BFE</t>
  </si>
  <si>
    <t>The Talos Principle</t>
  </si>
  <si>
    <t>Bear with Me</t>
  </si>
  <si>
    <t>Serious Sam: The First Encounter</t>
  </si>
  <si>
    <t>Serious Sam: The Second Encounter</t>
  </si>
  <si>
    <t>Mafia II</t>
  </si>
  <si>
    <t>Jet Car Stunts</t>
  </si>
  <si>
    <t>Dex</t>
  </si>
  <si>
    <t>Beat Saber</t>
  </si>
  <si>
    <t>Crime Boss: Rockay City</t>
  </si>
  <si>
    <t>Duke Nukem 3D</t>
  </si>
  <si>
    <t>Kane and Lynch: Dead Men</t>
  </si>
  <si>
    <t>Kane and Lynch 2: Dog Days</t>
  </si>
  <si>
    <t>Hitman: Absolution</t>
  </si>
  <si>
    <t>Stikbold! A Dodgeball Adventure</t>
  </si>
  <si>
    <t>Hitman 2</t>
  </si>
  <si>
    <t>Ghostrunner</t>
  </si>
  <si>
    <t>First Class Trouble</t>
  </si>
  <si>
    <t>Deep Rock Galactic</t>
  </si>
  <si>
    <t>Cocoon</t>
  </si>
  <si>
    <t>Color Slayer</t>
  </si>
  <si>
    <t>Wipeout (1995)</t>
  </si>
  <si>
    <t>Destruction Derby</t>
  </si>
  <si>
    <t>Tomb Raider (1996)</t>
  </si>
  <si>
    <t>Croc: Legend of the Gobbos</t>
  </si>
  <si>
    <t>Hercules</t>
  </si>
  <si>
    <t>Tomb Raider II</t>
  </si>
  <si>
    <t>Theme Hospital</t>
  </si>
  <si>
    <t>Colin McRae Rally</t>
  </si>
  <si>
    <t>Medievil (1998)</t>
  </si>
  <si>
    <t>Tomb Raider III</t>
  </si>
  <si>
    <t>A Bugs Life</t>
  </si>
  <si>
    <t>Driver</t>
  </si>
  <si>
    <t>Pong: The Next Level</t>
  </si>
  <si>
    <t>Tomb Raider: The Last Revelation</t>
  </si>
  <si>
    <t>Toy Story 2: Buzz Lightyear to the Rescue!</t>
  </si>
  <si>
    <t>Medievil 2</t>
  </si>
  <si>
    <t>Hogs of War</t>
  </si>
  <si>
    <t>Tomb Raider: Chronicles</t>
  </si>
  <si>
    <t>Crash Bash</t>
  </si>
  <si>
    <t>Buzz Lightyear of Star Command</t>
  </si>
  <si>
    <t>Toy Story Racer</t>
  </si>
  <si>
    <t>TimeSplitters</t>
  </si>
  <si>
    <t>TimeSplitters 2</t>
  </si>
  <si>
    <t>Primal</t>
  </si>
  <si>
    <t>TimeSplitters: Future Perfect</t>
  </si>
  <si>
    <t>Super Monkey Ball Adventure</t>
  </si>
  <si>
    <t>LEGO Indiana Jones: The Original Adventures</t>
  </si>
  <si>
    <t>LEGO Batman: The Videogame</t>
  </si>
  <si>
    <t>DJ Hero</t>
  </si>
  <si>
    <t>Burnout Legends</t>
  </si>
  <si>
    <t>Grand Theft Auto: Liberty City Stories</t>
  </si>
  <si>
    <t>Lemmings (2006)</t>
  </si>
  <si>
    <t>Grand Theft Auto: Vice City Stories</t>
  </si>
  <si>
    <t>Wipeout Pulse</t>
  </si>
  <si>
    <t>Grand Theft Auto: Chinatown Wars</t>
  </si>
  <si>
    <t>LEGO Star Wars III: The Clone Wars</t>
  </si>
  <si>
    <t>LEGO Pirates of the Caribbean: The Video Game</t>
  </si>
  <si>
    <t>Titan Attacks!</t>
  </si>
  <si>
    <t>Super Rub a Dub</t>
  </si>
  <si>
    <t>Burnout Paradise</t>
  </si>
  <si>
    <t>Wipeout HD (2008)</t>
  </si>
  <si>
    <t>LittleBigPlanet</t>
  </si>
  <si>
    <t>MotorStorm: Pacific Rift</t>
  </si>
  <si>
    <t>Batman: Arkham Asylum</t>
  </si>
  <si>
    <t>Need for Speed: Shift</t>
  </si>
  <si>
    <t>Buzz!: Quiz World</t>
  </si>
  <si>
    <t>Gravity Crash</t>
  </si>
  <si>
    <t>Blur</t>
  </si>
  <si>
    <t>LEGO Harry Potter Collection: Years 1-4</t>
  </si>
  <si>
    <t>DJ Hero 2</t>
  </si>
  <si>
    <t>Need for Speed Hot Pursuit</t>
  </si>
  <si>
    <t>LittleBigPlanet 2</t>
  </si>
  <si>
    <t>Motorstorm: Apocalypse</t>
  </si>
  <si>
    <t>Brink</t>
  </si>
  <si>
    <t>Beat Hazard Ultra</t>
  </si>
  <si>
    <t>Batman: Arkham City</t>
  </si>
  <si>
    <t>LEGO Harry Potter Collection: Years 5-7</t>
  </si>
  <si>
    <t>MotorStorm: RC</t>
  </si>
  <si>
    <t>Sniper Elite V2</t>
  </si>
  <si>
    <t>LEGO Batman 2: DC Super Heroes</t>
  </si>
  <si>
    <t>Joe Danger 2: The Movie</t>
  </si>
  <si>
    <t>Worms Revolution Extreme</t>
  </si>
  <si>
    <t>Need for Speed: Most Wanted (2012)</t>
  </si>
  <si>
    <t>When Vikings Attack</t>
  </si>
  <si>
    <t>The Cube</t>
  </si>
  <si>
    <t>F1 Race Stars</t>
  </si>
  <si>
    <t>Ultratron</t>
  </si>
  <si>
    <t>Thomas Was Alone</t>
  </si>
  <si>
    <t>Stealth Inc: A Clone in the Dark</t>
  </si>
  <si>
    <t>Superfrog HD</t>
  </si>
  <si>
    <t>Lone Survivor</t>
  </si>
  <si>
    <t>LEGO Marvel Super Heroes</t>
  </si>
  <si>
    <t>Putty Squad</t>
  </si>
  <si>
    <t>Hohokum</t>
  </si>
  <si>
    <t>Geometry Wars 3: Dimensions Evolved</t>
  </si>
  <si>
    <t>LittleBigPlanet 3</t>
  </si>
  <si>
    <t>Stealth Inc 2: A Game of Clones</t>
  </si>
  <si>
    <t>Pumped BMX+</t>
  </si>
  <si>
    <t>Wipeout 2048 (2012)</t>
  </si>
  <si>
    <t>Spy Hunter (2012)</t>
  </si>
  <si>
    <t>Quell Memento</t>
  </si>
  <si>
    <t>Velocity Ultra</t>
  </si>
  <si>
    <t>OlliOlli</t>
  </si>
  <si>
    <t>Surge Deluxe</t>
  </si>
  <si>
    <t>TxK</t>
  </si>
  <si>
    <t>Football Manager Classic 2014</t>
  </si>
  <si>
    <t>PlayStation VITA Pets</t>
  </si>
  <si>
    <t>Skeleton Rider</t>
  </si>
  <si>
    <t>Table Top Racing</t>
  </si>
  <si>
    <t>Velocity 2X</t>
  </si>
  <si>
    <t>Rock Boshers DX: Directors Cut</t>
  </si>
  <si>
    <t>Switch Galaxy Ultra</t>
  </si>
  <si>
    <t>Minutes</t>
  </si>
  <si>
    <t>OlliOlli 2: Welcome to Olliwood</t>
  </si>
  <si>
    <t>Flame Over</t>
  </si>
  <si>
    <t>Hatoful Boyfriend</t>
  </si>
  <si>
    <t>Pic-a-Pix Color</t>
  </si>
  <si>
    <t>Worms Battlegrounds</t>
  </si>
  <si>
    <t>Oddworld: New n Tasty</t>
  </si>
  <si>
    <t>Surgeon Simulator</t>
  </si>
  <si>
    <t>Flockers</t>
  </si>
  <si>
    <t>LA Cops</t>
  </si>
  <si>
    <t>The Escapists</t>
  </si>
  <si>
    <t>Batman: Arkham Knight</t>
  </si>
  <si>
    <t>Volume</t>
  </si>
  <si>
    <t>I am Bread</t>
  </si>
  <si>
    <t>Until Dawn</t>
  </si>
  <si>
    <t>Tearaway Unfolded</t>
  </si>
  <si>
    <t>HoPiKo</t>
  </si>
  <si>
    <t>Chime Sharp</t>
  </si>
  <si>
    <t>101 Ways To Die</t>
  </si>
  <si>
    <t>Table Top Racing: World Tour</t>
  </si>
  <si>
    <t>Dangerous Golf</t>
  </si>
  <si>
    <t>Overcooked</t>
  </si>
  <si>
    <t>No Mans Sky</t>
  </si>
  <si>
    <t>Worms W.M.D</t>
  </si>
  <si>
    <t>Hue</t>
  </si>
  <si>
    <t>Unbox: Newbies Adventure</t>
  </si>
  <si>
    <t>Tethered</t>
  </si>
  <si>
    <t>Amnesia: A Machine for Pigs</t>
  </si>
  <si>
    <t>LEGO City Undercover</t>
  </si>
  <si>
    <t>Yooka-Laylee</t>
  </si>
  <si>
    <t>Polybius</t>
  </si>
  <si>
    <t>Danger Zone</t>
  </si>
  <si>
    <t>Micro Machines World Series</t>
  </si>
  <si>
    <t>Thats You!</t>
  </si>
  <si>
    <t>The Persistence</t>
  </si>
  <si>
    <t>Overcooked 2</t>
  </si>
  <si>
    <t>LEGO DC Super-Villains</t>
  </si>
  <si>
    <t>Dangerous Driving</t>
  </si>
  <si>
    <t>Team Sonic Racing</t>
  </si>
  <si>
    <t>Yooka-Laylee and the Impossible Lair</t>
  </si>
  <si>
    <t>Dreams</t>
  </si>
  <si>
    <t>Two Point Hospital</t>
  </si>
  <si>
    <t>PONG Quest</t>
  </si>
  <si>
    <t>Formula Retro Racing</t>
  </si>
  <si>
    <t>Fall Guys: Ultimate Knockout</t>
  </si>
  <si>
    <t>DIRT 5</t>
  </si>
  <si>
    <t>Planet Coaster</t>
  </si>
  <si>
    <t>Sackboy: A Big Adventure</t>
  </si>
  <si>
    <t>Breaking Enigma</t>
  </si>
  <si>
    <t>Worms Rumble</t>
  </si>
  <si>
    <t>The Survivalists</t>
  </si>
  <si>
    <t>Sumatra: Fate of Yandi</t>
  </si>
  <si>
    <t>Angry Video Game Adventures (Angry Video Game Nerd I &amp; II Deluxe)</t>
  </si>
  <si>
    <t>Angry Video Game Adventures 2: ASSimilation (Angry Video Game Nerd I &amp; II Deluxe)</t>
  </si>
  <si>
    <t>F1 2021</t>
  </si>
  <si>
    <t>Tails of Iron</t>
  </si>
  <si>
    <t>Jurassic World Evolution 2</t>
  </si>
  <si>
    <t>Deaths Door</t>
  </si>
  <si>
    <t>OlliOlli World</t>
  </si>
  <si>
    <t>GRID Legends</t>
  </si>
  <si>
    <t>LEGO Star Wars: The Skywalker Saga</t>
  </si>
  <si>
    <t>Two Point Campus</t>
  </si>
  <si>
    <t>Rollerdrome</t>
  </si>
  <si>
    <t>F1 Manager 2022</t>
  </si>
  <si>
    <t>PowerWash Simulator</t>
  </si>
  <si>
    <t>Dead Island 2</t>
  </si>
  <si>
    <t>Killer Frequency</t>
  </si>
  <si>
    <t>F1 23</t>
  </si>
  <si>
    <t>PlateUp!</t>
  </si>
  <si>
    <t>Hustle Kings VR</t>
  </si>
  <si>
    <t>PlayStation VR Worlds</t>
  </si>
  <si>
    <t>Batman: Arkham VR</t>
  </si>
  <si>
    <t>Driveclub VR</t>
  </si>
  <si>
    <t>RIGS: Mechanized Combat League VR</t>
  </si>
  <si>
    <t>Tumble VR</t>
  </si>
  <si>
    <t>Until Dawn: Rush of Blood</t>
  </si>
  <si>
    <t>Lethal VR</t>
  </si>
  <si>
    <t>Tiny Trax</t>
  </si>
  <si>
    <t>VR Karts</t>
  </si>
  <si>
    <t>Shooty Fruity</t>
  </si>
  <si>
    <t>Hotel R n R</t>
  </si>
  <si>
    <t>Sniper Elite VR</t>
  </si>
  <si>
    <t>Sable</t>
  </si>
  <si>
    <t>Football Manager 2024</t>
  </si>
  <si>
    <t>Planet Zoo</t>
  </si>
  <si>
    <t>The Plucky Squire</t>
  </si>
  <si>
    <t>Max Payne</t>
  </si>
  <si>
    <t>Super Stardust HD</t>
  </si>
  <si>
    <t>Trine</t>
  </si>
  <si>
    <t>Trine 2</t>
  </si>
  <si>
    <t>Angry Birds Classic (2009)</t>
  </si>
  <si>
    <t>Angry Birds Seasons (2010)</t>
  </si>
  <si>
    <t>Angry Birds Rio (2011)</t>
  </si>
  <si>
    <t>The Swapper</t>
  </si>
  <si>
    <t>Tennis in the Face</t>
  </si>
  <si>
    <t>Badland</t>
  </si>
  <si>
    <t>Xenoraid</t>
  </si>
  <si>
    <t>RESOGUN</t>
  </si>
  <si>
    <t>Trine 3: The Artifacts of Power</t>
  </si>
  <si>
    <t>Neon Chrome</t>
  </si>
  <si>
    <t>Cities: Skylines</t>
  </si>
  <si>
    <t>Wreckfest</t>
  </si>
  <si>
    <t>Alan Wake</t>
  </si>
  <si>
    <t>Returnal</t>
  </si>
  <si>
    <t>Rayman</t>
  </si>
  <si>
    <t>Sheep Dog n Wolf</t>
  </si>
  <si>
    <t>Rayman 3: Hoodlum Havoc</t>
  </si>
  <si>
    <t>Beyond Good and Evil</t>
  </si>
  <si>
    <t>Fahrenheit (Indigo Prophecy)</t>
  </si>
  <si>
    <t>Heavy Rain</t>
  </si>
  <si>
    <t>Earthworm Jim HD</t>
  </si>
  <si>
    <t>Rayman Origins</t>
  </si>
  <si>
    <t>Dishonored</t>
  </si>
  <si>
    <t>Rayman Legends</t>
  </si>
  <si>
    <t>Beyond: Two Souls</t>
  </si>
  <si>
    <t>Final Exam</t>
  </si>
  <si>
    <t>Another World: 20th Anniversary</t>
  </si>
  <si>
    <t>Monopoly Deal (Monopoly Family Fun Pack)</t>
  </si>
  <si>
    <t>Monopoly Plus (Monopoly Family Fun Pack)</t>
  </si>
  <si>
    <t>Life is Strange</t>
  </si>
  <si>
    <t>Cosmophony</t>
  </si>
  <si>
    <t>Sunflowers</t>
  </si>
  <si>
    <t>Crazy Market</t>
  </si>
  <si>
    <t>Trials Fusion</t>
  </si>
  <si>
    <t>My Monopoly (Monopoly Family Fun Pack)</t>
  </si>
  <si>
    <t>The Crew</t>
  </si>
  <si>
    <t>Blood Bowl 2</t>
  </si>
  <si>
    <t>Trackmania Turbo</t>
  </si>
  <si>
    <t>WRC 6</t>
  </si>
  <si>
    <t>Mother Russia Bleeds</t>
  </si>
  <si>
    <t>Wonder Boy: The Dragons Trap</t>
  </si>
  <si>
    <t>Detroit: Become Human</t>
  </si>
  <si>
    <t>Flashback: Remastered Edition</t>
  </si>
  <si>
    <t>A Plague Tale: Innocence</t>
  </si>
  <si>
    <t>Iris and the Giant</t>
  </si>
  <si>
    <t>Curse of the Dead Gods</t>
  </si>
  <si>
    <t>Sifu</t>
  </si>
  <si>
    <t>Weird West</t>
  </si>
  <si>
    <t>Stray</t>
  </si>
  <si>
    <t>Tchia</t>
  </si>
  <si>
    <t>Steelrising</t>
  </si>
  <si>
    <t>A Plague Tale: Requiem</t>
  </si>
  <si>
    <t>Crazy Machines Elements</t>
  </si>
  <si>
    <t>Spec Ops: The Line</t>
  </si>
  <si>
    <t>Far Cry Classic</t>
  </si>
  <si>
    <t>Grand Ages: Medieval</t>
  </si>
  <si>
    <t>Art of Balance</t>
  </si>
  <si>
    <t>Typoman</t>
  </si>
  <si>
    <t>Ghost Blade HD</t>
  </si>
  <si>
    <t>Discovery</t>
  </si>
  <si>
    <t>Leisure Suit Larry - Wet Dreams Dont Dry</t>
  </si>
  <si>
    <t>Destroy All Humans! (2020)</t>
  </si>
  <si>
    <t>Cloudpunk</t>
  </si>
  <si>
    <t>Cant Drive This</t>
  </si>
  <si>
    <t>Spacebase Startopia</t>
  </si>
  <si>
    <t>Leisure Suit Larry - Wet Dreams Dry Twice</t>
  </si>
  <si>
    <t>The Stanley Parable: Ultra Deluxe</t>
  </si>
  <si>
    <t>Catch &amp; Release</t>
  </si>
  <si>
    <t>Destroy All Humans! 2: Reprobed</t>
  </si>
  <si>
    <t>Techno Banter</t>
  </si>
  <si>
    <t>Bang Bang Racing</t>
  </si>
  <si>
    <t>Chicken Police: Paint It Red!</t>
  </si>
  <si>
    <t>EVE: Valkyrie - Warzone</t>
  </si>
  <si>
    <t>Coffee Talk</t>
  </si>
  <si>
    <t>Potion Permit</t>
  </si>
  <si>
    <t>Coffee Talk Episode 2: Hibiscus and Butterfly</t>
  </si>
  <si>
    <t>Run Sausage Run!</t>
  </si>
  <si>
    <t>Futuridium EP Deluxe</t>
  </si>
  <si>
    <t>Active Soccer 2 DX</t>
  </si>
  <si>
    <t>forma.8</t>
  </si>
  <si>
    <t>Bud Spencer &amp; Terence Hill - Slaps And Beans</t>
  </si>
  <si>
    <t>Hot Wheels Unleashed</t>
  </si>
  <si>
    <t>Hot Wheels Unleashed 2 - Turbocharged</t>
  </si>
  <si>
    <t>VR Ping Pong</t>
  </si>
  <si>
    <t>The Guy VR</t>
  </si>
  <si>
    <t>Jumping Flash!</t>
  </si>
  <si>
    <t>Tekken</t>
  </si>
  <si>
    <t>Cho Aniki</t>
  </si>
  <si>
    <t>Street Fighter Alpha: Warriors Dreams (1995)</t>
  </si>
  <si>
    <t>Tekken 2</t>
  </si>
  <si>
    <t>Motor Toon Grand Prix 2</t>
  </si>
  <si>
    <t>Street Fighter Alpha 2 (1996)</t>
  </si>
  <si>
    <t>Suikoden</t>
  </si>
  <si>
    <t>PaRappa the Rapper</t>
  </si>
  <si>
    <t>Moon: Remix RPG Adventure</t>
  </si>
  <si>
    <t>Castlevania: Symphony of the Night</t>
  </si>
  <si>
    <t>Final Fantasy VII (1997)</t>
  </si>
  <si>
    <t>Resident Evil: Directors Cut (1997)</t>
  </si>
  <si>
    <t>Resident Evil 2 (1998)</t>
  </si>
  <si>
    <t>Klonoa: Door to Phantomile (1997)</t>
  </si>
  <si>
    <t>Super Street Fighter II Turbo: The Ultimate Championship (1994)</t>
  </si>
  <si>
    <t>Tombi!</t>
  </si>
  <si>
    <t>Tekken 3</t>
  </si>
  <si>
    <t>Metal Gear Solid</t>
  </si>
  <si>
    <t>Street Fighter Alpha 3 (1998)</t>
  </si>
  <si>
    <t>Silent Hill</t>
  </si>
  <si>
    <t>Um Jammer Lammy</t>
  </si>
  <si>
    <t>Final Fantasy VIII</t>
  </si>
  <si>
    <t>Resident Evil 3: Nemesis (1999)</t>
  </si>
  <si>
    <t>Tombi 2!: The Evil Swine Return</t>
  </si>
  <si>
    <t>Bishi Bashi Special</t>
  </si>
  <si>
    <t>Suikoden II</t>
  </si>
  <si>
    <t>Vib-Ribbon</t>
  </si>
  <si>
    <t>WWF! Smackdown 2: Know Your Role</t>
  </si>
  <si>
    <t>Final Fantasy IX</t>
  </si>
  <si>
    <t>Final Fantasy V</t>
  </si>
  <si>
    <t>Final Fantasy VI</t>
  </si>
  <si>
    <t>Crazy Taxi</t>
  </si>
  <si>
    <t>Resident Evil: Code Veronica X</t>
  </si>
  <si>
    <t>Dark Cloud</t>
  </si>
  <si>
    <t>Klonoa 2: Lunateas Veil (2001)</t>
  </si>
  <si>
    <t>Silent Hill 2</t>
  </si>
  <si>
    <t>Devil May Cry</t>
  </si>
  <si>
    <t>Metal Gear Solid 2: Sons of Liberty</t>
  </si>
  <si>
    <t>Ico</t>
  </si>
  <si>
    <t>PaRappa the Rapper 2</t>
  </si>
  <si>
    <t>Final Fantasy X</t>
  </si>
  <si>
    <t>Kingdom Hearts</t>
  </si>
  <si>
    <t>Ape Escape 2</t>
  </si>
  <si>
    <t>Devil May Cry 2</t>
  </si>
  <si>
    <t>Silent Hill 3</t>
  </si>
  <si>
    <t>Dark Chronicle (Dark Cloud 2)</t>
  </si>
  <si>
    <t>Sonic Heroes</t>
  </si>
  <si>
    <t>Final Fantasy X-2</t>
  </si>
  <si>
    <t>Metal Gear Solid 3: Snake Eater</t>
  </si>
  <si>
    <t>Devil May Cry 3: Dantes Awakening</t>
  </si>
  <si>
    <t>Resident Evil 4 (2005)</t>
  </si>
  <si>
    <t>Harvest Moon: A Wonderful Life</t>
  </si>
  <si>
    <t>Shadow of the Colossus</t>
  </si>
  <si>
    <t>Kingdom Hearts II</t>
  </si>
  <si>
    <t>Okami</t>
  </si>
  <si>
    <t>Ape Escape: On the Loose</t>
  </si>
  <si>
    <t>LocoRoco</t>
  </si>
  <si>
    <t>Tekken 5: Dark Resurrection</t>
  </si>
  <si>
    <t>Crazy Taxi 2</t>
  </si>
  <si>
    <t>Final Fantasy (2008)</t>
  </si>
  <si>
    <t>Final Fantasy II (2008)</t>
  </si>
  <si>
    <t>Castlevania: Rondo of Blood (The Dracula X Chronicles)</t>
  </si>
  <si>
    <t>Everybodys Golf 2</t>
  </si>
  <si>
    <t>Prinny: Can I Really Be The Hero?</t>
  </si>
  <si>
    <t>Dead or Alive Paradise (Dead or Alive Xtreme 2)</t>
  </si>
  <si>
    <t>Metal Gear Solid: Peace Walker</t>
  </si>
  <si>
    <t>Kingdom Hearts Birth by Sleep and Re: Coded (HD 2.5 Remix)</t>
  </si>
  <si>
    <t>Final Fantasy IV: The Complete Collection (2011)</t>
  </si>
  <si>
    <t>Final Fantasy III (2006)</t>
  </si>
  <si>
    <t>Virtua Fighter 5</t>
  </si>
  <si>
    <t>Devil May Cry 4</t>
  </si>
  <si>
    <t>Metal Gear Solid 4: Guns of the Patriots</t>
  </si>
  <si>
    <t>Siren: Blood Curse</t>
  </si>
  <si>
    <t>Resident Evil 5</t>
  </si>
  <si>
    <t>UFC 2009 Undisputed</t>
  </si>
  <si>
    <t>Pro Evolution Soccer 2010</t>
  </si>
  <si>
    <t>PixelJunk Shooter</t>
  </si>
  <si>
    <t>Bayonetta</t>
  </si>
  <si>
    <t>Final Fantasy XIII</t>
  </si>
  <si>
    <t>Like a Dragon 3 (Yakuza 3)</t>
  </si>
  <si>
    <t>Gran Turismo 5</t>
  </si>
  <si>
    <t>Like a Dragon 4 (Yakuza 4)</t>
  </si>
  <si>
    <t>Streets of Rage 2</t>
  </si>
  <si>
    <t>Dark Souls</t>
  </si>
  <si>
    <t>The House of the Dead: Overkill</t>
  </si>
  <si>
    <t>Sonic Generations</t>
  </si>
  <si>
    <t>Daytona USA</t>
  </si>
  <si>
    <t>Sonic CD (1993)</t>
  </si>
  <si>
    <t>The Simpsons Arcade Game</t>
  </si>
  <si>
    <t>Malicious</t>
  </si>
  <si>
    <t>Catherine</t>
  </si>
  <si>
    <t>Street Fighter X Tekken</t>
  </si>
  <si>
    <t>Yakuza: Dead Souls</t>
  </si>
  <si>
    <t>Lollipop Chainsaw</t>
  </si>
  <si>
    <t>Tales of Graces f</t>
  </si>
  <si>
    <t>Jet Set Radio</t>
  </si>
  <si>
    <t>Tokyo Jungle</t>
  </si>
  <si>
    <t>Dead or Alive 5</t>
  </si>
  <si>
    <t>Resident Evil 6</t>
  </si>
  <si>
    <t>Ni No Kuni: Wrath of the White Witch</t>
  </si>
  <si>
    <t>Resident Evil: Revelations</t>
  </si>
  <si>
    <t>Tekken Revolution</t>
  </si>
  <si>
    <t>Tales of Xillia</t>
  </si>
  <si>
    <t>Killer Is Dead</t>
  </si>
  <si>
    <t>Kingdom Hearts Re: Chain of Memories and 358/2 Days</t>
  </si>
  <si>
    <t>Dark Souls II</t>
  </si>
  <si>
    <t>One Piece: Unlimited World Red</t>
  </si>
  <si>
    <t>The Evil Within</t>
  </si>
  <si>
    <t>Resident Evil (2002)</t>
  </si>
  <si>
    <t>Resident Evil: Revelations 2</t>
  </si>
  <si>
    <t>Metal Gear Solid V: The Phantom Pain</t>
  </si>
  <si>
    <t>Like a Dragon 5 (Yakuza 5)</t>
  </si>
  <si>
    <t>Resident Evil 0 (Zero)</t>
  </si>
  <si>
    <t>Nitroplus Blasterz: Heroines Infinite Duel</t>
  </si>
  <si>
    <t>Persona 5</t>
  </si>
  <si>
    <t>Welcome Park</t>
  </si>
  <si>
    <t>Table Football</t>
  </si>
  <si>
    <t>Touch my Katamari</t>
  </si>
  <si>
    <t>Gravity Rush</t>
  </si>
  <si>
    <t>Zero Escape: Virtues Last Reward</t>
  </si>
  <si>
    <t>Paint Park Plus</t>
  </si>
  <si>
    <t>No Heroes Allowed: No Puzzles Either!</t>
  </si>
  <si>
    <t>Downwell</t>
  </si>
  <si>
    <t>Wanderjahr</t>
  </si>
  <si>
    <t>Yomawari: Night Alone</t>
  </si>
  <si>
    <t>Touhou Double Focus</t>
  </si>
  <si>
    <t>Yomawari: Midnight Shadows</t>
  </si>
  <si>
    <t>Klonoa: Door to Phantomile (2008)</t>
  </si>
  <si>
    <t>Knack</t>
  </si>
  <si>
    <t>The Playroom</t>
  </si>
  <si>
    <t>Bloodborne</t>
  </si>
  <si>
    <t>Tembo the Badass Elephant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</si>
  <si>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</si>
  <si>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</si>
  <si>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</si>
  <si>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</si>
  <si>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</si>
  <si>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</si>
  <si>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Croixleur Sigma</t>
  </si>
  <si>
    <t>Dark Souls III</t>
  </si>
  <si>
    <t>Dead Rising</t>
  </si>
  <si>
    <t>Final Fantasy XV</t>
  </si>
  <si>
    <t>The Last Guardian</t>
  </si>
  <si>
    <t>Rollercoaster Dreams</t>
  </si>
  <si>
    <t>Resident Evil VII: Biohazard</t>
  </si>
  <si>
    <t>Kingdom Hearts 3D: Dream Drop Distance and Back Cover (HD 2.8 Final Chapter Prologue)</t>
  </si>
  <si>
    <t>Kingdom Hearts 0.2 Birth by Sleep - A Fragmentary Passage (HD 2.8 Final Chapter Prologue)</t>
  </si>
  <si>
    <t>Like a Dragon (Yakuza 0)</t>
  </si>
  <si>
    <t>TaleSpin (1991): The Disney Afternoon Collection</t>
  </si>
  <si>
    <t>Darkwing Duck (1992): The Disney Afternoon Collection</t>
  </si>
  <si>
    <t>DuckTales (1989): The Disney Afternoon Collection</t>
  </si>
  <si>
    <t>DuckTales 2 (1993): The Disney Afternoon Collection</t>
  </si>
  <si>
    <t>Chip n Dale Rescue Rangers (1990): The Disney Afternoon Collection</t>
  </si>
  <si>
    <t>Chip n Dale Rescue Rangers 2 (1994): The Disney Afternoon Collection</t>
  </si>
  <si>
    <t>Tekken 7</t>
  </si>
  <si>
    <t>Mega Man 7 (Legacy Collection 2)</t>
  </si>
  <si>
    <t>Mega Man 8 (Legacy Collection 2)</t>
  </si>
  <si>
    <t>Mega Man 9 (Legacy Collection 2)</t>
  </si>
  <si>
    <t>Mega Man 10 (Legacy Collection 2)</t>
  </si>
  <si>
    <t>Like a Dragon Kiwami (Yakuza Kiwami)</t>
  </si>
  <si>
    <t>Everybodys Golf (2017)</t>
  </si>
  <si>
    <t>Knack 2</t>
  </si>
  <si>
    <t>Monster Hunter: World</t>
  </si>
  <si>
    <t>Ni No Kuni II: Revenant Kingdom</t>
  </si>
  <si>
    <t>Like a Dragon 6 (Yakuza 6: The Song of Life)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</si>
  <si>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</si>
  <si>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</si>
  <si>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</si>
  <si>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</si>
  <si>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</si>
  <si>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</si>
  <si>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</si>
  <si>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</si>
  <si>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</si>
  <si>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</si>
  <si>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</si>
  <si>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</si>
  <si>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</si>
  <si>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</si>
  <si>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</si>
  <si>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</si>
  <si>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Shenmue</t>
  </si>
  <si>
    <t>Shenmue II</t>
  </si>
  <si>
    <t>Like a Dragon Kiwami 2 (Yakuza Kiwami 2)</t>
  </si>
  <si>
    <t>SoulCalibur VI</t>
  </si>
  <si>
    <t>Tetris Effect</t>
  </si>
  <si>
    <t>Resident Evil 2 (2019)</t>
  </si>
  <si>
    <t>Kingdom Hearts III</t>
  </si>
  <si>
    <t>Devil May Cry 5</t>
  </si>
  <si>
    <t>Sekiro: Shadows Die Twice</t>
  </si>
  <si>
    <t>Judgment</t>
  </si>
  <si>
    <t>Code Vein</t>
  </si>
  <si>
    <t>Super Monkey Ball: Banana Blitz HD</t>
  </si>
  <si>
    <t>Nioh 2</t>
  </si>
  <si>
    <t>Granblue Fantasy: Versus</t>
  </si>
  <si>
    <t>Resident Evil 3 (2020)</t>
  </si>
  <si>
    <t>Resident Evil: Resistance</t>
  </si>
  <si>
    <t>Final Fantasy VII (2020)</t>
  </si>
  <si>
    <t>Kandagawa Jet Girls</t>
  </si>
  <si>
    <t>Captain Tsubasa: Rise of New Champions</t>
  </si>
  <si>
    <t>Doraemon: Story of Seasons</t>
  </si>
  <si>
    <t>Zombie Zone (The Onee Chanbara)</t>
  </si>
  <si>
    <t>Zombie Zone 2 (The Onee Chanbara 2)</t>
  </si>
  <si>
    <t>Like a Dragon 7 (Yakuza 7)</t>
  </si>
  <si>
    <t>Katamari Damacy</t>
  </si>
  <si>
    <t>Persona 5 Strikers</t>
  </si>
  <si>
    <t>Resident Evil Village</t>
  </si>
  <si>
    <t>Ender Lilies: Quietus of the Knights</t>
  </si>
  <si>
    <t>Sonic Colours: Ultimate</t>
  </si>
  <si>
    <t>Lost Judgment</t>
  </si>
  <si>
    <t>DEEEER Simulator</t>
  </si>
  <si>
    <t>Elden Ring</t>
  </si>
  <si>
    <t>Sonic the Hedgehog (1991): Sonic Origins (2022)</t>
  </si>
  <si>
    <t>Sonic the Hedgehog 2 (1992): Sonic Origins (2022)</t>
  </si>
  <si>
    <t>Sonic the Hedgehog 3 &amp; Knuckles (1994): Sonic Origins (2022)</t>
  </si>
  <si>
    <t>Pac-Man World: Re-Pac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</si>
  <si>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</si>
  <si>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</si>
  <si>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</si>
  <si>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</si>
  <si>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</si>
  <si>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</si>
  <si>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</si>
  <si>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</si>
  <si>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</si>
  <si>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</si>
  <si>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</si>
  <si>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</si>
  <si>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</si>
  <si>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Resident Evil: Re:Verse</t>
  </si>
  <si>
    <t>Like a Dragon: Ishin!</t>
  </si>
  <si>
    <t>Resident Evil 4 (2023)</t>
  </si>
  <si>
    <t>Like a Dragon Gaiden: The Man Who Erased His Name</t>
  </si>
  <si>
    <t>Like a Dragon: Infinite Wealth</t>
  </si>
  <si>
    <t>The Playroom VR</t>
  </si>
  <si>
    <t>Everybodys Golf VR</t>
  </si>
  <si>
    <t>Dream Match Tennis VR</t>
  </si>
  <si>
    <t>ASTRO BOT Rescue Mission</t>
  </si>
  <si>
    <t>Kingdom Hearts: VR Experience</t>
  </si>
  <si>
    <t>Astros Playroom</t>
  </si>
  <si>
    <t>Ghostwire: Tokyo</t>
  </si>
  <si>
    <t>Tekken 8</t>
  </si>
  <si>
    <t>Final Fantasy VII: Rebirth (2024)</t>
  </si>
  <si>
    <t>Astro Bot</t>
  </si>
  <si>
    <t>Palworld</t>
  </si>
  <si>
    <t>Like a Dragon: Pirate Yakuza in Hawaii</t>
  </si>
  <si>
    <t>Superbeat: Xonic</t>
  </si>
  <si>
    <t>Skul: The Hero Slayer</t>
  </si>
  <si>
    <t>Human: Fall Flat</t>
  </si>
  <si>
    <t>Sir Lovelot</t>
  </si>
  <si>
    <t>Kerbal Space Program</t>
  </si>
  <si>
    <t>Killzone</t>
  </si>
  <si>
    <t>Action Henk</t>
  </si>
  <si>
    <t>Gunslugs</t>
  </si>
  <si>
    <t>Beyond Eyes</t>
  </si>
  <si>
    <t>Tricky Towers</t>
  </si>
  <si>
    <t>Horizon Zero Dawn</t>
  </si>
  <si>
    <t>Descenders</t>
  </si>
  <si>
    <t>Horizon Forbidden West</t>
  </si>
  <si>
    <t>Arizona Sunshine</t>
  </si>
  <si>
    <t>Track Lab</t>
  </si>
  <si>
    <t>Traffic Jams</t>
  </si>
  <si>
    <t>Wanderer</t>
  </si>
  <si>
    <t>Supermarket Shriek</t>
  </si>
  <si>
    <t>Parcel Corps</t>
  </si>
  <si>
    <t>Manual Samuel</t>
  </si>
  <si>
    <t>The Holy Gosh Darn</t>
  </si>
  <si>
    <t>Sabans Mighty Morphin Power Rangers: Mega Battle</t>
  </si>
  <si>
    <t>Looney Tunes: Wacky World of Sports</t>
  </si>
  <si>
    <t>Dead Island</t>
  </si>
  <si>
    <t>Deathmatch Village</t>
  </si>
  <si>
    <t>The Witcher 3: Wild Hunt</t>
  </si>
  <si>
    <t>Lichtspeer</t>
  </si>
  <si>
    <t>Beat Cop</t>
  </si>
  <si>
    <t>Terminator: Resistance</t>
  </si>
  <si>
    <t>60 Seconds! Reatomized</t>
  </si>
  <si>
    <t>Shing</t>
  </si>
  <si>
    <t>Cyberpunk 2077</t>
  </si>
  <si>
    <t>Rustler (Grand Theft Horse)</t>
  </si>
  <si>
    <t>The Amazing American Circus</t>
  </si>
  <si>
    <t>Trek to Yomi</t>
  </si>
  <si>
    <t>Weedcraft Inc</t>
  </si>
  <si>
    <t>Moonshine Inc</t>
  </si>
  <si>
    <t>Superhot VR</t>
  </si>
  <si>
    <t>Horror Bar VR</t>
  </si>
  <si>
    <t>RoboCop: Rogue City</t>
  </si>
  <si>
    <t>Quest of Dungeons</t>
  </si>
  <si>
    <t>Little Goody Two Shoes</t>
  </si>
  <si>
    <t>Empire of Sin</t>
  </si>
  <si>
    <t>The Darkside Detective</t>
  </si>
  <si>
    <t>The Darkside Detective Season 2: A Fumble in the Dark</t>
  </si>
  <si>
    <t>Witchcrafty</t>
  </si>
  <si>
    <t>Please Dont Touch Anything</t>
  </si>
  <si>
    <t>Ovivo</t>
  </si>
  <si>
    <t>In Rays of the Light</t>
  </si>
  <si>
    <t>while true: learn( )</t>
  </si>
  <si>
    <t>One Escape</t>
  </si>
  <si>
    <t>Music Racer: Ultimate</t>
  </si>
  <si>
    <t>Grand Theft Auto III (2001)</t>
  </si>
  <si>
    <t>Grand Theft Auto: Vice City (2002)</t>
  </si>
  <si>
    <t>Manhunt</t>
  </si>
  <si>
    <t>Grand Theft Auto: San Andreas</t>
  </si>
  <si>
    <t>Grand Theft Auto IV</t>
  </si>
  <si>
    <t>Grand Theft Auto V</t>
  </si>
  <si>
    <t>Shred It</t>
  </si>
  <si>
    <t>Dead End Job</t>
  </si>
  <si>
    <t>You Are Being Followed</t>
  </si>
  <si>
    <t>Viewfinder</t>
  </si>
  <si>
    <t>Rocketbirds 2: Evolution</t>
  </si>
  <si>
    <t>Holy Potatoes! A Weapon Shop?!</t>
  </si>
  <si>
    <t>Holy Potatoes! Were in Space?!</t>
  </si>
  <si>
    <t>Holy Potatoes! What the Hell?!</t>
  </si>
  <si>
    <t>Neon Drive</t>
  </si>
  <si>
    <t>Broforce</t>
  </si>
  <si>
    <t>Anger Foot</t>
  </si>
  <si>
    <t>Spy Chameleon</t>
  </si>
  <si>
    <t>Twin Robots: Ultimate Edition</t>
  </si>
  <si>
    <t>Heart&amp;Slash</t>
  </si>
  <si>
    <t>Blacksad: Under the Skin</t>
  </si>
  <si>
    <t>DreamBall</t>
  </si>
  <si>
    <t>Super Kickers League</t>
  </si>
  <si>
    <t>Concept Destruction</t>
  </si>
  <si>
    <t>Monster Prom: XXL</t>
  </si>
  <si>
    <t>Evil Inside</t>
  </si>
  <si>
    <t>Endling: Extinction is Forever</t>
  </si>
  <si>
    <t>Coolpaintr VR</t>
  </si>
  <si>
    <t>Groundhog Day: Like Father Like Son</t>
  </si>
  <si>
    <t>Kula World</t>
  </si>
  <si>
    <t>The Darkness</t>
  </si>
  <si>
    <t>Battlefield 3</t>
  </si>
  <si>
    <t>Payday: The Heist</t>
  </si>
  <si>
    <t>Syndicate</t>
  </si>
  <si>
    <t>Hotline Miami</t>
  </si>
  <si>
    <t>Brothers: A Tale of Two Sons (2013)</t>
  </si>
  <si>
    <t>Minecraft</t>
  </si>
  <si>
    <t>Wolfenstein: The New Order</t>
  </si>
  <si>
    <t>Hotline Miami 2: Wrong Number</t>
  </si>
  <si>
    <t>Goat Simulator</t>
  </si>
  <si>
    <t>SteamWorld Dig</t>
  </si>
  <si>
    <t>SteamWorld Heist</t>
  </si>
  <si>
    <t>SteamWorld Dig 2</t>
  </si>
  <si>
    <t>Helldivers</t>
  </si>
  <si>
    <t>Wolfenstein: The Old Blood</t>
  </si>
  <si>
    <t>Unravel</t>
  </si>
  <si>
    <t>Clustertruck</t>
  </si>
  <si>
    <t>Battlefield 1</t>
  </si>
  <si>
    <t>Amnesia: The Dark Descent</t>
  </si>
  <si>
    <t>Little Nightmares</t>
  </si>
  <si>
    <t>Wolfenstein II: The New Colossus</t>
  </si>
  <si>
    <t>Generation Zero</t>
  </si>
  <si>
    <t>Wolfenstein: Youngblood</t>
  </si>
  <si>
    <t>Need for Speed Heat</t>
  </si>
  <si>
    <t>Minecraft Dungeons</t>
  </si>
  <si>
    <t>Total Arcade Racing</t>
  </si>
  <si>
    <t>Little Nightmares II</t>
  </si>
  <si>
    <t>It Takes Two</t>
  </si>
  <si>
    <t>Just Die Already</t>
  </si>
  <si>
    <t>Biomutant</t>
  </si>
  <si>
    <t>Nickelodeon All-Star Brawl</t>
  </si>
  <si>
    <t>Battlefield 2042</t>
  </si>
  <si>
    <t>Minecraft Legends</t>
  </si>
  <si>
    <t>SteamWorld Build</t>
  </si>
  <si>
    <t>VR The Diner Duo</t>
  </si>
  <si>
    <t>Apex Construct</t>
  </si>
  <si>
    <t>Budget Cuts</t>
  </si>
  <si>
    <t>TOEM: A Photo Adventure</t>
  </si>
  <si>
    <t>Goat Simulator 3</t>
  </si>
  <si>
    <t>Farming Simulator 22</t>
  </si>
  <si>
    <t>Dungeon Munchies</t>
  </si>
  <si>
    <t>Bo: Path of the Teal Lotus</t>
  </si>
  <si>
    <t>Metro: Last Light</t>
  </si>
  <si>
    <t>Metro 2033</t>
  </si>
  <si>
    <t>Party Hard</t>
  </si>
  <si>
    <t>Metro Exodus</t>
  </si>
  <si>
    <t>The Sinking City</t>
  </si>
  <si>
    <t>Party Hard 2</t>
  </si>
  <si>
    <t>DOOM II: Hell on Earth</t>
  </si>
  <si>
    <t>DOOM (1993)</t>
  </si>
  <si>
    <t>Mortal Kombat 3</t>
  </si>
  <si>
    <t>Twisted Metal (1995)</t>
  </si>
  <si>
    <t>Gex</t>
  </si>
  <si>
    <t>Crash Bandicoot (1996)</t>
  </si>
  <si>
    <t>Rally Cross</t>
  </si>
  <si>
    <t>Oddworld: Abes Oddysee (1997)</t>
  </si>
  <si>
    <t>Crash Bandicoot 2: Cortex Strikes Back (1997)</t>
  </si>
  <si>
    <t>Gex: Enter the Gecko</t>
  </si>
  <si>
    <t>Spyro the Dragon (1998)</t>
  </si>
  <si>
    <t>Oddworld: Abes Exoddus (1998)</t>
  </si>
  <si>
    <t>Crash Bandicoot 3: Warped (1998)</t>
  </si>
  <si>
    <t>Gex 3: Deep Cover Gecko</t>
  </si>
  <si>
    <t>Syphon Filter</t>
  </si>
  <si>
    <t>Crash Team Racing (1999)</t>
  </si>
  <si>
    <t>Spyro 2: Gateway to Glimmer (1999)</t>
  </si>
  <si>
    <t>Fear Effect</t>
  </si>
  <si>
    <t>Spyro 3: Year of the Dragon (2000)</t>
  </si>
  <si>
    <t>Fear Effect 2: Retro Helix</t>
  </si>
  <si>
    <t>Jak and Daxter: The Precursor Legacy</t>
  </si>
  <si>
    <t>Twisted Metal: Black</t>
  </si>
  <si>
    <t>Deus Ex</t>
  </si>
  <si>
    <t>Ratchet &amp; Clank (2002)</t>
  </si>
  <si>
    <t>Sly Raccoon</t>
  </si>
  <si>
    <t>The Sims</t>
  </si>
  <si>
    <t>Bloodrayne</t>
  </si>
  <si>
    <t>Jak II</t>
  </si>
  <si>
    <t>Ratchet &amp; Clank 2</t>
  </si>
  <si>
    <t>Red Dead Revolver</t>
  </si>
  <si>
    <t>Sly 2: Band of Thieves</t>
  </si>
  <si>
    <t>Ratchet &amp; Clank 3</t>
  </si>
  <si>
    <t>Jak 3</t>
  </si>
  <si>
    <t>Destroy All Humans! (2005)</t>
  </si>
  <si>
    <t>God of War (2005)</t>
  </si>
  <si>
    <t>Jak X: Combat Racing</t>
  </si>
  <si>
    <t>The Sims 2</t>
  </si>
  <si>
    <t>Ratchet: Gladiator</t>
  </si>
  <si>
    <t>Sly 3: Honour Among Thieves</t>
  </si>
  <si>
    <t>Psychonauts</t>
  </si>
  <si>
    <t>Bloodrayne 2</t>
  </si>
  <si>
    <t>Tomb Raider: Legend</t>
  </si>
  <si>
    <t>Destroy All Humans! 2 (2006)</t>
  </si>
  <si>
    <t>God of War II</t>
  </si>
  <si>
    <t>Tomb Raider: Anniversary</t>
  </si>
  <si>
    <t>Stuntman: Ignition</t>
  </si>
  <si>
    <t>The Simpsons Game</t>
  </si>
  <si>
    <t>Daxter</t>
  </si>
  <si>
    <t>Resistance: Retribution</t>
  </si>
  <si>
    <t>flOw</t>
  </si>
  <si>
    <t>Resistance: Fall of Man</t>
  </si>
  <si>
    <t>F.E.A.R (First Encounter Assault Recon)</t>
  </si>
  <si>
    <t>Ratchet &amp; Clank (Future): Tools of Destruction</t>
  </si>
  <si>
    <t>Uncharted: Drakes Fortune</t>
  </si>
  <si>
    <t>Ratchet &amp; Clank (Future): Quest for Booty</t>
  </si>
  <si>
    <t>Saints Row 2</t>
  </si>
  <si>
    <t>BioShock</t>
  </si>
  <si>
    <t>Dead Space (2008)</t>
  </si>
  <si>
    <t>Flower</t>
  </si>
  <si>
    <t>inFamous</t>
  </si>
  <si>
    <t>The Secret of Monkey Island</t>
  </si>
  <si>
    <t>Fat Princess</t>
  </si>
  <si>
    <t>Uncharted 2: Among Thieves</t>
  </si>
  <si>
    <t>Borderlands</t>
  </si>
  <si>
    <t>Ratchet &amp; Clank (Future): A Crack in Time</t>
  </si>
  <si>
    <t>Call of Duty: Modern Warfare 2</t>
  </si>
  <si>
    <t>BioShock 2</t>
  </si>
  <si>
    <t>God of War III</t>
  </si>
  <si>
    <t>Sam &amp; Max Season 3: The Devils Playhouse TTG</t>
  </si>
  <si>
    <t>Red Dead Redemption</t>
  </si>
  <si>
    <t>Tiger Woods PGA Tour 11</t>
  </si>
  <si>
    <t>The Sims 3</t>
  </si>
  <si>
    <t>Castle Crashers</t>
  </si>
  <si>
    <t>Back to the Future: The Telltale Game</t>
  </si>
  <si>
    <t>PlayStation Move Heroes</t>
  </si>
  <si>
    <t>Mortal Kombat (2011)</t>
  </si>
  <si>
    <t>inFamous 2</t>
  </si>
  <si>
    <t>Duke Nukem Forever</t>
  </si>
  <si>
    <t>Mortal Kombat (1992)</t>
  </si>
  <si>
    <t>Mortal Kombat II</t>
  </si>
  <si>
    <t>Sam &amp; Max Season 2: Beyond Time and Space TTG</t>
  </si>
  <si>
    <t>Rocketbirds: Hardboiled Chicken</t>
  </si>
  <si>
    <t>The Sims 3: Pets</t>
  </si>
  <si>
    <t>inFamous: Festival of Blood</t>
  </si>
  <si>
    <t>Uncharted 3: Drakes Deception</t>
  </si>
  <si>
    <t>Saints Row: The Third</t>
  </si>
  <si>
    <t>Oddworld: Strangers Wrath</t>
  </si>
  <si>
    <t>Kingdoms of Amalur: Reckoning</t>
  </si>
  <si>
    <t>Journey</t>
  </si>
  <si>
    <t>Twisted Metal (2012)</t>
  </si>
  <si>
    <t>The Walking Dead: Season 1 TTG</t>
  </si>
  <si>
    <t>Quantum Conundrum</t>
  </si>
  <si>
    <t>Tony Hawks Pro Skater HD</t>
  </si>
  <si>
    <t>Borderlands 2</t>
  </si>
  <si>
    <t>XCOM: Enemy Unknown</t>
  </si>
  <si>
    <t>The Unfinished Swan</t>
  </si>
  <si>
    <t>ToeJam and Earl</t>
  </si>
  <si>
    <t>ToeJam and Earl in Panic on Funkotron</t>
  </si>
  <si>
    <t>PlayStation All-Stars Battle Royale</t>
  </si>
  <si>
    <t>Family Guy: Back to the Multiverse</t>
  </si>
  <si>
    <t>Ratchet &amp; Clank: QForce (Full Frontal Assault)</t>
  </si>
  <si>
    <t>Oddworld: Munchs Oddysee</t>
  </si>
  <si>
    <t>The Cave</t>
  </si>
  <si>
    <t>Tomb Raider (2013)</t>
  </si>
  <si>
    <t>BioShock Infinite</t>
  </si>
  <si>
    <t>Bentleys Hackpack</t>
  </si>
  <si>
    <t>Sly Cooper: Thieves in Time</t>
  </si>
  <si>
    <t>Injustice: Gods Among Us</t>
  </si>
  <si>
    <t>Terraria</t>
  </si>
  <si>
    <t>The Last of Us</t>
  </si>
  <si>
    <t>Deadpool</t>
  </si>
  <si>
    <t>Saints Row IV: Re-Elected</t>
  </si>
  <si>
    <t>Spelunky</t>
  </si>
  <si>
    <t>Girl Fight</t>
  </si>
  <si>
    <t>The Wolf Among Us Season 1 TTG</t>
  </si>
  <si>
    <t>Ratchet &amp; Clank: (Into The) Nexus</t>
  </si>
  <si>
    <t>Doki-Doki Universe</t>
  </si>
  <si>
    <t>The Walking Dead: Season 2 TTG</t>
  </si>
  <si>
    <t>South Park: The Stick of Truth</t>
  </si>
  <si>
    <t>CounterSpy</t>
  </si>
  <si>
    <t>Tales from the Borderlands</t>
  </si>
  <si>
    <t>Saints Row IV: Gat out of Hell</t>
  </si>
  <si>
    <t>Shovel Knight: Treasure Trove</t>
  </si>
  <si>
    <t>Uncharted: Golden Abyss</t>
  </si>
  <si>
    <t>ModNation Racers: Road Trip</t>
  </si>
  <si>
    <t>Escape Plan</t>
  </si>
  <si>
    <t>Silent Hill: Book of Memories</t>
  </si>
  <si>
    <t>Uncharted: Fight for Fortune</t>
  </si>
  <si>
    <t>The Binding of Isaac: Rebirth</t>
  </si>
  <si>
    <t>Fat Princess: Piece of Cake</t>
  </si>
  <si>
    <t>Grim Fandango: Remastered</t>
  </si>
  <si>
    <t>Broken Age</t>
  </si>
  <si>
    <t>Rally Copters</t>
  </si>
  <si>
    <t>Super Meat Boy</t>
  </si>
  <si>
    <t>A Boy and His Blob</t>
  </si>
  <si>
    <t>Day of the Tentacle: Remastered</t>
  </si>
  <si>
    <t>Risk of Rain</t>
  </si>
  <si>
    <t>Claire</t>
  </si>
  <si>
    <t>Slain: Back From Hell</t>
  </si>
  <si>
    <t>Uncanny Valley</t>
  </si>
  <si>
    <t>Undertale</t>
  </si>
  <si>
    <t>Syrup and the Ultimate Sweet</t>
  </si>
  <si>
    <t>inFamous Second Son</t>
  </si>
  <si>
    <t>Octodad: Dadliest Catch</t>
  </si>
  <si>
    <t>Entwined</t>
  </si>
  <si>
    <t>inFamous First Light</t>
  </si>
  <si>
    <t>Game of Thrones: A Telltale Games Series</t>
  </si>
  <si>
    <t>Tetris Ultimate</t>
  </si>
  <si>
    <t>Mortal Kombat X</t>
  </si>
  <si>
    <t>Rocket League</t>
  </si>
  <si>
    <t>Call of Duty: Black Ops III</t>
  </si>
  <si>
    <t>Fallout 4</t>
  </si>
  <si>
    <t>Fat Princess Adventures</t>
  </si>
  <si>
    <t>Amplitude</t>
  </si>
  <si>
    <t>The Witness</t>
  </si>
  <si>
    <t>Enter the Gungeon</t>
  </si>
  <si>
    <t>Ratchet &amp; Clank (2016)</t>
  </si>
  <si>
    <t>Shantae and the Pirates Curse</t>
  </si>
  <si>
    <t>Uncharted 4: A Thiefs End</t>
  </si>
  <si>
    <t>Oxenfree</t>
  </si>
  <si>
    <t>Ghostbusters</t>
  </si>
  <si>
    <t>Riptide GP: Renegade</t>
  </si>
  <si>
    <t>Dead Island: Retro Revenge</t>
  </si>
  <si>
    <t>Batman: The Telltale Series (Season 1)</t>
  </si>
  <si>
    <t>Abzu</t>
  </si>
  <si>
    <t>Armikrog</t>
  </si>
  <si>
    <t>XCOM 2</t>
  </si>
  <si>
    <t>Mafia III</t>
  </si>
  <si>
    <t>Rise of the Tomb Raider</t>
  </si>
  <si>
    <t>Stardew Valley</t>
  </si>
  <si>
    <t>The Walking Dead Season 3 TTG</t>
  </si>
  <si>
    <t>The Flame in the Flood</t>
  </si>
  <si>
    <t>Marvels Guardians of the Galaxy: The Telltale Series</t>
  </si>
  <si>
    <t>Injustice 2</t>
  </si>
  <si>
    <t>Crash Bandicoot: N Sane Trilogy (2017)</t>
  </si>
  <si>
    <t>Crash Bandicoot 2: N Sane Trilogy (2017)</t>
  </si>
  <si>
    <t>Crash Bandicoot 3: N Sane Trilogy (2017)</t>
  </si>
  <si>
    <t>Aven Colony</t>
  </si>
  <si>
    <t>Fortnite</t>
  </si>
  <si>
    <t>Batman: The Enemy Within (Season 2 Telltale)</t>
  </si>
  <si>
    <t>Uncharted: The Lost Legacy</t>
  </si>
  <si>
    <t>ARK: Survival Evolved</t>
  </si>
  <si>
    <t>Destiny 2</t>
  </si>
  <si>
    <t>South Park: The Fractured But Whole</t>
  </si>
  <si>
    <t>The Sims 4</t>
  </si>
  <si>
    <t>God of War (2018)</t>
  </si>
  <si>
    <t>Fallout Shelter</t>
  </si>
  <si>
    <t>The Walking Dead Final Season TTG</t>
  </si>
  <si>
    <t>Donut County</t>
  </si>
  <si>
    <t>Marvels Spider-Man</t>
  </si>
  <si>
    <t>Scribblenauts Unlimited (Mega Pack)</t>
  </si>
  <si>
    <t>Scribblenauts Unmasked: A DC Comics Adventure (Mega Pack)</t>
  </si>
  <si>
    <t>Headliner: NoviNews</t>
  </si>
  <si>
    <t>Red Dead Redemption 2</t>
  </si>
  <si>
    <t>Road Redemption</t>
  </si>
  <si>
    <t>Toys for Bob</t>
  </si>
  <si>
    <t>Spyro the Dragon: Reignited Trilogy (2018)</t>
  </si>
  <si>
    <t>Spyro 2: Gateway to Glimmer: Reignited Trilogy (2018)</t>
  </si>
  <si>
    <t>Spyro 3: Year of the Dragon: Reignited Trilogy (2018)</t>
  </si>
  <si>
    <t>Subnautica</t>
  </si>
  <si>
    <t>Apex Legends</t>
  </si>
  <si>
    <t>ToeJam and Earl: Back in the Groove</t>
  </si>
  <si>
    <t>Days Gone</t>
  </si>
  <si>
    <t>Slay the Spire</t>
  </si>
  <si>
    <t>Trover Saves The Universe</t>
  </si>
  <si>
    <t>Borderlands 3</t>
  </si>
  <si>
    <t>Concrete Genie</t>
  </si>
  <si>
    <t>Plants vs Zombies: Battle for Neighborville</t>
  </si>
  <si>
    <t>MediEvil (2019)</t>
  </si>
  <si>
    <t>The Outer Worlds</t>
  </si>
  <si>
    <t>The Lion King (Disney Classic Games)</t>
  </si>
  <si>
    <t>Aladdin (Disney Classic Games)</t>
  </si>
  <si>
    <t>Spirit of the North</t>
  </si>
  <si>
    <t>Star Wars Jedi: Fallen Order</t>
  </si>
  <si>
    <t>DOOM 64</t>
  </si>
  <si>
    <t>Maneater</t>
  </si>
  <si>
    <t>The Last of Us Part II</t>
  </si>
  <si>
    <t>Star Wars Episode I: Pod Racer</t>
  </si>
  <si>
    <t>Ghost of Tsushima</t>
  </si>
  <si>
    <t>Mortal Shell</t>
  </si>
  <si>
    <t>Tony Hawk`s Pro Skater 1 (2021)</t>
  </si>
  <si>
    <t>Tony Hawk`s Pro Skater 2 (2021)</t>
  </si>
  <si>
    <t>Outbreak: Epidemic</t>
  </si>
  <si>
    <t>WWE 2K Battlegrounds</t>
  </si>
  <si>
    <t>Going Under</t>
  </si>
  <si>
    <t>Mafia: Definitive Edition (2020)</t>
  </si>
  <si>
    <t>Rogue Company</t>
  </si>
  <si>
    <t>Crash Bandicoot 4: Its About Time</t>
  </si>
  <si>
    <t>Good Dog Bad Dog</t>
  </si>
  <si>
    <t>Marvels Spider-Man: Miles Morales</t>
  </si>
  <si>
    <t>Bugsnax</t>
  </si>
  <si>
    <t>Call of Duty: Black Ops Cold War</t>
  </si>
  <si>
    <t>Exit the Gungeon</t>
  </si>
  <si>
    <t>The Pedestrian</t>
  </si>
  <si>
    <t>Maquette</t>
  </si>
  <si>
    <t>Postal Redux</t>
  </si>
  <si>
    <t>Oddworld: Soulstorm (2021)</t>
  </si>
  <si>
    <t>Subnautica: Below Zero</t>
  </si>
  <si>
    <t>Knockout City</t>
  </si>
  <si>
    <t>Chicory: A Colorful Tale</t>
  </si>
  <si>
    <t>Doki Doki Literature Club Plus!</t>
  </si>
  <si>
    <t>Axiom Verge 2</t>
  </si>
  <si>
    <t>Quake</t>
  </si>
  <si>
    <t>Aliens: Fireteam Elite</t>
  </si>
  <si>
    <t>Psychonauts 2</t>
  </si>
  <si>
    <t>Kena: Bridge of Spirits</t>
  </si>
  <si>
    <t>Shovel Knight: Pocket Dungeon</t>
  </si>
  <si>
    <t>Tiny Tinas Wonderlands</t>
  </si>
  <si>
    <t>Saints Row (2022)</t>
  </si>
  <si>
    <t>NBA 2K23</t>
  </si>
  <si>
    <t>Sam &amp; Max Season 1: Save the World TTG</t>
  </si>
  <si>
    <t>God of War: Ragnarok</t>
  </si>
  <si>
    <t>The Callisto Protocol</t>
  </si>
  <si>
    <t>Turnip Boy Commits Tax Evasion</t>
  </si>
  <si>
    <t>Postal 4: No Regerts</t>
  </si>
  <si>
    <t>LEGO 2K Drive</t>
  </si>
  <si>
    <t>Dr Fetus Mean Meat Machine</t>
  </si>
  <si>
    <t>Oxenfree II: Lost Signals</t>
  </si>
  <si>
    <t>LISA: The Painful</t>
  </si>
  <si>
    <t>LISA: The Joyful</t>
  </si>
  <si>
    <t>High on Life</t>
  </si>
  <si>
    <t>Nour: Play With Your Food</t>
  </si>
  <si>
    <t>WWE 2K24</t>
  </si>
  <si>
    <t>MLB The Show 24</t>
  </si>
  <si>
    <t>Harry Potter: Quidditch Champions</t>
  </si>
  <si>
    <t>Just Crow Things</t>
  </si>
  <si>
    <t>Tony Hawk`s Pro Skater 3 (2025)</t>
  </si>
  <si>
    <t>Tony Hawk`s Pro Skater 4 (2025)</t>
  </si>
  <si>
    <t>Rez Infinite VR</t>
  </si>
  <si>
    <t>Headmaster</t>
  </si>
  <si>
    <t>Job Simulator: The 2050 Archives</t>
  </si>
  <si>
    <t>Carnival Games VR</t>
  </si>
  <si>
    <t>I Expect You To Die</t>
  </si>
  <si>
    <t>Psychonauts in the Rhombus of Ruin VR</t>
  </si>
  <si>
    <t>Star Trek: Bridge Crew</t>
  </si>
  <si>
    <t>The Elder Scrolls V: Skyrim VR</t>
  </si>
  <si>
    <t>DOOM VFR</t>
  </si>
  <si>
    <t>Ultrawings</t>
  </si>
  <si>
    <t>Accounting Plus</t>
  </si>
  <si>
    <t>Sprint Vector</t>
  </si>
  <si>
    <t>Moss</t>
  </si>
  <si>
    <t>Drunkn Bar Fight</t>
  </si>
  <si>
    <t>Knockout League</t>
  </si>
  <si>
    <t>Rick and Morty: Virtual Rick-ality</t>
  </si>
  <si>
    <t>Floor Plan</t>
  </si>
  <si>
    <t>Creed: Rise to Glory</t>
  </si>
  <si>
    <t>BoxVR</t>
  </si>
  <si>
    <t>Penn &amp; Teller VR</t>
  </si>
  <si>
    <t>The Walking Dead: Saints and Sinners</t>
  </si>
  <si>
    <t>Marvels Iron Man VR</t>
  </si>
  <si>
    <t>Until You Fall</t>
  </si>
  <si>
    <t>I Expect You to Die 2: The Spy and the Liar</t>
  </si>
  <si>
    <t>Sam &amp; Max: This Time Its Virtual!</t>
  </si>
  <si>
    <t>Godfall</t>
  </si>
  <si>
    <t>Ratchet &amp; Clank: Rift Apart</t>
  </si>
  <si>
    <t>Hogwarts Legacy</t>
  </si>
  <si>
    <t>Marvels Spider-Man 2</t>
  </si>
  <si>
    <t>Pacific Drive</t>
  </si>
  <si>
    <t>South Park: Snow Day!</t>
  </si>
  <si>
    <t>Animal Well</t>
  </si>
  <si>
    <t>Squirrel with a Gun</t>
  </si>
  <si>
    <t>LUMO</t>
  </si>
  <si>
    <t>The Complex</t>
  </si>
  <si>
    <t>Five Dates</t>
  </si>
  <si>
    <t>Night Book</t>
  </si>
  <si>
    <t>Developer/Game(s)</t>
  </si>
  <si>
    <t>Like a Dragon: Ishin</t>
  </si>
  <si>
    <t>Uncharted 4: A Thief's End</t>
  </si>
  <si>
    <t>Uncharted 3: Drake's Deception</t>
  </si>
  <si>
    <t>Uncharted: Drake's Fortune</t>
  </si>
  <si>
    <t>Marvel's Spider-Man</t>
  </si>
  <si>
    <t>Marvel's Spider-Man 2</t>
  </si>
  <si>
    <t>Marvel's Spider-Man: Miles Morales</t>
  </si>
  <si>
    <t>Assassin's Creed Valhalla</t>
  </si>
  <si>
    <t>Tiny Tina's Wonderlands</t>
  </si>
  <si>
    <t>Penn and Teller VR</t>
  </si>
  <si>
    <t>Final Fantasy IV: The Complete Collection</t>
  </si>
  <si>
    <t>Devil May Cry 3: Dante's Awakening</t>
  </si>
  <si>
    <t>Resident Evil: Director's Cut (1997)</t>
  </si>
  <si>
    <t>Marvel`s Guardians of the Galaxy: The Telltale Series</t>
  </si>
  <si>
    <t>Sam &amp; Max Season 3: The Devil's Playhouse TTG</t>
  </si>
  <si>
    <t>A Bug's Life</t>
  </si>
  <si>
    <t>Astro's Playroom</t>
  </si>
  <si>
    <t>Oddworld: Stranger's Wrath</t>
  </si>
  <si>
    <t>Oddworld: Abe's Exoddus (1998)</t>
  </si>
  <si>
    <t>Oddworld: Munch's Oddysee</t>
  </si>
  <si>
    <t>Oddworld: Abe's Oddysee (1997)</t>
  </si>
  <si>
    <t>Crash Bandicoot 4: It's About Time</t>
  </si>
  <si>
    <t>God of War: Ragnarök</t>
  </si>
  <si>
    <t>Klonoa 2: Lunatea's Veil (2001)</t>
  </si>
  <si>
    <t>Oddworld: New 'n' Tasty</t>
  </si>
  <si>
    <t>Beyond Two Souls</t>
  </si>
  <si>
    <t>Sheep Dog 'n' Wolf</t>
  </si>
  <si>
    <t>Leisure Suit Larry - Wet Dreams Don't Dry</t>
  </si>
  <si>
    <t>Holy Potatoes! We're in Space?!</t>
  </si>
  <si>
    <t>Bentley's Hackpack</t>
  </si>
  <si>
    <t>Everybody's Golf (2017)</t>
  </si>
  <si>
    <t>Everybody's Golf 2</t>
  </si>
  <si>
    <t>Everybody's Golf VR</t>
  </si>
  <si>
    <t>Shantae and the Pirate's Curse</t>
  </si>
  <si>
    <t>Saban's Mighty Morphin Power Rangers: Mega Battle</t>
  </si>
  <si>
    <t>Tony Hawk's Pro Skater HD</t>
  </si>
  <si>
    <t>No Man's Sky</t>
  </si>
  <si>
    <t>Running with Scissors</t>
  </si>
  <si>
    <t>Zero Escape: Virtue's Last Reward</t>
  </si>
  <si>
    <t>Dr Fetus' Mean Meat Machine</t>
  </si>
  <si>
    <t>Zombie Tycoon 2: Brainhov's Revenge</t>
  </si>
  <si>
    <t>Jazzpunk: Director's Cut</t>
  </si>
  <si>
    <t>Rock Boshers DX: Director's Cut</t>
  </si>
  <si>
    <t>Marvel's Iron Man VR</t>
  </si>
  <si>
    <t>Death's Door</t>
  </si>
  <si>
    <t>izHard</t>
  </si>
  <si>
    <t>Unbox: Newbie's Adventure</t>
  </si>
  <si>
    <t>Hotel R'n'R</t>
  </si>
  <si>
    <t>That's You!</t>
  </si>
  <si>
    <t xml:space="preserve">Aliens: Fireteam Elite </t>
  </si>
  <si>
    <t>Wonder Boy: The Dragon's Trap</t>
  </si>
  <si>
    <t>Don't Starve</t>
  </si>
  <si>
    <t>Please Don't Touch Anything</t>
  </si>
  <si>
    <t>Sam and Max: This Time It's Virtual!</t>
  </si>
  <si>
    <t>Can't Drive This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</si>
</sst>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€&quot;#,##0.00"/>
    <numFmt numFmtId="165" formatCode="yyyy-mm-dd"/>
    <numFmt numFmtId="166" formatCode="[$€]#,##0.00"/>
    <numFmt numFmtId="167" formatCode="mmmm yyyy"/>
  </numFmts>
  <fonts count="46">
    <font>
      <sz val="10.0"/>
      <color rgb="FF000000"/>
      <name val="Arial"/>
      <scheme val="minor"/>
    </font>
    <font>
      <sz val="6.0"/>
      <color theme="1"/>
      <name val="Press Start 2P"/>
    </font>
    <font>
      <color theme="1"/>
      <name val="Arial"/>
      <scheme val="minor"/>
    </font>
    <font>
      <b/>
      <sz val="6.0"/>
      <color rgb="FFFFFFFF"/>
      <name val="Press Start 2P"/>
    </font>
    <font>
      <b/>
      <sz val="6.0"/>
      <color theme="1"/>
      <name val="Press Start 2P"/>
    </font>
    <font>
      <b/>
      <color theme="1"/>
      <name val="Arial"/>
      <scheme val="minor"/>
    </font>
    <font>
      <color rgb="FFCC0000"/>
      <name val="Arial"/>
      <scheme val="minor"/>
    </font>
    <font>
      <sz val="6.0"/>
      <color rgb="FFCC0000"/>
      <name val="Press Start 2P"/>
    </font>
    <font>
      <b/>
      <sz val="6.0"/>
      <color rgb="FFCC0000"/>
      <name val="Press Start 2P"/>
    </font>
    <font>
      <sz val="6.0"/>
      <color rgb="FFFFFFFF"/>
      <name val="Press Start 2P"/>
    </font>
    <font>
      <sz val="6.0"/>
      <color rgb="FF0000FF"/>
      <name val="Press Start 2P"/>
    </font>
    <font>
      <color rgb="FFFFFFFF"/>
      <name val="Arial"/>
      <scheme val="minor"/>
    </font>
    <font>
      <sz val="6.0"/>
      <color rgb="FFFF0000"/>
      <name val="Press Start 2P"/>
    </font>
    <font>
      <color rgb="FF073763"/>
      <name val="Arial"/>
      <scheme val="minor"/>
    </font>
    <font>
      <sz val="6.0"/>
      <color rgb="FF073763"/>
      <name val="Press Start 2P"/>
    </font>
    <font>
      <u/>
      <sz val="6.0"/>
      <color rgb="FF1155CC"/>
      <name val="Press Start 2P"/>
    </font>
    <font>
      <u/>
      <sz val="6.0"/>
      <color rgb="FF1155CC"/>
      <name val="Press Start 2P"/>
    </font>
    <font>
      <sz val="6.0"/>
      <color rgb="FF38761D"/>
      <name val="Press Start 2P"/>
    </font>
    <font>
      <sz val="6.0"/>
      <color rgb="FFF1C232"/>
      <name val="Press Start 2P"/>
    </font>
    <font>
      <sz val="6.0"/>
      <color rgb="FF6AA84F"/>
      <name val="Press Start 2P"/>
    </font>
    <font>
      <sz val="6.0"/>
      <color rgb="FF000000"/>
      <name val="Press Start 2P"/>
    </font>
    <font>
      <sz val="6.0"/>
      <color rgb="FF274E13"/>
      <name val="Press Start 2P"/>
    </font>
    <font>
      <sz val="6.0"/>
      <color rgb="FFFFFF00"/>
      <name val="Press Start 2P"/>
    </font>
    <font>
      <sz val="6.0"/>
      <color rgb="FF4A86E8"/>
      <name val="Press Start 2P"/>
    </font>
    <font>
      <u/>
      <sz val="6.0"/>
      <color rgb="FFCC0000"/>
      <name val="Press Start 2P"/>
    </font>
    <font>
      <sz val="6.0"/>
      <color rgb="FFB45F06"/>
      <name val="Press Start 2P"/>
    </font>
    <font>
      <sz val="6.0"/>
      <color rgb="FFFF9900"/>
      <name val="Press Start 2P"/>
    </font>
    <font>
      <sz val="6.0"/>
      <color rgb="FF980000"/>
      <name val="Press Start 2P"/>
    </font>
    <font>
      <u/>
      <sz val="6.0"/>
      <color rgb="FF0000FF"/>
      <name val="Press Start 2P"/>
    </font>
    <font>
      <b/>
      <sz val="6.0"/>
      <color rgb="FF38761D"/>
      <name val="Press Start 2P"/>
    </font>
    <font>
      <b/>
      <sz val="6.0"/>
      <color rgb="FFF1C232"/>
      <name val="Press Start 2P"/>
    </font>
    <font>
      <b/>
      <sz val="6.0"/>
      <color rgb="FF6AA84F"/>
      <name val="Press Start 2P"/>
    </font>
    <font>
      <b/>
      <sz val="6.0"/>
      <color rgb="FF980000"/>
      <name val="Press Start 2P"/>
    </font>
    <font>
      <b/>
      <sz val="6.0"/>
      <color rgb="FFFF0000"/>
      <name val="Press Start 2P"/>
    </font>
    <font>
      <b/>
      <sz val="6.0"/>
      <color rgb="FF274E13"/>
      <name val="Press Start 2P"/>
    </font>
    <font>
      <b/>
      <sz val="6.0"/>
      <color rgb="FFFFFF00"/>
      <name val="Press Start 2P"/>
    </font>
    <font>
      <b/>
      <sz val="6.0"/>
      <color rgb="FF0000FF"/>
      <name val="Press Start 2P"/>
    </font>
    <font>
      <b/>
      <sz val="6.0"/>
      <color rgb="FF4A86E8"/>
      <name val="Press Start 2P"/>
    </font>
    <font>
      <b/>
      <u/>
      <sz val="6.0"/>
      <color rgb="FFCC0000"/>
      <name val="Press Start 2P"/>
    </font>
    <font>
      <b/>
      <sz val="6.0"/>
      <color rgb="FFFF9900"/>
      <name val="Press Start 2P"/>
    </font>
    <font>
      <b/>
      <u/>
      <sz val="6.0"/>
      <color rgb="FF0000FF"/>
      <name val="Press Start 2P"/>
    </font>
    <font>
      <b/>
      <sz val="6.0"/>
      <color rgb="FF073763"/>
      <name val="Press Start 2P"/>
    </font>
    <font>
      <u/>
      <sz val="6.0"/>
      <color rgb="FFFFFFFF"/>
      <name val="Press Start 2P"/>
    </font>
    <font>
      <u/>
      <sz val="6.0"/>
      <color rgb="FFFFFFFF"/>
      <name val="Press Start 2P"/>
    </font>
    <font>
      <sz val="6.0"/>
      <color rgb="FF990000"/>
      <name val="Press Start 2P"/>
    </font>
    <font>
      <sz val="6.0"/>
      <color rgb="FF3D85C6"/>
      <name val="Press Start 2P"/>
    </font>
  </fonts>
  <fills count="20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CC0000"/>
        <bgColor rgb="FFCC0000"/>
      </patternFill>
    </fill>
    <fill>
      <patternFill patternType="solid">
        <fgColor rgb="FF0000FF"/>
        <bgColor rgb="FF0000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1C232"/>
        <bgColor rgb="FFF1C232"/>
      </patternFill>
    </fill>
    <fill>
      <patternFill patternType="solid">
        <fgColor rgb="FF38761D"/>
        <bgColor rgb="FF38761D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C4125"/>
        <bgColor rgb="FFCC4125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1" fillId="2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0" fontId="1" numFmtId="165" xfId="0" applyAlignment="1" applyBorder="1" applyFont="1" applyNumberFormat="1">
      <alignment vertical="center"/>
    </xf>
    <xf borderId="1" fillId="0" fontId="1" numFmtId="166" xfId="0" applyAlignment="1" applyBorder="1" applyFont="1" applyNumberFormat="1">
      <alignment vertical="center"/>
    </xf>
    <xf borderId="1" fillId="3" fontId="1" numFmtId="164" xfId="0" applyAlignment="1" applyBorder="1" applyFill="1" applyFont="1" applyNumberFormat="1">
      <alignment horizontal="center" readingOrder="0" shrinkToFit="0" vertical="center" wrapText="0"/>
    </xf>
    <xf borderId="1" fillId="0" fontId="2" numFmtId="0" xfId="0" applyBorder="1" applyFont="1"/>
    <xf borderId="1" fillId="0" fontId="2" numFmtId="0" xfId="0" applyAlignment="1" applyBorder="1" applyFont="1">
      <alignment vertical="center"/>
    </xf>
    <xf borderId="1" fillId="2" fontId="1" numFmtId="0" xfId="0" applyAlignment="1" applyBorder="1" applyFont="1">
      <alignment horizontal="center" vertical="center"/>
    </xf>
    <xf borderId="2" fillId="2" fontId="1" numFmtId="167" xfId="0" applyAlignment="1" applyBorder="1" applyFont="1" applyNumberFormat="1">
      <alignment horizontal="center" readingOrder="0" vertical="center"/>
    </xf>
    <xf borderId="2" fillId="3" fontId="1" numFmtId="0" xfId="0" applyAlignment="1" applyBorder="1" applyFont="1">
      <alignment horizontal="center" vertical="center"/>
    </xf>
    <xf borderId="1" fillId="4" fontId="3" numFmtId="0" xfId="0" applyAlignment="1" applyBorder="1" applyFill="1" applyFont="1">
      <alignment horizontal="center" readingOrder="0" vertical="center"/>
    </xf>
    <xf borderId="1" fillId="4" fontId="3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3" fillId="0" fontId="1" numFmtId="165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4" fillId="0" fontId="1" numFmtId="165" xfId="0" applyAlignment="1" applyBorder="1" applyFont="1" applyNumberForma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2" fontId="4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readingOrder="0" vertical="center"/>
    </xf>
    <xf borderId="1" fillId="0" fontId="5" numFmtId="0" xfId="0" applyBorder="1" applyFont="1"/>
    <xf borderId="1" fillId="0" fontId="4" numFmtId="0" xfId="0" applyAlignment="1" applyBorder="1" applyFont="1">
      <alignment readingOrder="0" vertical="center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1" fillId="0" fontId="6" numFmtId="0" xfId="0" applyBorder="1" applyFont="1"/>
    <xf borderId="1" fillId="0" fontId="7" numFmtId="0" xfId="0" applyAlignment="1" applyBorder="1" applyFont="1">
      <alignment vertical="center"/>
    </xf>
    <xf borderId="1" fillId="3" fontId="1" numFmtId="0" xfId="0" applyAlignment="1" applyBorder="1" applyFont="1">
      <alignment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1" fillId="0" fontId="7" numFmtId="165" xfId="0" applyAlignment="1" applyBorder="1" applyFont="1" applyNumberFormat="1">
      <alignment horizontal="center" vertical="center"/>
    </xf>
    <xf borderId="1" fillId="0" fontId="7" numFmtId="164" xfId="0" applyAlignment="1" applyBorder="1" applyFont="1" applyNumberFormat="1">
      <alignment horizontal="center" vertical="center"/>
    </xf>
    <xf borderId="1" fillId="5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horizontal="center" vertical="center"/>
    </xf>
    <xf borderId="1" fillId="5" fontId="9" numFmtId="165" xfId="0" applyAlignment="1" applyBorder="1" applyFont="1" applyNumberFormat="1">
      <alignment horizontal="center" vertical="center"/>
    </xf>
    <xf borderId="1" fillId="5" fontId="9" numFmtId="164" xfId="0" applyAlignment="1" applyBorder="1" applyFont="1" applyNumberFormat="1">
      <alignment horizontal="center" readingOrder="0" vertical="center"/>
    </xf>
    <xf borderId="1" fillId="5" fontId="9" numFmtId="166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1" fillId="0" fontId="10" numFmtId="165" xfId="0" applyAlignment="1" applyBorder="1" applyFont="1" applyNumberFormat="1">
      <alignment horizontal="center" vertical="center"/>
    </xf>
    <xf borderId="1" fillId="0" fontId="10" numFmtId="166" xfId="0" applyAlignment="1" applyBorder="1" applyFont="1" applyNumberFormat="1">
      <alignment horizontal="center" vertical="center"/>
    </xf>
    <xf borderId="1" fillId="6" fontId="9" numFmtId="0" xfId="0" applyAlignment="1" applyBorder="1" applyFill="1" applyFont="1">
      <alignment horizontal="center" readingOrder="0" vertical="center"/>
    </xf>
    <xf borderId="1" fillId="6" fontId="9" numFmtId="164" xfId="0" applyAlignment="1" applyBorder="1" applyFont="1" applyNumberForma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1" fillId="5" fontId="11" numFmtId="0" xfId="0" applyBorder="1" applyFont="1"/>
    <xf borderId="1" fillId="5" fontId="9" numFmtId="165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7" fontId="1" numFmtId="0" xfId="0" applyAlignment="1" applyBorder="1" applyFill="1" applyFont="1">
      <alignment vertical="center"/>
    </xf>
    <xf borderId="1" fillId="0" fontId="7" numFmtId="0" xfId="0" applyAlignment="1" applyBorder="1" applyFont="1">
      <alignment readingOrder="0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2" numFmtId="164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readingOrder="0" vertical="center"/>
    </xf>
    <xf borderId="1" fillId="3" fontId="1" numFmtId="164" xfId="0" applyAlignment="1" applyBorder="1" applyFont="1" applyNumberFormat="1">
      <alignment readingOrder="0" vertical="center"/>
    </xf>
    <xf borderId="1" fillId="0" fontId="9" numFmtId="0" xfId="0" applyAlignment="1" applyBorder="1" applyFont="1">
      <alignment horizontal="center" readingOrder="0" vertical="center"/>
    </xf>
    <xf borderId="1" fillId="5" fontId="9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left" vertical="center"/>
    </xf>
    <xf borderId="1" fillId="0" fontId="7" numFmtId="166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1" fillId="6" fontId="9" numFmtId="0" xfId="0" applyAlignment="1" applyBorder="1" applyFont="1">
      <alignment horizontal="center" vertical="center"/>
    </xf>
    <xf borderId="1" fillId="6" fontId="9" numFmtId="166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vertical="center"/>
    </xf>
    <xf borderId="1" fillId="0" fontId="10" numFmtId="166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1" fillId="0" fontId="13" numFmtId="0" xfId="0" applyBorder="1" applyFont="1"/>
    <xf borderId="1" fillId="0" fontId="14" numFmtId="0" xfId="0" applyAlignment="1" applyBorder="1" applyFont="1">
      <alignment vertical="center"/>
    </xf>
    <xf borderId="1" fillId="0" fontId="14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1" fillId="6" fontId="3" numFmtId="0" xfId="0" applyAlignment="1" applyBorder="1" applyFont="1">
      <alignment horizontal="center" vertical="center"/>
    </xf>
    <xf borderId="1" fillId="6" fontId="3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1" fillId="8" fontId="1" numFmtId="0" xfId="0" applyAlignment="1" applyBorder="1" applyFill="1" applyFont="1">
      <alignment horizontal="center" vertical="center"/>
    </xf>
    <xf borderId="1" fillId="8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3" fillId="0" fontId="1" numFmtId="166" xfId="0" applyAlignment="1" applyBorder="1" applyFont="1" applyNumberFormat="1">
      <alignment horizontal="center" readingOrder="0" vertical="center"/>
    </xf>
    <xf borderId="1" fillId="8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8" fontId="1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shrinkToFit="0" vertical="center" wrapText="0"/>
    </xf>
    <xf borderId="1" fillId="8" fontId="1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center" vertical="center"/>
    </xf>
    <xf borderId="1" fillId="7" fontId="1" numFmtId="0" xfId="0" applyAlignment="1" applyBorder="1" applyFont="1">
      <alignment horizontal="center" readingOrder="0" vertical="center"/>
    </xf>
    <xf borderId="1" fillId="4" fontId="9" numFmtId="0" xfId="0" applyAlignment="1" applyBorder="1" applyFont="1">
      <alignment horizontal="center" readingOrder="0" vertical="center"/>
    </xf>
    <xf borderId="1" fillId="4" fontId="9" numFmtId="0" xfId="0" applyAlignment="1" applyBorder="1" applyFont="1">
      <alignment horizontal="center" vertical="center"/>
    </xf>
    <xf borderId="1" fillId="9" fontId="17" numFmtId="0" xfId="0" applyAlignment="1" applyBorder="1" applyFill="1" applyFont="1">
      <alignment horizontal="center" readingOrder="0" vertical="center"/>
    </xf>
    <xf borderId="1" fillId="9" fontId="17" numFmtId="165" xfId="0" applyAlignment="1" applyBorder="1" applyFont="1" applyNumberFormat="1">
      <alignment horizontal="center" readingOrder="0" vertical="center"/>
    </xf>
    <xf borderId="1" fillId="9" fontId="17" numFmtId="166" xfId="0" applyAlignment="1" applyBorder="1" applyFont="1" applyNumberFormat="1">
      <alignment horizontal="center" readingOrder="0" vertical="center"/>
    </xf>
    <xf borderId="1" fillId="9" fontId="17" numFmtId="164" xfId="0" applyAlignment="1" applyBorder="1" applyFont="1" applyNumberFormat="1">
      <alignment horizontal="center" readingOrder="0" vertical="center"/>
    </xf>
    <xf borderId="1" fillId="10" fontId="18" numFmtId="0" xfId="0" applyAlignment="1" applyBorder="1" applyFill="1" applyFont="1">
      <alignment horizontal="center" readingOrder="0" vertical="center"/>
    </xf>
    <xf borderId="1" fillId="10" fontId="18" numFmtId="0" xfId="0" applyAlignment="1" applyBorder="1" applyFont="1">
      <alignment horizontal="center" vertical="center"/>
    </xf>
    <xf borderId="1" fillId="10" fontId="18" numFmtId="164" xfId="0" applyAlignment="1" applyBorder="1" applyFont="1" applyNumberFormat="1">
      <alignment horizontal="center" readingOrder="0" vertical="center"/>
    </xf>
    <xf borderId="1" fillId="10" fontId="18" numFmtId="166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center" vertical="center"/>
    </xf>
    <xf borderId="1" fillId="0" fontId="20" numFmtId="164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vertical="center"/>
    </xf>
    <xf borderId="1" fillId="0" fontId="20" numFmtId="166" xfId="0" applyAlignment="1" applyBorder="1" applyFont="1" applyNumberFormat="1">
      <alignment horizontal="center" readingOrder="0" vertical="center"/>
    </xf>
    <xf borderId="1" fillId="0" fontId="20" numFmtId="0" xfId="0" applyAlignment="1" applyBorder="1" applyFont="1">
      <alignment horizontal="center" readingOrder="0" vertical="center"/>
    </xf>
    <xf borderId="1" fillId="10" fontId="9" numFmtId="0" xfId="0" applyAlignment="1" applyBorder="1" applyFont="1">
      <alignment horizontal="center" readingOrder="0" vertical="center"/>
    </xf>
    <xf borderId="1" fillId="10" fontId="9" numFmtId="165" xfId="0" applyAlignment="1" applyBorder="1" applyFont="1" applyNumberFormat="1">
      <alignment horizontal="center" readingOrder="0" vertical="center"/>
    </xf>
    <xf borderId="1" fillId="10" fontId="9" numFmtId="166" xfId="0" applyAlignment="1" applyBorder="1" applyFont="1" applyNumberFormat="1">
      <alignment horizontal="center" readingOrder="0" vertical="center"/>
    </xf>
    <xf borderId="1" fillId="0" fontId="21" numFmtId="0" xfId="0" applyAlignment="1" applyBorder="1" applyFont="1">
      <alignment horizontal="center" readingOrder="0" vertical="center"/>
    </xf>
    <xf borderId="1" fillId="0" fontId="21" numFmtId="0" xfId="0" applyAlignment="1" applyBorder="1" applyFont="1">
      <alignment horizontal="center" vertical="center"/>
    </xf>
    <xf borderId="1" fillId="0" fontId="21" numFmtId="164" xfId="0" applyAlignment="1" applyBorder="1" applyFont="1" applyNumberFormat="1">
      <alignment horizontal="center" vertical="center"/>
    </xf>
    <xf borderId="1" fillId="0" fontId="21" numFmtId="164" xfId="0" applyAlignment="1" applyBorder="1" applyFont="1" applyNumberFormat="1">
      <alignment horizontal="center" readingOrder="0" vertical="center"/>
    </xf>
    <xf borderId="1" fillId="0" fontId="21" numFmtId="166" xfId="0" applyAlignment="1" applyBorder="1" applyFont="1" applyNumberFormat="1">
      <alignment horizontal="center" vertical="center"/>
    </xf>
    <xf borderId="1" fillId="4" fontId="22" numFmtId="0" xfId="0" applyAlignment="1" applyBorder="1" applyFont="1">
      <alignment horizontal="center" readingOrder="0" vertical="center"/>
    </xf>
    <xf borderId="1" fillId="4" fontId="22" numFmtId="165" xfId="0" applyAlignment="1" applyBorder="1" applyFont="1" applyNumberFormat="1">
      <alignment horizontal="center" readingOrder="0" vertical="center"/>
    </xf>
    <xf borderId="1" fillId="4" fontId="22" numFmtId="166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3" fontId="1" numFmtId="166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readingOrder="0" vertical="center"/>
    </xf>
    <xf borderId="1" fillId="0" fontId="22" numFmtId="0" xfId="0" applyAlignment="1" applyBorder="1" applyFont="1">
      <alignment horizontal="center" vertical="center"/>
    </xf>
    <xf borderId="1" fillId="0" fontId="22" numFmtId="166" xfId="0" applyAlignment="1" applyBorder="1" applyFont="1" applyNumberFormat="1">
      <alignment horizontal="center" vertical="center"/>
    </xf>
    <xf borderId="1" fillId="3" fontId="17" numFmtId="0" xfId="0" applyAlignment="1" applyBorder="1" applyFont="1">
      <alignment horizontal="center" readingOrder="0" vertical="center"/>
    </xf>
    <xf borderId="1" fillId="3" fontId="17" numFmtId="165" xfId="0" applyAlignment="1" applyBorder="1" applyFont="1" applyNumberFormat="1">
      <alignment horizontal="center" readingOrder="0" vertical="center"/>
    </xf>
    <xf borderId="1" fillId="3" fontId="17" numFmtId="166" xfId="0" applyAlignment="1" applyBorder="1" applyFont="1" applyNumberFormat="1">
      <alignment horizontal="center" readingOrder="0" vertical="center"/>
    </xf>
    <xf borderId="1" fillId="10" fontId="22" numFmtId="0" xfId="0" applyAlignment="1" applyBorder="1" applyFont="1">
      <alignment horizontal="center" readingOrder="0" vertical="center"/>
    </xf>
    <xf borderId="1" fillId="10" fontId="22" numFmtId="164" xfId="0" applyAlignment="1" applyBorder="1" applyFont="1" applyNumberFormat="1">
      <alignment horizontal="center" vertical="center"/>
    </xf>
    <xf borderId="1" fillId="10" fontId="22" numFmtId="164" xfId="0" applyAlignment="1" applyBorder="1" applyFont="1" applyNumberFormat="1">
      <alignment horizontal="center" readingOrder="0" vertical="center"/>
    </xf>
    <xf borderId="1" fillId="10" fontId="22" numFmtId="166" xfId="0" applyAlignment="1" applyBorder="1" applyFont="1" applyNumberFormat="1">
      <alignment horizontal="center" vertical="center"/>
    </xf>
    <xf borderId="1" fillId="10" fontId="22" numFmtId="0" xfId="0" applyAlignment="1" applyBorder="1" applyFont="1">
      <alignment horizontal="center" vertical="center"/>
    </xf>
    <xf borderId="1" fillId="0" fontId="19" numFmtId="0" xfId="0" applyAlignment="1" applyBorder="1" applyFont="1">
      <alignment horizontal="center" readingOrder="0" vertical="center"/>
    </xf>
    <xf borderId="1" fillId="0" fontId="19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vertical="center"/>
    </xf>
    <xf borderId="1" fillId="5" fontId="9" numFmtId="166" xfId="0" applyAlignment="1" applyBorder="1" applyFont="1" applyNumberFormat="1">
      <alignment horizontal="center" vertical="center"/>
    </xf>
    <xf borderId="1" fillId="5" fontId="3" numFmtId="0" xfId="0" applyAlignment="1" applyBorder="1" applyFont="1">
      <alignment horizontal="center" vertical="center"/>
    </xf>
    <xf borderId="1" fillId="5" fontId="3" numFmtId="165" xfId="0" applyAlignment="1" applyBorder="1" applyFont="1" applyNumberFormat="1">
      <alignment horizontal="center" vertical="center"/>
    </xf>
    <xf borderId="1" fillId="5" fontId="3" numFmtId="164" xfId="0" applyAlignment="1" applyBorder="1" applyFont="1" applyNumberFormat="1">
      <alignment horizontal="center" vertical="center"/>
    </xf>
    <xf borderId="1" fillId="0" fontId="7" numFmtId="166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vertical="center"/>
    </xf>
    <xf borderId="1" fillId="0" fontId="9" numFmtId="166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horizontal="center" readingOrder="0" vertical="center"/>
    </xf>
    <xf borderId="1" fillId="3" fontId="10" numFmtId="165" xfId="0" applyAlignment="1" applyBorder="1" applyFont="1" applyNumberFormat="1">
      <alignment horizontal="center" readingOrder="0" vertical="center"/>
    </xf>
    <xf borderId="1" fillId="3" fontId="10" numFmtId="166" xfId="0" applyAlignment="1" applyBorder="1" applyFont="1" applyNumberFormat="1">
      <alignment horizontal="center" readingOrder="0" vertical="center"/>
    </xf>
    <xf borderId="1" fillId="6" fontId="22" numFmtId="0" xfId="0" applyAlignment="1" applyBorder="1" applyFont="1">
      <alignment horizontal="center" readingOrder="0" vertical="center"/>
    </xf>
    <xf borderId="1" fillId="6" fontId="22" numFmtId="0" xfId="0" applyAlignment="1" applyBorder="1" applyFont="1">
      <alignment horizontal="center" vertical="center"/>
    </xf>
    <xf borderId="1" fillId="6" fontId="22" numFmtId="164" xfId="0" applyAlignment="1" applyBorder="1" applyFont="1" applyNumberFormat="1">
      <alignment horizontal="center" vertical="center"/>
    </xf>
    <xf borderId="1" fillId="6" fontId="22" numFmtId="164" xfId="0" applyAlignment="1" applyBorder="1" applyFont="1" applyNumberFormat="1">
      <alignment horizontal="center" readingOrder="0" vertical="center"/>
    </xf>
    <xf borderId="1" fillId="6" fontId="22" numFmtId="166" xfId="0" applyAlignment="1" applyBorder="1" applyFont="1" applyNumberFormat="1">
      <alignment horizontal="center" vertical="center"/>
    </xf>
    <xf borderId="1" fillId="6" fontId="9" numFmtId="165" xfId="0" applyAlignment="1" applyBorder="1" applyFont="1" applyNumberFormat="1">
      <alignment horizontal="center" readingOrder="0" vertical="center"/>
    </xf>
    <xf borderId="1" fillId="0" fontId="10" numFmtId="164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center" readingOrder="0" vertical="center"/>
    </xf>
    <xf borderId="1" fillId="6" fontId="9" numFmtId="166" xfId="0" applyAlignment="1" applyBorder="1" applyFont="1" applyNumberFormat="1">
      <alignment horizontal="center" vertical="center"/>
    </xf>
    <xf borderId="1" fillId="5" fontId="9" numFmtId="164" xfId="0" applyAlignment="1" applyBorder="1" applyFont="1" applyNumberFormat="1">
      <alignment horizontal="center" vertical="center"/>
    </xf>
    <xf borderId="1" fillId="0" fontId="7" numFmtId="166" xfId="0" applyAlignment="1" applyBorder="1" applyFont="1" applyNumberFormat="1">
      <alignment horizontal="center" readingOrder="0" vertical="center"/>
    </xf>
    <xf borderId="1" fillId="0" fontId="10" numFmtId="164" xfId="0" applyAlignment="1" applyBorder="1" applyFont="1" applyNumberFormat="1">
      <alignment horizontal="center" vertical="center"/>
    </xf>
    <xf borderId="1" fillId="0" fontId="7" numFmtId="165" xfId="0" applyAlignment="1" applyBorder="1" applyFont="1" applyNumberFormat="1">
      <alignment horizontal="center" readingOrder="0" vertical="center"/>
    </xf>
    <xf borderId="1" fillId="6" fontId="9" numFmtId="164" xfId="0" applyAlignment="1" applyBorder="1" applyFont="1" applyNumberFormat="1">
      <alignment horizontal="center" vertical="center"/>
    </xf>
    <xf borderId="1" fillId="4" fontId="9" numFmtId="165" xfId="0" applyAlignment="1" applyBorder="1" applyFont="1" applyNumberFormat="1">
      <alignment horizontal="center" readingOrder="0" vertical="center"/>
    </xf>
    <xf borderId="1" fillId="4" fontId="9" numFmtId="166" xfId="0" applyAlignment="1" applyBorder="1" applyFont="1" applyNumberFormat="1">
      <alignment horizontal="center" readingOrder="0" vertical="center"/>
    </xf>
    <xf borderId="1" fillId="4" fontId="9" numFmtId="164" xfId="0" applyAlignment="1" applyBorder="1" applyFont="1" applyNumberFormat="1">
      <alignment horizontal="center" readingOrder="0" vertical="center"/>
    </xf>
    <xf borderId="1" fillId="7" fontId="1" numFmtId="164" xfId="0" applyAlignment="1" applyBorder="1" applyFont="1" applyNumberFormat="1">
      <alignment horizontal="center" readingOrder="0" vertical="center"/>
    </xf>
    <xf borderId="1" fillId="7" fontId="1" numFmtId="166" xfId="0" applyAlignment="1" applyBorder="1" applyFont="1" applyNumberFormat="1">
      <alignment horizontal="center" vertical="center"/>
    </xf>
    <xf borderId="1" fillId="11" fontId="9" numFmtId="0" xfId="0" applyAlignment="1" applyBorder="1" applyFill="1" applyFont="1">
      <alignment horizontal="center" readingOrder="0" vertical="center"/>
    </xf>
    <xf borderId="1" fillId="11" fontId="9" numFmtId="165" xfId="0" applyAlignment="1" applyBorder="1" applyFont="1" applyNumberFormat="1">
      <alignment horizontal="center" readingOrder="0" vertical="center"/>
    </xf>
    <xf borderId="1" fillId="11" fontId="9" numFmtId="166" xfId="0" applyAlignment="1" applyBorder="1" applyFont="1" applyNumberFormat="1">
      <alignment horizontal="center" readingOrder="0" vertical="center"/>
    </xf>
    <xf borderId="1" fillId="11" fontId="9" numFmtId="164" xfId="0" applyAlignment="1" applyBorder="1" applyFont="1" applyNumberFormat="1">
      <alignment horizontal="center" readingOrder="0" vertical="center"/>
    </xf>
    <xf borderId="1" fillId="0" fontId="23" numFmtId="0" xfId="0" applyAlignment="1" applyBorder="1" applyFont="1">
      <alignment horizontal="center" readingOrder="0" vertical="center"/>
    </xf>
    <xf borderId="1" fillId="0" fontId="23" numFmtId="0" xfId="0" applyAlignment="1" applyBorder="1" applyFont="1">
      <alignment horizontal="center" vertical="center"/>
    </xf>
    <xf borderId="1" fillId="0" fontId="23" numFmtId="164" xfId="0" applyAlignment="1" applyBorder="1" applyFont="1" applyNumberFormat="1">
      <alignment horizontal="center" readingOrder="0" vertical="center"/>
    </xf>
    <xf borderId="1" fillId="0" fontId="23" numFmtId="166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horizontal="center" readingOrder="0" vertical="center"/>
    </xf>
    <xf borderId="1" fillId="7" fontId="7" numFmtId="165" xfId="0" applyAlignment="1" applyBorder="1" applyFont="1" applyNumberFormat="1">
      <alignment horizontal="center" readingOrder="0" vertical="center"/>
    </xf>
    <xf borderId="1" fillId="7" fontId="7" numFmtId="164" xfId="0" applyAlignment="1" applyBorder="1" applyFont="1" applyNumberFormat="1">
      <alignment horizontal="center" readingOrder="0" vertical="center"/>
    </xf>
    <xf borderId="3" fillId="0" fontId="7" numFmtId="164" xfId="0" applyAlignment="1" applyBorder="1" applyFont="1" applyNumberFormat="1">
      <alignment horizontal="center" vertical="center"/>
    </xf>
    <xf borderId="3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3" fillId="0" fontId="7" numFmtId="165" xfId="0" applyAlignment="1" applyBorder="1" applyFont="1" applyNumberFormat="1">
      <alignment horizontal="center" vertical="center"/>
    </xf>
    <xf borderId="3" fillId="0" fontId="7" numFmtId="0" xfId="0" applyAlignment="1" applyBorder="1" applyFont="1">
      <alignment horizontal="center" vertical="center"/>
    </xf>
    <xf borderId="4" fillId="0" fontId="7" numFmtId="164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4" fillId="0" fontId="7" numFmtId="165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vertical="center"/>
    </xf>
    <xf borderId="1" fillId="0" fontId="24" numFmtId="0" xfId="0" applyAlignment="1" applyBorder="1" applyFont="1">
      <alignment horizontal="center" readingOrder="0" vertical="center"/>
    </xf>
    <xf borderId="1" fillId="0" fontId="17" numFmtId="0" xfId="0" applyAlignment="1" applyBorder="1" applyFont="1">
      <alignment horizontal="center" readingOrder="0" vertical="center"/>
    </xf>
    <xf borderId="1" fillId="0" fontId="17" numFmtId="164" xfId="0" applyAlignment="1" applyBorder="1" applyFont="1" applyNumberFormat="1">
      <alignment horizontal="center" vertical="center"/>
    </xf>
    <xf borderId="1" fillId="0" fontId="17" numFmtId="164" xfId="0" applyAlignment="1" applyBorder="1" applyFont="1" applyNumberFormat="1">
      <alignment horizontal="center" readingOrder="0" vertical="center"/>
    </xf>
    <xf borderId="1" fillId="0" fontId="17" numFmtId="166" xfId="0" applyAlignment="1" applyBorder="1" applyFont="1" applyNumberFormat="1">
      <alignment horizontal="center" vertical="center"/>
    </xf>
    <xf borderId="1" fillId="0" fontId="17" numFmtId="0" xfId="0" applyAlignment="1" applyBorder="1" applyFont="1">
      <alignment horizontal="center" vertical="center"/>
    </xf>
    <xf borderId="1" fillId="12" fontId="1" numFmtId="0" xfId="0" applyAlignment="1" applyBorder="1" applyFill="1" applyFont="1">
      <alignment horizontal="center" readingOrder="0" vertical="center"/>
    </xf>
    <xf borderId="1" fillId="12" fontId="1" numFmtId="165" xfId="0" applyAlignment="1" applyBorder="1" applyFont="1" applyNumberFormat="1">
      <alignment horizontal="center" readingOrder="0" vertical="center"/>
    </xf>
    <xf borderId="1" fillId="12" fontId="1" numFmtId="166" xfId="0" applyAlignment="1" applyBorder="1" applyFont="1" applyNumberFormat="1">
      <alignment horizontal="center" readingOrder="0" vertical="center"/>
    </xf>
    <xf borderId="1" fillId="12" fontId="1" numFmtId="0" xfId="0" applyAlignment="1" applyBorder="1" applyFont="1">
      <alignment horizontal="center" vertical="center"/>
    </xf>
    <xf borderId="1" fillId="7" fontId="25" numFmtId="0" xfId="0" applyAlignment="1" applyBorder="1" applyFont="1">
      <alignment horizontal="center" readingOrder="0" vertical="center"/>
    </xf>
    <xf borderId="1" fillId="7" fontId="25" numFmtId="0" xfId="0" applyAlignment="1" applyBorder="1" applyFont="1">
      <alignment horizontal="center" vertical="center"/>
    </xf>
    <xf borderId="1" fillId="7" fontId="25" numFmtId="166" xfId="0" applyAlignment="1" applyBorder="1" applyFont="1" applyNumberFormat="1">
      <alignment horizontal="center" readingOrder="0" vertical="center"/>
    </xf>
    <xf borderId="1" fillId="7" fontId="25" numFmtId="164" xfId="0" applyAlignment="1" applyBorder="1" applyFont="1" applyNumberFormat="1">
      <alignment horizontal="center" readingOrder="0" vertical="center"/>
    </xf>
    <xf borderId="1" fillId="7" fontId="25" numFmtId="166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horizontal="center" readingOrder="0" vertical="center"/>
    </xf>
    <xf borderId="1" fillId="0" fontId="2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0"/>
    </xf>
    <xf borderId="1" fillId="13" fontId="9" numFmtId="0" xfId="0" applyAlignment="1" applyBorder="1" applyFill="1" applyFont="1">
      <alignment horizontal="center" readingOrder="0" vertical="center"/>
    </xf>
    <xf borderId="1" fillId="13" fontId="9" numFmtId="165" xfId="0" applyAlignment="1" applyBorder="1" applyFont="1" applyNumberFormat="1">
      <alignment horizontal="center" readingOrder="0" vertical="center"/>
    </xf>
    <xf borderId="1" fillId="13" fontId="9" numFmtId="166" xfId="0" applyAlignment="1" applyBorder="1" applyFont="1" applyNumberFormat="1">
      <alignment horizontal="center" readingOrder="0" vertical="center"/>
    </xf>
    <xf borderId="1" fillId="13" fontId="9" numFmtId="164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  <xf borderId="1" fillId="0" fontId="27" numFmtId="0" xfId="0" applyAlignment="1" applyBorder="1" applyFont="1">
      <alignment horizontal="center" vertical="center"/>
    </xf>
    <xf borderId="1" fillId="0" fontId="27" numFmtId="164" xfId="0" applyAlignment="1" applyBorder="1" applyFont="1" applyNumberFormat="1">
      <alignment horizontal="center" readingOrder="0" vertical="center"/>
    </xf>
    <xf borderId="1" fillId="0" fontId="27" numFmtId="166" xfId="0" applyAlignment="1" applyBorder="1" applyFont="1" applyNumberFormat="1">
      <alignment horizontal="center" vertical="center"/>
    </xf>
    <xf borderId="1" fillId="14" fontId="9" numFmtId="0" xfId="0" applyAlignment="1" applyBorder="1" applyFill="1" applyFont="1">
      <alignment horizontal="center" vertical="center"/>
    </xf>
    <xf borderId="1" fillId="14" fontId="9" numFmtId="165" xfId="0" applyAlignment="1" applyBorder="1" applyFont="1" applyNumberFormat="1">
      <alignment horizontal="center" vertical="center"/>
    </xf>
    <xf borderId="1" fillId="14" fontId="9" numFmtId="166" xfId="0" applyAlignment="1" applyBorder="1" applyFont="1" applyNumberFormat="1">
      <alignment horizontal="center" vertical="center"/>
    </xf>
    <xf borderId="1" fillId="14" fontId="9" numFmtId="0" xfId="0" applyAlignment="1" applyBorder="1" applyFont="1">
      <alignment horizontal="center" readingOrder="0" vertical="center"/>
    </xf>
    <xf borderId="1" fillId="14" fontId="9" numFmtId="165" xfId="0" applyAlignment="1" applyBorder="1" applyFont="1" applyNumberFormat="1">
      <alignment horizontal="center" readingOrder="0" vertical="center"/>
    </xf>
    <xf borderId="1" fillId="14" fontId="9" numFmtId="166" xfId="0" applyAlignment="1" applyBorder="1" applyFont="1" applyNumberFormat="1">
      <alignment horizontal="center" readingOrder="0" vertical="center"/>
    </xf>
    <xf borderId="1" fillId="0" fontId="19" numFmtId="166" xfId="0" applyAlignment="1" applyBorder="1" applyFont="1" applyNumberFormat="1">
      <alignment horizontal="center" readingOrder="0" vertical="center"/>
    </xf>
    <xf borderId="1" fillId="0" fontId="19" numFmtId="164" xfId="0" applyAlignment="1" applyBorder="1" applyFont="1" applyNumberFormat="1">
      <alignment horizontal="center" readingOrder="0" vertical="center"/>
    </xf>
    <xf borderId="1" fillId="7" fontId="10" numFmtId="0" xfId="0" applyAlignment="1" applyBorder="1" applyFont="1">
      <alignment horizontal="center" vertical="center"/>
    </xf>
    <xf borderId="1" fillId="7" fontId="10" numFmtId="0" xfId="0" applyAlignment="1" applyBorder="1" applyFont="1">
      <alignment horizontal="center" readingOrder="0" vertical="center"/>
    </xf>
    <xf borderId="1" fillId="7" fontId="10" numFmtId="164" xfId="0" applyAlignment="1" applyBorder="1" applyFont="1" applyNumberFormat="1">
      <alignment horizontal="center" readingOrder="0" vertical="center"/>
    </xf>
    <xf borderId="1" fillId="0" fontId="28" numFmtId="0" xfId="0" applyAlignment="1" applyBorder="1" applyFont="1">
      <alignment horizontal="center" readingOrder="0" vertical="center"/>
    </xf>
    <xf borderId="1" fillId="15" fontId="9" numFmtId="0" xfId="0" applyAlignment="1" applyBorder="1" applyFill="1" applyFont="1">
      <alignment horizontal="center" readingOrder="0" vertical="center"/>
    </xf>
    <xf borderId="1" fillId="15" fontId="9" numFmtId="165" xfId="0" applyAlignment="1" applyBorder="1" applyFont="1" applyNumberFormat="1">
      <alignment horizontal="center" readingOrder="0" vertical="center"/>
    </xf>
    <xf borderId="1" fillId="15" fontId="9" numFmtId="166" xfId="0" applyAlignment="1" applyBorder="1" applyFont="1" applyNumberFormat="1">
      <alignment horizontal="center" readingOrder="0" vertical="center"/>
    </xf>
    <xf borderId="1" fillId="15" fontId="9" numFmtId="0" xfId="0" applyAlignment="1" applyBorder="1" applyFont="1">
      <alignment horizontal="center" vertical="center"/>
    </xf>
    <xf borderId="1" fillId="15" fontId="9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center" readingOrder="0" vertical="center"/>
    </xf>
    <xf borderId="1" fillId="0" fontId="14" numFmtId="0" xfId="0" applyAlignment="1" applyBorder="1" applyFont="1">
      <alignment horizontal="center" vertical="center"/>
    </xf>
    <xf borderId="1" fillId="0" fontId="14" numFmtId="166" xfId="0" applyAlignment="1" applyBorder="1" applyFont="1" applyNumberFormat="1">
      <alignment horizontal="center" readingOrder="0" vertical="center"/>
    </xf>
    <xf borderId="1" fillId="0" fontId="14" numFmtId="164" xfId="0" applyAlignment="1" applyBorder="1" applyFont="1" applyNumberFormat="1">
      <alignment horizontal="center" readingOrder="0" vertical="center"/>
    </xf>
    <xf borderId="1" fillId="0" fontId="14" numFmtId="166" xfId="0" applyAlignment="1" applyBorder="1" applyFont="1" applyNumberFormat="1">
      <alignment horizontal="center" vertical="center"/>
    </xf>
    <xf borderId="1" fillId="9" fontId="17" numFmtId="0" xfId="0" applyAlignment="1" applyBorder="1" applyFont="1">
      <alignment horizontal="center" vertical="center"/>
    </xf>
    <xf borderId="1" fillId="9" fontId="17" numFmtId="164" xfId="0" applyAlignment="1" applyBorder="1" applyFont="1" applyNumberFormat="1">
      <alignment horizontal="center" vertical="center"/>
    </xf>
    <xf borderId="1" fillId="10" fontId="18" numFmtId="166" xfId="0" applyAlignment="1" applyBorder="1" applyFont="1" applyNumberFormat="1">
      <alignment horizontal="center" readingOrder="0" vertical="center"/>
    </xf>
    <xf borderId="1" fillId="5" fontId="22" numFmtId="0" xfId="0" applyAlignment="1" applyBorder="1" applyFont="1">
      <alignment horizontal="center" readingOrder="0" vertical="center"/>
    </xf>
    <xf borderId="1" fillId="5" fontId="22" numFmtId="165" xfId="0" applyAlignment="1" applyBorder="1" applyFont="1" applyNumberFormat="1">
      <alignment horizontal="center" readingOrder="0" vertical="center"/>
    </xf>
    <xf borderId="1" fillId="5" fontId="22" numFmtId="166" xfId="0" applyAlignment="1" applyBorder="1" applyFont="1" applyNumberForma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1" fillId="3" fontId="7" numFmtId="0" xfId="0" applyAlignment="1" applyBorder="1" applyFont="1">
      <alignment horizontal="center" vertical="center"/>
    </xf>
    <xf borderId="1" fillId="3" fontId="7" numFmtId="164" xfId="0" applyAlignment="1" applyBorder="1" applyFont="1" applyNumberFormat="1">
      <alignment horizontal="center" vertical="center"/>
    </xf>
    <xf borderId="1" fillId="3" fontId="7" numFmtId="164" xfId="0" applyAlignment="1" applyBorder="1" applyFont="1" applyNumberFormat="1">
      <alignment horizontal="center" readingOrder="0" vertical="center"/>
    </xf>
    <xf borderId="1" fillId="3" fontId="7" numFmtId="166" xfId="0" applyAlignment="1" applyBorder="1" applyFont="1" applyNumberFormat="1">
      <alignment horizontal="center" vertical="center"/>
    </xf>
    <xf borderId="1" fillId="3" fontId="10" numFmtId="164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15" fontId="9" numFmtId="165" xfId="0" applyAlignment="1" applyBorder="1" applyFont="1" applyNumberFormat="1">
      <alignment horizontal="center" vertical="center"/>
    </xf>
    <xf borderId="1" fillId="7" fontId="7" numFmtId="166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horizontal="center" vertical="center"/>
    </xf>
    <xf borderId="1" fillId="14" fontId="9" numFmtId="164" xfId="0" applyAlignment="1" applyBorder="1" applyFont="1" applyNumberFormat="1">
      <alignment horizontal="center" vertical="center"/>
    </xf>
    <xf borderId="1" fillId="14" fontId="9" numFmtId="164" xfId="0" applyAlignment="1" applyBorder="1" applyFont="1" applyNumberFormat="1">
      <alignment horizontal="center" readingOrder="0" vertical="center"/>
    </xf>
    <xf borderId="1" fillId="4" fontId="9" numFmtId="0" xfId="0" applyAlignment="1" applyBorder="1" applyFont="1">
      <alignment horizontal="center" vertical="center"/>
    </xf>
    <xf borderId="1" fillId="3" fontId="1" numFmtId="166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1" fillId="0" fontId="20" numFmtId="0" xfId="0" applyAlignment="1" applyBorder="1" applyFont="1">
      <alignment horizontal="center" vertical="center"/>
    </xf>
    <xf borderId="1" fillId="0" fontId="20" numFmtId="0" xfId="0" applyAlignment="1" applyBorder="1" applyFont="1">
      <alignment horizontal="center" vertical="center"/>
    </xf>
    <xf borderId="1" fillId="0" fontId="20" numFmtId="164" xfId="0" applyAlignment="1" applyBorder="1" applyFont="1" applyNumberFormat="1">
      <alignment horizontal="center" vertical="center"/>
    </xf>
    <xf borderId="1" fillId="7" fontId="20" numFmtId="0" xfId="0" applyAlignment="1" applyBorder="1" applyFont="1">
      <alignment horizontal="center" readingOrder="0" vertical="center"/>
    </xf>
    <xf borderId="1" fillId="7" fontId="20" numFmtId="164" xfId="0" applyAlignment="1" applyBorder="1" applyFont="1" applyNumberFormat="1">
      <alignment horizontal="center" readingOrder="0" vertical="center"/>
    </xf>
    <xf borderId="1" fillId="7" fontId="20" numFmtId="0" xfId="0" applyAlignment="1" applyBorder="1" applyFont="1">
      <alignment horizontal="center" vertical="center"/>
    </xf>
    <xf borderId="1" fillId="7" fontId="20" numFmtId="0" xfId="0" applyAlignment="1" applyBorder="1" applyFont="1">
      <alignment horizontal="center" vertical="center"/>
    </xf>
    <xf borderId="1" fillId="7" fontId="20" numFmtId="164" xfId="0" applyAlignment="1" applyBorder="1" applyFont="1" applyNumberFormat="1">
      <alignment horizontal="center" vertical="center"/>
    </xf>
    <xf borderId="1" fillId="7" fontId="1" numFmtId="0" xfId="0" applyAlignment="1" applyBorder="1" applyFont="1">
      <alignment horizontal="center" vertical="center"/>
    </xf>
    <xf borderId="1" fillId="7" fontId="1" numFmtId="166" xfId="0" applyAlignment="1" applyBorder="1" applyFont="1" applyNumberForma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" fillId="7" fontId="20" numFmtId="164" xfId="0" applyAlignment="1" applyBorder="1" applyFont="1" applyNumberFormat="1">
      <alignment horizontal="center" readingOrder="0" vertical="center"/>
    </xf>
    <xf borderId="1" fillId="7" fontId="20" numFmtId="0" xfId="0" applyAlignment="1" applyBorder="1" applyFont="1">
      <alignment horizontal="center" readingOrder="0" vertical="center"/>
    </xf>
    <xf borderId="1" fillId="9" fontId="20" numFmtId="0" xfId="0" applyAlignment="1" applyBorder="1" applyFont="1">
      <alignment horizontal="center" readingOrder="0" vertical="center"/>
    </xf>
    <xf borderId="1" fillId="9" fontId="20" numFmtId="0" xfId="0" applyAlignment="1" applyBorder="1" applyFon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1" fillId="16" fontId="1" numFmtId="0" xfId="0" applyAlignment="1" applyBorder="1" applyFill="1" applyFont="1">
      <alignment horizontal="center" vertical="center"/>
    </xf>
    <xf borderId="1" fillId="16" fontId="1" numFmtId="0" xfId="0" applyAlignment="1" applyBorder="1" applyFont="1">
      <alignment horizontal="center" readingOrder="0" vertical="center"/>
    </xf>
    <xf borderId="1" fillId="16" fontId="1" numFmtId="0" xfId="0" applyAlignment="1" applyBorder="1" applyFont="1">
      <alignment horizontal="center" readingOrder="0" vertical="center"/>
    </xf>
    <xf borderId="1" fillId="17" fontId="9" numFmtId="0" xfId="0" applyAlignment="1" applyBorder="1" applyFill="1" applyFont="1">
      <alignment horizontal="center" vertical="center"/>
    </xf>
    <xf borderId="1" fillId="17" fontId="9" numFmtId="0" xfId="0" applyAlignment="1" applyBorder="1" applyFont="1">
      <alignment horizontal="center" readingOrder="0" vertical="center"/>
    </xf>
    <xf borderId="1" fillId="17" fontId="9" numFmtId="0" xfId="0" applyAlignment="1" applyBorder="1" applyFont="1">
      <alignment horizontal="center" readingOrder="0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12" fontId="1" numFmtId="0" xfId="0" applyAlignment="1" applyBorder="1" applyFont="1">
      <alignment horizontal="center" vertical="center"/>
    </xf>
    <xf borderId="1" fillId="12" fontId="20" numFmtId="0" xfId="0" applyAlignment="1" applyBorder="1" applyFont="1">
      <alignment horizontal="center" vertical="center"/>
    </xf>
    <xf borderId="1" fillId="12" fontId="20" numFmtId="0" xfId="0" applyAlignment="1" applyBorder="1" applyFont="1">
      <alignment horizontal="center" readingOrder="0" vertical="center"/>
    </xf>
    <xf borderId="1" fillId="12" fontId="1" numFmtId="0" xfId="0" applyAlignment="1" applyBorder="1" applyFont="1">
      <alignment horizontal="center" readingOrder="0" vertical="center"/>
    </xf>
    <xf borderId="1" fillId="12" fontId="20" numFmtId="0" xfId="0" applyAlignment="1" applyBorder="1" applyFont="1">
      <alignment horizontal="center" vertical="center"/>
    </xf>
    <xf borderId="1" fillId="0" fontId="20" numFmtId="0" xfId="0" applyAlignment="1" applyBorder="1" applyFont="1">
      <alignment horizontal="center" readingOrder="0" vertical="center"/>
    </xf>
    <xf borderId="1" fillId="9" fontId="29" numFmtId="0" xfId="0" applyAlignment="1" applyBorder="1" applyFont="1">
      <alignment horizontal="center" vertical="center"/>
    </xf>
    <xf borderId="1" fillId="9" fontId="29" numFmtId="0" xfId="0" applyAlignment="1" applyBorder="1" applyFont="1">
      <alignment horizontal="center" readingOrder="0" vertical="center"/>
    </xf>
    <xf borderId="1" fillId="9" fontId="29" numFmtId="165" xfId="0" applyAlignment="1" applyBorder="1" applyFont="1" applyNumberFormat="1">
      <alignment horizontal="center" readingOrder="0" vertical="center"/>
    </xf>
    <xf borderId="1" fillId="9" fontId="29" numFmtId="166" xfId="0" applyAlignment="1" applyBorder="1" applyFont="1" applyNumberFormat="1">
      <alignment horizontal="center" readingOrder="0" vertical="center"/>
    </xf>
    <xf borderId="1" fillId="9" fontId="29" numFmtId="164" xfId="0" applyAlignment="1" applyBorder="1" applyFont="1" applyNumberFormat="1">
      <alignment horizontal="center" readingOrder="0" vertical="center"/>
    </xf>
    <xf borderId="1" fillId="9" fontId="29" numFmtId="0" xfId="0" applyAlignment="1" applyBorder="1" applyFont="1">
      <alignment horizontal="center" vertical="center"/>
    </xf>
    <xf borderId="1" fillId="10" fontId="30" numFmtId="0" xfId="0" applyAlignment="1" applyBorder="1" applyFont="1">
      <alignment horizontal="center" readingOrder="0" vertical="center"/>
    </xf>
    <xf borderId="1" fillId="10" fontId="30" numFmtId="0" xfId="0" applyAlignment="1" applyBorder="1" applyFont="1">
      <alignment horizontal="center" vertical="center"/>
    </xf>
    <xf borderId="1" fillId="10" fontId="30" numFmtId="0" xfId="0" applyAlignment="1" applyBorder="1" applyFont="1">
      <alignment horizontal="center" vertical="center"/>
    </xf>
    <xf borderId="1" fillId="10" fontId="30" numFmtId="166" xfId="0" applyAlignment="1" applyBorder="1" applyFont="1" applyNumberFormat="1">
      <alignment horizontal="center" vertical="center"/>
    </xf>
    <xf borderId="1" fillId="0" fontId="31" numFmtId="0" xfId="0" applyAlignment="1" applyBorder="1" applyFont="1">
      <alignment horizontal="center" readingOrder="0" vertical="center"/>
    </xf>
    <xf borderId="1" fillId="0" fontId="31" numFmtId="0" xfId="0" applyAlignment="1" applyBorder="1" applyFont="1">
      <alignment horizontal="center" vertical="center"/>
    </xf>
    <xf borderId="1" fillId="0" fontId="31" numFmtId="0" xfId="0" applyAlignment="1" applyBorder="1" applyFont="1">
      <alignment horizontal="center" vertical="center"/>
    </xf>
    <xf borderId="1" fillId="0" fontId="31" numFmtId="166" xfId="0" applyAlignment="1" applyBorder="1" applyFont="1" applyNumberFormat="1">
      <alignment horizontal="center" vertical="center"/>
    </xf>
    <xf borderId="1" fillId="5" fontId="3" numFmtId="165" xfId="0" applyAlignment="1" applyBorder="1" applyFont="1" applyNumberFormat="1">
      <alignment horizontal="center" readingOrder="0" vertical="center"/>
    </xf>
    <xf borderId="1" fillId="5" fontId="3" numFmtId="166" xfId="0" applyAlignment="1" applyBorder="1" applyFont="1" applyNumberFormat="1">
      <alignment horizontal="center" readingOrder="0" vertical="center"/>
    </xf>
    <xf borderId="1" fillId="5" fontId="3" numFmtId="164" xfId="0" applyAlignment="1" applyBorder="1" applyFont="1" applyNumberFormat="1">
      <alignment horizontal="center" readingOrder="0" vertical="center"/>
    </xf>
    <xf borderId="1" fillId="0" fontId="3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2" numFmtId="166" xfId="0" applyAlignment="1" applyBorder="1" applyFont="1" applyNumberFormat="1">
      <alignment horizontal="center" vertical="center"/>
    </xf>
    <xf borderId="1" fillId="0" fontId="33" numFmtId="0" xfId="0" applyAlignment="1" applyBorder="1" applyFont="1">
      <alignment horizontal="center" readingOrder="0" vertical="center"/>
    </xf>
    <xf borderId="1" fillId="0" fontId="33" numFmtId="0" xfId="0" applyAlignment="1" applyBorder="1" applyFont="1">
      <alignment horizontal="center" vertical="center"/>
    </xf>
    <xf borderId="1" fillId="0" fontId="33" numFmtId="0" xfId="0" applyAlignment="1" applyBorder="1" applyFont="1">
      <alignment horizontal="center" vertical="center"/>
    </xf>
    <xf borderId="1" fillId="0" fontId="33" numFmtId="166" xfId="0" applyAlignment="1" applyBorder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1" fillId="10" fontId="3" numFmtId="165" xfId="0" applyAlignment="1" applyBorder="1" applyFont="1" applyNumberFormat="1">
      <alignment horizontal="center" readingOrder="0" vertical="center"/>
    </xf>
    <xf borderId="1" fillId="10" fontId="3" numFmtId="166" xfId="0" applyAlignment="1" applyBorder="1" applyFont="1" applyNumberFormat="1">
      <alignment horizontal="center" readingOrder="0" vertical="center"/>
    </xf>
    <xf borderId="1" fillId="0" fontId="34" numFmtId="0" xfId="0" applyAlignment="1" applyBorder="1" applyFont="1">
      <alignment horizontal="center" readingOrder="0" vertical="center"/>
    </xf>
    <xf borderId="1" fillId="0" fontId="34" numFmtId="0" xfId="0" applyAlignment="1" applyBorder="1" applyFont="1">
      <alignment horizontal="center" vertical="center"/>
    </xf>
    <xf borderId="1" fillId="0" fontId="34" numFmtId="0" xfId="0" applyAlignment="1" applyBorder="1" applyFont="1">
      <alignment horizontal="center" vertical="center"/>
    </xf>
    <xf borderId="1" fillId="0" fontId="34" numFmtId="166" xfId="0" applyAlignment="1" applyBorder="1" applyFont="1" applyNumberFormat="1">
      <alignment horizontal="center" vertical="center"/>
    </xf>
    <xf borderId="1" fillId="4" fontId="35" numFmtId="0" xfId="0" applyAlignment="1" applyBorder="1" applyFont="1">
      <alignment horizontal="center" readingOrder="0" vertical="center"/>
    </xf>
    <xf borderId="1" fillId="4" fontId="35" numFmtId="165" xfId="0" applyAlignment="1" applyBorder="1" applyFont="1" applyNumberFormat="1">
      <alignment horizontal="center" readingOrder="0" vertical="center"/>
    </xf>
    <xf borderId="1" fillId="4" fontId="35" numFmtId="166" xfId="0" applyAlignment="1" applyBorder="1" applyFont="1" applyNumberFormat="1">
      <alignment horizontal="center" readingOrder="0" vertical="center"/>
    </xf>
    <xf borderId="1" fillId="0" fontId="35" numFmtId="0" xfId="0" applyAlignment="1" applyBorder="1" applyFont="1">
      <alignment horizontal="center" readingOrder="0" vertical="center"/>
    </xf>
    <xf borderId="1" fillId="0" fontId="35" numFmtId="0" xfId="0" applyAlignment="1" applyBorder="1" applyFont="1">
      <alignment horizontal="center" vertical="center"/>
    </xf>
    <xf borderId="1" fillId="0" fontId="35" numFmtId="0" xfId="0" applyAlignment="1" applyBorder="1" applyFont="1">
      <alignment horizontal="center" vertical="center"/>
    </xf>
    <xf borderId="1" fillId="0" fontId="35" numFmtId="166" xfId="0" applyAlignment="1" applyBorder="1" applyFont="1" applyNumberFormat="1">
      <alignment horizontal="center" vertical="center"/>
    </xf>
    <xf borderId="1" fillId="3" fontId="29" numFmtId="0" xfId="0" applyAlignment="1" applyBorder="1" applyFont="1">
      <alignment horizontal="center" readingOrder="0" vertical="center"/>
    </xf>
    <xf borderId="1" fillId="3" fontId="29" numFmtId="165" xfId="0" applyAlignment="1" applyBorder="1" applyFont="1" applyNumberFormat="1">
      <alignment horizontal="center" readingOrder="0" vertical="center"/>
    </xf>
    <xf borderId="1" fillId="3" fontId="29" numFmtId="166" xfId="0" applyAlignment="1" applyBorder="1" applyFont="1" applyNumberFormat="1">
      <alignment horizontal="center" readingOrder="0" vertical="center"/>
    </xf>
    <xf borderId="1" fillId="5" fontId="3" numFmtId="166" xfId="0" applyAlignment="1" applyBorder="1" applyFont="1" applyNumberFormat="1">
      <alignment horizontal="center" vertical="center"/>
    </xf>
    <xf borderId="1" fillId="5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readingOrder="0" vertical="center"/>
    </xf>
    <xf borderId="1" fillId="3" fontId="36" numFmtId="165" xfId="0" applyAlignment="1" applyBorder="1" applyFont="1" applyNumberFormat="1">
      <alignment horizontal="center" readingOrder="0" vertical="center"/>
    </xf>
    <xf borderId="1" fillId="3" fontId="36" numFmtId="166" xfId="0" applyAlignment="1" applyBorder="1" applyFont="1" applyNumberFormat="1">
      <alignment horizontal="center" readingOrder="0" vertical="center"/>
    </xf>
    <xf borderId="1" fillId="0" fontId="36" numFmtId="0" xfId="0" applyAlignment="1" applyBorder="1" applyFont="1">
      <alignment horizontal="center" readingOrder="0" vertical="center"/>
    </xf>
    <xf borderId="1" fillId="0" fontId="36" numFmtId="0" xfId="0" applyAlignment="1" applyBorder="1" applyFont="1">
      <alignment horizontal="center" vertical="center"/>
    </xf>
    <xf borderId="1" fillId="0" fontId="36" numFmtId="0" xfId="0" applyAlignment="1" applyBorder="1" applyFont="1">
      <alignment horizontal="center" vertical="center"/>
    </xf>
    <xf borderId="1" fillId="0" fontId="36" numFmtId="166" xfId="0" applyAlignment="1" applyBorder="1" applyFont="1" applyNumberFormat="1">
      <alignment horizontal="center" vertical="center"/>
    </xf>
    <xf borderId="1" fillId="6" fontId="3" numFmtId="0" xfId="0" applyAlignment="1" applyBorder="1" applyFont="1">
      <alignment horizontal="center" vertical="center"/>
    </xf>
    <xf borderId="1" fillId="6" fontId="3" numFmtId="165" xfId="0" applyAlignment="1" applyBorder="1" applyFont="1" applyNumberFormat="1">
      <alignment horizontal="center" readingOrder="0" vertical="center"/>
    </xf>
    <xf borderId="1" fillId="6" fontId="3" numFmtId="164" xfId="0" applyAlignment="1" applyBorder="1" applyFont="1" applyNumberFormat="1">
      <alignment horizontal="center" readingOrder="0" vertical="center"/>
    </xf>
    <xf borderId="1" fillId="6" fontId="3" numFmtId="166" xfId="0" applyAlignment="1" applyBorder="1" applyFont="1" applyNumberFormat="1">
      <alignment horizontal="center" readingOrder="0" vertical="center"/>
    </xf>
    <xf borderId="1" fillId="0" fontId="36" numFmtId="165" xfId="0" applyAlignment="1" applyBorder="1" applyFont="1" applyNumberFormat="1">
      <alignment horizontal="center" readingOrder="0" vertical="center"/>
    </xf>
    <xf borderId="1" fillId="0" fontId="36" numFmtId="166" xfId="0" applyAlignment="1" applyBorder="1" applyFont="1" applyNumberFormat="1">
      <alignment horizontal="center" readingOrder="0" vertical="center"/>
    </xf>
    <xf borderId="1" fillId="0" fontId="36" numFmtId="164" xfId="0" applyAlignment="1" applyBorder="1" applyFont="1" applyNumberForma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8" numFmtId="166" xfId="0" applyAlignment="1" applyBorder="1" applyFont="1" applyNumberFormat="1">
      <alignment horizontal="center" vertical="center"/>
    </xf>
    <xf borderId="1" fillId="0" fontId="8" numFmtId="165" xfId="0" applyAlignment="1" applyBorder="1" applyFont="1" applyNumberFormat="1">
      <alignment horizontal="center" readingOrder="0" vertical="center"/>
    </xf>
    <xf borderId="1" fillId="0" fontId="8" numFmtId="166" xfId="0" applyAlignment="1" applyBorder="1" applyFont="1" applyNumberFormat="1">
      <alignment horizontal="center" readingOrder="0" vertical="center"/>
    </xf>
    <xf borderId="1" fillId="0" fontId="8" numFmtId="164" xfId="0" applyAlignment="1" applyBorder="1" applyFont="1" applyNumberFormat="1">
      <alignment horizontal="center" readingOrder="0" vertical="center"/>
    </xf>
    <xf borderId="1" fillId="0" fontId="8" numFmtId="164" xfId="0" applyAlignment="1" applyBorder="1" applyFont="1" applyNumberFormat="1">
      <alignment horizontal="center" vertical="center"/>
    </xf>
    <xf borderId="1" fillId="0" fontId="8" numFmtId="165" xfId="0" applyAlignment="1" applyBorder="1" applyFont="1" applyNumberFormat="1">
      <alignment horizontal="center" vertical="center"/>
    </xf>
    <xf borderId="0" fillId="0" fontId="8" numFmtId="165" xfId="0" applyAlignment="1" applyFont="1" applyNumberForma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6" xfId="0" applyAlignment="1" applyBorder="1" applyFont="1" applyNumberFormat="1">
      <alignment horizontal="center" readingOrder="0" vertical="center"/>
    </xf>
    <xf borderId="2" fillId="0" fontId="7" numFmtId="164" xfId="0" applyAlignment="1" applyBorder="1" applyFont="1" applyNumberFormat="1">
      <alignment horizontal="center" readingOrder="0" vertical="center"/>
    </xf>
    <xf borderId="4" fillId="0" fontId="7" numFmtId="164" xfId="0" applyAlignment="1" applyBorder="1" applyFont="1" applyNumberForma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4" fillId="0" fontId="7" numFmtId="166" xfId="0" applyAlignment="1" applyBorder="1" applyFont="1" applyNumberFormat="1">
      <alignment horizontal="center" readingOrder="0" vertical="center"/>
    </xf>
    <xf borderId="1" fillId="0" fontId="36" numFmtId="165" xfId="0" applyAlignment="1" applyBorder="1" applyFont="1" applyNumberFormat="1">
      <alignment horizontal="center" vertical="center"/>
    </xf>
    <xf borderId="1" fillId="6" fontId="3" numFmtId="166" xfId="0" applyAlignment="1" applyBorder="1" applyFont="1" applyNumberFormat="1">
      <alignment horizontal="center" vertical="center"/>
    </xf>
    <xf borderId="1" fillId="4" fontId="3" numFmtId="165" xfId="0" applyAlignment="1" applyBorder="1" applyFont="1" applyNumberFormat="1">
      <alignment horizontal="center" readingOrder="0" vertical="center"/>
    </xf>
    <xf borderId="1" fillId="4" fontId="3" numFmtId="166" xfId="0" applyAlignment="1" applyBorder="1" applyFont="1" applyNumberFormat="1">
      <alignment horizontal="center" readingOrder="0" vertical="center"/>
    </xf>
    <xf borderId="1" fillId="4" fontId="3" numFmtId="164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5" xfId="0" applyAlignment="1" applyBorder="1" applyFont="1" applyNumberFormat="1">
      <alignment horizontal="center" readingOrder="0" vertical="center"/>
    </xf>
    <xf borderId="1" fillId="11" fontId="3" numFmtId="166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vertical="center"/>
    </xf>
    <xf borderId="1" fillId="11" fontId="3" numFmtId="164" xfId="0" applyAlignment="1" applyBorder="1" applyFont="1" applyNumberFormat="1">
      <alignment horizontal="center" readingOrder="0" vertical="center"/>
    </xf>
    <xf borderId="1" fillId="0" fontId="37" numFmtId="166" xfId="0" applyAlignment="1" applyBorder="1" applyFont="1" applyNumberFormat="1">
      <alignment horizontal="center" vertical="center"/>
    </xf>
    <xf borderId="1" fillId="0" fontId="37" numFmtId="0" xfId="0" applyAlignment="1" applyBorder="1" applyFont="1">
      <alignment horizontal="center" vertical="center"/>
    </xf>
    <xf borderId="1" fillId="0" fontId="37" numFmtId="0" xfId="0" applyAlignment="1" applyBorder="1" applyFont="1">
      <alignment horizontal="center" readingOrder="0" vertical="center"/>
    </xf>
    <xf borderId="1" fillId="0" fontId="37" numFmtId="0" xfId="0" applyAlignment="1" applyBorder="1" applyFont="1">
      <alignment horizontal="center" vertical="center"/>
    </xf>
    <xf borderId="3" fillId="0" fontId="8" numFmtId="0" xfId="0" applyAlignment="1" applyBorder="1" applyFont="1">
      <alignment horizontal="center" vertical="center"/>
    </xf>
    <xf borderId="3" fillId="0" fontId="8" numFmtId="165" xfId="0" applyAlignment="1" applyBorder="1" applyFont="1" applyNumberFormat="1">
      <alignment horizontal="center" vertical="center"/>
    </xf>
    <xf borderId="3" fillId="0" fontId="8" numFmtId="164" xfId="0" applyAlignment="1" applyBorder="1" applyFont="1" applyNumberFormat="1">
      <alignment horizontal="center" vertical="center"/>
    </xf>
    <xf borderId="1" fillId="7" fontId="8" numFmtId="0" xfId="0" applyAlignment="1" applyBorder="1" applyFont="1">
      <alignment horizontal="center" vertical="center"/>
    </xf>
    <xf borderId="1" fillId="7" fontId="8" numFmtId="0" xfId="0" applyAlignment="1" applyBorder="1" applyFont="1">
      <alignment horizontal="center" readingOrder="0" vertical="center"/>
    </xf>
    <xf borderId="1" fillId="7" fontId="8" numFmtId="165" xfId="0" applyAlignment="1" applyBorder="1" applyFont="1" applyNumberFormat="1">
      <alignment horizontal="center" readingOrder="0" vertical="center"/>
    </xf>
    <xf borderId="1" fillId="7" fontId="8" numFmtId="164" xfId="0" applyAlignment="1" applyBorder="1" applyFont="1" applyNumberForma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3" fillId="0" fontId="8" numFmtId="165" xfId="0" applyAlignment="1" applyBorder="1" applyFont="1" applyNumberFormat="1">
      <alignment horizontal="center" readingOrder="0" vertical="center"/>
    </xf>
    <xf borderId="1" fillId="3" fontId="34" numFmtId="0" xfId="0" applyAlignment="1" applyBorder="1" applyFont="1">
      <alignment horizontal="center" readingOrder="0" vertical="center"/>
    </xf>
    <xf borderId="1" fillId="3" fontId="34" numFmtId="165" xfId="0" applyAlignment="1" applyBorder="1" applyFont="1" applyNumberFormat="1">
      <alignment horizontal="center" readingOrder="0" vertical="center"/>
    </xf>
    <xf borderId="1" fillId="3" fontId="34" numFmtId="166" xfId="0" applyAlignment="1" applyBorder="1" applyFont="1" applyNumberFormat="1">
      <alignment horizontal="center" readingOrder="0" vertical="center"/>
    </xf>
    <xf borderId="1" fillId="0" fontId="38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vertical="center"/>
    </xf>
    <xf borderId="1" fillId="12" fontId="4" numFmtId="0" xfId="0" applyAlignment="1" applyBorder="1" applyFont="1">
      <alignment horizontal="center" readingOrder="0" vertical="center"/>
    </xf>
    <xf borderId="1" fillId="12" fontId="4" numFmtId="165" xfId="0" applyAlignment="1" applyBorder="1" applyFont="1" applyNumberFormat="1">
      <alignment horizontal="center" readingOrder="0" vertical="center"/>
    </xf>
    <xf borderId="1" fillId="12" fontId="4" numFmtId="166" xfId="0" applyAlignment="1" applyBorder="1" applyFont="1" applyNumberFormat="1">
      <alignment horizontal="center" readingOrder="0" vertical="center"/>
    </xf>
    <xf borderId="1" fillId="12" fontId="4" numFmtId="0" xfId="0" applyAlignment="1" applyBorder="1" applyFont="1">
      <alignment horizontal="center" vertical="center"/>
    </xf>
    <xf borderId="1" fillId="12" fontId="4" numFmtId="0" xfId="0" applyAlignment="1" applyBorder="1" applyFont="1">
      <alignment horizontal="center" vertical="center"/>
    </xf>
    <xf borderId="1" fillId="7" fontId="39" numFmtId="0" xfId="0" applyAlignment="1" applyBorder="1" applyFont="1">
      <alignment horizontal="center" readingOrder="0" vertical="center"/>
    </xf>
    <xf borderId="1" fillId="7" fontId="39" numFmtId="0" xfId="0" applyAlignment="1" applyBorder="1" applyFont="1">
      <alignment horizontal="center" vertical="center"/>
    </xf>
    <xf borderId="1" fillId="7" fontId="39" numFmtId="0" xfId="0" applyAlignment="1" applyBorder="1" applyFont="1">
      <alignment horizontal="center" vertical="center"/>
    </xf>
    <xf borderId="1" fillId="7" fontId="39" numFmtId="166" xfId="0" applyAlignment="1" applyBorder="1" applyFont="1" applyNumberFormat="1">
      <alignment horizontal="center" vertical="center"/>
    </xf>
    <xf borderId="1" fillId="0" fontId="39" numFmtId="0" xfId="0" applyAlignment="1" applyBorder="1" applyFont="1">
      <alignment horizontal="center" readingOrder="0" vertical="center"/>
    </xf>
    <xf borderId="1" fillId="0" fontId="39" numFmtId="0" xfId="0" applyAlignment="1" applyBorder="1" applyFont="1">
      <alignment horizontal="center" vertical="center"/>
    </xf>
    <xf borderId="1" fillId="0" fontId="39" numFmtId="0" xfId="0" applyAlignment="1" applyBorder="1" applyFont="1">
      <alignment horizontal="center" vertical="center"/>
    </xf>
    <xf borderId="1" fillId="0" fontId="39" numFmtId="166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shrinkToFit="0" vertical="center" wrapText="0"/>
    </xf>
    <xf borderId="1" fillId="13" fontId="3" numFmtId="0" xfId="0" applyAlignment="1" applyBorder="1" applyFont="1">
      <alignment horizontal="center" readingOrder="0" vertical="center"/>
    </xf>
    <xf borderId="1" fillId="13" fontId="3" numFmtId="165" xfId="0" applyAlignment="1" applyBorder="1" applyFont="1" applyNumberFormat="1">
      <alignment horizontal="center" readingOrder="0" vertical="center"/>
    </xf>
    <xf borderId="1" fillId="13" fontId="3" numFmtId="164" xfId="0" applyAlignment="1" applyBorder="1" applyFont="1" applyNumberFormat="1">
      <alignment horizontal="center" readingOrder="0" vertical="center"/>
    </xf>
    <xf borderId="1" fillId="13" fontId="3" numFmtId="166" xfId="0" applyAlignment="1" applyBorder="1" applyFont="1" applyNumberFormat="1">
      <alignment horizontal="center" readingOrder="0" vertical="center"/>
    </xf>
    <xf borderId="1" fillId="0" fontId="32" numFmtId="0" xfId="0" applyAlignment="1" applyBorder="1" applyFont="1">
      <alignment horizontal="center" readingOrder="0" vertical="center"/>
    </xf>
    <xf borderId="1" fillId="0" fontId="32" numFmtId="0" xfId="0" applyAlignment="1" applyBorder="1" applyFont="1">
      <alignment horizontal="center" vertical="center"/>
    </xf>
    <xf borderId="1" fillId="14" fontId="3" numFmtId="0" xfId="0" applyAlignment="1" applyBorder="1" applyFont="1">
      <alignment horizontal="center" readingOrder="0" vertical="center"/>
    </xf>
    <xf borderId="1" fillId="14" fontId="3" numFmtId="165" xfId="0" applyAlignment="1" applyBorder="1" applyFont="1" applyNumberFormat="1">
      <alignment horizontal="center" readingOrder="0" vertical="center"/>
    </xf>
    <xf borderId="1" fillId="14" fontId="3" numFmtId="166" xfId="0" applyAlignment="1" applyBorder="1" applyFont="1" applyNumberFormat="1">
      <alignment horizontal="center" readingOrder="0" vertical="center"/>
    </xf>
    <xf borderId="1" fillId="0" fontId="40" numFmtId="0" xfId="0" applyAlignment="1" applyBorder="1" applyFont="1">
      <alignment horizontal="center" readingOrder="0" vertical="center"/>
    </xf>
    <xf borderId="1" fillId="7" fontId="36" numFmtId="0" xfId="0" applyAlignment="1" applyBorder="1" applyFont="1">
      <alignment horizontal="center" vertical="center"/>
    </xf>
    <xf borderId="1" fillId="7" fontId="36" numFmtId="0" xfId="0" applyAlignment="1" applyBorder="1" applyFont="1">
      <alignment horizontal="center" readingOrder="0" vertical="center"/>
    </xf>
    <xf borderId="1" fillId="15" fontId="3" numFmtId="0" xfId="0" applyAlignment="1" applyBorder="1" applyFont="1">
      <alignment horizontal="center" vertical="center"/>
    </xf>
    <xf borderId="1" fillId="15" fontId="3" numFmtId="0" xfId="0" applyAlignment="1" applyBorder="1" applyFont="1">
      <alignment horizontal="center" readingOrder="0" vertical="center"/>
    </xf>
    <xf borderId="1" fillId="15" fontId="3" numFmtId="165" xfId="0" applyAlignment="1" applyBorder="1" applyFont="1" applyNumberFormat="1">
      <alignment horizontal="center" readingOrder="0" vertical="center"/>
    </xf>
    <xf borderId="1" fillId="15" fontId="3" numFmtId="166" xfId="0" applyAlignment="1" applyBorder="1" applyFont="1" applyNumberFormat="1">
      <alignment horizontal="center" readingOrder="0" vertical="center"/>
    </xf>
    <xf borderId="1" fillId="15" fontId="3" numFmtId="0" xfId="0" applyAlignment="1" applyBorder="1" applyFont="1">
      <alignment horizontal="center" vertical="center"/>
    </xf>
    <xf borderId="1" fillId="0" fontId="41" numFmtId="0" xfId="0" applyAlignment="1" applyBorder="1" applyFont="1">
      <alignment horizontal="center" readingOrder="0" vertical="center"/>
    </xf>
    <xf borderId="1" fillId="0" fontId="41" numFmtId="0" xfId="0" applyAlignment="1" applyBorder="1" applyFont="1">
      <alignment horizontal="center" vertical="center"/>
    </xf>
    <xf borderId="1" fillId="0" fontId="41" numFmtId="0" xfId="0" applyAlignment="1" applyBorder="1" applyFont="1">
      <alignment horizontal="center" vertical="center"/>
    </xf>
    <xf borderId="1" fillId="0" fontId="41" numFmtId="166" xfId="0" applyAlignment="1" applyBorder="1" applyFont="1" applyNumberFormat="1">
      <alignment horizontal="center" vertical="center"/>
    </xf>
    <xf borderId="1" fillId="15" fontId="3" numFmtId="164" xfId="0" applyAlignment="1" applyBorder="1" applyFont="1" applyNumberFormat="1">
      <alignment horizontal="center" vertical="center"/>
    </xf>
    <xf borderId="1" fillId="9" fontId="29" numFmtId="164" xfId="0" applyAlignment="1" applyBorder="1" applyFont="1" applyNumberFormat="1">
      <alignment horizontal="center" vertical="center"/>
    </xf>
    <xf borderId="1" fillId="10" fontId="30" numFmtId="166" xfId="0" applyAlignment="1" applyBorder="1" applyFont="1" applyNumberFormat="1">
      <alignment horizontal="center" readingOrder="0" vertical="center"/>
    </xf>
    <xf borderId="1" fillId="5" fontId="35" numFmtId="0" xfId="0" applyAlignment="1" applyBorder="1" applyFont="1">
      <alignment horizontal="center" readingOrder="0" vertical="center"/>
    </xf>
    <xf borderId="1" fillId="5" fontId="35" numFmtId="165" xfId="0" applyAlignment="1" applyBorder="1" applyFont="1" applyNumberFormat="1">
      <alignment horizontal="center" readingOrder="0" vertical="center"/>
    </xf>
    <xf borderId="1" fillId="5" fontId="35" numFmtId="166" xfId="0" applyAlignment="1" applyBorder="1" applyFont="1" applyNumberFormat="1">
      <alignment horizontal="center" readingOrder="0" vertical="center"/>
    </xf>
    <xf borderId="1" fillId="3" fontId="8" numFmtId="0" xfId="0" applyAlignment="1" applyBorder="1" applyFont="1">
      <alignment horizontal="center" readingOrder="0" vertical="center"/>
    </xf>
    <xf borderId="1" fillId="3" fontId="8" numFmtId="0" xfId="0" applyAlignment="1" applyBorder="1" applyFont="1">
      <alignment horizontal="center" vertical="center"/>
    </xf>
    <xf borderId="1" fillId="3" fontId="8" numFmtId="0" xfId="0" applyAlignment="1" applyBorder="1" applyFont="1">
      <alignment horizontal="center" vertical="center"/>
    </xf>
    <xf borderId="1" fillId="3" fontId="8" numFmtId="166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vertical="center"/>
    </xf>
    <xf borderId="1" fillId="3" fontId="36" numFmtId="164" xfId="0" applyAlignment="1" applyBorder="1" applyFont="1" applyNumberFormat="1">
      <alignment horizontal="center" readingOrder="0" vertical="center"/>
    </xf>
    <xf borderId="1" fillId="6" fontId="35" numFmtId="0" xfId="0" applyAlignment="1" applyBorder="1" applyFont="1">
      <alignment horizontal="center" readingOrder="0" vertical="center"/>
    </xf>
    <xf borderId="1" fillId="6" fontId="35" numFmtId="0" xfId="0" applyAlignment="1" applyBorder="1" applyFont="1">
      <alignment horizontal="center" vertical="center"/>
    </xf>
    <xf borderId="1" fillId="6" fontId="35" numFmtId="0" xfId="0" applyAlignment="1" applyBorder="1" applyFont="1">
      <alignment horizontal="center" vertical="center"/>
    </xf>
    <xf borderId="1" fillId="6" fontId="35" numFmtId="166" xfId="0" applyAlignment="1" applyBorder="1" applyFont="1" applyNumberFormat="1">
      <alignment horizontal="center" vertical="center"/>
    </xf>
    <xf borderId="1" fillId="15" fontId="3" numFmtId="165" xfId="0" applyAlignment="1" applyBorder="1" applyFont="1" applyNumberFormat="1">
      <alignment horizontal="center" vertical="center"/>
    </xf>
    <xf borderId="1" fillId="7" fontId="8" numFmtId="166" xfId="0" applyAlignment="1" applyBorder="1" applyFont="1" applyNumberFormat="1">
      <alignment horizontal="center" vertical="center"/>
    </xf>
    <xf borderId="1" fillId="14" fontId="3" numFmtId="0" xfId="0" applyAlignment="1" applyBorder="1" applyFont="1">
      <alignment horizontal="center" vertical="center"/>
    </xf>
    <xf borderId="1" fillId="14" fontId="3" numFmtId="0" xfId="0" applyAlignment="1" applyBorder="1" applyFont="1">
      <alignment horizontal="center" vertical="center"/>
    </xf>
    <xf borderId="1" fillId="14" fontId="3" numFmtId="166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vertical="center"/>
    </xf>
    <xf borderId="1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readingOrder="0" vertical="center"/>
    </xf>
    <xf borderId="1" fillId="15" fontId="9" numFmtId="166" xfId="0" applyAlignment="1" applyBorder="1" applyFont="1" applyNumberFormat="1">
      <alignment horizontal="center" vertical="center"/>
    </xf>
    <xf borderId="1" fillId="7" fontId="14" numFmtId="0" xfId="0" applyAlignment="1" applyBorder="1" applyFont="1">
      <alignment horizontal="center" vertical="center"/>
    </xf>
    <xf borderId="1" fillId="7" fontId="14" numFmtId="0" xfId="0" applyAlignment="1" applyBorder="1" applyFont="1">
      <alignment vertical="center"/>
    </xf>
    <xf borderId="1" fillId="7" fontId="14" numFmtId="166" xfId="0" applyAlignment="1" applyBorder="1" applyFont="1" applyNumberFormat="1">
      <alignment horizontal="center" vertical="center"/>
    </xf>
    <xf borderId="1" fillId="7" fontId="14" numFmtId="0" xfId="0" applyAlignment="1" applyBorder="1" applyFont="1">
      <alignment horizontal="center" readingOrder="0" vertical="center"/>
    </xf>
    <xf borderId="1" fillId="7" fontId="7" numFmtId="166" xfId="0" applyAlignment="1" applyBorder="1" applyFont="1" applyNumberFormat="1">
      <alignment horizontal="center" readingOrder="0" vertical="center"/>
    </xf>
    <xf borderId="1" fillId="7" fontId="7" numFmtId="164" xfId="0" applyAlignment="1" applyBorder="1" applyFont="1" applyNumberFormat="1">
      <alignment horizontal="center" vertical="center"/>
    </xf>
    <xf borderId="1" fillId="12" fontId="20" numFmtId="166" xfId="0" applyAlignment="1" applyBorder="1" applyFont="1" applyNumberFormat="1">
      <alignment horizontal="center" readingOrder="0" vertical="center"/>
    </xf>
    <xf borderId="1" fillId="4" fontId="26" numFmtId="0" xfId="0" applyAlignment="1" applyBorder="1" applyFont="1">
      <alignment horizontal="center" vertical="center"/>
    </xf>
    <xf borderId="1" fillId="4" fontId="26" numFmtId="0" xfId="0" applyAlignment="1" applyBorder="1" applyFont="1">
      <alignment horizontal="center" readingOrder="0" vertical="center"/>
    </xf>
    <xf borderId="1" fillId="4" fontId="26" numFmtId="166" xfId="0" applyAlignment="1" applyBorder="1" applyFont="1" applyNumberFormat="1">
      <alignment horizontal="center" vertical="center"/>
    </xf>
    <xf borderId="1" fillId="10" fontId="1" numFmtId="0" xfId="0" applyAlignment="1" applyBorder="1" applyFont="1">
      <alignment vertical="center"/>
    </xf>
    <xf borderId="1" fillId="10" fontId="18" numFmtId="0" xfId="0" applyAlignment="1" applyBorder="1" applyFont="1">
      <alignment vertical="center"/>
    </xf>
    <xf borderId="1" fillId="11" fontId="9" numFmtId="0" xfId="0" applyAlignment="1" applyBorder="1" applyFont="1">
      <alignment horizontal="center" vertical="center"/>
    </xf>
    <xf borderId="1" fillId="0" fontId="23" numFmtId="0" xfId="0" applyAlignment="1" applyBorder="1" applyFont="1">
      <alignment vertical="center"/>
    </xf>
    <xf borderId="1" fillId="0" fontId="23" numFmtId="164" xfId="0" applyAlignment="1" applyBorder="1" applyFont="1" applyNumberFormat="1">
      <alignment horizontal="center" vertical="center"/>
    </xf>
    <xf borderId="1" fillId="15" fontId="9" numFmtId="0" xfId="0" applyAlignment="1" applyBorder="1" applyFont="1">
      <alignment horizontal="center" vertical="center"/>
    </xf>
    <xf borderId="1" fillId="6" fontId="1" numFmtId="0" xfId="0" applyAlignment="1" applyBorder="1" applyFont="1">
      <alignment vertical="center"/>
    </xf>
    <xf borderId="1" fillId="7" fontId="10" numFmtId="166" xfId="0" applyAlignment="1" applyBorder="1" applyFont="1" applyNumberFormat="1">
      <alignment horizontal="center" vertical="center"/>
    </xf>
    <xf borderId="1" fillId="7" fontId="10" numFmtId="166" xfId="0" applyAlignment="1" applyBorder="1" applyFont="1" applyNumberFormat="1">
      <alignment horizontal="center" readingOrder="0" vertical="center"/>
    </xf>
    <xf borderId="1" fillId="7" fontId="10" numFmtId="164" xfId="0" applyAlignment="1" applyBorder="1" applyFont="1" applyNumberFormat="1">
      <alignment horizontal="center" vertical="center"/>
    </xf>
    <xf borderId="1" fillId="7" fontId="20" numFmtId="166" xfId="0" applyAlignment="1" applyBorder="1" applyFont="1" applyNumberFormat="1">
      <alignment horizontal="center" vertical="center"/>
    </xf>
    <xf borderId="1" fillId="13" fontId="9" numFmtId="0" xfId="0" applyAlignment="1" applyBorder="1" applyFont="1">
      <alignment horizontal="center" vertical="center"/>
    </xf>
    <xf borderId="1" fillId="6" fontId="22" numFmtId="0" xfId="0" applyAlignment="1" applyBorder="1" applyFont="1">
      <alignment vertical="center"/>
    </xf>
    <xf borderId="1" fillId="0" fontId="27" numFmtId="0" xfId="0" applyAlignment="1" applyBorder="1" applyFont="1">
      <alignment vertical="center"/>
    </xf>
    <xf borderId="1" fillId="0" fontId="19" numFmtId="0" xfId="0" applyAlignment="1" applyBorder="1" applyFont="1">
      <alignment vertical="center"/>
    </xf>
    <xf borderId="1" fillId="10" fontId="18" numFmtId="164" xfId="0" applyAlignment="1" applyBorder="1" applyFont="1" applyNumberFormat="1">
      <alignment horizontal="center" vertical="center"/>
    </xf>
    <xf borderId="1" fillId="3" fontId="10" numFmtId="166" xfId="0" applyAlignment="1" applyBorder="1" applyFont="1" applyNumberFormat="1">
      <alignment horizontal="center" vertical="center"/>
    </xf>
    <xf borderId="1" fillId="6" fontId="9" numFmtId="0" xfId="0" applyAlignment="1" applyBorder="1" applyFont="1">
      <alignment vertical="center"/>
    </xf>
    <xf borderId="1" fillId="9" fontId="17" numFmtId="166" xfId="0" applyAlignment="1" applyBorder="1" applyFont="1" applyNumberFormat="1">
      <alignment horizontal="center" vertical="center"/>
    </xf>
    <xf borderId="1" fillId="5" fontId="22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1" fillId="4" fontId="9" numFmtId="164" xfId="0" applyAlignment="1" applyBorder="1" applyFont="1" applyNumberFormat="1">
      <alignment horizontal="center" vertical="center"/>
    </xf>
    <xf borderId="1" fillId="7" fontId="1" numFmtId="0" xfId="0" applyAlignment="1" applyBorder="1" applyFont="1">
      <alignment horizontal="left" vertical="center"/>
    </xf>
    <xf borderId="1" fillId="0" fontId="18" numFmtId="0" xfId="0" applyAlignment="1" applyBorder="1" applyFont="1">
      <alignment horizontal="center" vertical="center"/>
    </xf>
    <xf borderId="1" fillId="0" fontId="18" numFmtId="166" xfId="0" applyAlignment="1" applyBorder="1" applyFont="1" applyNumberFormat="1">
      <alignment horizontal="center" vertical="center"/>
    </xf>
    <xf borderId="1" fillId="3" fontId="17" numFmtId="0" xfId="0" applyAlignment="1" applyBorder="1" applyFont="1">
      <alignment horizontal="center" vertical="center"/>
    </xf>
    <xf borderId="1" fillId="0" fontId="7" numFmtId="164" xfId="0" applyAlignment="1" applyBorder="1" applyFont="1" applyNumberFormat="1">
      <alignment horizontal="center" vertical="center"/>
    </xf>
    <xf borderId="3" fillId="0" fontId="7" numFmtId="166" xfId="0" applyAlignment="1" applyBorder="1" applyFont="1" applyNumberFormat="1">
      <alignment horizontal="center" vertical="center"/>
    </xf>
    <xf borderId="2" fillId="0" fontId="7" numFmtId="164" xfId="0" applyAlignment="1" applyBorder="1" applyFont="1" applyNumberFormat="1">
      <alignment horizontal="center" vertical="center"/>
    </xf>
    <xf borderId="4" fillId="0" fontId="7" numFmtId="166" xfId="0" applyAlignment="1" applyBorder="1" applyFont="1" applyNumberFormat="1">
      <alignment horizontal="center" vertical="center"/>
    </xf>
    <xf borderId="1" fillId="4" fontId="1" numFmtId="0" xfId="0" applyAlignment="1" applyBorder="1" applyFont="1">
      <alignment vertical="center"/>
    </xf>
    <xf borderId="1" fillId="18" fontId="9" numFmtId="0" xfId="0" applyAlignment="1" applyBorder="1" applyFill="1" applyFont="1">
      <alignment horizontal="center" readingOrder="0" vertical="center"/>
    </xf>
    <xf borderId="1" fillId="18" fontId="9" numFmtId="0" xfId="0" applyAlignment="1" applyBorder="1" applyFont="1">
      <alignment horizontal="center" vertical="center"/>
    </xf>
    <xf borderId="1" fillId="18" fontId="9" numFmtId="166" xfId="0" applyAlignment="1" applyBorder="1" applyFont="1" applyNumberFormat="1">
      <alignment horizontal="center" readingOrder="0" vertical="center"/>
    </xf>
    <xf borderId="1" fillId="18" fontId="9" numFmtId="166" xfId="0" applyAlignment="1" applyBorder="1" applyFont="1" applyNumberFormat="1">
      <alignment horizontal="center" vertical="center"/>
    </xf>
    <xf borderId="1" fillId="10" fontId="22" numFmtId="0" xfId="0" applyAlignment="1" applyBorder="1" applyFont="1">
      <alignment vertical="center"/>
    </xf>
    <xf borderId="1" fillId="5" fontId="42" numFmtId="0" xfId="0" applyAlignment="1" applyBorder="1" applyFont="1">
      <alignment horizontal="center" readingOrder="0" vertical="center"/>
    </xf>
    <xf borderId="1" fillId="14" fontId="9" numFmtId="0" xfId="0" applyAlignment="1" applyBorder="1" applyFont="1">
      <alignment vertical="center"/>
    </xf>
    <xf borderId="1" fillId="7" fontId="10" numFmtId="0" xfId="0" applyAlignment="1" applyBorder="1" applyFont="1">
      <alignment vertical="center"/>
    </xf>
    <xf borderId="1" fillId="7" fontId="27" numFmtId="0" xfId="0" applyAlignment="1" applyBorder="1" applyFont="1">
      <alignment horizontal="center" vertical="center"/>
    </xf>
    <xf borderId="1" fillId="7" fontId="27" numFmtId="166" xfId="0" applyAlignment="1" applyBorder="1" applyFont="1" applyNumberFormat="1">
      <alignment horizontal="center" vertical="center"/>
    </xf>
    <xf borderId="1" fillId="7" fontId="27" numFmtId="0" xfId="0" applyAlignment="1" applyBorder="1" applyFont="1">
      <alignment horizontal="center" readingOrder="0" vertical="center"/>
    </xf>
    <xf borderId="1" fillId="7" fontId="23" numFmtId="0" xfId="0" applyAlignment="1" applyBorder="1" applyFont="1">
      <alignment horizontal="center" vertical="center"/>
    </xf>
    <xf borderId="1" fillId="7" fontId="23" numFmtId="166" xfId="0" applyAlignment="1" applyBorder="1" applyFont="1" applyNumberFormat="1">
      <alignment horizontal="center" vertical="center"/>
    </xf>
    <xf borderId="1" fillId="4" fontId="26" numFmtId="0" xfId="0" applyAlignment="1" applyBorder="1" applyFont="1">
      <alignment vertical="center"/>
    </xf>
    <xf borderId="1" fillId="6" fontId="43" numFmtId="0" xfId="0" applyAlignment="1" applyBorder="1" applyFont="1">
      <alignment horizontal="center" readingOrder="0" vertical="center"/>
    </xf>
    <xf borderId="1" fillId="0" fontId="27" numFmtId="164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horizontal="center" vertical="center"/>
    </xf>
    <xf borderId="1" fillId="6" fontId="22" numFmtId="166" xfId="0" applyAlignment="1" applyBorder="1" applyFont="1" applyNumberFormat="1">
      <alignment horizontal="center" readingOrder="0" vertical="center"/>
    </xf>
    <xf borderId="1" fillId="7" fontId="19" numFmtId="0" xfId="0" applyAlignment="1" applyBorder="1" applyFont="1">
      <alignment horizontal="center" readingOrder="0" vertical="center"/>
    </xf>
    <xf borderId="1" fillId="7" fontId="19" numFmtId="0" xfId="0" applyAlignment="1" applyBorder="1" applyFont="1">
      <alignment vertical="center"/>
    </xf>
    <xf borderId="1" fillId="7" fontId="19" numFmtId="166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vertical="center"/>
    </xf>
    <xf borderId="1" fillId="0" fontId="10" numFmtId="0" xfId="0" applyAlignment="1" applyBorder="1" applyFont="1">
      <alignment vertical="center"/>
    </xf>
    <xf borderId="1" fillId="7" fontId="44" numFmtId="0" xfId="0" applyAlignment="1" applyBorder="1" applyFont="1">
      <alignment horizontal="center" vertical="center"/>
    </xf>
    <xf borderId="1" fillId="7" fontId="44" numFmtId="166" xfId="0" applyAlignment="1" applyBorder="1" applyFont="1" applyNumberFormat="1">
      <alignment horizontal="center" vertical="center"/>
    </xf>
    <xf borderId="1" fillId="10" fontId="9" numFmtId="0" xfId="0" applyAlignment="1" applyBorder="1" applyFont="1">
      <alignment horizontal="center" vertical="center"/>
    </xf>
    <xf borderId="1" fillId="7" fontId="17" numFmtId="0" xfId="0" applyAlignment="1" applyBorder="1" applyFont="1">
      <alignment horizontal="center" vertical="center"/>
    </xf>
    <xf borderId="1" fillId="7" fontId="17" numFmtId="166" xfId="0" applyAlignment="1" applyBorder="1" applyFont="1" applyNumberFormat="1">
      <alignment horizontal="center" vertical="center"/>
    </xf>
    <xf borderId="1" fillId="7" fontId="45" numFmtId="0" xfId="0" applyAlignment="1" applyBorder="1" applyFont="1">
      <alignment horizontal="center" readingOrder="0" vertical="center"/>
    </xf>
    <xf borderId="1" fillId="7" fontId="45" numFmtId="0" xfId="0" applyAlignment="1" applyBorder="1" applyFont="1">
      <alignment vertical="center"/>
    </xf>
    <xf borderId="1" fillId="7" fontId="45" numFmtId="166" xfId="0" applyAlignment="1" applyBorder="1" applyFont="1" applyNumberFormat="1">
      <alignment horizontal="center" vertical="center"/>
    </xf>
    <xf borderId="1" fillId="7" fontId="45" numFmtId="0" xfId="0" applyAlignment="1" applyBorder="1" applyFont="1">
      <alignment horizontal="center" vertical="center"/>
    </xf>
    <xf borderId="1" fillId="13" fontId="9" numFmtId="164" xfId="0" applyAlignment="1" applyBorder="1" applyFont="1" applyNumberFormat="1">
      <alignment horizontal="center" vertical="center"/>
    </xf>
    <xf borderId="1" fillId="7" fontId="7" numFmtId="0" xfId="0" applyAlignment="1" applyBorder="1" applyFont="1">
      <alignment horizontal="left" vertical="center"/>
    </xf>
    <xf borderId="1" fillId="4" fontId="22" numFmtId="0" xfId="0" applyAlignment="1" applyBorder="1" applyFont="1">
      <alignment horizontal="center" vertical="center"/>
    </xf>
    <xf borderId="1" fillId="3" fontId="20" numFmtId="0" xfId="0" applyAlignment="1" applyBorder="1" applyFont="1">
      <alignment horizontal="center" vertical="center"/>
    </xf>
    <xf borderId="1" fillId="3" fontId="20" numFmtId="0" xfId="0" applyAlignment="1" applyBorder="1" applyFont="1">
      <alignment vertical="center"/>
    </xf>
    <xf borderId="1" fillId="3" fontId="20" numFmtId="166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13" fontId="3" numFmtId="0" xfId="0" applyAlignment="1" applyBorder="1" applyFont="1">
      <alignment horizontal="center" vertical="center"/>
    </xf>
    <xf borderId="1" fillId="9" fontId="1" numFmtId="0" xfId="0" applyAlignment="1" applyBorder="1" applyFont="1">
      <alignment horizontal="center" vertical="center"/>
    </xf>
    <xf borderId="1" fillId="19" fontId="1" numFmtId="0" xfId="0" applyAlignment="1" applyBorder="1" applyFill="1" applyFont="1">
      <alignment horizontal="center" vertical="center"/>
    </xf>
    <xf borderId="1" fillId="19" fontId="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countries!$B$1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CC0000"/>
              </a:solidFill>
            </c:spPr>
          </c:dPt>
          <c:dPt>
            <c:idx val="2"/>
            <c:spPr>
              <a:solidFill>
                <a:srgbClr val="EFEFEF"/>
              </a:solidFill>
            </c:spPr>
          </c:dPt>
          <c:dPt>
            <c:idx val="3"/>
            <c:spPr>
              <a:solidFill>
                <a:srgbClr val="CC0000"/>
              </a:solidFill>
            </c:spPr>
          </c:dPt>
          <c:dPt>
            <c:idx val="4"/>
            <c:spPr>
              <a:solidFill>
                <a:srgbClr val="FFFF00"/>
              </a:solidFill>
            </c:spPr>
          </c:dPt>
          <c:dPt>
            <c:idx val="5"/>
            <c:spPr>
              <a:solidFill>
                <a:srgbClr val="0000FF"/>
              </a:solidFill>
            </c:spPr>
          </c:dPt>
          <c:dPt>
            <c:idx val="6"/>
            <c:spPr>
              <a:solidFill>
                <a:srgbClr val="F1C232"/>
              </a:solidFill>
            </c:spPr>
          </c:dPt>
          <c:dPt>
            <c:idx val="7"/>
            <c:spPr>
              <a:solidFill>
                <a:srgbClr val="0000FF"/>
              </a:solidFill>
            </c:spPr>
          </c:dPt>
          <c:dPt>
            <c:idx val="8"/>
            <c:spPr>
              <a:solidFill>
                <a:srgbClr val="000000"/>
              </a:solidFill>
            </c:spPr>
          </c:dPt>
          <c:dPt>
            <c:idx val="9"/>
            <c:spPr>
              <a:solidFill>
                <a:srgbClr val="EFEFEF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countries!$A$2:$A$11</c:f>
            </c:strRef>
          </c:cat>
          <c:val>
            <c:numRef>
              <c:f>countries!$B$2:$B$11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countries!$B$1</c:f>
            </c:strRef>
          </c:tx>
          <c:spPr>
            <a:solidFill>
              <a:srgbClr val="6FA8D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solidFill>
                      <a:srgbClr val="000000"/>
                    </a:solidFill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countries!$A$2:$A$11</c:f>
            </c:strRef>
          </c:cat>
          <c:val>
            <c:numRef>
              <c:f>countries!$B$2:$B$11</c:f>
              <c:numCache/>
            </c:numRef>
          </c:val>
        </c:ser>
        <c:axId val="1094015188"/>
        <c:axId val="1672427091"/>
      </c:bar3DChart>
      <c:catAx>
        <c:axId val="109401518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72427091"/>
      </c:catAx>
      <c:valAx>
        <c:axId val="167242709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Number of Games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9401518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developers!$B$1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developers!$A$2:$A$11</c:f>
            </c:strRef>
          </c:cat>
          <c:val>
            <c:numRef>
              <c:f>developers!$B$2:$B$11</c:f>
              <c:numCache/>
            </c:numRef>
          </c:val>
        </c:ser>
        <c:axId val="1029604934"/>
        <c:axId val="1879222852"/>
      </c:bar3DChart>
      <c:catAx>
        <c:axId val="102960493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79222852"/>
      </c:catAx>
      <c:valAx>
        <c:axId val="187922285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29604934"/>
        <c:crosses val="max"/>
      </c:valAx>
    </c:plotArea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consoles!$B$1</c:f>
            </c:strRef>
          </c:tx>
          <c:dPt>
            <c:idx val="0"/>
            <c:spPr>
              <a:solidFill>
                <a:srgbClr val="D9D9D9"/>
              </a:solidFill>
            </c:spPr>
          </c:dPt>
          <c:dPt>
            <c:idx val="1"/>
            <c:spPr>
              <a:solidFill>
                <a:srgbClr val="000000"/>
              </a:solidFill>
            </c:spPr>
          </c:dPt>
          <c:dPt>
            <c:idx val="2"/>
            <c:spPr>
              <a:solidFill>
                <a:srgbClr val="666666"/>
              </a:solidFill>
            </c:spPr>
          </c:dPt>
          <c:dPt>
            <c:idx val="3"/>
            <c:spPr>
              <a:solidFill>
                <a:srgbClr val="CC0000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A86E8"/>
              </a:solidFill>
            </c:spPr>
          </c:dPt>
          <c:dPt>
            <c:idx val="6"/>
            <c:spPr>
              <a:solidFill>
                <a:srgbClr val="FF00FF"/>
              </a:solidFill>
            </c:spPr>
          </c:dPt>
          <c:dPt>
            <c:idx val="7"/>
            <c:spPr>
              <a:solidFill>
                <a:srgbClr val="F3F3F3"/>
              </a:solidFill>
            </c:spPr>
          </c:dPt>
          <c:dPt>
            <c:idx val="8"/>
          </c:dPt>
          <c:dPt>
            <c:idx val="9"/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consoles!$A$2:$A$11</c:f>
            </c:strRef>
          </c:cat>
          <c:val>
            <c:numRef>
              <c:f>consoles!$B$2:$B$11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consoles!$B$1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consoles!$A$2:$A$11</c:f>
            </c:strRef>
          </c:cat>
          <c:val>
            <c:numRef>
              <c:f>consoles!$B$2:$B$11</c:f>
              <c:numCache/>
            </c:numRef>
          </c:val>
        </c:ser>
        <c:axId val="1122747727"/>
        <c:axId val="1588312941"/>
      </c:bar3DChart>
      <c:catAx>
        <c:axId val="112274772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88312941"/>
      </c:catAx>
      <c:valAx>
        <c:axId val="15883129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22747727"/>
        <c:crosses val="max"/>
      </c:valAx>
    </c:plotArea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314325</xdr:colOff>
      <xdr:row>4</xdr:row>
      <xdr:rowOff>57150</xdr:rowOff>
    </xdr:from>
    <xdr:ext cx="6162675" cy="3810000"/>
    <xdr:graphicFrame>
      <xdr:nvGraphicFramePr>
        <xdr:cNvPr id="1" name="Chart 1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104775</xdr:colOff>
      <xdr:row>4</xdr:row>
      <xdr:rowOff>66675</xdr:rowOff>
    </xdr:from>
    <xdr:ext cx="5981700" cy="3771900"/>
    <xdr:graphicFrame>
      <xdr:nvGraphicFramePr>
        <xdr:cNvPr id="2" name="Chart 2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3</xdr:col>
      <xdr:colOff>142875</xdr:colOff>
      <xdr:row>23</xdr:row>
      <xdr:rowOff>190500</xdr:rowOff>
    </xdr:from>
    <xdr:ext cx="5934075" cy="3667125"/>
    <xdr:pic>
      <xdr:nvPicPr>
        <xdr:cNvPr id="976831252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333375</xdr:colOff>
      <xdr:row>23</xdr:row>
      <xdr:rowOff>180975</xdr:rowOff>
    </xdr:from>
    <xdr:ext cx="6134100" cy="3790950"/>
    <xdr:pic>
      <xdr:nvPicPr>
        <xdr:cNvPr id="560894505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38100</xdr:colOff>
      <xdr:row>1</xdr:row>
      <xdr:rowOff>0</xdr:rowOff>
    </xdr:from>
    <xdr:ext cx="6172200" cy="3819525"/>
    <xdr:graphicFrame>
      <xdr:nvGraphicFramePr>
        <xdr:cNvPr id="5" name="Chart 5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19050</xdr:colOff>
      <xdr:row>1</xdr:row>
      <xdr:rowOff>9525</xdr:rowOff>
    </xdr:from>
    <xdr:ext cx="5715000" cy="3533775"/>
    <xdr:graphicFrame>
      <xdr:nvGraphicFramePr>
        <xdr:cNvPr id="6" name="Chart 6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0</xdr:colOff>
      <xdr:row>19</xdr:row>
      <xdr:rowOff>28575</xdr:rowOff>
    </xdr:from>
    <xdr:ext cx="5715000" cy="3533775"/>
    <xdr:graphicFrame>
      <xdr:nvGraphicFramePr>
        <xdr:cNvPr id="7" name="Chart 7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120.88"/>
    <col customWidth="1" min="3" max="3" width="11.38"/>
    <col customWidth="1" min="4" max="4" width="12.63"/>
    <col customWidth="1" min="5" max="9" width="11.75"/>
    <col customWidth="1" min="10" max="11" width="12.38"/>
    <col customWidth="1" min="12" max="12" width="9.63"/>
    <col customWidth="1" min="13" max="14" width="7.25"/>
  </cols>
  <sheetData>
    <row r="1">
      <c r="A1" s="1"/>
      <c r="B1" s="2" t="s">
        <v>0</v>
      </c>
      <c r="C1" s="1"/>
      <c r="D1" s="1"/>
      <c r="E1" s="3"/>
      <c r="F1" s="3"/>
      <c r="G1" s="3"/>
      <c r="H1" s="3"/>
      <c r="I1" s="3"/>
      <c r="J1" s="3"/>
      <c r="K1" s="4"/>
      <c r="L1" s="4"/>
      <c r="M1" s="4"/>
      <c r="N1" s="5"/>
    </row>
    <row r="2">
      <c r="A2" s="1"/>
      <c r="B2" s="6" t="s">
        <v>1</v>
      </c>
      <c r="C2" s="1"/>
      <c r="D2" s="1"/>
      <c r="E2" s="3"/>
      <c r="F2" s="3"/>
      <c r="G2" s="3"/>
      <c r="H2" s="3"/>
      <c r="I2" s="3"/>
      <c r="J2" s="3"/>
      <c r="K2" s="3"/>
      <c r="L2" s="4"/>
      <c r="M2" s="4"/>
      <c r="N2" s="5"/>
    </row>
    <row r="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>
      <c r="A4" s="8"/>
      <c r="B4" s="9" t="s">
        <v>2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>
      <c r="A5" s="8"/>
      <c r="B5" s="10">
        <v>46023.0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</row>
    <row r="6">
      <c r="A6" s="8"/>
      <c r="B6" s="11" t="s">
        <v>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</row>
    <row r="7">
      <c r="A7" s="12" t="s">
        <v>4</v>
      </c>
      <c r="B7" s="12" t="s">
        <v>5</v>
      </c>
      <c r="C7" s="12" t="s">
        <v>6</v>
      </c>
      <c r="D7" s="13" t="s">
        <v>7</v>
      </c>
      <c r="E7" s="13" t="s">
        <v>8</v>
      </c>
      <c r="F7" s="13" t="s">
        <v>9</v>
      </c>
      <c r="G7" s="13" t="s">
        <v>10</v>
      </c>
      <c r="H7" s="13" t="s">
        <v>11</v>
      </c>
      <c r="I7" s="13" t="s">
        <v>12</v>
      </c>
      <c r="J7" s="13" t="s">
        <v>13</v>
      </c>
      <c r="K7" s="13" t="s">
        <v>14</v>
      </c>
      <c r="L7" s="13" t="s">
        <v>15</v>
      </c>
      <c r="M7" s="13" t="s">
        <v>16</v>
      </c>
      <c r="N7" s="13" t="s">
        <v>17</v>
      </c>
    </row>
    <row r="8">
      <c r="A8" s="14"/>
      <c r="B8" s="14"/>
      <c r="C8" s="15"/>
      <c r="D8" s="14"/>
      <c r="E8" s="14"/>
      <c r="F8" s="16"/>
      <c r="G8" s="16"/>
      <c r="H8" s="16"/>
      <c r="I8" s="16"/>
      <c r="J8" s="17"/>
      <c r="K8" s="17"/>
      <c r="L8" s="17"/>
      <c r="M8" s="14"/>
      <c r="N8" s="17"/>
    </row>
    <row r="9">
      <c r="A9" s="18"/>
      <c r="B9" s="18"/>
      <c r="C9" s="19"/>
      <c r="D9" s="18"/>
      <c r="E9" s="18"/>
      <c r="F9" s="20"/>
      <c r="G9" s="20"/>
      <c r="H9" s="20"/>
      <c r="I9" s="20"/>
      <c r="J9" s="21"/>
      <c r="K9" s="21"/>
      <c r="L9" s="21"/>
      <c r="M9" s="18"/>
      <c r="N9" s="21"/>
    </row>
    <row r="10">
      <c r="A10" s="18"/>
      <c r="B10" s="18"/>
      <c r="C10" s="19"/>
      <c r="D10" s="18"/>
      <c r="E10" s="18"/>
      <c r="F10" s="20"/>
      <c r="G10" s="20"/>
      <c r="H10" s="20"/>
      <c r="I10" s="20"/>
      <c r="J10" s="22"/>
      <c r="K10" s="22"/>
      <c r="L10" s="22"/>
      <c r="M10" s="18"/>
      <c r="N10" s="22"/>
    </row>
    <row r="11">
      <c r="A11" s="18"/>
      <c r="B11" s="18"/>
      <c r="C11" s="19"/>
      <c r="D11" s="18"/>
      <c r="E11" s="18"/>
      <c r="F11" s="20"/>
      <c r="G11" s="20"/>
      <c r="H11" s="20"/>
      <c r="I11" s="20"/>
      <c r="J11" s="21"/>
      <c r="K11" s="21"/>
      <c r="L11" s="21"/>
      <c r="M11" s="18"/>
      <c r="N11" s="21"/>
    </row>
    <row r="12">
      <c r="A12" s="18"/>
      <c r="B12" s="18"/>
      <c r="C12" s="19"/>
      <c r="D12" s="18"/>
      <c r="E12" s="18"/>
      <c r="F12" s="20"/>
      <c r="G12" s="20"/>
      <c r="H12" s="20"/>
      <c r="I12" s="20"/>
      <c r="J12" s="22"/>
      <c r="K12" s="22"/>
      <c r="L12" s="22"/>
      <c r="M12" s="18"/>
      <c r="N12" s="22"/>
    </row>
    <row r="13">
      <c r="A13" s="18"/>
      <c r="B13" s="18"/>
      <c r="C13" s="19"/>
      <c r="D13" s="18"/>
      <c r="E13" s="18"/>
      <c r="F13" s="20"/>
      <c r="G13" s="20"/>
      <c r="H13" s="20"/>
      <c r="I13" s="20"/>
      <c r="J13" s="21"/>
      <c r="K13" s="21"/>
      <c r="L13" s="21"/>
      <c r="M13" s="18"/>
      <c r="N13" s="21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>
      <c r="A15" s="1"/>
      <c r="B15" s="23" t="s">
        <v>18</v>
      </c>
      <c r="C15" s="1"/>
      <c r="D15" s="1"/>
      <c r="E15" s="24"/>
      <c r="F15" s="24"/>
      <c r="G15" s="24"/>
      <c r="H15" s="24"/>
      <c r="I15" s="24"/>
      <c r="J15" s="24"/>
      <c r="K15" s="24"/>
      <c r="L15" s="25"/>
      <c r="M15" s="26"/>
      <c r="N15" s="7"/>
    </row>
    <row r="16">
      <c r="A16" s="1"/>
      <c r="B16" s="27" t="s">
        <v>19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7"/>
    </row>
    <row r="17">
      <c r="A17" s="1"/>
      <c r="B17" s="27" t="s">
        <v>20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7"/>
    </row>
    <row r="18">
      <c r="A18" s="1"/>
      <c r="B18" s="27" t="s">
        <v>21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>
      <c r="A19" s="1"/>
      <c r="B19" s="27" t="s">
        <v>22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>
      <c r="A20" s="28" t="s">
        <v>5</v>
      </c>
      <c r="B20" s="28" t="s">
        <v>4</v>
      </c>
      <c r="C20" s="29" t="s">
        <v>23</v>
      </c>
      <c r="D20" s="30"/>
      <c r="E20" s="31"/>
      <c r="F20" s="31"/>
      <c r="G20" s="31"/>
      <c r="H20" s="31"/>
      <c r="I20" s="31"/>
      <c r="J20" s="32"/>
      <c r="K20" s="32"/>
      <c r="L20" s="32"/>
      <c r="M20" s="32"/>
      <c r="N20" s="30"/>
    </row>
    <row r="21">
      <c r="A21" s="33" t="s">
        <v>24</v>
      </c>
      <c r="B21" s="34" t="s">
        <v>25</v>
      </c>
      <c r="C21" s="35">
        <v>87.0</v>
      </c>
      <c r="D21" s="36"/>
      <c r="E21" s="37"/>
      <c r="F21" s="37"/>
      <c r="G21" s="37"/>
      <c r="H21" s="37"/>
      <c r="I21" s="37"/>
      <c r="J21" s="37"/>
      <c r="K21" s="37"/>
      <c r="L21" s="37"/>
      <c r="M21" s="37"/>
      <c r="N21" s="36"/>
    </row>
    <row r="22">
      <c r="A22" s="25" t="s">
        <v>26</v>
      </c>
      <c r="B22" s="35" t="s">
        <v>27</v>
      </c>
      <c r="C22" s="35">
        <v>1.0</v>
      </c>
      <c r="D22" s="36"/>
      <c r="E22" s="37"/>
      <c r="F22" s="37"/>
      <c r="G22" s="37"/>
      <c r="H22" s="37"/>
      <c r="I22" s="37"/>
      <c r="J22" s="37"/>
      <c r="K22" s="37"/>
      <c r="L22" s="37"/>
      <c r="M22" s="37"/>
      <c r="N22" s="36"/>
    </row>
    <row r="23">
      <c r="A23" s="18" t="s">
        <v>28</v>
      </c>
      <c r="B23" s="18" t="s">
        <v>29</v>
      </c>
      <c r="C23" s="35">
        <v>153.0</v>
      </c>
      <c r="D23" s="36"/>
      <c r="E23" s="37"/>
      <c r="F23" s="37"/>
      <c r="G23" s="37"/>
      <c r="H23" s="37"/>
      <c r="I23" s="37"/>
      <c r="J23" s="37"/>
      <c r="K23" s="37"/>
      <c r="L23" s="37"/>
      <c r="M23" s="37"/>
      <c r="N23" s="36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7"/>
    </row>
    <row r="25">
      <c r="A25" s="1"/>
      <c r="B25" s="23" t="s">
        <v>30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>
      <c r="A26" s="1"/>
      <c r="B26" s="38" t="s">
        <v>31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>
      <c r="A27" s="12" t="s">
        <v>4</v>
      </c>
      <c r="B27" s="12" t="s">
        <v>5</v>
      </c>
      <c r="C27" s="12" t="s">
        <v>6</v>
      </c>
      <c r="D27" s="13" t="s">
        <v>7</v>
      </c>
      <c r="E27" s="13" t="s">
        <v>8</v>
      </c>
      <c r="F27" s="13" t="s">
        <v>9</v>
      </c>
      <c r="G27" s="13" t="s">
        <v>10</v>
      </c>
      <c r="H27" s="13" t="s">
        <v>11</v>
      </c>
      <c r="I27" s="13" t="s">
        <v>12</v>
      </c>
      <c r="J27" s="13" t="s">
        <v>13</v>
      </c>
      <c r="K27" s="13" t="s">
        <v>14</v>
      </c>
      <c r="L27" s="13" t="s">
        <v>15</v>
      </c>
      <c r="M27" s="13" t="s">
        <v>16</v>
      </c>
      <c r="N27" s="13" t="s">
        <v>17</v>
      </c>
    </row>
    <row r="28">
      <c r="A28" s="39" t="s">
        <v>25</v>
      </c>
      <c r="B28" s="40" t="s">
        <v>24</v>
      </c>
      <c r="C28" s="39">
        <v>1101.0</v>
      </c>
      <c r="D28" s="39" t="s">
        <v>32</v>
      </c>
      <c r="E28" s="39" t="s">
        <v>33</v>
      </c>
      <c r="F28" s="41">
        <v>45505.0</v>
      </c>
      <c r="G28" s="41">
        <v>46016.0</v>
      </c>
      <c r="H28" s="41">
        <v>46016.0</v>
      </c>
      <c r="I28" s="41">
        <v>46016.0</v>
      </c>
      <c r="J28" s="42">
        <v>17.99</v>
      </c>
      <c r="K28" s="42">
        <v>0.0</v>
      </c>
      <c r="L28" s="42">
        <v>17.99</v>
      </c>
      <c r="M28" s="39">
        <v>1.0</v>
      </c>
      <c r="N28" s="42">
        <v>0.0</v>
      </c>
    </row>
    <row r="29">
      <c r="A29" s="43">
        <v>179.0</v>
      </c>
      <c r="B29" s="43">
        <v>87.0</v>
      </c>
      <c r="C29" s="44"/>
      <c r="D29" s="44"/>
      <c r="E29" s="44"/>
      <c r="F29" s="45"/>
      <c r="G29" s="45"/>
      <c r="H29" s="45"/>
      <c r="I29" s="45"/>
      <c r="J29" s="46">
        <v>3795.59</v>
      </c>
      <c r="K29" s="46">
        <v>1437.55</v>
      </c>
      <c r="L29" s="47">
        <v>2358.04</v>
      </c>
      <c r="M29" s="43">
        <v>1868.0</v>
      </c>
      <c r="N29" s="46">
        <v>0.7703170338527673</v>
      </c>
    </row>
    <row r="30">
      <c r="A30" s="42"/>
      <c r="B30" s="39"/>
      <c r="C30" s="39"/>
      <c r="D30" s="39"/>
      <c r="E30" s="39"/>
      <c r="F30" s="41"/>
      <c r="G30" s="41"/>
      <c r="H30" s="41"/>
      <c r="I30" s="41"/>
      <c r="J30" s="42"/>
      <c r="K30" s="42"/>
      <c r="L30" s="42"/>
      <c r="M30" s="48"/>
      <c r="N30" s="42"/>
    </row>
    <row r="31">
      <c r="A31" s="49" t="s">
        <v>27</v>
      </c>
      <c r="B31" s="49" t="s">
        <v>26</v>
      </c>
      <c r="C31" s="50">
        <v>1100.0</v>
      </c>
      <c r="D31" s="50" t="s">
        <v>34</v>
      </c>
      <c r="E31" s="50" t="s">
        <v>33</v>
      </c>
      <c r="F31" s="51">
        <v>44285.0</v>
      </c>
      <c r="G31" s="51">
        <v>46016.0</v>
      </c>
      <c r="H31" s="51">
        <v>46016.0</v>
      </c>
      <c r="I31" s="51">
        <v>46016.0</v>
      </c>
      <c r="J31" s="52">
        <v>39.99</v>
      </c>
      <c r="K31" s="52">
        <v>0.0</v>
      </c>
      <c r="L31" s="52">
        <v>39.99</v>
      </c>
      <c r="M31" s="50">
        <v>1.0</v>
      </c>
      <c r="N31" s="52">
        <v>0.0</v>
      </c>
    </row>
    <row r="32">
      <c r="A32" s="53">
        <f t="shared" ref="A32:B32" si="1">COUNTA(A31)</f>
        <v>1</v>
      </c>
      <c r="B32" s="53">
        <f t="shared" si="1"/>
        <v>1</v>
      </c>
      <c r="C32" s="53"/>
      <c r="D32" s="53"/>
      <c r="E32" s="54"/>
      <c r="F32" s="54"/>
      <c r="G32" s="54"/>
      <c r="H32" s="53"/>
      <c r="I32" s="54"/>
      <c r="J32" s="54">
        <v>39.99</v>
      </c>
      <c r="K32" s="54">
        <v>0.0</v>
      </c>
      <c r="L32" s="54">
        <v>39.99</v>
      </c>
      <c r="M32" s="53">
        <v>1.0</v>
      </c>
      <c r="N32" s="54">
        <v>0.0</v>
      </c>
    </row>
    <row r="33">
      <c r="A33" s="42"/>
      <c r="B33" s="39"/>
      <c r="C33" s="39"/>
      <c r="D33" s="39"/>
      <c r="E33" s="39"/>
      <c r="F33" s="41"/>
      <c r="G33" s="41"/>
      <c r="H33" s="41"/>
      <c r="I33" s="41"/>
      <c r="J33" s="42"/>
      <c r="K33" s="42"/>
      <c r="L33" s="42"/>
      <c r="M33" s="48"/>
      <c r="N33" s="42"/>
    </row>
    <row r="34">
      <c r="A34" s="55" t="s">
        <v>29</v>
      </c>
      <c r="B34" s="39" t="s">
        <v>35</v>
      </c>
      <c r="C34" s="39">
        <v>1103.0</v>
      </c>
      <c r="D34" s="39" t="s">
        <v>36</v>
      </c>
      <c r="E34" s="39" t="s">
        <v>37</v>
      </c>
      <c r="F34" s="41">
        <v>39640.0</v>
      </c>
      <c r="G34" s="41">
        <v>46016.0</v>
      </c>
      <c r="H34" s="41">
        <v>46016.0</v>
      </c>
      <c r="I34" s="41">
        <v>46016.0</v>
      </c>
      <c r="J34" s="42">
        <v>9.99</v>
      </c>
      <c r="K34" s="42">
        <v>5.76</v>
      </c>
      <c r="L34" s="42">
        <v>4.23</v>
      </c>
      <c r="M34" s="48">
        <v>1.0</v>
      </c>
      <c r="N34" s="42">
        <v>5.76</v>
      </c>
    </row>
    <row r="35">
      <c r="A35" s="55" t="s">
        <v>29</v>
      </c>
      <c r="B35" s="39" t="s">
        <v>28</v>
      </c>
      <c r="C35" s="39">
        <v>1102.0</v>
      </c>
      <c r="D35" s="39" t="s">
        <v>38</v>
      </c>
      <c r="E35" s="39" t="s">
        <v>39</v>
      </c>
      <c r="F35" s="41">
        <v>45727.0</v>
      </c>
      <c r="G35" s="41">
        <v>46016.0</v>
      </c>
      <c r="H35" s="41">
        <v>46016.0</v>
      </c>
      <c r="I35" s="41">
        <v>46016.0</v>
      </c>
      <c r="J35" s="42">
        <v>24.99</v>
      </c>
      <c r="K35" s="42">
        <v>0.0</v>
      </c>
      <c r="L35" s="42">
        <v>24.99</v>
      </c>
      <c r="M35" s="48">
        <v>1.0</v>
      </c>
      <c r="N35" s="42">
        <v>0.0</v>
      </c>
    </row>
    <row r="36">
      <c r="A36" s="43">
        <v>304.0</v>
      </c>
      <c r="B36" s="43">
        <v>153.0</v>
      </c>
      <c r="C36" s="56"/>
      <c r="D36" s="56"/>
      <c r="E36" s="56"/>
      <c r="F36" s="56"/>
      <c r="G36" s="56"/>
      <c r="H36" s="57"/>
      <c r="I36" s="57"/>
      <c r="J36" s="47">
        <v>8111.07</v>
      </c>
      <c r="K36" s="47">
        <v>3708.55</v>
      </c>
      <c r="L36" s="47">
        <v>4402.52</v>
      </c>
      <c r="M36" s="43">
        <v>6070.0</v>
      </c>
      <c r="N36" s="46">
        <v>0.6139595423644504</v>
      </c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>
      <c r="A38" s="1"/>
      <c r="B38" s="23" t="s">
        <v>40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7"/>
    </row>
    <row r="39">
      <c r="A39" s="1"/>
      <c r="B39" s="38" t="s">
        <v>41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>
      <c r="A40" s="58" t="s">
        <v>4</v>
      </c>
      <c r="B40" s="13" t="s">
        <v>42</v>
      </c>
      <c r="C40" s="13" t="s">
        <v>43</v>
      </c>
      <c r="D40" s="58" t="s">
        <v>13</v>
      </c>
      <c r="E40" s="58" t="s">
        <v>14</v>
      </c>
      <c r="F40" s="13" t="s">
        <v>15</v>
      </c>
      <c r="G40" s="13" t="s">
        <v>16</v>
      </c>
      <c r="H40" s="13" t="s">
        <v>17</v>
      </c>
      <c r="I40" s="30"/>
      <c r="J40" s="30"/>
      <c r="K40" s="30"/>
      <c r="L40" s="30"/>
      <c r="M40" s="32"/>
      <c r="N40" s="30"/>
    </row>
    <row r="41">
      <c r="A41" s="59" t="s">
        <v>29</v>
      </c>
      <c r="B41" s="35">
        <v>304.0</v>
      </c>
      <c r="C41" s="35">
        <v>153.0</v>
      </c>
      <c r="D41" s="60">
        <v>8111.07</v>
      </c>
      <c r="E41" s="60">
        <v>3708.55</v>
      </c>
      <c r="F41" s="60">
        <v>4402.52</v>
      </c>
      <c r="G41" s="35">
        <v>6070.0</v>
      </c>
      <c r="H41" s="59">
        <v>0.6139595423644504</v>
      </c>
      <c r="I41" s="36"/>
      <c r="J41" s="36"/>
      <c r="K41" s="36"/>
      <c r="L41" s="36"/>
      <c r="M41" s="37"/>
      <c r="N41" s="36"/>
    </row>
    <row r="42">
      <c r="A42" s="26" t="s">
        <v>25</v>
      </c>
      <c r="B42" s="35">
        <v>179.0</v>
      </c>
      <c r="C42" s="35">
        <v>87.0</v>
      </c>
      <c r="D42" s="60">
        <v>3795.59</v>
      </c>
      <c r="E42" s="60">
        <v>1437.55</v>
      </c>
      <c r="F42" s="60">
        <v>2358.04</v>
      </c>
      <c r="G42" s="35">
        <v>1868.0</v>
      </c>
      <c r="H42" s="59">
        <v>0.7703170338527673</v>
      </c>
      <c r="I42" s="36"/>
      <c r="J42" s="36"/>
      <c r="K42" s="36"/>
      <c r="L42" s="36"/>
      <c r="M42" s="37"/>
      <c r="N42" s="36"/>
    </row>
    <row r="43">
      <c r="A43" s="60" t="s">
        <v>27</v>
      </c>
      <c r="B43" s="35">
        <v>1.0</v>
      </c>
      <c r="C43" s="35">
        <v>1.0</v>
      </c>
      <c r="D43" s="60">
        <v>39.99</v>
      </c>
      <c r="E43" s="60">
        <v>0.0</v>
      </c>
      <c r="F43" s="60">
        <v>39.99</v>
      </c>
      <c r="G43" s="35">
        <v>1.0</v>
      </c>
      <c r="H43" s="59">
        <v>0.0</v>
      </c>
      <c r="I43" s="36"/>
      <c r="J43" s="36"/>
      <c r="K43" s="36"/>
      <c r="L43" s="36"/>
      <c r="M43" s="37"/>
      <c r="N43" s="36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35"/>
      <c r="M44" s="35"/>
      <c r="N44" s="25"/>
    </row>
    <row r="45">
      <c r="A45" s="61"/>
      <c r="B45" s="23" t="s">
        <v>44</v>
      </c>
      <c r="C45" s="25"/>
      <c r="D45" s="25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>
      <c r="A46" s="61"/>
      <c r="B46" s="38" t="s">
        <v>45</v>
      </c>
      <c r="C46" s="25"/>
      <c r="D46" s="25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>
      <c r="A47" s="13" t="s">
        <v>4</v>
      </c>
      <c r="B47" s="12" t="s">
        <v>42</v>
      </c>
      <c r="C47" s="12" t="s">
        <v>16</v>
      </c>
      <c r="D47" s="30"/>
      <c r="E47" s="32"/>
      <c r="F47" s="32"/>
      <c r="G47" s="32"/>
      <c r="H47" s="32"/>
      <c r="I47" s="32"/>
      <c r="J47" s="32"/>
      <c r="K47" s="32"/>
      <c r="L47" s="32"/>
      <c r="M47" s="32"/>
      <c r="N47" s="32"/>
    </row>
    <row r="48">
      <c r="A48" s="59" t="s">
        <v>29</v>
      </c>
      <c r="B48" s="35">
        <v>304.0</v>
      </c>
      <c r="C48" s="35">
        <v>6070.0</v>
      </c>
      <c r="D48" s="36"/>
      <c r="E48" s="62"/>
      <c r="F48" s="62"/>
      <c r="G48" s="62"/>
      <c r="H48" s="62"/>
      <c r="I48" s="62"/>
      <c r="J48" s="37"/>
      <c r="K48" s="37"/>
      <c r="L48" s="37"/>
      <c r="M48" s="37"/>
      <c r="N48" s="37"/>
    </row>
    <row r="49">
      <c r="A49" s="26" t="s">
        <v>25</v>
      </c>
      <c r="B49" s="35">
        <v>179.0</v>
      </c>
      <c r="C49" s="35">
        <v>1868.0</v>
      </c>
      <c r="D49" s="36"/>
      <c r="E49" s="62"/>
      <c r="F49" s="62"/>
      <c r="G49" s="62"/>
      <c r="H49" s="62"/>
      <c r="I49" s="62"/>
      <c r="J49" s="37"/>
      <c r="K49" s="37"/>
      <c r="L49" s="37"/>
      <c r="M49" s="37"/>
      <c r="N49" s="37"/>
    </row>
    <row r="50">
      <c r="A50" s="60" t="s">
        <v>27</v>
      </c>
      <c r="B50" s="35">
        <v>1.0</v>
      </c>
      <c r="C50" s="35">
        <v>1.0</v>
      </c>
      <c r="D50" s="36"/>
      <c r="E50" s="62"/>
      <c r="F50" s="62"/>
      <c r="G50" s="62"/>
      <c r="H50" s="62"/>
      <c r="I50" s="62"/>
      <c r="J50" s="37"/>
      <c r="K50" s="37"/>
      <c r="L50" s="37"/>
      <c r="M50" s="37"/>
      <c r="N50" s="37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35"/>
      <c r="M51" s="35"/>
      <c r="N51" s="25"/>
    </row>
    <row r="52">
      <c r="A52" s="25"/>
      <c r="B52" s="23" t="s">
        <v>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>
      <c r="A53" s="25"/>
      <c r="B53" s="38" t="s">
        <v>47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>
      <c r="A54" s="12" t="s">
        <v>4</v>
      </c>
      <c r="B54" s="12" t="s">
        <v>5</v>
      </c>
      <c r="C54" s="12" t="s">
        <v>6</v>
      </c>
      <c r="D54" s="13" t="s">
        <v>7</v>
      </c>
      <c r="E54" s="13" t="s">
        <v>8</v>
      </c>
      <c r="F54" s="13" t="s">
        <v>9</v>
      </c>
      <c r="G54" s="13" t="s">
        <v>10</v>
      </c>
      <c r="H54" s="13" t="s">
        <v>11</v>
      </c>
      <c r="I54" s="13" t="s">
        <v>12</v>
      </c>
      <c r="J54" s="13" t="s">
        <v>13</v>
      </c>
      <c r="K54" s="13" t="s">
        <v>14</v>
      </c>
      <c r="L54" s="13" t="s">
        <v>15</v>
      </c>
      <c r="M54" s="13" t="s">
        <v>16</v>
      </c>
      <c r="N54" s="13" t="s">
        <v>17</v>
      </c>
    </row>
    <row r="55">
      <c r="A55" s="39" t="s">
        <v>25</v>
      </c>
      <c r="B55" s="40" t="s">
        <v>24</v>
      </c>
      <c r="C55" s="39">
        <v>1101.0</v>
      </c>
      <c r="D55" s="39" t="s">
        <v>32</v>
      </c>
      <c r="E55" s="39" t="s">
        <v>33</v>
      </c>
      <c r="F55" s="41">
        <v>45505.0</v>
      </c>
      <c r="G55" s="41">
        <v>46016.0</v>
      </c>
      <c r="H55" s="41">
        <v>46016.0</v>
      </c>
      <c r="I55" s="41">
        <v>46016.0</v>
      </c>
      <c r="J55" s="42">
        <v>17.99</v>
      </c>
      <c r="K55" s="42">
        <v>0.0</v>
      </c>
      <c r="L55" s="42">
        <v>17.99</v>
      </c>
      <c r="M55" s="39">
        <v>1.0</v>
      </c>
      <c r="N55" s="42">
        <v>0.0</v>
      </c>
    </row>
    <row r="56">
      <c r="A56" s="42"/>
      <c r="B56" s="39"/>
      <c r="C56" s="39"/>
      <c r="D56" s="39"/>
      <c r="E56" s="39"/>
      <c r="F56" s="41"/>
      <c r="G56" s="41"/>
      <c r="H56" s="41"/>
      <c r="I56" s="41"/>
      <c r="J56" s="42"/>
      <c r="K56" s="42"/>
      <c r="L56" s="42"/>
      <c r="M56" s="48"/>
      <c r="N56" s="42"/>
    </row>
    <row r="57">
      <c r="A57" s="49" t="s">
        <v>27</v>
      </c>
      <c r="B57" s="49" t="s">
        <v>26</v>
      </c>
      <c r="C57" s="50">
        <v>1100.0</v>
      </c>
      <c r="D57" s="50" t="s">
        <v>34</v>
      </c>
      <c r="E57" s="50" t="s">
        <v>33</v>
      </c>
      <c r="F57" s="51">
        <v>44285.0</v>
      </c>
      <c r="G57" s="51">
        <v>46016.0</v>
      </c>
      <c r="H57" s="51">
        <v>46016.0</v>
      </c>
      <c r="I57" s="51">
        <v>46016.0</v>
      </c>
      <c r="J57" s="52">
        <v>39.99</v>
      </c>
      <c r="K57" s="52">
        <v>0.0</v>
      </c>
      <c r="L57" s="52">
        <v>39.99</v>
      </c>
      <c r="M57" s="50">
        <v>1.0</v>
      </c>
      <c r="N57" s="52">
        <v>0.0</v>
      </c>
    </row>
    <row r="58">
      <c r="A58" s="42"/>
      <c r="B58" s="39"/>
      <c r="C58" s="39"/>
      <c r="D58" s="39"/>
      <c r="E58" s="39"/>
      <c r="F58" s="41"/>
      <c r="G58" s="41"/>
      <c r="H58" s="41"/>
      <c r="I58" s="41"/>
      <c r="J58" s="42"/>
      <c r="K58" s="42"/>
      <c r="L58" s="42"/>
      <c r="M58" s="48"/>
      <c r="N58" s="42"/>
    </row>
    <row r="59">
      <c r="A59" s="55" t="s">
        <v>29</v>
      </c>
      <c r="B59" s="39" t="s">
        <v>35</v>
      </c>
      <c r="C59" s="39">
        <v>1103.0</v>
      </c>
      <c r="D59" s="39" t="s">
        <v>36</v>
      </c>
      <c r="E59" s="39" t="s">
        <v>37</v>
      </c>
      <c r="F59" s="41">
        <v>39640.0</v>
      </c>
      <c r="G59" s="41">
        <v>46016.0</v>
      </c>
      <c r="H59" s="41">
        <v>46016.0</v>
      </c>
      <c r="I59" s="41">
        <v>46016.0</v>
      </c>
      <c r="J59" s="42">
        <v>9.99</v>
      </c>
      <c r="K59" s="42">
        <v>5.76</v>
      </c>
      <c r="L59" s="42">
        <v>4.23</v>
      </c>
      <c r="M59" s="48">
        <v>1.0</v>
      </c>
      <c r="N59" s="42">
        <v>5.76</v>
      </c>
    </row>
    <row r="60">
      <c r="A60" s="55" t="s">
        <v>29</v>
      </c>
      <c r="B60" s="39" t="s">
        <v>28</v>
      </c>
      <c r="C60" s="39">
        <v>1102.0</v>
      </c>
      <c r="D60" s="39" t="s">
        <v>38</v>
      </c>
      <c r="E60" s="39" t="s">
        <v>39</v>
      </c>
      <c r="F60" s="41">
        <v>45727.0</v>
      </c>
      <c r="G60" s="41">
        <v>46016.0</v>
      </c>
      <c r="H60" s="41">
        <v>46016.0</v>
      </c>
      <c r="I60" s="41">
        <v>46016.0</v>
      </c>
      <c r="J60" s="42">
        <v>24.99</v>
      </c>
      <c r="K60" s="42">
        <v>0.0</v>
      </c>
      <c r="L60" s="42">
        <v>24.99</v>
      </c>
      <c r="M60" s="48">
        <v>1.0</v>
      </c>
      <c r="N60" s="42">
        <v>0.0</v>
      </c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63"/>
      <c r="K61" s="63"/>
      <c r="L61" s="63"/>
      <c r="M61" s="64"/>
      <c r="N61" s="65"/>
    </row>
    <row r="62">
      <c r="A62" s="66"/>
      <c r="B62" s="23" t="s">
        <v>48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>
      <c r="A63" s="1"/>
      <c r="B63" s="67" t="s">
        <v>49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>
      <c r="A64" s="13" t="s">
        <v>5</v>
      </c>
      <c r="B64" s="12" t="s">
        <v>4</v>
      </c>
      <c r="C64" s="12" t="s">
        <v>42</v>
      </c>
      <c r="D64" s="13" t="s">
        <v>13</v>
      </c>
      <c r="E64" s="13" t="s">
        <v>14</v>
      </c>
      <c r="F64" s="13" t="s">
        <v>15</v>
      </c>
      <c r="G64" s="13" t="s">
        <v>16</v>
      </c>
      <c r="H64" s="13" t="s">
        <v>17</v>
      </c>
      <c r="I64" s="68"/>
      <c r="J64" s="68"/>
      <c r="K64" s="68"/>
      <c r="L64" s="68"/>
      <c r="M64" s="68"/>
      <c r="N64" s="68"/>
    </row>
    <row r="65">
      <c r="A65" s="69" t="s">
        <v>35</v>
      </c>
      <c r="B65" s="43" t="s">
        <v>29</v>
      </c>
      <c r="C65" s="43">
        <v>3.0</v>
      </c>
      <c r="D65" s="47">
        <f t="shared" ref="D65:G65" si="2">SUM(D66:D68)</f>
        <v>25.97</v>
      </c>
      <c r="E65" s="47">
        <f t="shared" si="2"/>
        <v>13.75</v>
      </c>
      <c r="F65" s="47">
        <f t="shared" si="2"/>
        <v>12.22</v>
      </c>
      <c r="G65" s="43">
        <f t="shared" si="2"/>
        <v>18</v>
      </c>
      <c r="H65" s="47">
        <f t="shared" ref="H65:H67" si="3">E65/G65</f>
        <v>0.7638888889</v>
      </c>
      <c r="I65" s="68"/>
      <c r="J65" s="68"/>
      <c r="K65" s="68"/>
      <c r="L65" s="68"/>
      <c r="M65" s="68"/>
      <c r="N65" s="68"/>
    </row>
    <row r="66">
      <c r="A66" s="70" t="s">
        <v>50</v>
      </c>
      <c r="B66" s="1"/>
      <c r="C66" s="1"/>
      <c r="D66" s="71">
        <v>7.99</v>
      </c>
      <c r="E66" s="71">
        <v>4.0</v>
      </c>
      <c r="F66" s="71">
        <f t="shared" ref="F66:F67" si="4">D66-E66</f>
        <v>3.99</v>
      </c>
      <c r="G66" s="39">
        <v>15.0</v>
      </c>
      <c r="H66" s="71">
        <f t="shared" si="3"/>
        <v>0.2666666667</v>
      </c>
      <c r="I66" s="68"/>
      <c r="J66" s="68"/>
      <c r="K66" s="68"/>
      <c r="L66" s="68"/>
      <c r="M66" s="68"/>
      <c r="N66" s="68"/>
    </row>
    <row r="67">
      <c r="A67" s="70" t="s">
        <v>51</v>
      </c>
      <c r="B67" s="1"/>
      <c r="C67" s="1"/>
      <c r="D67" s="71">
        <v>7.99</v>
      </c>
      <c r="E67" s="71">
        <v>3.99</v>
      </c>
      <c r="F67" s="71">
        <f t="shared" si="4"/>
        <v>4</v>
      </c>
      <c r="G67" s="72">
        <v>2.0</v>
      </c>
      <c r="H67" s="71">
        <f t="shared" si="3"/>
        <v>1.995</v>
      </c>
      <c r="I67" s="68"/>
      <c r="J67" s="68"/>
      <c r="K67" s="68"/>
      <c r="L67" s="68"/>
      <c r="M67" s="68"/>
      <c r="N67" s="68"/>
    </row>
    <row r="68">
      <c r="A68" s="70" t="s">
        <v>36</v>
      </c>
      <c r="B68" s="1"/>
      <c r="C68" s="1"/>
      <c r="D68" s="42">
        <v>9.99</v>
      </c>
      <c r="E68" s="42">
        <v>5.76</v>
      </c>
      <c r="F68" s="42">
        <v>4.23</v>
      </c>
      <c r="G68" s="48">
        <v>1.0</v>
      </c>
      <c r="H68" s="42">
        <v>5.76</v>
      </c>
      <c r="I68" s="68"/>
      <c r="J68" s="68"/>
      <c r="K68" s="68"/>
      <c r="L68" s="68"/>
      <c r="M68" s="68"/>
      <c r="N68" s="68"/>
    </row>
    <row r="69">
      <c r="A69" s="73"/>
      <c r="B69" s="73"/>
      <c r="C69" s="73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</row>
    <row r="70">
      <c r="A70" s="43" t="s">
        <v>28</v>
      </c>
      <c r="B70" s="43" t="s">
        <v>29</v>
      </c>
      <c r="C70" s="43">
        <v>1.0</v>
      </c>
      <c r="D70" s="46">
        <f t="shared" ref="D70:G70" si="5">SUM(D71)</f>
        <v>24.99</v>
      </c>
      <c r="E70" s="46">
        <f t="shared" si="5"/>
        <v>0</v>
      </c>
      <c r="F70" s="46">
        <f t="shared" si="5"/>
        <v>24.99</v>
      </c>
      <c r="G70" s="43">
        <f t="shared" si="5"/>
        <v>1</v>
      </c>
      <c r="H70" s="46">
        <f>E70/G70</f>
        <v>0</v>
      </c>
      <c r="I70" s="68"/>
      <c r="J70" s="68"/>
      <c r="K70" s="68"/>
      <c r="L70" s="68"/>
      <c r="M70" s="68"/>
      <c r="N70" s="68"/>
    </row>
    <row r="71">
      <c r="A71" s="39" t="s">
        <v>38</v>
      </c>
      <c r="B71" s="1"/>
      <c r="C71" s="1"/>
      <c r="D71" s="42">
        <v>24.99</v>
      </c>
      <c r="E71" s="42">
        <v>0.0</v>
      </c>
      <c r="F71" s="42">
        <v>24.99</v>
      </c>
      <c r="G71" s="48">
        <v>1.0</v>
      </c>
      <c r="H71" s="42">
        <v>0.0</v>
      </c>
      <c r="I71" s="68"/>
      <c r="J71" s="68"/>
      <c r="K71" s="68"/>
      <c r="L71" s="68"/>
      <c r="M71" s="68"/>
      <c r="N71" s="68"/>
    </row>
    <row r="72">
      <c r="A72" s="73"/>
      <c r="B72" s="73"/>
      <c r="C72" s="73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</row>
    <row r="73">
      <c r="A73" s="74" t="s">
        <v>24</v>
      </c>
      <c r="B73" s="74" t="s">
        <v>25</v>
      </c>
      <c r="C73" s="43">
        <v>1.0</v>
      </c>
      <c r="D73" s="46">
        <f t="shared" ref="D73:G73" si="6">SUM(D74)</f>
        <v>17.99</v>
      </c>
      <c r="E73" s="46">
        <f t="shared" si="6"/>
        <v>0</v>
      </c>
      <c r="F73" s="46">
        <f t="shared" si="6"/>
        <v>17.99</v>
      </c>
      <c r="G73" s="43">
        <f t="shared" si="6"/>
        <v>1</v>
      </c>
      <c r="H73" s="46">
        <f>E73/G73</f>
        <v>0</v>
      </c>
      <c r="I73" s="68"/>
      <c r="J73" s="68"/>
      <c r="K73" s="68"/>
      <c r="L73" s="68"/>
      <c r="M73" s="68"/>
      <c r="N73" s="68"/>
    </row>
    <row r="74">
      <c r="A74" s="70" t="s">
        <v>32</v>
      </c>
      <c r="B74" s="73"/>
      <c r="C74" s="73"/>
      <c r="D74" s="42">
        <v>17.99</v>
      </c>
      <c r="E74" s="42">
        <v>0.0</v>
      </c>
      <c r="F74" s="42">
        <v>17.99</v>
      </c>
      <c r="G74" s="39">
        <v>1.0</v>
      </c>
      <c r="H74" s="42">
        <v>0.0</v>
      </c>
      <c r="I74" s="68"/>
      <c r="J74" s="68"/>
      <c r="K74" s="68"/>
      <c r="L74" s="68"/>
      <c r="M74" s="68"/>
      <c r="N74" s="68"/>
    </row>
    <row r="75">
      <c r="A75" s="73"/>
      <c r="B75" s="73"/>
      <c r="C75" s="73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</row>
    <row r="76">
      <c r="A76" s="53" t="s">
        <v>26</v>
      </c>
      <c r="B76" s="53" t="s">
        <v>27</v>
      </c>
      <c r="C76" s="75">
        <f>COUNTA(A77)</f>
        <v>1</v>
      </c>
      <c r="D76" s="76">
        <f t="shared" ref="D76:G76" si="7">SUM(D77)</f>
        <v>39.99</v>
      </c>
      <c r="E76" s="76">
        <f t="shared" si="7"/>
        <v>0</v>
      </c>
      <c r="F76" s="76">
        <f t="shared" si="7"/>
        <v>39.99</v>
      </c>
      <c r="G76" s="53">
        <f t="shared" si="7"/>
        <v>1</v>
      </c>
      <c r="H76" s="76">
        <f t="shared" ref="H76:H77" si="8">E76/G76</f>
        <v>0</v>
      </c>
      <c r="I76" s="68"/>
      <c r="J76" s="68"/>
      <c r="K76" s="68"/>
      <c r="L76" s="68"/>
      <c r="M76" s="68"/>
      <c r="N76" s="68"/>
    </row>
    <row r="77">
      <c r="A77" s="77" t="s">
        <v>34</v>
      </c>
      <c r="B77" s="1"/>
      <c r="C77" s="1"/>
      <c r="D77" s="78">
        <v>39.99</v>
      </c>
      <c r="E77" s="52">
        <v>0.0</v>
      </c>
      <c r="F77" s="52">
        <f>D77-E77</f>
        <v>39.99</v>
      </c>
      <c r="G77" s="79">
        <v>1.0</v>
      </c>
      <c r="H77" s="52">
        <f t="shared" si="8"/>
        <v>0</v>
      </c>
      <c r="I77" s="68"/>
      <c r="J77" s="68"/>
      <c r="K77" s="68"/>
      <c r="L77" s="68"/>
      <c r="M77" s="68"/>
      <c r="N77" s="68"/>
    </row>
    <row r="78">
      <c r="A78" s="73"/>
      <c r="B78" s="73"/>
      <c r="C78" s="73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</row>
    <row r="79">
      <c r="A79" s="1"/>
      <c r="B79" s="23" t="s">
        <v>52</v>
      </c>
      <c r="C79" s="1"/>
      <c r="D79" s="1"/>
      <c r="E79" s="1"/>
      <c r="F79" s="1"/>
      <c r="G79" s="1"/>
      <c r="H79" s="1"/>
      <c r="I79" s="68"/>
      <c r="J79" s="68"/>
      <c r="K79" s="68"/>
      <c r="L79" s="68"/>
      <c r="M79" s="68"/>
      <c r="N79" s="68"/>
    </row>
    <row r="80">
      <c r="A80" s="1"/>
      <c r="B80" s="38" t="s">
        <v>53</v>
      </c>
      <c r="C80" s="1"/>
      <c r="D80" s="1"/>
      <c r="E80" s="66"/>
      <c r="F80" s="66"/>
      <c r="G80" s="66"/>
      <c r="H80" s="66"/>
      <c r="I80" s="68"/>
      <c r="J80" s="68"/>
      <c r="K80" s="68"/>
      <c r="L80" s="68"/>
      <c r="M80" s="68"/>
      <c r="N80" s="68"/>
    </row>
    <row r="81">
      <c r="A81" s="12" t="s">
        <v>5</v>
      </c>
      <c r="B81" s="12" t="s">
        <v>42</v>
      </c>
      <c r="C81" s="12" t="s">
        <v>16</v>
      </c>
      <c r="D81" s="30"/>
      <c r="E81" s="31"/>
      <c r="F81" s="31"/>
      <c r="G81" s="31"/>
      <c r="H81" s="31"/>
      <c r="I81" s="68"/>
      <c r="J81" s="68"/>
      <c r="K81" s="68"/>
      <c r="L81" s="68"/>
      <c r="M81" s="68"/>
      <c r="N81" s="68"/>
    </row>
    <row r="82">
      <c r="A82" s="25" t="s">
        <v>35</v>
      </c>
      <c r="B82" s="35">
        <v>3.0</v>
      </c>
      <c r="C82" s="35">
        <v>18.0</v>
      </c>
      <c r="D82" s="80"/>
      <c r="E82" s="81"/>
      <c r="F82" s="81"/>
      <c r="G82" s="81"/>
      <c r="H82" s="81"/>
      <c r="I82" s="82"/>
      <c r="J82" s="81"/>
      <c r="K82" s="81"/>
      <c r="L82" s="81"/>
      <c r="M82" s="81"/>
      <c r="N82" s="81"/>
    </row>
    <row r="83">
      <c r="A83" s="83" t="s">
        <v>28</v>
      </c>
      <c r="B83" s="34">
        <v>1.0</v>
      </c>
      <c r="C83" s="34">
        <v>1.0</v>
      </c>
      <c r="D83" s="35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>
      <c r="A84" s="33" t="s">
        <v>24</v>
      </c>
      <c r="B84" s="34">
        <v>1.0</v>
      </c>
      <c r="C84" s="34">
        <v>1.0</v>
      </c>
      <c r="D84" s="35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>
      <c r="A85" s="33" t="s">
        <v>26</v>
      </c>
      <c r="B85" s="33">
        <v>1.0</v>
      </c>
      <c r="C85" s="33">
        <v>1.0</v>
      </c>
      <c r="D85" s="35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>
      <c r="A86" s="1"/>
      <c r="B86" s="1"/>
      <c r="C86" s="35"/>
      <c r="D86" s="35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>
      <c r="A87" s="66"/>
      <c r="B87" s="23" t="s">
        <v>54</v>
      </c>
      <c r="C87" s="25"/>
      <c r="D87" s="25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>
      <c r="A88" s="1"/>
      <c r="B88" s="38" t="s">
        <v>55</v>
      </c>
      <c r="C88" s="25"/>
      <c r="D88" s="25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>
      <c r="A89" s="84" t="s">
        <v>8</v>
      </c>
      <c r="B89" s="85" t="s">
        <v>42</v>
      </c>
      <c r="C89" s="34"/>
      <c r="D89" s="34"/>
      <c r="E89" s="34"/>
      <c r="F89" s="34"/>
      <c r="G89" s="34"/>
      <c r="H89" s="34"/>
      <c r="I89" s="34"/>
      <c r="J89" s="32"/>
      <c r="K89" s="32"/>
      <c r="L89" s="32"/>
      <c r="M89" s="32"/>
      <c r="N89" s="32"/>
    </row>
    <row r="90">
      <c r="A90" s="35" t="s">
        <v>37</v>
      </c>
      <c r="B90" s="35">
        <v>28.0</v>
      </c>
      <c r="C90" s="25"/>
      <c r="D90" s="25"/>
      <c r="E90" s="25"/>
      <c r="F90" s="25"/>
      <c r="G90" s="25"/>
      <c r="H90" s="25"/>
      <c r="I90" s="25"/>
      <c r="J90" s="1"/>
      <c r="K90" s="1"/>
      <c r="L90" s="1"/>
      <c r="M90" s="1"/>
      <c r="N90" s="1"/>
    </row>
    <row r="91">
      <c r="A91" s="35" t="s">
        <v>33</v>
      </c>
      <c r="B91" s="35">
        <v>494.0</v>
      </c>
      <c r="C91" s="25"/>
      <c r="D91" s="25"/>
      <c r="E91" s="25"/>
      <c r="F91" s="25"/>
      <c r="G91" s="25"/>
      <c r="H91" s="25"/>
      <c r="I91" s="25"/>
      <c r="J91" s="1"/>
      <c r="K91" s="1"/>
      <c r="L91" s="1"/>
      <c r="M91" s="1"/>
      <c r="N91" s="1"/>
    </row>
    <row r="92">
      <c r="A92" s="86" t="s">
        <v>39</v>
      </c>
      <c r="B92" s="86">
        <v>37.0</v>
      </c>
      <c r="C92" s="87"/>
      <c r="D92" s="87"/>
      <c r="E92" s="87"/>
      <c r="F92" s="87"/>
      <c r="G92" s="87"/>
      <c r="H92" s="87"/>
      <c r="I92" s="87"/>
      <c r="J92" s="88"/>
      <c r="K92" s="88"/>
      <c r="L92" s="88"/>
      <c r="M92" s="88"/>
      <c r="N92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2.25"/>
    <col customWidth="1" min="2" max="2" width="20.38"/>
    <col customWidth="1" min="3" max="3" width="5.88"/>
  </cols>
  <sheetData>
    <row r="1">
      <c r="A1" s="28" t="s">
        <v>5</v>
      </c>
      <c r="B1" s="28" t="s">
        <v>4</v>
      </c>
      <c r="C1" s="29" t="s">
        <v>23</v>
      </c>
    </row>
    <row r="2">
      <c r="A2" s="25" t="s">
        <v>56</v>
      </c>
      <c r="B2" s="25" t="s">
        <v>57</v>
      </c>
      <c r="C2" s="25"/>
    </row>
    <row r="3">
      <c r="A3" s="25" t="s">
        <v>58</v>
      </c>
      <c r="B3" s="25" t="s">
        <v>57</v>
      </c>
      <c r="C3" s="25"/>
    </row>
    <row r="4">
      <c r="A4" s="25" t="s">
        <v>59</v>
      </c>
      <c r="B4" s="25" t="s">
        <v>57</v>
      </c>
      <c r="C4" s="25"/>
    </row>
    <row r="5">
      <c r="A5" s="25" t="s">
        <v>60</v>
      </c>
      <c r="B5" s="25" t="s">
        <v>57</v>
      </c>
      <c r="C5" s="25"/>
    </row>
    <row r="6">
      <c r="A6" s="25" t="s">
        <v>61</v>
      </c>
      <c r="B6" s="25" t="s">
        <v>57</v>
      </c>
      <c r="C6" s="25"/>
    </row>
    <row r="7">
      <c r="A7" s="25" t="s">
        <v>62</v>
      </c>
      <c r="B7" s="25" t="s">
        <v>57</v>
      </c>
      <c r="C7" s="25"/>
    </row>
    <row r="8">
      <c r="A8" s="25" t="s">
        <v>63</v>
      </c>
      <c r="B8" s="25" t="s">
        <v>57</v>
      </c>
      <c r="C8" s="25"/>
    </row>
    <row r="9">
      <c r="A9" s="25" t="s">
        <v>64</v>
      </c>
      <c r="B9" s="25" t="s">
        <v>57</v>
      </c>
      <c r="C9" s="25"/>
    </row>
    <row r="10">
      <c r="A10" s="25" t="s">
        <v>65</v>
      </c>
      <c r="B10" s="25" t="s">
        <v>57</v>
      </c>
      <c r="C10" s="25"/>
    </row>
    <row r="11">
      <c r="A11" s="25" t="s">
        <v>66</v>
      </c>
      <c r="B11" s="25" t="s">
        <v>57</v>
      </c>
      <c r="C11" s="25"/>
    </row>
    <row r="12">
      <c r="A12" s="25" t="s">
        <v>67</v>
      </c>
      <c r="B12" s="25" t="s">
        <v>57</v>
      </c>
      <c r="C12" s="25"/>
    </row>
    <row r="13">
      <c r="A13" s="25" t="s">
        <v>68</v>
      </c>
      <c r="B13" s="25" t="s">
        <v>57</v>
      </c>
      <c r="C13" s="25"/>
    </row>
    <row r="14">
      <c r="A14" s="35" t="s">
        <v>69</v>
      </c>
      <c r="B14" s="35" t="s">
        <v>57</v>
      </c>
      <c r="C14" s="25"/>
    </row>
    <row r="15">
      <c r="A15" s="25" t="s">
        <v>70</v>
      </c>
      <c r="B15" s="25" t="s">
        <v>57</v>
      </c>
      <c r="C15" s="25"/>
    </row>
    <row r="16">
      <c r="A16" s="25" t="s">
        <v>71</v>
      </c>
      <c r="B16" s="25" t="s">
        <v>57</v>
      </c>
      <c r="C16" s="25"/>
    </row>
    <row r="17">
      <c r="A17" s="25" t="s">
        <v>72</v>
      </c>
      <c r="B17" s="25" t="s">
        <v>57</v>
      </c>
      <c r="C17" s="25"/>
    </row>
    <row r="18">
      <c r="A18" s="25" t="s">
        <v>73</v>
      </c>
      <c r="B18" s="25" t="s">
        <v>57</v>
      </c>
      <c r="C18" s="25"/>
    </row>
    <row r="19">
      <c r="A19" s="25" t="s">
        <v>74</v>
      </c>
      <c r="B19" s="25" t="s">
        <v>57</v>
      </c>
      <c r="C19" s="25"/>
    </row>
    <row r="20">
      <c r="A20" s="25" t="s">
        <v>75</v>
      </c>
      <c r="B20" s="25" t="s">
        <v>57</v>
      </c>
      <c r="C20" s="25"/>
    </row>
    <row r="21">
      <c r="A21" s="25" t="s">
        <v>76</v>
      </c>
      <c r="B21" s="25" t="s">
        <v>57</v>
      </c>
      <c r="C21" s="25"/>
    </row>
    <row r="22">
      <c r="A22" s="89" t="s">
        <v>77</v>
      </c>
      <c r="B22" s="89" t="s">
        <v>57</v>
      </c>
      <c r="C22" s="89">
        <f>COUNTA(A2:A22)</f>
        <v>21</v>
      </c>
    </row>
    <row r="23">
      <c r="A23" s="25" t="s">
        <v>78</v>
      </c>
      <c r="B23" s="25" t="s">
        <v>79</v>
      </c>
      <c r="C23" s="25"/>
    </row>
    <row r="24">
      <c r="A24" s="25" t="s">
        <v>80</v>
      </c>
      <c r="B24" s="25" t="s">
        <v>79</v>
      </c>
      <c r="C24" s="25"/>
    </row>
    <row r="25">
      <c r="A25" s="89" t="s">
        <v>81</v>
      </c>
      <c r="B25" s="89" t="s">
        <v>79</v>
      </c>
      <c r="C25" s="89">
        <f>COUNTA(A23:A25)</f>
        <v>3</v>
      </c>
    </row>
    <row r="26">
      <c r="A26" s="25" t="s">
        <v>82</v>
      </c>
      <c r="B26" s="25" t="s">
        <v>83</v>
      </c>
      <c r="C26" s="25"/>
    </row>
    <row r="27">
      <c r="A27" s="89" t="s">
        <v>84</v>
      </c>
      <c r="B27" s="89" t="s">
        <v>83</v>
      </c>
      <c r="C27" s="89">
        <f>COUNTA(B26:B27)</f>
        <v>2</v>
      </c>
    </row>
    <row r="28">
      <c r="A28" s="89" t="s">
        <v>85</v>
      </c>
      <c r="B28" s="89" t="s">
        <v>86</v>
      </c>
      <c r="C28" s="89">
        <f t="shared" ref="C28:C30" si="1">COUNTA(A28)</f>
        <v>1</v>
      </c>
    </row>
    <row r="29">
      <c r="A29" s="89" t="s">
        <v>87</v>
      </c>
      <c r="B29" s="89" t="s">
        <v>88</v>
      </c>
      <c r="C29" s="89">
        <f t="shared" si="1"/>
        <v>1</v>
      </c>
    </row>
    <row r="30">
      <c r="A30" s="89" t="s">
        <v>89</v>
      </c>
      <c r="B30" s="89" t="s">
        <v>90</v>
      </c>
      <c r="C30" s="89">
        <f t="shared" si="1"/>
        <v>1</v>
      </c>
    </row>
    <row r="31">
      <c r="A31" s="25" t="s">
        <v>91</v>
      </c>
      <c r="B31" s="25" t="s">
        <v>92</v>
      </c>
      <c r="C31" s="25"/>
    </row>
    <row r="32">
      <c r="A32" s="25" t="s">
        <v>93</v>
      </c>
      <c r="B32" s="25" t="s">
        <v>92</v>
      </c>
      <c r="C32" s="25"/>
    </row>
    <row r="33">
      <c r="A33" s="25" t="s">
        <v>94</v>
      </c>
      <c r="B33" s="25" t="s">
        <v>92</v>
      </c>
      <c r="C33" s="25"/>
    </row>
    <row r="34">
      <c r="A34" s="25" t="s">
        <v>95</v>
      </c>
      <c r="B34" s="25" t="s">
        <v>92</v>
      </c>
      <c r="C34" s="25"/>
    </row>
    <row r="35">
      <c r="A35" s="25" t="s">
        <v>96</v>
      </c>
      <c r="B35" s="25" t="s">
        <v>92</v>
      </c>
      <c r="C35" s="25"/>
    </row>
    <row r="36">
      <c r="A36" s="25" t="s">
        <v>97</v>
      </c>
      <c r="B36" s="25" t="s">
        <v>92</v>
      </c>
      <c r="C36" s="25"/>
    </row>
    <row r="37">
      <c r="A37" s="25" t="s">
        <v>98</v>
      </c>
      <c r="B37" s="25" t="s">
        <v>92</v>
      </c>
      <c r="C37" s="25"/>
    </row>
    <row r="38">
      <c r="A38" s="25" t="s">
        <v>99</v>
      </c>
      <c r="B38" s="25" t="s">
        <v>92</v>
      </c>
      <c r="C38" s="25"/>
    </row>
    <row r="39">
      <c r="A39" s="25" t="s">
        <v>100</v>
      </c>
      <c r="B39" s="25" t="s">
        <v>92</v>
      </c>
      <c r="C39" s="25"/>
    </row>
    <row r="40">
      <c r="A40" s="25" t="s">
        <v>101</v>
      </c>
      <c r="B40" s="25" t="s">
        <v>92</v>
      </c>
      <c r="C40" s="25"/>
    </row>
    <row r="41">
      <c r="A41" s="25" t="s">
        <v>102</v>
      </c>
      <c r="B41" s="25" t="s">
        <v>92</v>
      </c>
      <c r="C41" s="25"/>
    </row>
    <row r="42">
      <c r="A42" s="25" t="s">
        <v>103</v>
      </c>
      <c r="B42" s="25" t="s">
        <v>92</v>
      </c>
      <c r="C42" s="25"/>
    </row>
    <row r="43">
      <c r="A43" s="25" t="s">
        <v>104</v>
      </c>
      <c r="B43" s="25" t="s">
        <v>92</v>
      </c>
      <c r="C43" s="25"/>
    </row>
    <row r="44">
      <c r="A44" s="25" t="s">
        <v>105</v>
      </c>
      <c r="B44" s="25" t="s">
        <v>92</v>
      </c>
      <c r="C44" s="25"/>
    </row>
    <row r="45">
      <c r="A45" s="25" t="s">
        <v>106</v>
      </c>
      <c r="B45" s="25" t="s">
        <v>92</v>
      </c>
      <c r="C45" s="25"/>
    </row>
    <row r="46">
      <c r="A46" s="25" t="s">
        <v>107</v>
      </c>
      <c r="B46" s="25" t="s">
        <v>92</v>
      </c>
      <c r="C46" s="25"/>
    </row>
    <row r="47">
      <c r="A47" s="25" t="s">
        <v>108</v>
      </c>
      <c r="B47" s="25" t="s">
        <v>92</v>
      </c>
      <c r="C47" s="25"/>
    </row>
    <row r="48">
      <c r="A48" s="25" t="s">
        <v>109</v>
      </c>
      <c r="B48" s="25" t="s">
        <v>92</v>
      </c>
      <c r="C48" s="25"/>
    </row>
    <row r="49">
      <c r="A49" s="25" t="s">
        <v>110</v>
      </c>
      <c r="B49" s="25" t="s">
        <v>92</v>
      </c>
      <c r="C49" s="25"/>
    </row>
    <row r="50">
      <c r="A50" s="25" t="s">
        <v>111</v>
      </c>
      <c r="B50" s="25" t="s">
        <v>92</v>
      </c>
      <c r="C50" s="25"/>
    </row>
    <row r="51">
      <c r="A51" s="25" t="s">
        <v>112</v>
      </c>
      <c r="B51" s="25" t="s">
        <v>92</v>
      </c>
      <c r="C51" s="25"/>
    </row>
    <row r="52">
      <c r="A52" s="25" t="s">
        <v>113</v>
      </c>
      <c r="B52" s="25" t="s">
        <v>92</v>
      </c>
      <c r="C52" s="25"/>
    </row>
    <row r="53">
      <c r="A53" s="25" t="s">
        <v>114</v>
      </c>
      <c r="B53" s="25" t="s">
        <v>92</v>
      </c>
      <c r="C53" s="25"/>
    </row>
    <row r="54">
      <c r="A54" s="25" t="s">
        <v>115</v>
      </c>
      <c r="B54" s="25" t="s">
        <v>92</v>
      </c>
      <c r="C54" s="25"/>
    </row>
    <row r="55">
      <c r="A55" s="25" t="s">
        <v>116</v>
      </c>
      <c r="B55" s="25" t="s">
        <v>92</v>
      </c>
      <c r="C55" s="25"/>
    </row>
    <row r="56">
      <c r="A56" s="25" t="s">
        <v>117</v>
      </c>
      <c r="B56" s="25" t="s">
        <v>92</v>
      </c>
      <c r="C56" s="25"/>
    </row>
    <row r="57">
      <c r="A57" s="25" t="s">
        <v>118</v>
      </c>
      <c r="B57" s="25" t="s">
        <v>92</v>
      </c>
      <c r="C57" s="25"/>
    </row>
    <row r="58">
      <c r="A58" s="25" t="s">
        <v>119</v>
      </c>
      <c r="B58" s="25" t="s">
        <v>92</v>
      </c>
      <c r="C58" s="25"/>
    </row>
    <row r="59">
      <c r="A59" s="25" t="s">
        <v>120</v>
      </c>
      <c r="B59" s="25" t="s">
        <v>92</v>
      </c>
      <c r="C59" s="25"/>
    </row>
    <row r="60">
      <c r="A60" s="25" t="s">
        <v>121</v>
      </c>
      <c r="B60" s="25" t="s">
        <v>92</v>
      </c>
      <c r="C60" s="25"/>
    </row>
    <row r="61">
      <c r="A61" s="25" t="s">
        <v>122</v>
      </c>
      <c r="B61" s="25" t="s">
        <v>92</v>
      </c>
      <c r="C61" s="25"/>
    </row>
    <row r="62">
      <c r="A62" s="25" t="s">
        <v>123</v>
      </c>
      <c r="B62" s="25" t="s">
        <v>92</v>
      </c>
      <c r="C62" s="25"/>
    </row>
    <row r="63">
      <c r="A63" s="25" t="s">
        <v>124</v>
      </c>
      <c r="B63" s="25" t="s">
        <v>92</v>
      </c>
      <c r="C63" s="25"/>
    </row>
    <row r="64">
      <c r="A64" s="25" t="s">
        <v>125</v>
      </c>
      <c r="B64" s="25" t="s">
        <v>92</v>
      </c>
      <c r="C64" s="25"/>
    </row>
    <row r="65">
      <c r="A65" s="25" t="s">
        <v>126</v>
      </c>
      <c r="B65" s="25" t="s">
        <v>92</v>
      </c>
      <c r="C65" s="25"/>
    </row>
    <row r="66">
      <c r="A66" s="25" t="s">
        <v>127</v>
      </c>
      <c r="B66" s="25" t="s">
        <v>92</v>
      </c>
      <c r="C66" s="25"/>
    </row>
    <row r="67">
      <c r="A67" s="25" t="s">
        <v>128</v>
      </c>
      <c r="B67" s="25" t="s">
        <v>92</v>
      </c>
      <c r="C67" s="25"/>
    </row>
    <row r="68">
      <c r="A68" s="25" t="s">
        <v>129</v>
      </c>
      <c r="B68" s="25" t="s">
        <v>92</v>
      </c>
      <c r="C68" s="25"/>
    </row>
    <row r="69">
      <c r="A69" s="25" t="s">
        <v>130</v>
      </c>
      <c r="B69" s="25" t="s">
        <v>92</v>
      </c>
      <c r="C69" s="25"/>
    </row>
    <row r="70">
      <c r="A70" s="25" t="s">
        <v>131</v>
      </c>
      <c r="B70" s="25" t="s">
        <v>92</v>
      </c>
      <c r="C70" s="25"/>
    </row>
    <row r="71">
      <c r="A71" s="25" t="s">
        <v>132</v>
      </c>
      <c r="B71" s="25" t="s">
        <v>92</v>
      </c>
      <c r="C71" s="25"/>
    </row>
    <row r="72">
      <c r="A72" s="25" t="s">
        <v>133</v>
      </c>
      <c r="B72" s="25" t="s">
        <v>92</v>
      </c>
      <c r="C72" s="25"/>
    </row>
    <row r="73">
      <c r="A73" s="25" t="s">
        <v>134</v>
      </c>
      <c r="B73" s="25" t="s">
        <v>92</v>
      </c>
      <c r="C73" s="25"/>
    </row>
    <row r="74">
      <c r="A74" s="25" t="s">
        <v>135</v>
      </c>
      <c r="B74" s="25" t="s">
        <v>92</v>
      </c>
      <c r="C74" s="25"/>
    </row>
    <row r="75">
      <c r="A75" s="25" t="s">
        <v>136</v>
      </c>
      <c r="B75" s="25" t="s">
        <v>92</v>
      </c>
      <c r="C75" s="25"/>
    </row>
    <row r="76">
      <c r="A76" s="25" t="s">
        <v>137</v>
      </c>
      <c r="B76" s="25" t="s">
        <v>92</v>
      </c>
      <c r="C76" s="25"/>
    </row>
    <row r="77">
      <c r="A77" s="25" t="s">
        <v>138</v>
      </c>
      <c r="B77" s="25" t="s">
        <v>92</v>
      </c>
      <c r="C77" s="25"/>
    </row>
    <row r="78">
      <c r="A78" s="89" t="s">
        <v>139</v>
      </c>
      <c r="B78" s="89" t="s">
        <v>92</v>
      </c>
      <c r="C78" s="89">
        <f>COUNTA(A31:A78)</f>
        <v>48</v>
      </c>
    </row>
    <row r="79">
      <c r="A79" s="25" t="s">
        <v>140</v>
      </c>
      <c r="B79" s="25" t="s">
        <v>141</v>
      </c>
      <c r="C79" s="25"/>
    </row>
    <row r="80">
      <c r="A80" s="25" t="s">
        <v>142</v>
      </c>
      <c r="B80" s="25" t="s">
        <v>141</v>
      </c>
      <c r="C80" s="25"/>
    </row>
    <row r="81">
      <c r="A81" s="25" t="s">
        <v>143</v>
      </c>
      <c r="B81" s="25" t="s">
        <v>141</v>
      </c>
      <c r="C81" s="25"/>
    </row>
    <row r="82">
      <c r="A82" s="25" t="s">
        <v>144</v>
      </c>
      <c r="B82" s="25" t="s">
        <v>141</v>
      </c>
      <c r="C82" s="25"/>
    </row>
    <row r="83">
      <c r="A83" s="25" t="s">
        <v>145</v>
      </c>
      <c r="B83" s="25" t="s">
        <v>141</v>
      </c>
      <c r="C83" s="25"/>
    </row>
    <row r="84">
      <c r="A84" s="90" t="s">
        <v>146</v>
      </c>
      <c r="B84" s="89" t="s">
        <v>141</v>
      </c>
      <c r="C84" s="89">
        <f>COUNTA(A79:A84)</f>
        <v>6</v>
      </c>
    </row>
    <row r="85">
      <c r="A85" s="90" t="s">
        <v>147</v>
      </c>
      <c r="B85" s="89" t="s">
        <v>148</v>
      </c>
      <c r="C85" s="89">
        <f>COUNTA(A85)</f>
        <v>1</v>
      </c>
    </row>
    <row r="86">
      <c r="A86" s="35" t="s">
        <v>149</v>
      </c>
      <c r="B86" s="25" t="s">
        <v>150</v>
      </c>
      <c r="C86" s="25"/>
    </row>
    <row r="87">
      <c r="A87" s="90" t="s">
        <v>151</v>
      </c>
      <c r="B87" s="89" t="s">
        <v>150</v>
      </c>
      <c r="C87" s="89">
        <f>COUNTA(A86:A87)</f>
        <v>2</v>
      </c>
    </row>
    <row r="88">
      <c r="A88" s="35" t="s">
        <v>152</v>
      </c>
      <c r="B88" s="35" t="s">
        <v>153</v>
      </c>
      <c r="C88" s="25"/>
    </row>
    <row r="89">
      <c r="A89" s="25" t="s">
        <v>154</v>
      </c>
      <c r="B89" s="25" t="s">
        <v>153</v>
      </c>
      <c r="C89" s="25"/>
    </row>
    <row r="90">
      <c r="A90" s="25" t="s">
        <v>155</v>
      </c>
      <c r="B90" s="25" t="s">
        <v>153</v>
      </c>
      <c r="C90" s="25"/>
    </row>
    <row r="91">
      <c r="A91" s="25" t="s">
        <v>156</v>
      </c>
      <c r="B91" s="25" t="s">
        <v>153</v>
      </c>
      <c r="C91" s="25"/>
    </row>
    <row r="92">
      <c r="A92" s="90" t="s">
        <v>157</v>
      </c>
      <c r="B92" s="89" t="s">
        <v>153</v>
      </c>
      <c r="C92" s="89">
        <f>COUNTA(A88:A92)</f>
        <v>5</v>
      </c>
    </row>
    <row r="93">
      <c r="A93" s="25" t="s">
        <v>158</v>
      </c>
      <c r="B93" s="25" t="s">
        <v>159</v>
      </c>
      <c r="C93" s="25"/>
    </row>
    <row r="94">
      <c r="A94" s="25" t="s">
        <v>160</v>
      </c>
      <c r="B94" s="25" t="s">
        <v>159</v>
      </c>
      <c r="C94" s="25"/>
    </row>
    <row r="95">
      <c r="A95" s="35" t="s">
        <v>161</v>
      </c>
      <c r="B95" s="25" t="s">
        <v>159</v>
      </c>
      <c r="C95" s="25"/>
    </row>
    <row r="96">
      <c r="A96" s="25" t="s">
        <v>162</v>
      </c>
      <c r="B96" s="25" t="s">
        <v>159</v>
      </c>
      <c r="C96" s="25"/>
    </row>
    <row r="97">
      <c r="A97" s="25" t="s">
        <v>163</v>
      </c>
      <c r="B97" s="25" t="s">
        <v>159</v>
      </c>
      <c r="C97" s="25"/>
    </row>
    <row r="98">
      <c r="A98" s="25" t="s">
        <v>164</v>
      </c>
      <c r="B98" s="25" t="s">
        <v>159</v>
      </c>
      <c r="C98" s="25"/>
    </row>
    <row r="99">
      <c r="A99" s="90" t="s">
        <v>165</v>
      </c>
      <c r="B99" s="89" t="s">
        <v>159</v>
      </c>
      <c r="C99" s="89">
        <f>COUNTA(A93:A99)</f>
        <v>7</v>
      </c>
    </row>
    <row r="100">
      <c r="A100" s="90" t="s">
        <v>166</v>
      </c>
      <c r="B100" s="89" t="s">
        <v>167</v>
      </c>
      <c r="C100" s="89">
        <f>COUNTA(A100)</f>
        <v>1</v>
      </c>
    </row>
    <row r="101">
      <c r="A101" s="25" t="s">
        <v>168</v>
      </c>
      <c r="B101" s="25" t="s">
        <v>25</v>
      </c>
      <c r="C101" s="25"/>
    </row>
    <row r="102">
      <c r="A102" s="25" t="s">
        <v>169</v>
      </c>
      <c r="B102" s="25" t="s">
        <v>25</v>
      </c>
      <c r="C102" s="25"/>
    </row>
    <row r="103">
      <c r="A103" s="25" t="s">
        <v>170</v>
      </c>
      <c r="B103" s="25" t="s">
        <v>25</v>
      </c>
      <c r="C103" s="25"/>
    </row>
    <row r="104">
      <c r="A104" s="91" t="s">
        <v>171</v>
      </c>
      <c r="B104" s="25" t="s">
        <v>25</v>
      </c>
      <c r="C104" s="25"/>
    </row>
    <row r="105">
      <c r="A105" s="25" t="s">
        <v>172</v>
      </c>
      <c r="B105" s="25" t="s">
        <v>25</v>
      </c>
      <c r="C105" s="25"/>
    </row>
    <row r="106">
      <c r="A106" s="25" t="s">
        <v>173</v>
      </c>
      <c r="B106" s="25" t="s">
        <v>25</v>
      </c>
      <c r="C106" s="25"/>
    </row>
    <row r="107">
      <c r="A107" s="25" t="s">
        <v>174</v>
      </c>
      <c r="B107" s="25" t="s">
        <v>25</v>
      </c>
      <c r="C107" s="25"/>
    </row>
    <row r="108">
      <c r="A108" s="25" t="s">
        <v>175</v>
      </c>
      <c r="B108" s="25" t="s">
        <v>25</v>
      </c>
      <c r="C108" s="25"/>
    </row>
    <row r="109">
      <c r="A109" s="25" t="s">
        <v>176</v>
      </c>
      <c r="B109" s="25" t="s">
        <v>25</v>
      </c>
      <c r="C109" s="25"/>
    </row>
    <row r="110">
      <c r="A110" s="25" t="s">
        <v>177</v>
      </c>
      <c r="B110" s="25" t="s">
        <v>25</v>
      </c>
      <c r="C110" s="25"/>
    </row>
    <row r="111">
      <c r="A111" s="25" t="s">
        <v>178</v>
      </c>
      <c r="B111" s="25" t="s">
        <v>25</v>
      </c>
      <c r="C111" s="25"/>
    </row>
    <row r="112">
      <c r="A112" s="35" t="s">
        <v>24</v>
      </c>
      <c r="B112" s="25" t="s">
        <v>25</v>
      </c>
      <c r="C112" s="25"/>
    </row>
    <row r="113">
      <c r="A113" s="25" t="s">
        <v>179</v>
      </c>
      <c r="B113" s="25" t="s">
        <v>25</v>
      </c>
      <c r="C113" s="25"/>
    </row>
    <row r="114">
      <c r="A114" s="25" t="s">
        <v>180</v>
      </c>
      <c r="B114" s="25" t="s">
        <v>25</v>
      </c>
      <c r="C114" s="25"/>
    </row>
    <row r="115">
      <c r="A115" s="25" t="s">
        <v>181</v>
      </c>
      <c r="B115" s="25" t="s">
        <v>25</v>
      </c>
      <c r="C115" s="25"/>
    </row>
    <row r="116">
      <c r="A116" s="25" t="s">
        <v>182</v>
      </c>
      <c r="B116" s="25" t="s">
        <v>25</v>
      </c>
      <c r="C116" s="25"/>
    </row>
    <row r="117">
      <c r="A117" s="25" t="s">
        <v>183</v>
      </c>
      <c r="B117" s="25" t="s">
        <v>25</v>
      </c>
      <c r="C117" s="25"/>
    </row>
    <row r="118">
      <c r="A118" s="25" t="s">
        <v>184</v>
      </c>
      <c r="B118" s="25" t="s">
        <v>25</v>
      </c>
      <c r="C118" s="25"/>
    </row>
    <row r="119">
      <c r="A119" s="25" t="s">
        <v>185</v>
      </c>
      <c r="B119" s="25" t="s">
        <v>25</v>
      </c>
      <c r="C119" s="25"/>
    </row>
    <row r="120">
      <c r="A120" s="25" t="s">
        <v>186</v>
      </c>
      <c r="B120" s="25" t="s">
        <v>25</v>
      </c>
      <c r="C120" s="25"/>
    </row>
    <row r="121">
      <c r="A121" s="25" t="s">
        <v>187</v>
      </c>
      <c r="B121" s="25" t="s">
        <v>25</v>
      </c>
      <c r="C121" s="25"/>
    </row>
    <row r="122">
      <c r="A122" s="25" t="s">
        <v>188</v>
      </c>
      <c r="B122" s="25" t="s">
        <v>25</v>
      </c>
      <c r="C122" s="25"/>
    </row>
    <row r="123">
      <c r="A123" s="25" t="s">
        <v>189</v>
      </c>
      <c r="B123" s="25" t="s">
        <v>25</v>
      </c>
      <c r="C123" s="25"/>
    </row>
    <row r="124">
      <c r="A124" s="25" t="s">
        <v>190</v>
      </c>
      <c r="B124" s="25" t="s">
        <v>25</v>
      </c>
      <c r="C124" s="25"/>
    </row>
    <row r="125">
      <c r="A125" s="91" t="s">
        <v>191</v>
      </c>
      <c r="B125" s="92" t="s">
        <v>25</v>
      </c>
      <c r="C125" s="25"/>
    </row>
    <row r="126">
      <c r="A126" s="35" t="s">
        <v>192</v>
      </c>
      <c r="B126" s="35" t="s">
        <v>25</v>
      </c>
      <c r="C126" s="25"/>
    </row>
    <row r="127">
      <c r="A127" s="25" t="s">
        <v>193</v>
      </c>
      <c r="B127" s="25" t="s">
        <v>25</v>
      </c>
      <c r="C127" s="25"/>
    </row>
    <row r="128">
      <c r="A128" s="25" t="s">
        <v>194</v>
      </c>
      <c r="B128" s="25" t="s">
        <v>25</v>
      </c>
      <c r="C128" s="25"/>
    </row>
    <row r="129">
      <c r="A129" s="25" t="s">
        <v>195</v>
      </c>
      <c r="B129" s="25" t="s">
        <v>25</v>
      </c>
      <c r="C129" s="25"/>
    </row>
    <row r="130">
      <c r="A130" s="25" t="s">
        <v>196</v>
      </c>
      <c r="B130" s="25" t="s">
        <v>25</v>
      </c>
      <c r="C130" s="25"/>
    </row>
    <row r="131">
      <c r="A131" s="25" t="s">
        <v>197</v>
      </c>
      <c r="B131" s="25" t="s">
        <v>25</v>
      </c>
      <c r="C131" s="25"/>
    </row>
    <row r="132">
      <c r="A132" s="25" t="s">
        <v>198</v>
      </c>
      <c r="B132" s="25" t="s">
        <v>25</v>
      </c>
      <c r="C132" s="25"/>
    </row>
    <row r="133">
      <c r="A133" s="25" t="s">
        <v>199</v>
      </c>
      <c r="B133" s="25" t="s">
        <v>25</v>
      </c>
      <c r="C133" s="25"/>
    </row>
    <row r="134">
      <c r="A134" s="25" t="s">
        <v>200</v>
      </c>
      <c r="B134" s="25" t="s">
        <v>25</v>
      </c>
      <c r="C134" s="25"/>
    </row>
    <row r="135">
      <c r="A135" s="25" t="s">
        <v>201</v>
      </c>
      <c r="B135" s="25" t="s">
        <v>25</v>
      </c>
      <c r="C135" s="25"/>
    </row>
    <row r="136">
      <c r="A136" s="25" t="s">
        <v>202</v>
      </c>
      <c r="B136" s="25" t="s">
        <v>25</v>
      </c>
      <c r="C136" s="25"/>
    </row>
    <row r="137">
      <c r="A137" s="25" t="s">
        <v>203</v>
      </c>
      <c r="B137" s="25" t="s">
        <v>25</v>
      </c>
      <c r="C137" s="25"/>
    </row>
    <row r="138">
      <c r="A138" s="25" t="s">
        <v>204</v>
      </c>
      <c r="B138" s="25" t="s">
        <v>25</v>
      </c>
      <c r="C138" s="25"/>
    </row>
    <row r="139">
      <c r="A139" s="25" t="s">
        <v>205</v>
      </c>
      <c r="B139" s="25" t="s">
        <v>25</v>
      </c>
      <c r="C139" s="25"/>
    </row>
    <row r="140">
      <c r="A140" s="25" t="s">
        <v>206</v>
      </c>
      <c r="B140" s="25" t="s">
        <v>25</v>
      </c>
      <c r="C140" s="25"/>
    </row>
    <row r="141">
      <c r="A141" s="25" t="s">
        <v>207</v>
      </c>
      <c r="B141" s="25" t="s">
        <v>25</v>
      </c>
      <c r="C141" s="25"/>
    </row>
    <row r="142">
      <c r="A142" s="25" t="s">
        <v>208</v>
      </c>
      <c r="B142" s="25" t="s">
        <v>25</v>
      </c>
      <c r="C142" s="25"/>
    </row>
    <row r="143">
      <c r="A143" s="25" t="s">
        <v>209</v>
      </c>
      <c r="B143" s="25" t="s">
        <v>25</v>
      </c>
      <c r="C143" s="25"/>
    </row>
    <row r="144">
      <c r="A144" s="25" t="s">
        <v>210</v>
      </c>
      <c r="B144" s="25" t="s">
        <v>25</v>
      </c>
      <c r="C144" s="25"/>
    </row>
    <row r="145">
      <c r="A145" s="25" t="s">
        <v>211</v>
      </c>
      <c r="B145" s="25" t="s">
        <v>25</v>
      </c>
      <c r="C145" s="25"/>
    </row>
    <row r="146">
      <c r="A146" s="25" t="s">
        <v>212</v>
      </c>
      <c r="B146" s="25" t="s">
        <v>25</v>
      </c>
      <c r="C146" s="25"/>
    </row>
    <row r="147">
      <c r="A147" s="25" t="s">
        <v>213</v>
      </c>
      <c r="B147" s="25" t="s">
        <v>25</v>
      </c>
      <c r="C147" s="25"/>
    </row>
    <row r="148">
      <c r="A148" s="25" t="s">
        <v>214</v>
      </c>
      <c r="B148" s="25" t="s">
        <v>25</v>
      </c>
      <c r="C148" s="25"/>
    </row>
    <row r="149">
      <c r="A149" s="25" t="s">
        <v>215</v>
      </c>
      <c r="B149" s="25" t="s">
        <v>25</v>
      </c>
      <c r="C149" s="25"/>
    </row>
    <row r="150">
      <c r="A150" s="25" t="s">
        <v>216</v>
      </c>
      <c r="B150" s="25" t="s">
        <v>25</v>
      </c>
      <c r="C150" s="25"/>
    </row>
    <row r="151">
      <c r="A151" s="25" t="s">
        <v>217</v>
      </c>
      <c r="B151" s="25" t="s">
        <v>25</v>
      </c>
      <c r="C151" s="25"/>
    </row>
    <row r="152">
      <c r="A152" s="25" t="s">
        <v>218</v>
      </c>
      <c r="B152" s="25" t="s">
        <v>25</v>
      </c>
      <c r="C152" s="25"/>
    </row>
    <row r="153">
      <c r="A153" s="25" t="s">
        <v>219</v>
      </c>
      <c r="B153" s="25" t="s">
        <v>25</v>
      </c>
      <c r="C153" s="25"/>
    </row>
    <row r="154">
      <c r="A154" s="25" t="s">
        <v>220</v>
      </c>
      <c r="B154" s="25" t="s">
        <v>25</v>
      </c>
      <c r="C154" s="25"/>
    </row>
    <row r="155">
      <c r="A155" s="25" t="s">
        <v>221</v>
      </c>
      <c r="B155" s="25" t="s">
        <v>25</v>
      </c>
      <c r="C155" s="25"/>
    </row>
    <row r="156">
      <c r="A156" s="25" t="s">
        <v>222</v>
      </c>
      <c r="B156" s="25" t="s">
        <v>25</v>
      </c>
      <c r="C156" s="25"/>
    </row>
    <row r="157">
      <c r="A157" s="25" t="s">
        <v>223</v>
      </c>
      <c r="B157" s="25" t="s">
        <v>25</v>
      </c>
      <c r="C157" s="25"/>
    </row>
    <row r="158">
      <c r="A158" s="25" t="s">
        <v>224</v>
      </c>
      <c r="B158" s="25" t="s">
        <v>25</v>
      </c>
      <c r="C158" s="25"/>
    </row>
    <row r="159">
      <c r="A159" s="25" t="s">
        <v>225</v>
      </c>
      <c r="B159" s="25" t="s">
        <v>25</v>
      </c>
      <c r="C159" s="25"/>
    </row>
    <row r="160">
      <c r="A160" s="25" t="s">
        <v>226</v>
      </c>
      <c r="B160" s="25" t="s">
        <v>25</v>
      </c>
      <c r="C160" s="25"/>
    </row>
    <row r="161">
      <c r="A161" s="25" t="s">
        <v>227</v>
      </c>
      <c r="B161" s="25" t="s">
        <v>25</v>
      </c>
      <c r="C161" s="25"/>
    </row>
    <row r="162">
      <c r="A162" s="25" t="s">
        <v>228</v>
      </c>
      <c r="B162" s="25" t="s">
        <v>25</v>
      </c>
      <c r="C162" s="25"/>
    </row>
    <row r="163">
      <c r="A163" s="25" t="s">
        <v>229</v>
      </c>
      <c r="B163" s="25" t="s">
        <v>25</v>
      </c>
      <c r="C163" s="25"/>
    </row>
    <row r="164">
      <c r="A164" s="25" t="s">
        <v>230</v>
      </c>
      <c r="B164" s="25" t="s">
        <v>25</v>
      </c>
      <c r="C164" s="25"/>
    </row>
    <row r="165">
      <c r="A165" s="25" t="s">
        <v>231</v>
      </c>
      <c r="B165" s="25" t="s">
        <v>25</v>
      </c>
      <c r="C165" s="25"/>
    </row>
    <row r="166">
      <c r="A166" s="25" t="s">
        <v>232</v>
      </c>
      <c r="B166" s="25" t="s">
        <v>25</v>
      </c>
      <c r="C166" s="25"/>
    </row>
    <row r="167">
      <c r="A167" s="25" t="s">
        <v>233</v>
      </c>
      <c r="B167" s="25" t="s">
        <v>25</v>
      </c>
      <c r="C167" s="25"/>
    </row>
    <row r="168">
      <c r="A168" s="25" t="s">
        <v>234</v>
      </c>
      <c r="B168" s="25" t="s">
        <v>25</v>
      </c>
      <c r="C168" s="25"/>
    </row>
    <row r="169">
      <c r="A169" s="25" t="s">
        <v>235</v>
      </c>
      <c r="B169" s="25" t="s">
        <v>25</v>
      </c>
      <c r="C169" s="25"/>
    </row>
    <row r="170">
      <c r="A170" s="25" t="s">
        <v>236</v>
      </c>
      <c r="B170" s="25" t="s">
        <v>25</v>
      </c>
      <c r="C170" s="25"/>
    </row>
    <row r="171">
      <c r="A171" s="25" t="s">
        <v>237</v>
      </c>
      <c r="B171" s="25" t="s">
        <v>25</v>
      </c>
      <c r="C171" s="25"/>
    </row>
    <row r="172">
      <c r="A172" s="25" t="s">
        <v>238</v>
      </c>
      <c r="B172" s="25" t="s">
        <v>25</v>
      </c>
      <c r="C172" s="25"/>
    </row>
    <row r="173">
      <c r="A173" s="25" t="s">
        <v>239</v>
      </c>
      <c r="B173" s="25" t="s">
        <v>25</v>
      </c>
      <c r="C173" s="25"/>
    </row>
    <row r="174">
      <c r="A174" s="25" t="s">
        <v>240</v>
      </c>
      <c r="B174" s="25" t="s">
        <v>25</v>
      </c>
      <c r="C174" s="25"/>
    </row>
    <row r="175">
      <c r="A175" s="25" t="s">
        <v>241</v>
      </c>
      <c r="B175" s="25" t="s">
        <v>25</v>
      </c>
      <c r="C175" s="25"/>
    </row>
    <row r="176">
      <c r="A176" s="25" t="s">
        <v>242</v>
      </c>
      <c r="B176" s="25" t="s">
        <v>25</v>
      </c>
      <c r="C176" s="25"/>
    </row>
    <row r="177">
      <c r="A177" s="25" t="s">
        <v>243</v>
      </c>
      <c r="B177" s="25" t="s">
        <v>25</v>
      </c>
      <c r="C177" s="25"/>
    </row>
    <row r="178">
      <c r="A178" s="25" t="s">
        <v>244</v>
      </c>
      <c r="B178" s="25" t="s">
        <v>25</v>
      </c>
      <c r="C178" s="25"/>
    </row>
    <row r="179">
      <c r="A179" s="25" t="s">
        <v>245</v>
      </c>
      <c r="B179" s="25" t="s">
        <v>25</v>
      </c>
      <c r="C179" s="25"/>
    </row>
    <row r="180">
      <c r="A180" s="25" t="s">
        <v>246</v>
      </c>
      <c r="B180" s="25" t="s">
        <v>25</v>
      </c>
      <c r="C180" s="25"/>
    </row>
    <row r="181">
      <c r="A181" s="25" t="s">
        <v>247</v>
      </c>
      <c r="B181" s="25" t="s">
        <v>25</v>
      </c>
      <c r="C181" s="25"/>
    </row>
    <row r="182">
      <c r="A182" s="25" t="s">
        <v>248</v>
      </c>
      <c r="B182" s="25" t="s">
        <v>25</v>
      </c>
      <c r="C182" s="25"/>
    </row>
    <row r="183">
      <c r="A183" s="25" t="s">
        <v>249</v>
      </c>
      <c r="B183" s="25" t="s">
        <v>25</v>
      </c>
      <c r="C183" s="25"/>
    </row>
    <row r="184">
      <c r="A184" s="25" t="s">
        <v>250</v>
      </c>
      <c r="B184" s="25" t="s">
        <v>25</v>
      </c>
      <c r="C184" s="25"/>
    </row>
    <row r="185">
      <c r="A185" s="25" t="s">
        <v>251</v>
      </c>
      <c r="B185" s="25" t="s">
        <v>25</v>
      </c>
      <c r="C185" s="25"/>
    </row>
    <row r="186">
      <c r="A186" s="25" t="s">
        <v>252</v>
      </c>
      <c r="B186" s="25" t="s">
        <v>25</v>
      </c>
      <c r="C186" s="25"/>
    </row>
    <row r="187">
      <c r="A187" s="89" t="s">
        <v>253</v>
      </c>
      <c r="B187" s="89" t="s">
        <v>25</v>
      </c>
      <c r="C187" s="89">
        <f>COUNTA(A101:A187)</f>
        <v>87</v>
      </c>
    </row>
    <row r="188">
      <c r="A188" s="89" t="s">
        <v>26</v>
      </c>
      <c r="B188" s="93" t="s">
        <v>27</v>
      </c>
      <c r="C188" s="89">
        <f>COUNTA(A188)</f>
        <v>1</v>
      </c>
    </row>
    <row r="189">
      <c r="A189" s="25" t="s">
        <v>254</v>
      </c>
      <c r="B189" s="25" t="s">
        <v>255</v>
      </c>
      <c r="C189" s="25"/>
    </row>
    <row r="190">
      <c r="A190" s="25" t="s">
        <v>256</v>
      </c>
      <c r="B190" s="25" t="s">
        <v>255</v>
      </c>
      <c r="C190" s="25"/>
    </row>
    <row r="191">
      <c r="A191" s="25" t="s">
        <v>257</v>
      </c>
      <c r="B191" s="25" t="s">
        <v>255</v>
      </c>
      <c r="C191" s="25"/>
    </row>
    <row r="192">
      <c r="A192" s="25" t="s">
        <v>258</v>
      </c>
      <c r="B192" s="25" t="s">
        <v>255</v>
      </c>
      <c r="C192" s="25"/>
    </row>
    <row r="193">
      <c r="A193" s="25" t="s">
        <v>259</v>
      </c>
      <c r="B193" s="25" t="s">
        <v>255</v>
      </c>
      <c r="C193" s="25"/>
    </row>
    <row r="194">
      <c r="A194" s="25" t="s">
        <v>260</v>
      </c>
      <c r="B194" s="25" t="s">
        <v>255</v>
      </c>
      <c r="C194" s="25"/>
    </row>
    <row r="195">
      <c r="A195" s="25" t="s">
        <v>261</v>
      </c>
      <c r="B195" s="25" t="s">
        <v>255</v>
      </c>
      <c r="C195" s="25"/>
    </row>
    <row r="196">
      <c r="A196" s="25" t="s">
        <v>262</v>
      </c>
      <c r="B196" s="25" t="s">
        <v>255</v>
      </c>
      <c r="C196" s="25"/>
    </row>
    <row r="197">
      <c r="A197" s="89" t="s">
        <v>263</v>
      </c>
      <c r="B197" s="89" t="s">
        <v>255</v>
      </c>
      <c r="C197" s="89">
        <f>COUNTA(A189:A197)</f>
        <v>9</v>
      </c>
    </row>
    <row r="198">
      <c r="A198" s="25" t="s">
        <v>264</v>
      </c>
      <c r="B198" s="25" t="s">
        <v>265</v>
      </c>
      <c r="C198" s="25"/>
    </row>
    <row r="199">
      <c r="A199" s="25" t="s">
        <v>266</v>
      </c>
      <c r="B199" s="25" t="s">
        <v>265</v>
      </c>
      <c r="C199" s="25"/>
    </row>
    <row r="200">
      <c r="A200" s="25" t="s">
        <v>267</v>
      </c>
      <c r="B200" s="25" t="s">
        <v>265</v>
      </c>
      <c r="C200" s="25"/>
    </row>
    <row r="201">
      <c r="A201" s="25" t="s">
        <v>268</v>
      </c>
      <c r="B201" s="25" t="s">
        <v>265</v>
      </c>
      <c r="C201" s="25"/>
    </row>
    <row r="202">
      <c r="A202" s="25" t="s">
        <v>269</v>
      </c>
      <c r="B202" s="25" t="s">
        <v>265</v>
      </c>
      <c r="C202" s="25"/>
    </row>
    <row r="203">
      <c r="A203" s="25" t="s">
        <v>270</v>
      </c>
      <c r="B203" s="25" t="s">
        <v>265</v>
      </c>
      <c r="C203" s="25"/>
    </row>
    <row r="204">
      <c r="A204" s="25" t="s">
        <v>271</v>
      </c>
      <c r="B204" s="25" t="s">
        <v>265</v>
      </c>
      <c r="C204" s="25"/>
    </row>
    <row r="205">
      <c r="A205" s="94" t="s">
        <v>272</v>
      </c>
      <c r="B205" s="25" t="s">
        <v>265</v>
      </c>
      <c r="C205" s="25"/>
    </row>
    <row r="206">
      <c r="A206" s="25" t="s">
        <v>273</v>
      </c>
      <c r="B206" s="25" t="s">
        <v>265</v>
      </c>
      <c r="C206" s="25"/>
    </row>
    <row r="207">
      <c r="A207" s="25" t="s">
        <v>274</v>
      </c>
      <c r="B207" s="25" t="s">
        <v>265</v>
      </c>
      <c r="C207" s="25"/>
    </row>
    <row r="208">
      <c r="A208" s="25" t="s">
        <v>275</v>
      </c>
      <c r="B208" s="25" t="s">
        <v>265</v>
      </c>
      <c r="C208" s="25"/>
    </row>
    <row r="209">
      <c r="A209" s="25" t="s">
        <v>276</v>
      </c>
      <c r="B209" s="25" t="s">
        <v>265</v>
      </c>
      <c r="C209" s="25"/>
    </row>
    <row r="210">
      <c r="A210" s="25" t="s">
        <v>277</v>
      </c>
      <c r="B210" s="25" t="s">
        <v>265</v>
      </c>
      <c r="C210" s="25"/>
    </row>
    <row r="211">
      <c r="A211" s="25" t="s">
        <v>278</v>
      </c>
      <c r="B211" s="25" t="s">
        <v>265</v>
      </c>
      <c r="C211" s="25"/>
    </row>
    <row r="212">
      <c r="A212" s="25" t="s">
        <v>279</v>
      </c>
      <c r="B212" s="25" t="s">
        <v>265</v>
      </c>
      <c r="C212" s="25"/>
    </row>
    <row r="213">
      <c r="A213" s="25" t="s">
        <v>280</v>
      </c>
      <c r="B213" s="25" t="s">
        <v>265</v>
      </c>
      <c r="C213" s="25"/>
    </row>
    <row r="214">
      <c r="A214" s="25" t="s">
        <v>281</v>
      </c>
      <c r="B214" s="25" t="s">
        <v>265</v>
      </c>
      <c r="C214" s="25"/>
    </row>
    <row r="215">
      <c r="A215" s="25" t="s">
        <v>282</v>
      </c>
      <c r="B215" s="25" t="s">
        <v>265</v>
      </c>
      <c r="C215" s="25"/>
    </row>
    <row r="216">
      <c r="A216" s="25" t="s">
        <v>283</v>
      </c>
      <c r="B216" s="25" t="s">
        <v>265</v>
      </c>
      <c r="C216" s="25"/>
    </row>
    <row r="217">
      <c r="A217" s="25" t="s">
        <v>284</v>
      </c>
      <c r="B217" s="25" t="s">
        <v>265</v>
      </c>
      <c r="C217" s="25"/>
    </row>
    <row r="218">
      <c r="A218" s="25" t="s">
        <v>285</v>
      </c>
      <c r="B218" s="25" t="s">
        <v>265</v>
      </c>
      <c r="C218" s="25"/>
    </row>
    <row r="219">
      <c r="A219" s="25" t="s">
        <v>286</v>
      </c>
      <c r="B219" s="25" t="s">
        <v>265</v>
      </c>
      <c r="C219" s="25"/>
    </row>
    <row r="220">
      <c r="A220" s="25" t="s">
        <v>287</v>
      </c>
      <c r="B220" s="25" t="s">
        <v>265</v>
      </c>
      <c r="C220" s="25"/>
    </row>
    <row r="221">
      <c r="A221" s="25" t="s">
        <v>288</v>
      </c>
      <c r="B221" s="25" t="s">
        <v>265</v>
      </c>
      <c r="C221" s="25"/>
    </row>
    <row r="222">
      <c r="A222" s="89" t="s">
        <v>289</v>
      </c>
      <c r="B222" s="89" t="s">
        <v>265</v>
      </c>
      <c r="C222" s="89">
        <f>COUNTA(A198:A222)</f>
        <v>25</v>
      </c>
    </row>
    <row r="223">
      <c r="A223" s="25" t="s">
        <v>290</v>
      </c>
      <c r="B223" s="25" t="s">
        <v>291</v>
      </c>
      <c r="C223" s="25"/>
    </row>
    <row r="224">
      <c r="A224" s="25" t="s">
        <v>292</v>
      </c>
      <c r="B224" s="25" t="s">
        <v>291</v>
      </c>
      <c r="C224" s="25"/>
    </row>
    <row r="225">
      <c r="A225" s="25" t="s">
        <v>293</v>
      </c>
      <c r="B225" s="25" t="s">
        <v>291</v>
      </c>
      <c r="C225" s="25"/>
    </row>
    <row r="226">
      <c r="A226" s="25" t="s">
        <v>294</v>
      </c>
      <c r="B226" s="25" t="s">
        <v>291</v>
      </c>
      <c r="C226" s="25"/>
    </row>
    <row r="227">
      <c r="A227" s="25" t="s">
        <v>295</v>
      </c>
      <c r="B227" s="25" t="s">
        <v>291</v>
      </c>
      <c r="C227" s="25"/>
    </row>
    <row r="228">
      <c r="A228" s="35" t="s">
        <v>296</v>
      </c>
      <c r="B228" s="25" t="s">
        <v>291</v>
      </c>
      <c r="C228" s="25"/>
    </row>
    <row r="229">
      <c r="A229" s="25" t="s">
        <v>297</v>
      </c>
      <c r="B229" s="25" t="s">
        <v>291</v>
      </c>
      <c r="C229" s="25"/>
    </row>
    <row r="230">
      <c r="A230" s="25" t="s">
        <v>298</v>
      </c>
      <c r="B230" s="25" t="s">
        <v>291</v>
      </c>
      <c r="C230" s="25"/>
    </row>
    <row r="231">
      <c r="A231" s="25" t="s">
        <v>299</v>
      </c>
      <c r="B231" s="25" t="s">
        <v>291</v>
      </c>
      <c r="C231" s="25"/>
    </row>
    <row r="232">
      <c r="A232" s="25" t="s">
        <v>300</v>
      </c>
      <c r="B232" s="25" t="s">
        <v>291</v>
      </c>
      <c r="C232" s="25"/>
    </row>
    <row r="233">
      <c r="A233" s="25" t="s">
        <v>301</v>
      </c>
      <c r="B233" s="25" t="s">
        <v>291</v>
      </c>
      <c r="C233" s="25"/>
    </row>
    <row r="234">
      <c r="A234" s="25" t="s">
        <v>302</v>
      </c>
      <c r="B234" s="25" t="s">
        <v>291</v>
      </c>
      <c r="C234" s="25"/>
    </row>
    <row r="235">
      <c r="A235" s="25" t="s">
        <v>303</v>
      </c>
      <c r="B235" s="25" t="s">
        <v>291</v>
      </c>
      <c r="C235" s="25"/>
    </row>
    <row r="236">
      <c r="A236" s="25" t="s">
        <v>304</v>
      </c>
      <c r="B236" s="25" t="s">
        <v>291</v>
      </c>
      <c r="C236" s="25"/>
    </row>
    <row r="237">
      <c r="A237" s="25" t="s">
        <v>305</v>
      </c>
      <c r="B237" s="25" t="s">
        <v>291</v>
      </c>
      <c r="C237" s="25"/>
    </row>
    <row r="238">
      <c r="A238" s="89" t="s">
        <v>306</v>
      </c>
      <c r="B238" s="89" t="s">
        <v>291</v>
      </c>
      <c r="C238" s="89">
        <f>COUNTA(A223:A238)</f>
        <v>16</v>
      </c>
    </row>
    <row r="239">
      <c r="A239" s="25" t="s">
        <v>307</v>
      </c>
      <c r="B239" s="25" t="s">
        <v>308</v>
      </c>
      <c r="C239" s="25"/>
    </row>
    <row r="240">
      <c r="A240" s="89" t="s">
        <v>309</v>
      </c>
      <c r="B240" s="89" t="s">
        <v>308</v>
      </c>
      <c r="C240" s="89">
        <f>COUNTA(A239:A240)</f>
        <v>2</v>
      </c>
    </row>
    <row r="241">
      <c r="A241" s="89" t="s">
        <v>310</v>
      </c>
      <c r="B241" s="89" t="s">
        <v>311</v>
      </c>
      <c r="C241" s="89">
        <f>COUNTA(A241)</f>
        <v>1</v>
      </c>
    </row>
    <row r="242">
      <c r="A242" s="25" t="s">
        <v>312</v>
      </c>
      <c r="B242" s="25" t="s">
        <v>313</v>
      </c>
      <c r="C242" s="25"/>
    </row>
    <row r="243">
      <c r="A243" s="89" t="s">
        <v>314</v>
      </c>
      <c r="B243" s="89" t="s">
        <v>313</v>
      </c>
      <c r="C243" s="89">
        <f>COUNTA(A242:A243)</f>
        <v>2</v>
      </c>
    </row>
    <row r="244">
      <c r="A244" s="89" t="s">
        <v>315</v>
      </c>
      <c r="B244" s="89" t="s">
        <v>316</v>
      </c>
      <c r="C244" s="89">
        <f>COUNTA(A244)</f>
        <v>1</v>
      </c>
    </row>
    <row r="245">
      <c r="A245" s="25" t="s">
        <v>317</v>
      </c>
      <c r="B245" s="25" t="s">
        <v>318</v>
      </c>
      <c r="C245" s="25"/>
    </row>
    <row r="246">
      <c r="A246" s="25" t="s">
        <v>319</v>
      </c>
      <c r="B246" s="25" t="s">
        <v>318</v>
      </c>
      <c r="C246" s="25"/>
    </row>
    <row r="247">
      <c r="A247" s="25" t="s">
        <v>320</v>
      </c>
      <c r="B247" s="25" t="s">
        <v>318</v>
      </c>
      <c r="C247" s="25"/>
    </row>
    <row r="248">
      <c r="A248" s="25" t="s">
        <v>321</v>
      </c>
      <c r="B248" s="25" t="s">
        <v>318</v>
      </c>
      <c r="C248" s="25"/>
    </row>
    <row r="249">
      <c r="A249" s="25" t="s">
        <v>322</v>
      </c>
      <c r="B249" s="25" t="s">
        <v>318</v>
      </c>
      <c r="C249" s="25"/>
    </row>
    <row r="250">
      <c r="A250" s="89" t="s">
        <v>323</v>
      </c>
      <c r="B250" s="89" t="s">
        <v>318</v>
      </c>
      <c r="C250" s="89">
        <f>COUNTA(A245:A250)</f>
        <v>6</v>
      </c>
    </row>
    <row r="251">
      <c r="A251" s="25" t="s">
        <v>324</v>
      </c>
      <c r="B251" s="25" t="s">
        <v>325</v>
      </c>
      <c r="C251" s="25"/>
    </row>
    <row r="252">
      <c r="A252" s="25" t="s">
        <v>326</v>
      </c>
      <c r="B252" s="25" t="s">
        <v>325</v>
      </c>
      <c r="C252" s="25"/>
    </row>
    <row r="253">
      <c r="A253" s="25" t="s">
        <v>327</v>
      </c>
      <c r="B253" s="25" t="s">
        <v>325</v>
      </c>
      <c r="C253" s="25"/>
    </row>
    <row r="254">
      <c r="A254" s="25" t="s">
        <v>328</v>
      </c>
      <c r="B254" s="25" t="s">
        <v>325</v>
      </c>
      <c r="C254" s="25"/>
    </row>
    <row r="255">
      <c r="A255" s="25" t="s">
        <v>329</v>
      </c>
      <c r="B255" s="25" t="s">
        <v>325</v>
      </c>
      <c r="C255" s="25"/>
    </row>
    <row r="256">
      <c r="A256" s="25" t="s">
        <v>330</v>
      </c>
      <c r="B256" s="25" t="s">
        <v>325</v>
      </c>
      <c r="C256" s="25"/>
    </row>
    <row r="257">
      <c r="A257" s="95" t="s">
        <v>331</v>
      </c>
      <c r="B257" s="95" t="s">
        <v>325</v>
      </c>
      <c r="C257" s="25"/>
    </row>
    <row r="258">
      <c r="A258" s="25" t="s">
        <v>332</v>
      </c>
      <c r="B258" s="25" t="s">
        <v>325</v>
      </c>
      <c r="C258" s="25"/>
    </row>
    <row r="259">
      <c r="A259" s="25" t="s">
        <v>333</v>
      </c>
      <c r="B259" s="25" t="s">
        <v>325</v>
      </c>
      <c r="C259" s="25"/>
    </row>
    <row r="260">
      <c r="A260" s="25" t="s">
        <v>334</v>
      </c>
      <c r="B260" s="25" t="s">
        <v>325</v>
      </c>
      <c r="C260" s="25"/>
    </row>
    <row r="261">
      <c r="A261" s="25" t="s">
        <v>335</v>
      </c>
      <c r="B261" s="25" t="s">
        <v>325</v>
      </c>
      <c r="C261" s="25"/>
    </row>
    <row r="262">
      <c r="A262" s="25" t="s">
        <v>336</v>
      </c>
      <c r="B262" s="25" t="s">
        <v>325</v>
      </c>
      <c r="C262" s="25"/>
    </row>
    <row r="263">
      <c r="A263" s="25" t="s">
        <v>337</v>
      </c>
      <c r="B263" s="25" t="s">
        <v>325</v>
      </c>
      <c r="C263" s="25"/>
    </row>
    <row r="264">
      <c r="A264" s="25" t="s">
        <v>338</v>
      </c>
      <c r="B264" s="25" t="s">
        <v>325</v>
      </c>
      <c r="C264" s="25"/>
    </row>
    <row r="265">
      <c r="A265" s="25" t="s">
        <v>339</v>
      </c>
      <c r="B265" s="25" t="s">
        <v>325</v>
      </c>
      <c r="C265" s="25"/>
    </row>
    <row r="266">
      <c r="A266" s="25" t="s">
        <v>340</v>
      </c>
      <c r="B266" s="25" t="s">
        <v>325</v>
      </c>
      <c r="C266" s="25"/>
    </row>
    <row r="267">
      <c r="A267" s="25" t="s">
        <v>341</v>
      </c>
      <c r="B267" s="25" t="s">
        <v>325</v>
      </c>
      <c r="C267" s="25"/>
    </row>
    <row r="268">
      <c r="A268" s="25" t="s">
        <v>342</v>
      </c>
      <c r="B268" s="25" t="s">
        <v>325</v>
      </c>
      <c r="C268" s="25"/>
    </row>
    <row r="269">
      <c r="A269" s="25" t="s">
        <v>343</v>
      </c>
      <c r="B269" s="25" t="s">
        <v>325</v>
      </c>
      <c r="C269" s="25"/>
    </row>
    <row r="270">
      <c r="A270" s="25" t="s">
        <v>344</v>
      </c>
      <c r="B270" s="25" t="s">
        <v>325</v>
      </c>
      <c r="C270" s="25"/>
    </row>
    <row r="271">
      <c r="A271" s="25" t="s">
        <v>345</v>
      </c>
      <c r="B271" s="25" t="s">
        <v>325</v>
      </c>
      <c r="C271" s="25"/>
    </row>
    <row r="272">
      <c r="A272" s="14" t="s">
        <v>346</v>
      </c>
      <c r="B272" s="25" t="s">
        <v>325</v>
      </c>
      <c r="C272" s="25"/>
    </row>
    <row r="273">
      <c r="A273" s="25" t="s">
        <v>347</v>
      </c>
      <c r="B273" s="25" t="s">
        <v>325</v>
      </c>
      <c r="C273" s="25"/>
    </row>
    <row r="274">
      <c r="A274" s="25" t="s">
        <v>348</v>
      </c>
      <c r="B274" s="25" t="s">
        <v>325</v>
      </c>
      <c r="C274" s="25"/>
    </row>
    <row r="275">
      <c r="A275" s="25" t="s">
        <v>349</v>
      </c>
      <c r="B275" s="25" t="s">
        <v>325</v>
      </c>
      <c r="C275" s="25"/>
    </row>
    <row r="276">
      <c r="A276" s="25" t="s">
        <v>350</v>
      </c>
      <c r="B276" s="25" t="s">
        <v>325</v>
      </c>
      <c r="C276" s="25"/>
    </row>
    <row r="277">
      <c r="A277" s="25" t="s">
        <v>351</v>
      </c>
      <c r="B277" s="25" t="s">
        <v>325</v>
      </c>
      <c r="C277" s="25"/>
    </row>
    <row r="278">
      <c r="A278" s="25" t="s">
        <v>352</v>
      </c>
      <c r="B278" s="25" t="s">
        <v>325</v>
      </c>
      <c r="C278" s="25"/>
    </row>
    <row r="279">
      <c r="A279" s="35" t="s">
        <v>353</v>
      </c>
      <c r="B279" s="35" t="s">
        <v>325</v>
      </c>
      <c r="C279" s="25"/>
    </row>
    <row r="280">
      <c r="A280" s="25" t="s">
        <v>354</v>
      </c>
      <c r="B280" s="25" t="s">
        <v>325</v>
      </c>
      <c r="C280" s="25"/>
    </row>
    <row r="281">
      <c r="A281" s="25" t="s">
        <v>355</v>
      </c>
      <c r="B281" s="25" t="s">
        <v>325</v>
      </c>
      <c r="C281" s="25"/>
    </row>
    <row r="282">
      <c r="A282" s="25" t="s">
        <v>356</v>
      </c>
      <c r="B282" s="25" t="s">
        <v>325</v>
      </c>
      <c r="C282" s="25"/>
    </row>
    <row r="283">
      <c r="A283" s="35" t="s">
        <v>357</v>
      </c>
      <c r="B283" s="35" t="s">
        <v>325</v>
      </c>
      <c r="C283" s="25"/>
    </row>
    <row r="284">
      <c r="A284" s="25" t="s">
        <v>358</v>
      </c>
      <c r="B284" s="25" t="s">
        <v>325</v>
      </c>
      <c r="C284" s="25"/>
    </row>
    <row r="285">
      <c r="A285" s="25" t="s">
        <v>359</v>
      </c>
      <c r="B285" s="25" t="s">
        <v>325</v>
      </c>
      <c r="C285" s="25"/>
    </row>
    <row r="286">
      <c r="A286" s="25" t="s">
        <v>360</v>
      </c>
      <c r="B286" s="25" t="s">
        <v>325</v>
      </c>
      <c r="C286" s="25"/>
    </row>
    <row r="287">
      <c r="A287" s="94" t="s">
        <v>361</v>
      </c>
      <c r="B287" s="25" t="s">
        <v>325</v>
      </c>
      <c r="C287" s="25"/>
    </row>
    <row r="288">
      <c r="A288" s="25" t="s">
        <v>362</v>
      </c>
      <c r="B288" s="25" t="s">
        <v>325</v>
      </c>
      <c r="C288" s="25"/>
    </row>
    <row r="289">
      <c r="A289" s="25" t="s">
        <v>363</v>
      </c>
      <c r="B289" s="25" t="s">
        <v>325</v>
      </c>
      <c r="C289" s="25"/>
    </row>
    <row r="290">
      <c r="A290" s="25" t="s">
        <v>364</v>
      </c>
      <c r="B290" s="25" t="s">
        <v>325</v>
      </c>
      <c r="C290" s="25"/>
    </row>
    <row r="291">
      <c r="A291" s="25" t="s">
        <v>365</v>
      </c>
      <c r="B291" s="25" t="s">
        <v>325</v>
      </c>
      <c r="C291" s="25"/>
    </row>
    <row r="292">
      <c r="A292" s="25" t="s">
        <v>366</v>
      </c>
      <c r="B292" s="25" t="s">
        <v>325</v>
      </c>
      <c r="C292" s="25"/>
    </row>
    <row r="293">
      <c r="A293" s="25" t="s">
        <v>367</v>
      </c>
      <c r="B293" s="25" t="s">
        <v>325</v>
      </c>
      <c r="C293" s="25"/>
    </row>
    <row r="294">
      <c r="A294" s="25" t="s">
        <v>368</v>
      </c>
      <c r="B294" s="25" t="s">
        <v>325</v>
      </c>
      <c r="C294" s="25"/>
    </row>
    <row r="295">
      <c r="A295" s="94" t="s">
        <v>369</v>
      </c>
      <c r="B295" s="25" t="s">
        <v>325</v>
      </c>
      <c r="C295" s="25"/>
    </row>
    <row r="296">
      <c r="A296" s="25" t="s">
        <v>370</v>
      </c>
      <c r="B296" s="25" t="s">
        <v>325</v>
      </c>
      <c r="C296" s="25"/>
    </row>
    <row r="297">
      <c r="A297" s="25" t="s">
        <v>371</v>
      </c>
      <c r="B297" s="25" t="s">
        <v>325</v>
      </c>
      <c r="C297" s="25"/>
    </row>
    <row r="298">
      <c r="A298" s="25" t="s">
        <v>372</v>
      </c>
      <c r="B298" s="25" t="s">
        <v>325</v>
      </c>
      <c r="C298" s="25"/>
    </row>
    <row r="299">
      <c r="A299" s="89" t="s">
        <v>373</v>
      </c>
      <c r="B299" s="89" t="s">
        <v>325</v>
      </c>
      <c r="C299" s="89">
        <f>COUNTA(A251:A299)</f>
        <v>49</v>
      </c>
    </row>
    <row r="300">
      <c r="A300" s="25" t="s">
        <v>374</v>
      </c>
      <c r="B300" s="25" t="s">
        <v>375</v>
      </c>
      <c r="C300" s="25"/>
    </row>
    <row r="301">
      <c r="A301" s="89" t="s">
        <v>376</v>
      </c>
      <c r="B301" s="89" t="s">
        <v>375</v>
      </c>
      <c r="C301" s="89">
        <f>COUNTA(A300:A301)</f>
        <v>2</v>
      </c>
    </row>
    <row r="302">
      <c r="A302" s="89" t="s">
        <v>377</v>
      </c>
      <c r="B302" s="89" t="s">
        <v>378</v>
      </c>
      <c r="C302" s="89">
        <f t="shared" ref="C302:C304" si="2">COUNTA(A302)</f>
        <v>1</v>
      </c>
    </row>
    <row r="303">
      <c r="A303" s="96" t="s">
        <v>379</v>
      </c>
      <c r="B303" s="89" t="s">
        <v>380</v>
      </c>
      <c r="C303" s="89">
        <f t="shared" si="2"/>
        <v>1</v>
      </c>
    </row>
    <row r="304">
      <c r="A304" s="89" t="s">
        <v>381</v>
      </c>
      <c r="B304" s="89" t="s">
        <v>382</v>
      </c>
      <c r="C304" s="89">
        <f t="shared" si="2"/>
        <v>1</v>
      </c>
    </row>
    <row r="305">
      <c r="A305" s="25" t="s">
        <v>383</v>
      </c>
      <c r="B305" s="25" t="s">
        <v>384</v>
      </c>
      <c r="C305" s="25"/>
    </row>
    <row r="306">
      <c r="A306" s="25" t="s">
        <v>385</v>
      </c>
      <c r="B306" s="25" t="s">
        <v>384</v>
      </c>
      <c r="C306" s="25"/>
    </row>
    <row r="307">
      <c r="A307" s="25" t="s">
        <v>386</v>
      </c>
      <c r="B307" s="25" t="s">
        <v>384</v>
      </c>
      <c r="C307" s="25"/>
    </row>
    <row r="308">
      <c r="A308" s="25" t="s">
        <v>387</v>
      </c>
      <c r="B308" s="25" t="s">
        <v>384</v>
      </c>
      <c r="C308" s="25"/>
    </row>
    <row r="309">
      <c r="A309" s="25" t="s">
        <v>388</v>
      </c>
      <c r="B309" s="25" t="s">
        <v>384</v>
      </c>
      <c r="C309" s="25"/>
    </row>
    <row r="310">
      <c r="A310" s="25" t="s">
        <v>389</v>
      </c>
      <c r="B310" s="25" t="s">
        <v>384</v>
      </c>
      <c r="C310" s="25"/>
    </row>
    <row r="311">
      <c r="A311" s="89" t="s">
        <v>390</v>
      </c>
      <c r="B311" s="89" t="s">
        <v>384</v>
      </c>
      <c r="C311" s="89">
        <f>COUNTA(A305:A311)</f>
        <v>7</v>
      </c>
    </row>
    <row r="312">
      <c r="A312" s="89" t="s">
        <v>391</v>
      </c>
      <c r="B312" s="89" t="s">
        <v>392</v>
      </c>
      <c r="C312" s="89">
        <f t="shared" ref="C312:C315" si="3">COUNTA(A312)</f>
        <v>1</v>
      </c>
    </row>
    <row r="313">
      <c r="A313" s="89" t="s">
        <v>393</v>
      </c>
      <c r="B313" s="89" t="s">
        <v>394</v>
      </c>
      <c r="C313" s="89">
        <f t="shared" si="3"/>
        <v>1</v>
      </c>
    </row>
    <row r="314">
      <c r="A314" s="89" t="s">
        <v>395</v>
      </c>
      <c r="B314" s="89" t="s">
        <v>396</v>
      </c>
      <c r="C314" s="89">
        <f t="shared" si="3"/>
        <v>1</v>
      </c>
    </row>
    <row r="315">
      <c r="A315" s="89" t="s">
        <v>397</v>
      </c>
      <c r="B315" s="89" t="s">
        <v>398</v>
      </c>
      <c r="C315" s="89">
        <f t="shared" si="3"/>
        <v>1</v>
      </c>
    </row>
    <row r="316">
      <c r="A316" s="25" t="s">
        <v>399</v>
      </c>
      <c r="B316" s="25" t="s">
        <v>400</v>
      </c>
      <c r="C316" s="25"/>
    </row>
    <row r="317">
      <c r="A317" s="25" t="s">
        <v>401</v>
      </c>
      <c r="B317" s="25" t="s">
        <v>400</v>
      </c>
      <c r="C317" s="25"/>
    </row>
    <row r="318">
      <c r="A318" s="25" t="s">
        <v>402</v>
      </c>
      <c r="B318" s="25" t="s">
        <v>400</v>
      </c>
      <c r="C318" s="25"/>
    </row>
    <row r="319">
      <c r="A319" s="25" t="s">
        <v>403</v>
      </c>
      <c r="B319" s="25" t="s">
        <v>400</v>
      </c>
      <c r="C319" s="25"/>
    </row>
    <row r="320">
      <c r="A320" s="25" t="s">
        <v>404</v>
      </c>
      <c r="B320" s="25" t="s">
        <v>400</v>
      </c>
      <c r="C320" s="25"/>
    </row>
    <row r="321">
      <c r="A321" s="25" t="s">
        <v>405</v>
      </c>
      <c r="B321" s="25" t="s">
        <v>400</v>
      </c>
      <c r="C321" s="25"/>
    </row>
    <row r="322">
      <c r="A322" s="25" t="s">
        <v>406</v>
      </c>
      <c r="B322" s="25" t="s">
        <v>400</v>
      </c>
      <c r="C322" s="25"/>
    </row>
    <row r="323">
      <c r="A323" s="25" t="s">
        <v>407</v>
      </c>
      <c r="B323" s="25" t="s">
        <v>400</v>
      </c>
      <c r="C323" s="25"/>
    </row>
    <row r="324">
      <c r="A324" s="25" t="s">
        <v>408</v>
      </c>
      <c r="B324" s="25" t="s">
        <v>400</v>
      </c>
      <c r="C324" s="25"/>
    </row>
    <row r="325">
      <c r="A325" s="25" t="s">
        <v>409</v>
      </c>
      <c r="B325" s="25" t="s">
        <v>400</v>
      </c>
      <c r="C325" s="25"/>
    </row>
    <row r="326">
      <c r="A326" s="25" t="s">
        <v>410</v>
      </c>
      <c r="B326" s="25" t="s">
        <v>400</v>
      </c>
      <c r="C326" s="25"/>
    </row>
    <row r="327">
      <c r="A327" s="35" t="s">
        <v>411</v>
      </c>
      <c r="B327" s="25" t="s">
        <v>400</v>
      </c>
      <c r="C327" s="25"/>
    </row>
    <row r="328">
      <c r="A328" s="25" t="s">
        <v>412</v>
      </c>
      <c r="B328" s="25" t="s">
        <v>400</v>
      </c>
      <c r="C328" s="25"/>
    </row>
    <row r="329">
      <c r="A329" s="25" t="s">
        <v>413</v>
      </c>
      <c r="B329" s="25" t="s">
        <v>400</v>
      </c>
      <c r="C329" s="25"/>
    </row>
    <row r="330">
      <c r="A330" s="89" t="s">
        <v>414</v>
      </c>
      <c r="B330" s="89" t="s">
        <v>400</v>
      </c>
      <c r="C330" s="89">
        <f>COUNTA(A316:A330)</f>
        <v>15</v>
      </c>
    </row>
    <row r="331">
      <c r="A331" s="35" t="s">
        <v>415</v>
      </c>
      <c r="B331" s="35" t="s">
        <v>416</v>
      </c>
      <c r="C331" s="25"/>
    </row>
    <row r="332">
      <c r="A332" s="89" t="s">
        <v>417</v>
      </c>
      <c r="B332" s="89" t="s">
        <v>416</v>
      </c>
      <c r="C332" s="89">
        <f>COUNTA(A331:A332)</f>
        <v>2</v>
      </c>
    </row>
    <row r="333">
      <c r="A333" s="25" t="s">
        <v>418</v>
      </c>
      <c r="B333" s="97" t="s">
        <v>419</v>
      </c>
      <c r="C333" s="97"/>
    </row>
    <row r="334">
      <c r="A334" s="89" t="s">
        <v>420</v>
      </c>
      <c r="B334" s="98" t="s">
        <v>419</v>
      </c>
      <c r="C334" s="89">
        <f>COUNTA(A333:A334)</f>
        <v>2</v>
      </c>
    </row>
    <row r="335">
      <c r="A335" s="25" t="s">
        <v>421</v>
      </c>
      <c r="B335" s="25" t="s">
        <v>422</v>
      </c>
      <c r="C335" s="25"/>
    </row>
    <row r="336">
      <c r="A336" s="25" t="s">
        <v>423</v>
      </c>
      <c r="B336" s="25" t="s">
        <v>422</v>
      </c>
      <c r="C336" s="25"/>
    </row>
    <row r="337">
      <c r="A337" s="25" t="s">
        <v>424</v>
      </c>
      <c r="B337" s="25" t="s">
        <v>422</v>
      </c>
      <c r="C337" s="25"/>
    </row>
    <row r="338">
      <c r="A338" s="99" t="s">
        <v>425</v>
      </c>
      <c r="B338" s="25" t="s">
        <v>422</v>
      </c>
      <c r="C338" s="25"/>
    </row>
    <row r="339">
      <c r="A339" s="100" t="s">
        <v>426</v>
      </c>
      <c r="B339" s="25" t="s">
        <v>422</v>
      </c>
      <c r="C339" s="25"/>
    </row>
    <row r="340">
      <c r="A340" s="25" t="s">
        <v>427</v>
      </c>
      <c r="B340" s="25" t="s">
        <v>422</v>
      </c>
      <c r="C340" s="25"/>
    </row>
    <row r="341">
      <c r="A341" s="89" t="s">
        <v>428</v>
      </c>
      <c r="B341" s="89" t="s">
        <v>422</v>
      </c>
      <c r="C341" s="89">
        <f>COUNTA(A335:A341)</f>
        <v>7</v>
      </c>
    </row>
    <row r="342">
      <c r="A342" s="25" t="s">
        <v>429</v>
      </c>
      <c r="B342" s="25" t="s">
        <v>430</v>
      </c>
      <c r="C342" s="25"/>
    </row>
    <row r="343">
      <c r="A343" s="25" t="s">
        <v>431</v>
      </c>
      <c r="B343" s="25" t="s">
        <v>430</v>
      </c>
      <c r="C343" s="25"/>
    </row>
    <row r="344">
      <c r="A344" s="25" t="s">
        <v>432</v>
      </c>
      <c r="B344" s="25" t="s">
        <v>430</v>
      </c>
      <c r="C344" s="25"/>
    </row>
    <row r="345">
      <c r="A345" s="35" t="s">
        <v>433</v>
      </c>
      <c r="B345" s="35" t="s">
        <v>430</v>
      </c>
      <c r="C345" s="25"/>
    </row>
    <row r="346">
      <c r="A346" s="89" t="s">
        <v>434</v>
      </c>
      <c r="B346" s="89" t="s">
        <v>430</v>
      </c>
      <c r="C346" s="89">
        <f>COUNTA(A342:A346)</f>
        <v>5</v>
      </c>
    </row>
    <row r="347">
      <c r="A347" s="25" t="s">
        <v>435</v>
      </c>
      <c r="B347" s="25" t="s">
        <v>436</v>
      </c>
      <c r="C347" s="25"/>
    </row>
    <row r="348">
      <c r="A348" s="89" t="s">
        <v>437</v>
      </c>
      <c r="B348" s="89" t="s">
        <v>436</v>
      </c>
      <c r="C348" s="89">
        <f>COUNTA(A347:A348)</f>
        <v>2</v>
      </c>
    </row>
    <row r="349">
      <c r="A349" s="89" t="s">
        <v>438</v>
      </c>
      <c r="B349" s="89" t="s">
        <v>439</v>
      </c>
      <c r="C349" s="89">
        <f t="shared" ref="C349:C350" si="4">COUNTA(A349)</f>
        <v>1</v>
      </c>
    </row>
    <row r="350">
      <c r="A350" s="89" t="s">
        <v>440</v>
      </c>
      <c r="B350" s="89" t="s">
        <v>441</v>
      </c>
      <c r="C350" s="89">
        <f t="shared" si="4"/>
        <v>1</v>
      </c>
    </row>
    <row r="351">
      <c r="A351" s="25" t="s">
        <v>442</v>
      </c>
      <c r="B351" s="25" t="s">
        <v>443</v>
      </c>
      <c r="C351" s="25"/>
    </row>
    <row r="352">
      <c r="A352" s="25" t="s">
        <v>444</v>
      </c>
      <c r="B352" s="25" t="s">
        <v>443</v>
      </c>
      <c r="C352" s="25"/>
    </row>
    <row r="353">
      <c r="A353" s="25" t="s">
        <v>445</v>
      </c>
      <c r="B353" s="25" t="s">
        <v>443</v>
      </c>
      <c r="C353" s="25"/>
    </row>
    <row r="354">
      <c r="A354" s="25" t="s">
        <v>446</v>
      </c>
      <c r="B354" s="25" t="s">
        <v>443</v>
      </c>
      <c r="C354" s="25"/>
    </row>
    <row r="355">
      <c r="A355" s="25" t="s">
        <v>447</v>
      </c>
      <c r="B355" s="25" t="s">
        <v>443</v>
      </c>
      <c r="C355" s="25"/>
    </row>
    <row r="356">
      <c r="A356" s="25" t="s">
        <v>448</v>
      </c>
      <c r="B356" s="25" t="s">
        <v>443</v>
      </c>
      <c r="C356" s="25"/>
    </row>
    <row r="357">
      <c r="A357" s="25" t="s">
        <v>449</v>
      </c>
      <c r="B357" s="25" t="s">
        <v>443</v>
      </c>
      <c r="C357" s="25"/>
    </row>
    <row r="358">
      <c r="A358" s="25" t="s">
        <v>450</v>
      </c>
      <c r="B358" s="25" t="s">
        <v>443</v>
      </c>
      <c r="C358" s="25"/>
    </row>
    <row r="359">
      <c r="A359" s="25" t="s">
        <v>451</v>
      </c>
      <c r="B359" s="25" t="s">
        <v>443</v>
      </c>
      <c r="C359" s="25"/>
    </row>
    <row r="360">
      <c r="A360" s="25" t="s">
        <v>452</v>
      </c>
      <c r="B360" s="25" t="s">
        <v>443</v>
      </c>
      <c r="C360" s="25"/>
    </row>
    <row r="361">
      <c r="A361" s="89" t="s">
        <v>453</v>
      </c>
      <c r="B361" s="89" t="s">
        <v>443</v>
      </c>
      <c r="C361" s="89">
        <f>COUNTA(A351:A361)</f>
        <v>11</v>
      </c>
    </row>
    <row r="362">
      <c r="A362" s="25" t="s">
        <v>454</v>
      </c>
      <c r="B362" s="25" t="s">
        <v>455</v>
      </c>
      <c r="C362" s="25"/>
    </row>
    <row r="363">
      <c r="A363" s="25" t="s">
        <v>456</v>
      </c>
      <c r="B363" s="25" t="s">
        <v>455</v>
      </c>
      <c r="C363" s="25"/>
    </row>
    <row r="364">
      <c r="A364" s="25" t="s">
        <v>457</v>
      </c>
      <c r="B364" s="25" t="s">
        <v>455</v>
      </c>
      <c r="C364" s="25"/>
    </row>
    <row r="365">
      <c r="A365" s="25" t="s">
        <v>458</v>
      </c>
      <c r="B365" s="25" t="s">
        <v>455</v>
      </c>
      <c r="C365" s="25"/>
    </row>
    <row r="366">
      <c r="A366" s="25" t="s">
        <v>459</v>
      </c>
      <c r="B366" s="25" t="s">
        <v>455</v>
      </c>
      <c r="C366" s="25"/>
    </row>
    <row r="367">
      <c r="A367" s="25" t="s">
        <v>460</v>
      </c>
      <c r="B367" s="25" t="s">
        <v>455</v>
      </c>
      <c r="C367" s="25"/>
    </row>
    <row r="368">
      <c r="A368" s="25" t="s">
        <v>461</v>
      </c>
      <c r="B368" s="25" t="s">
        <v>455</v>
      </c>
      <c r="C368" s="25"/>
    </row>
    <row r="369">
      <c r="A369" s="25" t="s">
        <v>462</v>
      </c>
      <c r="B369" s="25" t="s">
        <v>455</v>
      </c>
      <c r="C369" s="25"/>
    </row>
    <row r="370">
      <c r="A370" s="25" t="s">
        <v>463</v>
      </c>
      <c r="B370" s="25" t="s">
        <v>455</v>
      </c>
      <c r="C370" s="25"/>
    </row>
    <row r="371">
      <c r="A371" s="25" t="s">
        <v>464</v>
      </c>
      <c r="B371" s="25" t="s">
        <v>455</v>
      </c>
      <c r="C371" s="25"/>
    </row>
    <row r="372">
      <c r="A372" s="25" t="s">
        <v>465</v>
      </c>
      <c r="B372" s="25" t="s">
        <v>455</v>
      </c>
      <c r="C372" s="25"/>
    </row>
    <row r="373">
      <c r="A373" s="25" t="s">
        <v>466</v>
      </c>
      <c r="B373" s="25" t="s">
        <v>455</v>
      </c>
      <c r="C373" s="25"/>
    </row>
    <row r="374">
      <c r="A374" s="25" t="s">
        <v>467</v>
      </c>
      <c r="B374" s="25" t="s">
        <v>455</v>
      </c>
      <c r="C374" s="25"/>
    </row>
    <row r="375">
      <c r="A375" s="25" t="s">
        <v>468</v>
      </c>
      <c r="B375" s="25" t="s">
        <v>455</v>
      </c>
      <c r="C375" s="25"/>
    </row>
    <row r="376">
      <c r="A376" s="25" t="s">
        <v>469</v>
      </c>
      <c r="B376" s="25" t="s">
        <v>455</v>
      </c>
      <c r="C376" s="25"/>
    </row>
    <row r="377">
      <c r="A377" s="25" t="s">
        <v>470</v>
      </c>
      <c r="B377" s="25" t="s">
        <v>455</v>
      </c>
      <c r="C377" s="25"/>
    </row>
    <row r="378">
      <c r="A378" s="25" t="s">
        <v>471</v>
      </c>
      <c r="B378" s="25" t="s">
        <v>455</v>
      </c>
      <c r="C378" s="25"/>
    </row>
    <row r="379">
      <c r="A379" s="25" t="s">
        <v>472</v>
      </c>
      <c r="B379" s="25" t="s">
        <v>455</v>
      </c>
      <c r="C379" s="25"/>
    </row>
    <row r="380">
      <c r="A380" s="25" t="s">
        <v>473</v>
      </c>
      <c r="B380" s="25" t="s">
        <v>455</v>
      </c>
      <c r="C380" s="25"/>
    </row>
    <row r="381">
      <c r="A381" s="25" t="s">
        <v>474</v>
      </c>
      <c r="B381" s="25" t="s">
        <v>455</v>
      </c>
      <c r="C381" s="25"/>
    </row>
    <row r="382">
      <c r="A382" s="25" t="s">
        <v>475</v>
      </c>
      <c r="B382" s="25" t="s">
        <v>455</v>
      </c>
      <c r="C382" s="25"/>
    </row>
    <row r="383">
      <c r="A383" s="25" t="s">
        <v>476</v>
      </c>
      <c r="B383" s="25" t="s">
        <v>455</v>
      </c>
      <c r="C383" s="25"/>
    </row>
    <row r="384">
      <c r="A384" s="25" t="s">
        <v>477</v>
      </c>
      <c r="B384" s="25" t="s">
        <v>455</v>
      </c>
      <c r="C384" s="25"/>
    </row>
    <row r="385">
      <c r="A385" s="25" t="s">
        <v>478</v>
      </c>
      <c r="B385" s="25" t="s">
        <v>455</v>
      </c>
      <c r="C385" s="25"/>
    </row>
    <row r="386">
      <c r="A386" s="89" t="s">
        <v>479</v>
      </c>
      <c r="B386" s="89" t="s">
        <v>455</v>
      </c>
      <c r="C386" s="89">
        <f>COUNTA(A362:A386)</f>
        <v>25</v>
      </c>
    </row>
    <row r="387">
      <c r="A387" s="89" t="s">
        <v>480</v>
      </c>
      <c r="B387" s="89" t="s">
        <v>481</v>
      </c>
      <c r="C387" s="89">
        <f t="shared" ref="C387:C389" si="5">COUNTA(A387)</f>
        <v>1</v>
      </c>
    </row>
    <row r="388">
      <c r="A388" s="89" t="s">
        <v>482</v>
      </c>
      <c r="B388" s="89" t="s">
        <v>483</v>
      </c>
      <c r="C388" s="89">
        <f t="shared" si="5"/>
        <v>1</v>
      </c>
    </row>
    <row r="389">
      <c r="A389" s="14" t="s">
        <v>484</v>
      </c>
      <c r="B389" s="17" t="s">
        <v>485</v>
      </c>
      <c r="C389" s="25">
        <f t="shared" si="5"/>
        <v>1</v>
      </c>
    </row>
    <row r="390">
      <c r="A390" s="25" t="s">
        <v>486</v>
      </c>
      <c r="B390" s="25" t="s">
        <v>487</v>
      </c>
      <c r="C390" s="25"/>
    </row>
    <row r="391">
      <c r="A391" s="25" t="s">
        <v>488</v>
      </c>
      <c r="B391" s="25" t="s">
        <v>487</v>
      </c>
      <c r="C391" s="25"/>
    </row>
    <row r="392">
      <c r="A392" s="89" t="s">
        <v>489</v>
      </c>
      <c r="B392" s="89" t="s">
        <v>487</v>
      </c>
      <c r="C392" s="89">
        <f>COUNTA(A390:A392)</f>
        <v>3</v>
      </c>
    </row>
    <row r="393">
      <c r="A393" s="25" t="s">
        <v>490</v>
      </c>
      <c r="B393" s="25" t="s">
        <v>29</v>
      </c>
      <c r="C393" s="25"/>
    </row>
    <row r="394">
      <c r="A394" s="25" t="s">
        <v>491</v>
      </c>
      <c r="B394" s="25" t="s">
        <v>29</v>
      </c>
      <c r="C394" s="25"/>
    </row>
    <row r="395">
      <c r="A395" s="25" t="s">
        <v>492</v>
      </c>
      <c r="B395" s="25" t="s">
        <v>29</v>
      </c>
      <c r="C395" s="25"/>
    </row>
    <row r="396">
      <c r="A396" s="25" t="s">
        <v>493</v>
      </c>
      <c r="B396" s="25" t="s">
        <v>29</v>
      </c>
      <c r="C396" s="25"/>
    </row>
    <row r="397">
      <c r="A397" s="25" t="s">
        <v>494</v>
      </c>
      <c r="B397" s="25" t="s">
        <v>29</v>
      </c>
      <c r="C397" s="25"/>
    </row>
    <row r="398">
      <c r="A398" s="25" t="s">
        <v>495</v>
      </c>
      <c r="B398" s="25" t="s">
        <v>29</v>
      </c>
      <c r="C398" s="25"/>
    </row>
    <row r="399">
      <c r="A399" s="25" t="s">
        <v>496</v>
      </c>
      <c r="B399" s="25" t="s">
        <v>29</v>
      </c>
      <c r="C399" s="25"/>
    </row>
    <row r="400">
      <c r="A400" s="94" t="s">
        <v>497</v>
      </c>
      <c r="B400" s="25" t="s">
        <v>29</v>
      </c>
      <c r="C400" s="25"/>
    </row>
    <row r="401">
      <c r="A401" s="25" t="s">
        <v>498</v>
      </c>
      <c r="B401" s="25" t="s">
        <v>29</v>
      </c>
      <c r="C401" s="25"/>
    </row>
    <row r="402">
      <c r="A402" s="25" t="s">
        <v>499</v>
      </c>
      <c r="B402" s="25" t="s">
        <v>29</v>
      </c>
      <c r="C402" s="25"/>
    </row>
    <row r="403">
      <c r="A403" s="25" t="s">
        <v>500</v>
      </c>
      <c r="B403" s="25" t="s">
        <v>29</v>
      </c>
      <c r="C403" s="25"/>
    </row>
    <row r="404">
      <c r="A404" s="25" t="s">
        <v>501</v>
      </c>
      <c r="B404" s="25" t="s">
        <v>29</v>
      </c>
      <c r="C404" s="25"/>
    </row>
    <row r="405">
      <c r="A405" s="25" t="s">
        <v>502</v>
      </c>
      <c r="B405" s="25" t="s">
        <v>29</v>
      </c>
      <c r="C405" s="25"/>
    </row>
    <row r="406">
      <c r="A406" s="25" t="s">
        <v>503</v>
      </c>
      <c r="B406" s="25" t="s">
        <v>29</v>
      </c>
      <c r="C406" s="25"/>
    </row>
    <row r="407">
      <c r="A407" s="25" t="s">
        <v>504</v>
      </c>
      <c r="B407" s="25" t="s">
        <v>29</v>
      </c>
      <c r="C407" s="25"/>
    </row>
    <row r="408">
      <c r="A408" s="25" t="s">
        <v>505</v>
      </c>
      <c r="B408" s="25" t="s">
        <v>29</v>
      </c>
      <c r="C408" s="25"/>
    </row>
    <row r="409">
      <c r="A409" s="25" t="s">
        <v>506</v>
      </c>
      <c r="B409" s="25" t="s">
        <v>29</v>
      </c>
      <c r="C409" s="25"/>
    </row>
    <row r="410">
      <c r="A410" s="25" t="s">
        <v>507</v>
      </c>
      <c r="B410" s="25" t="s">
        <v>29</v>
      </c>
      <c r="C410" s="25"/>
    </row>
    <row r="411">
      <c r="A411" s="25" t="s">
        <v>508</v>
      </c>
      <c r="B411" s="25" t="s">
        <v>29</v>
      </c>
      <c r="C411" s="25"/>
    </row>
    <row r="412">
      <c r="A412" s="94" t="s">
        <v>509</v>
      </c>
      <c r="B412" s="25" t="s">
        <v>29</v>
      </c>
      <c r="C412" s="25"/>
    </row>
    <row r="413">
      <c r="A413" s="25" t="s">
        <v>510</v>
      </c>
      <c r="B413" s="25" t="s">
        <v>29</v>
      </c>
      <c r="C413" s="25"/>
    </row>
    <row r="414">
      <c r="A414" s="35" t="s">
        <v>511</v>
      </c>
      <c r="B414" s="35" t="s">
        <v>29</v>
      </c>
      <c r="C414" s="25"/>
    </row>
    <row r="415">
      <c r="A415" s="25" t="s">
        <v>512</v>
      </c>
      <c r="B415" s="25" t="s">
        <v>29</v>
      </c>
      <c r="C415" s="25"/>
    </row>
    <row r="416">
      <c r="A416" s="25" t="s">
        <v>513</v>
      </c>
      <c r="B416" s="25" t="s">
        <v>29</v>
      </c>
      <c r="C416" s="25"/>
    </row>
    <row r="417">
      <c r="A417" s="94" t="s">
        <v>514</v>
      </c>
      <c r="B417" s="94" t="s">
        <v>29</v>
      </c>
      <c r="C417" s="25"/>
    </row>
    <row r="418">
      <c r="A418" s="101" t="s">
        <v>515</v>
      </c>
      <c r="B418" s="94" t="s">
        <v>29</v>
      </c>
      <c r="C418" s="25"/>
    </row>
    <row r="419">
      <c r="A419" s="25" t="s">
        <v>516</v>
      </c>
      <c r="B419" s="25" t="s">
        <v>29</v>
      </c>
      <c r="C419" s="25"/>
    </row>
    <row r="420">
      <c r="A420" s="25" t="s">
        <v>517</v>
      </c>
      <c r="B420" s="25" t="s">
        <v>29</v>
      </c>
      <c r="C420" s="25"/>
    </row>
    <row r="421">
      <c r="A421" s="25" t="s">
        <v>518</v>
      </c>
      <c r="B421" s="25" t="s">
        <v>29</v>
      </c>
      <c r="C421" s="25"/>
    </row>
    <row r="422">
      <c r="A422" s="25" t="s">
        <v>519</v>
      </c>
      <c r="B422" s="25" t="s">
        <v>29</v>
      </c>
      <c r="C422" s="25"/>
    </row>
    <row r="423">
      <c r="A423" s="25" t="s">
        <v>520</v>
      </c>
      <c r="B423" s="25" t="s">
        <v>29</v>
      </c>
      <c r="C423" s="25"/>
    </row>
    <row r="424">
      <c r="A424" s="25" t="s">
        <v>521</v>
      </c>
      <c r="B424" s="25" t="s">
        <v>29</v>
      </c>
      <c r="C424" s="25"/>
    </row>
    <row r="425">
      <c r="A425" s="25" t="s">
        <v>522</v>
      </c>
      <c r="B425" s="25" t="s">
        <v>29</v>
      </c>
      <c r="C425" s="25"/>
    </row>
    <row r="426">
      <c r="A426" s="25" t="s">
        <v>523</v>
      </c>
      <c r="B426" s="25" t="s">
        <v>29</v>
      </c>
      <c r="C426" s="25"/>
    </row>
    <row r="427">
      <c r="A427" s="25" t="s">
        <v>524</v>
      </c>
      <c r="B427" s="25" t="s">
        <v>29</v>
      </c>
      <c r="C427" s="25"/>
    </row>
    <row r="428">
      <c r="A428" s="25" t="s">
        <v>525</v>
      </c>
      <c r="B428" s="25" t="s">
        <v>29</v>
      </c>
      <c r="C428" s="25"/>
    </row>
    <row r="429">
      <c r="A429" s="25" t="s">
        <v>526</v>
      </c>
      <c r="B429" s="25" t="s">
        <v>29</v>
      </c>
      <c r="C429" s="25"/>
    </row>
    <row r="430">
      <c r="A430" s="25" t="s">
        <v>527</v>
      </c>
      <c r="B430" s="25" t="s">
        <v>29</v>
      </c>
      <c r="C430" s="25"/>
    </row>
    <row r="431">
      <c r="A431" s="25" t="s">
        <v>528</v>
      </c>
      <c r="B431" s="25" t="s">
        <v>29</v>
      </c>
      <c r="C431" s="25"/>
    </row>
    <row r="432">
      <c r="A432" s="25" t="s">
        <v>529</v>
      </c>
      <c r="B432" s="25" t="s">
        <v>29</v>
      </c>
      <c r="C432" s="25"/>
    </row>
    <row r="433">
      <c r="A433" s="25" t="s">
        <v>530</v>
      </c>
      <c r="B433" s="25" t="s">
        <v>29</v>
      </c>
      <c r="C433" s="25"/>
    </row>
    <row r="434">
      <c r="A434" s="25" t="s">
        <v>531</v>
      </c>
      <c r="B434" s="25" t="s">
        <v>29</v>
      </c>
      <c r="C434" s="25"/>
    </row>
    <row r="435">
      <c r="A435" s="25" t="s">
        <v>532</v>
      </c>
      <c r="B435" s="25" t="s">
        <v>29</v>
      </c>
      <c r="C435" s="25"/>
    </row>
    <row r="436">
      <c r="A436" s="25" t="s">
        <v>533</v>
      </c>
      <c r="B436" s="25" t="s">
        <v>29</v>
      </c>
      <c r="C436" s="25"/>
    </row>
    <row r="437">
      <c r="A437" s="25" t="s">
        <v>534</v>
      </c>
      <c r="B437" s="25" t="s">
        <v>29</v>
      </c>
      <c r="C437" s="25"/>
    </row>
    <row r="438">
      <c r="A438" s="25" t="s">
        <v>535</v>
      </c>
      <c r="B438" s="25" t="s">
        <v>29</v>
      </c>
      <c r="C438" s="25"/>
    </row>
    <row r="439">
      <c r="A439" s="25" t="s">
        <v>536</v>
      </c>
      <c r="B439" s="25" t="s">
        <v>29</v>
      </c>
      <c r="C439" s="25"/>
    </row>
    <row r="440">
      <c r="A440" s="25" t="s">
        <v>537</v>
      </c>
      <c r="B440" s="25" t="s">
        <v>29</v>
      </c>
      <c r="C440" s="25"/>
    </row>
    <row r="441">
      <c r="A441" s="25" t="s">
        <v>538</v>
      </c>
      <c r="B441" s="25" t="s">
        <v>29</v>
      </c>
      <c r="C441" s="25"/>
    </row>
    <row r="442">
      <c r="A442" s="25" t="s">
        <v>539</v>
      </c>
      <c r="B442" s="25" t="s">
        <v>29</v>
      </c>
      <c r="C442" s="25"/>
    </row>
    <row r="443">
      <c r="A443" s="25" t="s">
        <v>540</v>
      </c>
      <c r="B443" s="25" t="s">
        <v>29</v>
      </c>
      <c r="C443" s="25"/>
    </row>
    <row r="444">
      <c r="A444" s="25" t="s">
        <v>541</v>
      </c>
      <c r="B444" s="25" t="s">
        <v>29</v>
      </c>
      <c r="C444" s="25"/>
    </row>
    <row r="445">
      <c r="A445" s="25" t="s">
        <v>35</v>
      </c>
      <c r="B445" s="25" t="s">
        <v>29</v>
      </c>
      <c r="C445" s="25"/>
    </row>
    <row r="446">
      <c r="A446" s="25" t="s">
        <v>542</v>
      </c>
      <c r="B446" s="25" t="s">
        <v>29</v>
      </c>
      <c r="C446" s="25"/>
    </row>
    <row r="447">
      <c r="A447" s="25" t="s">
        <v>543</v>
      </c>
      <c r="B447" s="25" t="s">
        <v>29</v>
      </c>
      <c r="C447" s="25"/>
    </row>
    <row r="448">
      <c r="A448" s="25" t="s">
        <v>544</v>
      </c>
      <c r="B448" s="25" t="s">
        <v>29</v>
      </c>
      <c r="C448" s="25"/>
    </row>
    <row r="449">
      <c r="A449" s="25" t="s">
        <v>545</v>
      </c>
      <c r="B449" s="25" t="s">
        <v>29</v>
      </c>
      <c r="C449" s="25"/>
    </row>
    <row r="450">
      <c r="A450" s="25" t="s">
        <v>546</v>
      </c>
      <c r="B450" s="25" t="s">
        <v>29</v>
      </c>
      <c r="C450" s="25"/>
    </row>
    <row r="451">
      <c r="A451" s="25" t="s">
        <v>547</v>
      </c>
      <c r="B451" s="25" t="s">
        <v>29</v>
      </c>
      <c r="C451" s="25"/>
    </row>
    <row r="452">
      <c r="A452" s="25" t="s">
        <v>548</v>
      </c>
      <c r="B452" s="25" t="s">
        <v>29</v>
      </c>
      <c r="C452" s="25"/>
    </row>
    <row r="453">
      <c r="A453" s="25" t="s">
        <v>549</v>
      </c>
      <c r="B453" s="25" t="s">
        <v>29</v>
      </c>
      <c r="C453" s="25"/>
    </row>
    <row r="454">
      <c r="A454" s="25" t="s">
        <v>550</v>
      </c>
      <c r="B454" s="25" t="s">
        <v>29</v>
      </c>
      <c r="C454" s="25"/>
    </row>
    <row r="455">
      <c r="A455" s="35" t="s">
        <v>551</v>
      </c>
      <c r="B455" s="25" t="s">
        <v>29</v>
      </c>
      <c r="C455" s="25"/>
    </row>
    <row r="456">
      <c r="A456" s="25" t="s">
        <v>552</v>
      </c>
      <c r="B456" s="25" t="s">
        <v>29</v>
      </c>
      <c r="C456" s="25"/>
    </row>
    <row r="457">
      <c r="A457" s="25" t="s">
        <v>28</v>
      </c>
      <c r="B457" s="25" t="s">
        <v>29</v>
      </c>
      <c r="C457" s="25"/>
    </row>
    <row r="458">
      <c r="A458" s="25" t="s">
        <v>553</v>
      </c>
      <c r="B458" s="25" t="s">
        <v>29</v>
      </c>
      <c r="C458" s="25"/>
    </row>
    <row r="459">
      <c r="A459" s="25" t="s">
        <v>554</v>
      </c>
      <c r="B459" s="25" t="s">
        <v>29</v>
      </c>
      <c r="C459" s="25"/>
    </row>
    <row r="460">
      <c r="A460" s="25" t="s">
        <v>555</v>
      </c>
      <c r="B460" s="25" t="s">
        <v>29</v>
      </c>
      <c r="C460" s="25"/>
    </row>
    <row r="461">
      <c r="A461" s="25" t="s">
        <v>556</v>
      </c>
      <c r="B461" s="25" t="s">
        <v>29</v>
      </c>
      <c r="C461" s="25"/>
    </row>
    <row r="462">
      <c r="A462" s="25" t="s">
        <v>557</v>
      </c>
      <c r="B462" s="25" t="s">
        <v>29</v>
      </c>
      <c r="C462" s="25"/>
    </row>
    <row r="463">
      <c r="A463" s="25" t="s">
        <v>558</v>
      </c>
      <c r="B463" s="25" t="s">
        <v>29</v>
      </c>
      <c r="C463" s="25"/>
    </row>
    <row r="464">
      <c r="A464" s="25" t="s">
        <v>559</v>
      </c>
      <c r="B464" s="25" t="s">
        <v>29</v>
      </c>
      <c r="C464" s="25"/>
    </row>
    <row r="465">
      <c r="A465" s="25" t="s">
        <v>560</v>
      </c>
      <c r="B465" s="25" t="s">
        <v>29</v>
      </c>
      <c r="C465" s="25"/>
    </row>
    <row r="466">
      <c r="A466" s="25" t="s">
        <v>561</v>
      </c>
      <c r="B466" s="25" t="s">
        <v>29</v>
      </c>
      <c r="C466" s="25"/>
    </row>
    <row r="467">
      <c r="A467" s="25" t="s">
        <v>562</v>
      </c>
      <c r="B467" s="25" t="s">
        <v>29</v>
      </c>
      <c r="C467" s="25"/>
    </row>
    <row r="468">
      <c r="A468" s="25" t="s">
        <v>563</v>
      </c>
      <c r="B468" s="25" t="s">
        <v>29</v>
      </c>
      <c r="C468" s="25"/>
    </row>
    <row r="469">
      <c r="A469" s="25" t="s">
        <v>564</v>
      </c>
      <c r="B469" s="25" t="s">
        <v>29</v>
      </c>
      <c r="C469" s="25"/>
    </row>
    <row r="470">
      <c r="A470" s="25" t="s">
        <v>565</v>
      </c>
      <c r="B470" s="25" t="s">
        <v>29</v>
      </c>
      <c r="C470" s="25"/>
    </row>
    <row r="471">
      <c r="A471" s="25" t="s">
        <v>566</v>
      </c>
      <c r="B471" s="25" t="s">
        <v>29</v>
      </c>
      <c r="C471" s="25"/>
    </row>
    <row r="472">
      <c r="A472" s="25" t="s">
        <v>567</v>
      </c>
      <c r="B472" s="25" t="s">
        <v>29</v>
      </c>
      <c r="C472" s="25"/>
    </row>
    <row r="473">
      <c r="A473" s="25" t="s">
        <v>568</v>
      </c>
      <c r="B473" s="25" t="s">
        <v>29</v>
      </c>
      <c r="C473" s="25"/>
    </row>
    <row r="474">
      <c r="A474" s="25" t="s">
        <v>569</v>
      </c>
      <c r="B474" s="25" t="s">
        <v>29</v>
      </c>
      <c r="C474" s="25"/>
    </row>
    <row r="475">
      <c r="A475" s="25" t="s">
        <v>570</v>
      </c>
      <c r="B475" s="25" t="s">
        <v>29</v>
      </c>
      <c r="C475" s="25"/>
    </row>
    <row r="476">
      <c r="A476" s="25" t="s">
        <v>571</v>
      </c>
      <c r="B476" s="25" t="s">
        <v>29</v>
      </c>
      <c r="C476" s="25"/>
    </row>
    <row r="477">
      <c r="A477" s="25" t="s">
        <v>572</v>
      </c>
      <c r="B477" s="25" t="s">
        <v>29</v>
      </c>
      <c r="C477" s="25"/>
    </row>
    <row r="478">
      <c r="A478" s="25" t="s">
        <v>573</v>
      </c>
      <c r="B478" s="25" t="s">
        <v>29</v>
      </c>
      <c r="C478" s="25"/>
    </row>
    <row r="479">
      <c r="A479" s="25" t="s">
        <v>574</v>
      </c>
      <c r="B479" s="25" t="s">
        <v>29</v>
      </c>
      <c r="C479" s="25"/>
    </row>
    <row r="480">
      <c r="A480" s="25" t="s">
        <v>575</v>
      </c>
      <c r="B480" s="25" t="s">
        <v>29</v>
      </c>
      <c r="C480" s="25"/>
    </row>
    <row r="481">
      <c r="A481" s="25" t="s">
        <v>576</v>
      </c>
      <c r="B481" s="25" t="s">
        <v>29</v>
      </c>
      <c r="C481" s="25"/>
    </row>
    <row r="482">
      <c r="A482" s="25" t="s">
        <v>577</v>
      </c>
      <c r="B482" s="25" t="s">
        <v>29</v>
      </c>
      <c r="C482" s="25"/>
    </row>
    <row r="483">
      <c r="A483" s="25" t="s">
        <v>578</v>
      </c>
      <c r="B483" s="25" t="s">
        <v>29</v>
      </c>
      <c r="C483" s="25"/>
    </row>
    <row r="484">
      <c r="A484" s="25" t="s">
        <v>579</v>
      </c>
      <c r="B484" s="25" t="s">
        <v>29</v>
      </c>
      <c r="C484" s="25"/>
    </row>
    <row r="485">
      <c r="A485" s="25" t="s">
        <v>580</v>
      </c>
      <c r="B485" s="25" t="s">
        <v>29</v>
      </c>
      <c r="C485" s="25"/>
    </row>
    <row r="486">
      <c r="A486" s="25" t="s">
        <v>581</v>
      </c>
      <c r="B486" s="25" t="s">
        <v>29</v>
      </c>
      <c r="C486" s="25"/>
    </row>
    <row r="487">
      <c r="A487" s="35" t="s">
        <v>582</v>
      </c>
      <c r="B487" s="35" t="s">
        <v>29</v>
      </c>
      <c r="C487" s="25"/>
    </row>
    <row r="488">
      <c r="A488" s="25" t="s">
        <v>583</v>
      </c>
      <c r="B488" s="25" t="s">
        <v>29</v>
      </c>
      <c r="C488" s="25"/>
    </row>
    <row r="489">
      <c r="A489" s="25" t="s">
        <v>584</v>
      </c>
      <c r="B489" s="25" t="s">
        <v>29</v>
      </c>
      <c r="C489" s="25"/>
    </row>
    <row r="490">
      <c r="A490" s="25" t="s">
        <v>585</v>
      </c>
      <c r="B490" s="25" t="s">
        <v>29</v>
      </c>
      <c r="C490" s="25"/>
    </row>
    <row r="491">
      <c r="A491" s="25" t="s">
        <v>586</v>
      </c>
      <c r="B491" s="25" t="s">
        <v>29</v>
      </c>
      <c r="C491" s="25"/>
    </row>
    <row r="492">
      <c r="A492" s="25" t="s">
        <v>587</v>
      </c>
      <c r="B492" s="25" t="s">
        <v>29</v>
      </c>
      <c r="C492" s="25"/>
    </row>
    <row r="493">
      <c r="A493" s="25" t="s">
        <v>588</v>
      </c>
      <c r="B493" s="25" t="s">
        <v>29</v>
      </c>
      <c r="C493" s="25"/>
    </row>
    <row r="494">
      <c r="A494" s="25" t="s">
        <v>589</v>
      </c>
      <c r="B494" s="25" t="s">
        <v>29</v>
      </c>
      <c r="C494" s="25"/>
    </row>
    <row r="495">
      <c r="A495" s="25" t="s">
        <v>590</v>
      </c>
      <c r="B495" s="25" t="s">
        <v>29</v>
      </c>
      <c r="C495" s="25"/>
    </row>
    <row r="496">
      <c r="A496" s="25" t="s">
        <v>591</v>
      </c>
      <c r="B496" s="25" t="s">
        <v>29</v>
      </c>
      <c r="C496" s="25"/>
    </row>
    <row r="497">
      <c r="A497" s="25" t="s">
        <v>592</v>
      </c>
      <c r="B497" s="25" t="s">
        <v>29</v>
      </c>
      <c r="C497" s="25"/>
    </row>
    <row r="498">
      <c r="A498" s="25" t="s">
        <v>593</v>
      </c>
      <c r="B498" s="25" t="s">
        <v>29</v>
      </c>
      <c r="C498" s="25"/>
    </row>
    <row r="499">
      <c r="A499" s="25" t="s">
        <v>594</v>
      </c>
      <c r="B499" s="25" t="s">
        <v>29</v>
      </c>
      <c r="C499" s="25"/>
    </row>
    <row r="500">
      <c r="A500" s="25" t="s">
        <v>595</v>
      </c>
      <c r="B500" s="25" t="s">
        <v>29</v>
      </c>
      <c r="C500" s="25"/>
    </row>
    <row r="501">
      <c r="A501" s="25" t="s">
        <v>596</v>
      </c>
      <c r="B501" s="25" t="s">
        <v>29</v>
      </c>
      <c r="C501" s="25"/>
    </row>
    <row r="502">
      <c r="A502" s="25" t="s">
        <v>597</v>
      </c>
      <c r="B502" s="25" t="s">
        <v>29</v>
      </c>
      <c r="C502" s="25"/>
    </row>
    <row r="503">
      <c r="A503" s="25" t="s">
        <v>598</v>
      </c>
      <c r="B503" s="25" t="s">
        <v>29</v>
      </c>
      <c r="C503" s="25"/>
    </row>
    <row r="504">
      <c r="A504" s="25" t="s">
        <v>599</v>
      </c>
      <c r="B504" s="25" t="s">
        <v>29</v>
      </c>
      <c r="C504" s="25"/>
    </row>
    <row r="505">
      <c r="A505" s="25" t="s">
        <v>600</v>
      </c>
      <c r="B505" s="25" t="s">
        <v>29</v>
      </c>
      <c r="C505" s="25"/>
    </row>
    <row r="506">
      <c r="A506" s="25" t="s">
        <v>601</v>
      </c>
      <c r="B506" s="25" t="s">
        <v>29</v>
      </c>
      <c r="C506" s="25"/>
    </row>
    <row r="507">
      <c r="A507" s="25" t="s">
        <v>602</v>
      </c>
      <c r="B507" s="25" t="s">
        <v>29</v>
      </c>
      <c r="C507" s="25"/>
    </row>
    <row r="508">
      <c r="A508" s="25" t="s">
        <v>603</v>
      </c>
      <c r="B508" s="25" t="s">
        <v>29</v>
      </c>
      <c r="C508" s="25"/>
    </row>
    <row r="509">
      <c r="A509" s="25" t="s">
        <v>604</v>
      </c>
      <c r="B509" s="25" t="s">
        <v>29</v>
      </c>
      <c r="C509" s="25"/>
    </row>
    <row r="510">
      <c r="A510" s="25" t="s">
        <v>605</v>
      </c>
      <c r="B510" s="25" t="s">
        <v>29</v>
      </c>
      <c r="C510" s="25"/>
    </row>
    <row r="511">
      <c r="A511" s="25" t="s">
        <v>606</v>
      </c>
      <c r="B511" s="25" t="s">
        <v>29</v>
      </c>
      <c r="C511" s="25"/>
    </row>
    <row r="512">
      <c r="A512" s="25" t="s">
        <v>607</v>
      </c>
      <c r="B512" s="25" t="s">
        <v>29</v>
      </c>
      <c r="C512" s="25"/>
    </row>
    <row r="513">
      <c r="A513" s="25" t="s">
        <v>608</v>
      </c>
      <c r="B513" s="25" t="s">
        <v>29</v>
      </c>
      <c r="C513" s="25"/>
    </row>
    <row r="514">
      <c r="A514" s="25" t="s">
        <v>609</v>
      </c>
      <c r="B514" s="25" t="s">
        <v>29</v>
      </c>
      <c r="C514" s="25"/>
    </row>
    <row r="515">
      <c r="A515" s="35" t="s">
        <v>610</v>
      </c>
      <c r="B515" s="25" t="s">
        <v>29</v>
      </c>
      <c r="C515" s="25"/>
    </row>
    <row r="516">
      <c r="A516" s="25" t="s">
        <v>611</v>
      </c>
      <c r="B516" s="25" t="s">
        <v>29</v>
      </c>
      <c r="C516" s="25"/>
    </row>
    <row r="517">
      <c r="A517" s="25" t="s">
        <v>612</v>
      </c>
      <c r="B517" s="25" t="s">
        <v>29</v>
      </c>
      <c r="C517" s="25"/>
    </row>
    <row r="518">
      <c r="A518" s="25" t="s">
        <v>613</v>
      </c>
      <c r="B518" s="25" t="s">
        <v>29</v>
      </c>
      <c r="C518" s="25"/>
    </row>
    <row r="519">
      <c r="A519" s="25" t="s">
        <v>614</v>
      </c>
      <c r="B519" s="25" t="s">
        <v>29</v>
      </c>
      <c r="C519" s="25"/>
    </row>
    <row r="520">
      <c r="A520" s="25" t="s">
        <v>615</v>
      </c>
      <c r="B520" s="25" t="s">
        <v>29</v>
      </c>
      <c r="C520" s="25"/>
    </row>
    <row r="521">
      <c r="A521" s="25" t="s">
        <v>616</v>
      </c>
      <c r="B521" s="25" t="s">
        <v>29</v>
      </c>
      <c r="C521" s="25"/>
    </row>
    <row r="522">
      <c r="A522" s="25" t="s">
        <v>617</v>
      </c>
      <c r="B522" s="25" t="s">
        <v>29</v>
      </c>
      <c r="C522" s="25"/>
    </row>
    <row r="523">
      <c r="A523" s="25" t="s">
        <v>618</v>
      </c>
      <c r="B523" s="25" t="s">
        <v>29</v>
      </c>
      <c r="C523" s="25"/>
    </row>
    <row r="524">
      <c r="A524" s="25" t="s">
        <v>619</v>
      </c>
      <c r="B524" s="25" t="s">
        <v>29</v>
      </c>
      <c r="C524" s="25"/>
    </row>
    <row r="525">
      <c r="A525" s="25" t="s">
        <v>620</v>
      </c>
      <c r="B525" s="25" t="s">
        <v>29</v>
      </c>
      <c r="C525" s="25"/>
    </row>
    <row r="526">
      <c r="A526" s="25" t="s">
        <v>621</v>
      </c>
      <c r="B526" s="25" t="s">
        <v>29</v>
      </c>
      <c r="C526" s="25"/>
    </row>
    <row r="527">
      <c r="A527" s="25" t="s">
        <v>622</v>
      </c>
      <c r="B527" s="25" t="s">
        <v>29</v>
      </c>
      <c r="C527" s="25"/>
    </row>
    <row r="528">
      <c r="A528" s="25" t="s">
        <v>623</v>
      </c>
      <c r="B528" s="25" t="s">
        <v>29</v>
      </c>
      <c r="C528" s="25"/>
    </row>
    <row r="529">
      <c r="A529" s="25" t="s">
        <v>624</v>
      </c>
      <c r="B529" s="25" t="s">
        <v>29</v>
      </c>
      <c r="C529" s="25"/>
    </row>
    <row r="530">
      <c r="A530" s="25" t="s">
        <v>625</v>
      </c>
      <c r="B530" s="25" t="s">
        <v>29</v>
      </c>
      <c r="C530" s="25"/>
    </row>
    <row r="531">
      <c r="A531" s="25" t="s">
        <v>626</v>
      </c>
      <c r="B531" s="25" t="s">
        <v>29</v>
      </c>
      <c r="C531" s="25"/>
    </row>
    <row r="532">
      <c r="A532" s="35" t="s">
        <v>627</v>
      </c>
      <c r="B532" s="35" t="s">
        <v>29</v>
      </c>
      <c r="C532" s="25"/>
    </row>
    <row r="533">
      <c r="A533" s="25" t="s">
        <v>628</v>
      </c>
      <c r="B533" s="25" t="s">
        <v>29</v>
      </c>
      <c r="C533" s="25"/>
    </row>
    <row r="534">
      <c r="A534" s="25" t="s">
        <v>629</v>
      </c>
      <c r="B534" s="25" t="s">
        <v>29</v>
      </c>
      <c r="C534" s="25"/>
    </row>
    <row r="535">
      <c r="A535" s="25" t="s">
        <v>630</v>
      </c>
      <c r="B535" s="25" t="s">
        <v>29</v>
      </c>
      <c r="C535" s="25"/>
    </row>
    <row r="536">
      <c r="A536" s="25" t="s">
        <v>631</v>
      </c>
      <c r="B536" s="25" t="s">
        <v>29</v>
      </c>
      <c r="C536" s="25"/>
    </row>
    <row r="537">
      <c r="A537" s="25" t="s">
        <v>632</v>
      </c>
      <c r="B537" s="25" t="s">
        <v>29</v>
      </c>
      <c r="C537" s="25"/>
    </row>
    <row r="538">
      <c r="A538" s="25" t="s">
        <v>633</v>
      </c>
      <c r="B538" s="25" t="s">
        <v>29</v>
      </c>
      <c r="C538" s="25"/>
    </row>
    <row r="539">
      <c r="A539" s="25" t="s">
        <v>634</v>
      </c>
      <c r="B539" s="25" t="s">
        <v>29</v>
      </c>
      <c r="C539" s="25"/>
    </row>
    <row r="540">
      <c r="A540" s="25" t="s">
        <v>635</v>
      </c>
      <c r="B540" s="25" t="s">
        <v>29</v>
      </c>
      <c r="C540" s="25"/>
    </row>
    <row r="541">
      <c r="A541" s="25" t="s">
        <v>636</v>
      </c>
      <c r="B541" s="25" t="s">
        <v>29</v>
      </c>
      <c r="C541" s="25"/>
    </row>
    <row r="542">
      <c r="A542" s="25" t="s">
        <v>637</v>
      </c>
      <c r="B542" s="25" t="s">
        <v>29</v>
      </c>
      <c r="C542" s="25"/>
    </row>
    <row r="543">
      <c r="A543" s="25" t="s">
        <v>638</v>
      </c>
      <c r="B543" s="25" t="s">
        <v>29</v>
      </c>
      <c r="C543" s="25"/>
    </row>
    <row r="544">
      <c r="A544" s="25" t="s">
        <v>639</v>
      </c>
      <c r="B544" s="25" t="s">
        <v>29</v>
      </c>
      <c r="C544" s="25"/>
    </row>
    <row r="545">
      <c r="A545" s="89" t="s">
        <v>640</v>
      </c>
      <c r="B545" s="89" t="s">
        <v>29</v>
      </c>
      <c r="C545" s="89">
        <f>COUNTA(A393:A545)</f>
        <v>153</v>
      </c>
    </row>
    <row r="546">
      <c r="A546" s="25" t="s">
        <v>641</v>
      </c>
      <c r="B546" s="25" t="s">
        <v>642</v>
      </c>
      <c r="C546" s="25"/>
    </row>
    <row r="547">
      <c r="A547" s="89" t="s">
        <v>643</v>
      </c>
      <c r="B547" s="89" t="s">
        <v>642</v>
      </c>
      <c r="C547" s="89">
        <f>COUNTA(A546:A547)</f>
        <v>2</v>
      </c>
    </row>
  </sheetData>
  <autoFilter ref="$A$1:$B$547"/>
  <hyperlinks>
    <hyperlink r:id="rId1" ref="A303"/>
    <hyperlink r:id="rId2" ref="A338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5"/>
    <col customWidth="1" min="2" max="2" width="61.5"/>
    <col customWidth="1" min="3" max="3" width="6.13"/>
    <col customWidth="1" min="4" max="4" width="91.75"/>
    <col customWidth="1" min="5" max="5" width="10.25"/>
    <col customWidth="1" min="6" max="6" width="16.25"/>
    <col customWidth="1" min="7" max="7" width="16.63"/>
    <col customWidth="1" min="8" max="8" width="13.25"/>
    <col customWidth="1" min="9" max="9" width="15.13"/>
    <col customWidth="1" min="10" max="10" width="14.0"/>
    <col customWidth="1" min="11" max="11" width="13.5"/>
    <col customWidth="1" min="12" max="12" width="10.63"/>
    <col customWidth="1" min="13" max="13" width="8.75"/>
    <col customWidth="1" min="14" max="14" width="8.38"/>
  </cols>
  <sheetData>
    <row r="1">
      <c r="A1" s="102" t="s">
        <v>4</v>
      </c>
      <c r="B1" s="102" t="s">
        <v>5</v>
      </c>
      <c r="C1" s="102" t="s">
        <v>6</v>
      </c>
      <c r="D1" s="103" t="s">
        <v>7</v>
      </c>
      <c r="E1" s="103" t="s">
        <v>8</v>
      </c>
      <c r="F1" s="102" t="s">
        <v>9</v>
      </c>
      <c r="G1" s="102" t="s">
        <v>10</v>
      </c>
      <c r="H1" s="102" t="s">
        <v>11</v>
      </c>
      <c r="I1" s="102" t="s">
        <v>12</v>
      </c>
      <c r="J1" s="103" t="s">
        <v>13</v>
      </c>
      <c r="K1" s="103" t="s">
        <v>14</v>
      </c>
      <c r="L1" s="103" t="s">
        <v>15</v>
      </c>
      <c r="M1" s="103" t="s">
        <v>16</v>
      </c>
      <c r="N1" s="103" t="s">
        <v>17</v>
      </c>
    </row>
    <row r="2">
      <c r="A2" s="104" t="s">
        <v>57</v>
      </c>
      <c r="B2" s="104" t="s">
        <v>69</v>
      </c>
      <c r="C2" s="104">
        <v>151.0</v>
      </c>
      <c r="D2" s="104" t="s">
        <v>644</v>
      </c>
      <c r="E2" s="104" t="s">
        <v>645</v>
      </c>
      <c r="F2" s="105">
        <v>37582.0</v>
      </c>
      <c r="G2" s="105">
        <v>45651.0</v>
      </c>
      <c r="H2" s="105">
        <v>45653.0</v>
      </c>
      <c r="I2" s="105">
        <v>45654.0</v>
      </c>
      <c r="J2" s="106">
        <v>26.99</v>
      </c>
      <c r="K2" s="106">
        <v>0.0</v>
      </c>
      <c r="L2" s="106">
        <v>26.99</v>
      </c>
      <c r="M2" s="104">
        <v>15.0</v>
      </c>
      <c r="N2" s="106">
        <v>0.0</v>
      </c>
    </row>
    <row r="3">
      <c r="A3" s="104" t="s">
        <v>57</v>
      </c>
      <c r="B3" s="104"/>
      <c r="C3" s="104">
        <v>152.0</v>
      </c>
      <c r="D3" s="104" t="s">
        <v>646</v>
      </c>
      <c r="E3" s="104" t="s">
        <v>645</v>
      </c>
      <c r="F3" s="105">
        <v>38296.0</v>
      </c>
      <c r="G3" s="105">
        <v>45662.0</v>
      </c>
      <c r="H3" s="105">
        <v>45663.0</v>
      </c>
      <c r="I3" s="105">
        <v>45677.0</v>
      </c>
      <c r="J3" s="106">
        <v>26.99</v>
      </c>
      <c r="K3" s="106">
        <v>2.85</v>
      </c>
      <c r="L3" s="106">
        <v>24.14</v>
      </c>
      <c r="M3" s="104">
        <v>10.0</v>
      </c>
      <c r="N3" s="106">
        <v>0.29</v>
      </c>
    </row>
    <row r="4">
      <c r="A4" s="104" t="s">
        <v>57</v>
      </c>
      <c r="B4" s="104" t="s">
        <v>65</v>
      </c>
      <c r="C4" s="104">
        <v>168.0</v>
      </c>
      <c r="D4" s="104" t="s">
        <v>647</v>
      </c>
      <c r="E4" s="104" t="s">
        <v>37</v>
      </c>
      <c r="F4" s="105">
        <v>41234.0</v>
      </c>
      <c r="G4" s="105">
        <v>42766.0</v>
      </c>
      <c r="H4" s="105">
        <v>43059.0</v>
      </c>
      <c r="I4" s="105">
        <v>44872.0</v>
      </c>
      <c r="J4" s="106">
        <v>5.58</v>
      </c>
      <c r="K4" s="106">
        <v>3.98</v>
      </c>
      <c r="L4" s="106">
        <v>1.6</v>
      </c>
      <c r="M4" s="104">
        <v>10.0</v>
      </c>
      <c r="N4" s="106">
        <v>0.4</v>
      </c>
    </row>
    <row r="5">
      <c r="A5" s="104" t="s">
        <v>57</v>
      </c>
      <c r="B5" s="104" t="s">
        <v>74</v>
      </c>
      <c r="C5" s="104">
        <v>277.0</v>
      </c>
      <c r="D5" s="104" t="s">
        <v>648</v>
      </c>
      <c r="E5" s="104" t="s">
        <v>649</v>
      </c>
      <c r="F5" s="105">
        <v>40683.0</v>
      </c>
      <c r="G5" s="105">
        <v>41559.0</v>
      </c>
      <c r="H5" s="105">
        <v>41559.0</v>
      </c>
      <c r="I5" s="105">
        <v>44790.0</v>
      </c>
      <c r="J5" s="106">
        <v>29.99</v>
      </c>
      <c r="K5" s="106">
        <v>29.99</v>
      </c>
      <c r="L5" s="106">
        <v>0.0</v>
      </c>
      <c r="M5" s="104">
        <v>55.0</v>
      </c>
      <c r="N5" s="106">
        <v>0.55</v>
      </c>
    </row>
    <row r="6">
      <c r="A6" s="104" t="s">
        <v>57</v>
      </c>
      <c r="B6" s="104" t="s">
        <v>56</v>
      </c>
      <c r="C6" s="104">
        <v>202.0</v>
      </c>
      <c r="D6" s="104" t="s">
        <v>650</v>
      </c>
      <c r="E6" s="104" t="s">
        <v>649</v>
      </c>
      <c r="F6" s="105">
        <v>41929.0</v>
      </c>
      <c r="G6" s="105">
        <v>42072.0</v>
      </c>
      <c r="H6" s="105">
        <v>42072.0</v>
      </c>
      <c r="I6" s="105">
        <v>45446.0</v>
      </c>
      <c r="J6" s="106">
        <v>54.99</v>
      </c>
      <c r="K6" s="106">
        <v>31.49</v>
      </c>
      <c r="L6" s="106">
        <v>23.5</v>
      </c>
      <c r="M6" s="104">
        <v>65.0</v>
      </c>
      <c r="N6" s="106">
        <v>0.48</v>
      </c>
    </row>
    <row r="7">
      <c r="A7" s="104" t="s">
        <v>57</v>
      </c>
      <c r="B7" s="104" t="s">
        <v>70</v>
      </c>
      <c r="C7" s="104">
        <v>512.0</v>
      </c>
      <c r="D7" s="104" t="s">
        <v>651</v>
      </c>
      <c r="E7" s="104" t="s">
        <v>33</v>
      </c>
      <c r="F7" s="105">
        <v>42248.0</v>
      </c>
      <c r="G7" s="105">
        <v>42951.0</v>
      </c>
      <c r="H7" s="105">
        <v>42951.0</v>
      </c>
      <c r="I7" s="105">
        <v>42951.0</v>
      </c>
      <c r="J7" s="106">
        <v>19.99</v>
      </c>
      <c r="K7" s="106">
        <v>7.99</v>
      </c>
      <c r="L7" s="106">
        <v>12.0</v>
      </c>
      <c r="M7" s="104">
        <v>1.0</v>
      </c>
      <c r="N7" s="106">
        <v>7.99</v>
      </c>
    </row>
    <row r="8">
      <c r="A8" s="104" t="s">
        <v>57</v>
      </c>
      <c r="B8" s="104" t="s">
        <v>77</v>
      </c>
      <c r="C8" s="104">
        <v>517.0</v>
      </c>
      <c r="D8" s="104" t="s">
        <v>652</v>
      </c>
      <c r="E8" s="104" t="s">
        <v>33</v>
      </c>
      <c r="F8" s="105">
        <v>42437.0</v>
      </c>
      <c r="G8" s="105">
        <v>43268.0</v>
      </c>
      <c r="H8" s="105">
        <v>43268.0</v>
      </c>
      <c r="I8" s="105">
        <v>44355.0</v>
      </c>
      <c r="J8" s="107">
        <v>14.49</v>
      </c>
      <c r="K8" s="107">
        <v>3.99</v>
      </c>
      <c r="L8" s="106">
        <v>10.5</v>
      </c>
      <c r="M8" s="104">
        <v>4.0</v>
      </c>
      <c r="N8" s="106">
        <v>1.0</v>
      </c>
    </row>
    <row r="9">
      <c r="A9" s="104" t="s">
        <v>57</v>
      </c>
      <c r="B9" s="104" t="s">
        <v>66</v>
      </c>
      <c r="C9" s="104">
        <v>787.0</v>
      </c>
      <c r="D9" s="104" t="s">
        <v>653</v>
      </c>
      <c r="E9" s="104" t="s">
        <v>33</v>
      </c>
      <c r="F9" s="105">
        <v>42542.0</v>
      </c>
      <c r="G9" s="105">
        <v>42650.0</v>
      </c>
      <c r="H9" s="105">
        <v>42650.0</v>
      </c>
      <c r="I9" s="105">
        <v>44388.0</v>
      </c>
      <c r="J9" s="106">
        <v>4.99</v>
      </c>
      <c r="K9" s="106">
        <v>4.99</v>
      </c>
      <c r="L9" s="106">
        <v>0.0</v>
      </c>
      <c r="M9" s="104">
        <v>24.0</v>
      </c>
      <c r="N9" s="106">
        <v>0.21</v>
      </c>
    </row>
    <row r="10">
      <c r="A10" s="104" t="s">
        <v>57</v>
      </c>
      <c r="B10" s="104" t="s">
        <v>73</v>
      </c>
      <c r="C10" s="104">
        <v>577.0</v>
      </c>
      <c r="D10" s="104" t="s">
        <v>654</v>
      </c>
      <c r="E10" s="104" t="s">
        <v>33</v>
      </c>
      <c r="F10" s="105">
        <v>42808.0</v>
      </c>
      <c r="G10" s="105">
        <v>43079.0</v>
      </c>
      <c r="H10" s="105">
        <v>43079.0</v>
      </c>
      <c r="I10" s="105">
        <v>43407.0</v>
      </c>
      <c r="J10" s="106">
        <v>13.99</v>
      </c>
      <c r="K10" s="106">
        <v>6.99</v>
      </c>
      <c r="L10" s="106">
        <v>7.0</v>
      </c>
      <c r="M10" s="104">
        <v>6.0</v>
      </c>
      <c r="N10" s="106">
        <v>1.17</v>
      </c>
    </row>
    <row r="11">
      <c r="A11" s="104" t="s">
        <v>57</v>
      </c>
      <c r="B11" s="104" t="s">
        <v>64</v>
      </c>
      <c r="C11" s="104">
        <v>845.0</v>
      </c>
      <c r="D11" s="107" t="s">
        <v>655</v>
      </c>
      <c r="E11" s="107" t="s">
        <v>33</v>
      </c>
      <c r="F11" s="105">
        <v>42962.0</v>
      </c>
      <c r="G11" s="105">
        <v>42939.0</v>
      </c>
      <c r="H11" s="105">
        <v>42962.0</v>
      </c>
      <c r="I11" s="105">
        <v>43008.0</v>
      </c>
      <c r="J11" s="106">
        <v>24.98</v>
      </c>
      <c r="K11" s="106">
        <v>24.98</v>
      </c>
      <c r="L11" s="106">
        <v>0.0</v>
      </c>
      <c r="M11" s="104">
        <v>20.0</v>
      </c>
      <c r="N11" s="106">
        <v>1.25</v>
      </c>
    </row>
    <row r="12">
      <c r="A12" s="104" t="s">
        <v>57</v>
      </c>
      <c r="B12" s="104" t="s">
        <v>62</v>
      </c>
      <c r="C12" s="104">
        <v>572.0</v>
      </c>
      <c r="D12" s="104" t="s">
        <v>656</v>
      </c>
      <c r="E12" s="104" t="s">
        <v>33</v>
      </c>
      <c r="F12" s="105">
        <v>43053.0</v>
      </c>
      <c r="G12" s="105">
        <v>45256.0</v>
      </c>
      <c r="H12" s="105">
        <v>45256.0</v>
      </c>
      <c r="I12" s="105">
        <v>45256.0</v>
      </c>
      <c r="J12" s="106">
        <v>19.99</v>
      </c>
      <c r="K12" s="106">
        <v>3.99</v>
      </c>
      <c r="L12" s="106">
        <v>16.0</v>
      </c>
      <c r="M12" s="104">
        <v>1.0</v>
      </c>
      <c r="N12" s="106">
        <v>3.99</v>
      </c>
    </row>
    <row r="13">
      <c r="A13" s="104" t="s">
        <v>57</v>
      </c>
      <c r="B13" s="104" t="s">
        <v>75</v>
      </c>
      <c r="C13" s="104">
        <v>660.0</v>
      </c>
      <c r="D13" s="104" t="s">
        <v>657</v>
      </c>
      <c r="E13" s="104" t="s">
        <v>33</v>
      </c>
      <c r="F13" s="105">
        <v>43368.0</v>
      </c>
      <c r="G13" s="105">
        <v>44138.0</v>
      </c>
      <c r="H13" s="105">
        <v>44145.0</v>
      </c>
      <c r="I13" s="105">
        <v>44178.0</v>
      </c>
      <c r="J13" s="106">
        <v>14.49</v>
      </c>
      <c r="K13" s="106">
        <v>0.0</v>
      </c>
      <c r="L13" s="106">
        <v>14.49</v>
      </c>
      <c r="M13" s="104">
        <v>10.0</v>
      </c>
      <c r="N13" s="106">
        <v>0.0</v>
      </c>
    </row>
    <row r="14">
      <c r="A14" s="104" t="s">
        <v>57</v>
      </c>
      <c r="B14" s="104" t="s">
        <v>68</v>
      </c>
      <c r="C14" s="104">
        <v>931.0</v>
      </c>
      <c r="D14" s="104" t="s">
        <v>658</v>
      </c>
      <c r="E14" s="104" t="s">
        <v>33</v>
      </c>
      <c r="F14" s="105">
        <v>43368.0</v>
      </c>
      <c r="G14" s="105">
        <v>44431.0</v>
      </c>
      <c r="H14" s="105">
        <v>44432.0</v>
      </c>
      <c r="I14" s="105">
        <v>44432.0</v>
      </c>
      <c r="J14" s="106">
        <v>12.99</v>
      </c>
      <c r="K14" s="106">
        <v>2.59</v>
      </c>
      <c r="L14" s="106">
        <v>10.4</v>
      </c>
      <c r="M14" s="104">
        <v>2.0</v>
      </c>
      <c r="N14" s="106">
        <v>1.3</v>
      </c>
    </row>
    <row r="15">
      <c r="A15" s="104" t="s">
        <v>57</v>
      </c>
      <c r="B15" s="104" t="s">
        <v>63</v>
      </c>
      <c r="C15" s="104">
        <v>675.0</v>
      </c>
      <c r="D15" s="104" t="s">
        <v>659</v>
      </c>
      <c r="E15" s="104" t="s">
        <v>33</v>
      </c>
      <c r="F15" s="105">
        <v>43391.0</v>
      </c>
      <c r="G15" s="105">
        <v>44351.0</v>
      </c>
      <c r="H15" s="105">
        <v>44472.0</v>
      </c>
      <c r="I15" s="105">
        <v>44473.0</v>
      </c>
      <c r="J15" s="106">
        <v>17.99</v>
      </c>
      <c r="K15" s="106">
        <v>8.99</v>
      </c>
      <c r="L15" s="106">
        <v>9.0</v>
      </c>
      <c r="M15" s="104">
        <v>5.0</v>
      </c>
      <c r="N15" s="106">
        <v>1.8</v>
      </c>
    </row>
    <row r="16">
      <c r="A16" s="104" t="s">
        <v>57</v>
      </c>
      <c r="B16" s="104" t="s">
        <v>67</v>
      </c>
      <c r="C16" s="104">
        <v>956.0</v>
      </c>
      <c r="D16" s="104" t="s">
        <v>660</v>
      </c>
      <c r="E16" s="104" t="s">
        <v>33</v>
      </c>
      <c r="F16" s="105">
        <v>43816.0</v>
      </c>
      <c r="G16" s="105">
        <v>43816.0</v>
      </c>
      <c r="H16" s="105">
        <v>43816.0</v>
      </c>
      <c r="I16" s="105">
        <v>43824.0</v>
      </c>
      <c r="J16" s="106">
        <v>19.99</v>
      </c>
      <c r="K16" s="106">
        <v>14.99</v>
      </c>
      <c r="L16" s="106">
        <v>5.0</v>
      </c>
      <c r="M16" s="104">
        <v>20.0</v>
      </c>
      <c r="N16" s="106">
        <v>0.75</v>
      </c>
    </row>
    <row r="17">
      <c r="A17" s="104" t="s">
        <v>57</v>
      </c>
      <c r="B17" s="104" t="s">
        <v>59</v>
      </c>
      <c r="C17" s="104">
        <v>861.0</v>
      </c>
      <c r="D17" s="104" t="s">
        <v>661</v>
      </c>
      <c r="E17" s="104" t="s">
        <v>33</v>
      </c>
      <c r="F17" s="105">
        <v>43942.0</v>
      </c>
      <c r="G17" s="105">
        <v>44335.0</v>
      </c>
      <c r="H17" s="105">
        <v>44336.0</v>
      </c>
      <c r="I17" s="105">
        <v>44336.0</v>
      </c>
      <c r="J17" s="107">
        <v>19.99</v>
      </c>
      <c r="K17" s="107">
        <v>0.0</v>
      </c>
      <c r="L17" s="106">
        <v>19.99</v>
      </c>
      <c r="M17" s="104">
        <v>2.0</v>
      </c>
      <c r="N17" s="106">
        <v>0.0</v>
      </c>
    </row>
    <row r="18">
      <c r="A18" s="104" t="s">
        <v>57</v>
      </c>
      <c r="B18" s="104" t="s">
        <v>60</v>
      </c>
      <c r="C18" s="104">
        <v>899.0</v>
      </c>
      <c r="D18" s="104" t="s">
        <v>662</v>
      </c>
      <c r="E18" s="104" t="s">
        <v>33</v>
      </c>
      <c r="F18" s="105">
        <v>44096.0</v>
      </c>
      <c r="G18" s="105">
        <v>44411.0</v>
      </c>
      <c r="H18" s="105">
        <v>44411.0</v>
      </c>
      <c r="I18" s="105">
        <v>44411.0</v>
      </c>
      <c r="J18" s="107">
        <v>49.99</v>
      </c>
      <c r="K18" s="107">
        <v>0.0</v>
      </c>
      <c r="L18" s="106">
        <v>49.99</v>
      </c>
      <c r="M18" s="104">
        <v>1.0</v>
      </c>
      <c r="N18" s="106">
        <v>0.0</v>
      </c>
    </row>
    <row r="19">
      <c r="A19" s="104" t="s">
        <v>57</v>
      </c>
      <c r="B19" s="104" t="s">
        <v>58</v>
      </c>
      <c r="C19" s="104">
        <v>656.0</v>
      </c>
      <c r="D19" s="104" t="s">
        <v>663</v>
      </c>
      <c r="E19" s="104" t="s">
        <v>33</v>
      </c>
      <c r="F19" s="105">
        <v>44537.0</v>
      </c>
      <c r="G19" s="105">
        <v>44867.0</v>
      </c>
      <c r="H19" s="105">
        <v>44867.0</v>
      </c>
      <c r="I19" s="105">
        <v>44867.0</v>
      </c>
      <c r="J19" s="106">
        <v>20.99</v>
      </c>
      <c r="K19" s="106">
        <v>0.0</v>
      </c>
      <c r="L19" s="106">
        <v>20.99</v>
      </c>
      <c r="M19" s="104">
        <v>1.0</v>
      </c>
      <c r="N19" s="106">
        <v>0.0</v>
      </c>
    </row>
    <row r="20">
      <c r="A20" s="104" t="s">
        <v>57</v>
      </c>
      <c r="B20" s="104" t="s">
        <v>71</v>
      </c>
      <c r="C20" s="104">
        <v>563.0</v>
      </c>
      <c r="D20" s="104" t="s">
        <v>664</v>
      </c>
      <c r="E20" s="104" t="s">
        <v>33</v>
      </c>
      <c r="F20" s="105">
        <v>44784.0</v>
      </c>
      <c r="G20" s="105">
        <v>44894.0</v>
      </c>
      <c r="H20" s="105">
        <v>44894.0</v>
      </c>
      <c r="I20" s="105">
        <v>44896.0</v>
      </c>
      <c r="J20" s="106">
        <v>29.99</v>
      </c>
      <c r="K20" s="106">
        <v>23.99</v>
      </c>
      <c r="L20" s="106">
        <v>6.0</v>
      </c>
      <c r="M20" s="104">
        <v>24.0</v>
      </c>
      <c r="N20" s="106">
        <v>1.0</v>
      </c>
    </row>
    <row r="21">
      <c r="A21" s="104" t="s">
        <v>57</v>
      </c>
      <c r="B21" s="104"/>
      <c r="C21" s="104">
        <v>1004.0</v>
      </c>
      <c r="D21" s="104" t="s">
        <v>665</v>
      </c>
      <c r="E21" s="104" t="s">
        <v>666</v>
      </c>
      <c r="F21" s="105">
        <v>42724.0</v>
      </c>
      <c r="G21" s="105">
        <v>43475.0</v>
      </c>
      <c r="H21" s="105">
        <v>43476.0</v>
      </c>
      <c r="I21" s="105">
        <v>44014.0</v>
      </c>
      <c r="J21" s="106">
        <v>16.99</v>
      </c>
      <c r="K21" s="106">
        <v>16.99</v>
      </c>
      <c r="L21" s="106">
        <v>0.0</v>
      </c>
      <c r="M21" s="104">
        <v>3.0</v>
      </c>
      <c r="N21" s="106">
        <v>5.66</v>
      </c>
    </row>
    <row r="22">
      <c r="A22" s="104" t="s">
        <v>57</v>
      </c>
      <c r="B22" s="104" t="s">
        <v>72</v>
      </c>
      <c r="C22" s="104">
        <v>1035.0</v>
      </c>
      <c r="D22" s="104" t="s">
        <v>667</v>
      </c>
      <c r="E22" s="104" t="s">
        <v>666</v>
      </c>
      <c r="F22" s="105">
        <v>43173.0</v>
      </c>
      <c r="G22" s="105">
        <v>43564.0</v>
      </c>
      <c r="H22" s="105">
        <v>43565.0</v>
      </c>
      <c r="I22" s="105">
        <v>45151.0</v>
      </c>
      <c r="J22" s="106">
        <v>19.99</v>
      </c>
      <c r="K22" s="106">
        <v>7.99</v>
      </c>
      <c r="L22" s="106">
        <v>12.0</v>
      </c>
      <c r="M22" s="104">
        <v>4.0</v>
      </c>
      <c r="N22" s="106">
        <v>2.0</v>
      </c>
    </row>
    <row r="23">
      <c r="A23" s="104" t="s">
        <v>57</v>
      </c>
      <c r="B23" s="104" t="s">
        <v>76</v>
      </c>
      <c r="C23" s="104">
        <v>1006.0</v>
      </c>
      <c r="D23" s="104" t="s">
        <v>668</v>
      </c>
      <c r="E23" s="104" t="s">
        <v>666</v>
      </c>
      <c r="F23" s="105">
        <v>43452.0</v>
      </c>
      <c r="G23" s="105">
        <v>43717.0</v>
      </c>
      <c r="H23" s="105">
        <v>43717.0</v>
      </c>
      <c r="I23" s="105">
        <v>43717.0</v>
      </c>
      <c r="J23" s="106">
        <v>24.99</v>
      </c>
      <c r="K23" s="106">
        <v>12.49</v>
      </c>
      <c r="L23" s="106">
        <v>12.5</v>
      </c>
      <c r="M23" s="104">
        <v>1.0</v>
      </c>
      <c r="N23" s="106">
        <v>12.49</v>
      </c>
    </row>
    <row r="24">
      <c r="A24" s="104" t="s">
        <v>57</v>
      </c>
      <c r="B24" s="104" t="s">
        <v>61</v>
      </c>
      <c r="C24" s="104">
        <v>1064.0</v>
      </c>
      <c r="D24" s="104" t="s">
        <v>669</v>
      </c>
      <c r="E24" s="104" t="s">
        <v>39</v>
      </c>
      <c r="F24" s="105">
        <v>44474.0</v>
      </c>
      <c r="G24" s="105">
        <v>44474.0</v>
      </c>
      <c r="H24" s="105">
        <v>45412.0</v>
      </c>
      <c r="I24" s="105">
        <v>45412.0</v>
      </c>
      <c r="J24" s="106">
        <v>39.99</v>
      </c>
      <c r="K24" s="106">
        <v>0.0</v>
      </c>
      <c r="L24" s="106">
        <v>39.99</v>
      </c>
      <c r="M24" s="104">
        <v>1.0</v>
      </c>
      <c r="N24" s="106">
        <v>0.0</v>
      </c>
    </row>
    <row r="25">
      <c r="A25" s="108">
        <f t="shared" ref="A25:B25" si="1">COUNTA(A2:A24)</f>
        <v>23</v>
      </c>
      <c r="B25" s="108">
        <f t="shared" si="1"/>
        <v>21</v>
      </c>
      <c r="C25" s="108"/>
      <c r="D25" s="109"/>
      <c r="E25" s="110">
        <v>531.35</v>
      </c>
      <c r="F25" s="110">
        <v>209.27</v>
      </c>
      <c r="G25" s="110">
        <v>322.08</v>
      </c>
      <c r="H25" s="108">
        <v>285.0</v>
      </c>
      <c r="I25" s="110">
        <v>0.73</v>
      </c>
      <c r="J25" s="111">
        <f t="shared" ref="J25:M25" si="2">SUM(J2:J24)</f>
        <v>531.35</v>
      </c>
      <c r="K25" s="111">
        <f t="shared" si="2"/>
        <v>209.27</v>
      </c>
      <c r="L25" s="111">
        <f t="shared" si="2"/>
        <v>322.08</v>
      </c>
      <c r="M25" s="109">
        <f t="shared" si="2"/>
        <v>285</v>
      </c>
      <c r="N25" s="111">
        <f>K25/M25</f>
        <v>0.7342807018</v>
      </c>
    </row>
    <row r="26">
      <c r="A26" s="35"/>
      <c r="B26" s="35"/>
      <c r="C26" s="35"/>
      <c r="D26" s="112"/>
      <c r="E26" s="112"/>
      <c r="F26" s="112"/>
      <c r="G26" s="112"/>
      <c r="H26" s="112"/>
      <c r="I26" s="112"/>
      <c r="J26" s="59"/>
      <c r="K26" s="59"/>
      <c r="L26" s="59"/>
      <c r="M26" s="35"/>
      <c r="N26" s="113"/>
    </row>
    <row r="27">
      <c r="A27" s="43" t="s">
        <v>79</v>
      </c>
      <c r="B27" s="43" t="s">
        <v>80</v>
      </c>
      <c r="C27" s="43">
        <v>430.0</v>
      </c>
      <c r="D27" s="43" t="s">
        <v>670</v>
      </c>
      <c r="E27" s="43" t="s">
        <v>671</v>
      </c>
      <c r="F27" s="57">
        <v>40878.0</v>
      </c>
      <c r="G27" s="57">
        <v>43548.0</v>
      </c>
      <c r="H27" s="57">
        <v>43575.0</v>
      </c>
      <c r="I27" s="57">
        <v>45051.0</v>
      </c>
      <c r="J27" s="47">
        <v>9.99</v>
      </c>
      <c r="K27" s="47">
        <v>3.99</v>
      </c>
      <c r="L27" s="47">
        <v>6.0</v>
      </c>
      <c r="M27" s="43">
        <v>2.0</v>
      </c>
      <c r="N27" s="47">
        <v>2.0</v>
      </c>
    </row>
    <row r="28">
      <c r="A28" s="43" t="s">
        <v>79</v>
      </c>
      <c r="B28" s="43" t="s">
        <v>78</v>
      </c>
      <c r="C28" s="43">
        <v>906.0</v>
      </c>
      <c r="D28" s="43" t="s">
        <v>672</v>
      </c>
      <c r="E28" s="43" t="s">
        <v>33</v>
      </c>
      <c r="F28" s="57">
        <v>42205.0</v>
      </c>
      <c r="G28" s="57">
        <v>42859.0</v>
      </c>
      <c r="H28" s="57">
        <v>42860.0</v>
      </c>
      <c r="I28" s="57">
        <v>45183.0</v>
      </c>
      <c r="J28" s="46">
        <v>9.99</v>
      </c>
      <c r="K28" s="46">
        <v>4.99</v>
      </c>
      <c r="L28" s="47">
        <v>5.0</v>
      </c>
      <c r="M28" s="43">
        <v>2.0</v>
      </c>
      <c r="N28" s="47">
        <v>2.5</v>
      </c>
    </row>
    <row r="29">
      <c r="A29" s="43" t="s">
        <v>79</v>
      </c>
      <c r="B29" s="43" t="s">
        <v>81</v>
      </c>
      <c r="C29" s="43">
        <v>851.0</v>
      </c>
      <c r="D29" s="43" t="s">
        <v>673</v>
      </c>
      <c r="E29" s="43" t="s">
        <v>33</v>
      </c>
      <c r="F29" s="57">
        <v>44005.0</v>
      </c>
      <c r="G29" s="57">
        <v>44431.0</v>
      </c>
      <c r="H29" s="57">
        <v>44443.0</v>
      </c>
      <c r="I29" s="57">
        <v>44447.0</v>
      </c>
      <c r="J29" s="47">
        <v>29.99</v>
      </c>
      <c r="K29" s="47">
        <v>17.99</v>
      </c>
      <c r="L29" s="47">
        <v>12.0</v>
      </c>
      <c r="M29" s="43">
        <v>15.0</v>
      </c>
      <c r="N29" s="47">
        <v>1.2</v>
      </c>
    </row>
    <row r="30">
      <c r="A30" s="43" t="s">
        <v>79</v>
      </c>
      <c r="B30" s="43"/>
      <c r="C30" s="43">
        <v>852.0</v>
      </c>
      <c r="D30" s="43" t="s">
        <v>674</v>
      </c>
      <c r="E30" s="43" t="s">
        <v>33</v>
      </c>
      <c r="F30" s="57">
        <v>44957.0</v>
      </c>
      <c r="G30" s="57">
        <v>45331.0</v>
      </c>
      <c r="H30" s="57">
        <v>45337.0</v>
      </c>
      <c r="I30" s="57">
        <v>45341.0</v>
      </c>
      <c r="J30" s="47">
        <v>39.99</v>
      </c>
      <c r="K30" s="47">
        <v>22.99</v>
      </c>
      <c r="L30" s="47">
        <v>17.0</v>
      </c>
      <c r="M30" s="43">
        <v>17.0</v>
      </c>
      <c r="N30" s="47">
        <v>1.35</v>
      </c>
    </row>
    <row r="31">
      <c r="A31" s="43" t="s">
        <v>79</v>
      </c>
      <c r="B31" s="43"/>
      <c r="C31" s="43">
        <v>590.0</v>
      </c>
      <c r="D31" s="43" t="s">
        <v>675</v>
      </c>
      <c r="E31" s="43" t="s">
        <v>33</v>
      </c>
      <c r="F31" s="57">
        <v>45558.0</v>
      </c>
      <c r="G31" s="57">
        <v>45662.0</v>
      </c>
      <c r="H31" s="57">
        <v>45676.0</v>
      </c>
      <c r="I31" s="57">
        <v>45823.0</v>
      </c>
      <c r="J31" s="46">
        <v>59.99</v>
      </c>
      <c r="K31" s="46">
        <v>29.99</v>
      </c>
      <c r="L31" s="47">
        <v>30.0</v>
      </c>
      <c r="M31" s="43">
        <v>4.0</v>
      </c>
      <c r="N31" s="47">
        <v>7.5</v>
      </c>
    </row>
    <row r="32">
      <c r="A32" s="72">
        <f t="shared" ref="A32:B32" si="3">COUNTA(A27:A31)</f>
        <v>5</v>
      </c>
      <c r="B32" s="72">
        <f t="shared" si="3"/>
        <v>3</v>
      </c>
      <c r="C32" s="72"/>
      <c r="D32" s="39"/>
      <c r="E32" s="55">
        <v>149.95</v>
      </c>
      <c r="F32" s="55">
        <v>79.95</v>
      </c>
      <c r="G32" s="55">
        <v>70.0</v>
      </c>
      <c r="H32" s="72">
        <v>40.0</v>
      </c>
      <c r="I32" s="55">
        <v>2.0</v>
      </c>
      <c r="J32" s="71">
        <f t="shared" ref="J32:M32" si="4">SUM(J27:J31)</f>
        <v>149.95</v>
      </c>
      <c r="K32" s="71">
        <f t="shared" si="4"/>
        <v>79.95</v>
      </c>
      <c r="L32" s="71">
        <f t="shared" si="4"/>
        <v>70</v>
      </c>
      <c r="M32" s="39">
        <f t="shared" si="4"/>
        <v>40</v>
      </c>
      <c r="N32" s="71">
        <f>K32/M32</f>
        <v>1.99875</v>
      </c>
    </row>
    <row r="33">
      <c r="A33" s="64"/>
      <c r="B33" s="64"/>
      <c r="C33" s="64"/>
      <c r="D33" s="114"/>
      <c r="E33" s="64"/>
      <c r="F33" s="64"/>
      <c r="G33" s="64"/>
      <c r="H33" s="64"/>
      <c r="I33" s="64"/>
      <c r="J33" s="115"/>
      <c r="K33" s="115"/>
      <c r="L33" s="115"/>
      <c r="M33" s="116"/>
      <c r="N33" s="113"/>
    </row>
    <row r="34">
      <c r="A34" s="117" t="s">
        <v>83</v>
      </c>
      <c r="B34" s="117" t="s">
        <v>84</v>
      </c>
      <c r="C34" s="117">
        <v>932.0</v>
      </c>
      <c r="D34" s="117" t="s">
        <v>676</v>
      </c>
      <c r="E34" s="117" t="s">
        <v>33</v>
      </c>
      <c r="F34" s="118">
        <v>42816.0</v>
      </c>
      <c r="G34" s="118">
        <v>43275.0</v>
      </c>
      <c r="H34" s="118">
        <v>43275.0</v>
      </c>
      <c r="I34" s="118">
        <v>43275.0</v>
      </c>
      <c r="J34" s="119">
        <v>19.99</v>
      </c>
      <c r="K34" s="119">
        <v>2.99</v>
      </c>
      <c r="L34" s="119">
        <v>17.0</v>
      </c>
      <c r="M34" s="117">
        <v>1.0</v>
      </c>
      <c r="N34" s="119">
        <v>2.99</v>
      </c>
    </row>
    <row r="35">
      <c r="A35" s="117" t="s">
        <v>83</v>
      </c>
      <c r="B35" s="117" t="s">
        <v>82</v>
      </c>
      <c r="C35" s="117">
        <v>646.0</v>
      </c>
      <c r="D35" s="117" t="s">
        <v>677</v>
      </c>
      <c r="E35" s="117" t="s">
        <v>33</v>
      </c>
      <c r="F35" s="118">
        <v>44672.0</v>
      </c>
      <c r="G35" s="118">
        <v>45048.0</v>
      </c>
      <c r="H35" s="118">
        <v>45048.0</v>
      </c>
      <c r="I35" s="118">
        <v>45048.0</v>
      </c>
      <c r="J35" s="119">
        <v>19.99</v>
      </c>
      <c r="K35" s="119">
        <v>7.99</v>
      </c>
      <c r="L35" s="119">
        <v>12.0</v>
      </c>
      <c r="M35" s="117">
        <v>1.0</v>
      </c>
      <c r="N35" s="119">
        <v>7.99</v>
      </c>
    </row>
    <row r="36">
      <c r="A36" s="120">
        <f t="shared" ref="A36:B36" si="5">COUNTA(A34:A35)</f>
        <v>2</v>
      </c>
      <c r="B36" s="120">
        <f t="shared" si="5"/>
        <v>2</v>
      </c>
      <c r="C36" s="120"/>
      <c r="D36" s="121"/>
      <c r="E36" s="122">
        <v>39.98</v>
      </c>
      <c r="F36" s="122">
        <v>10.98</v>
      </c>
      <c r="G36" s="122">
        <v>29.0</v>
      </c>
      <c r="H36" s="121">
        <v>2.0</v>
      </c>
      <c r="I36" s="123">
        <v>5.49</v>
      </c>
      <c r="J36" s="124">
        <f t="shared" ref="J36:M36" si="6">SUM(J34:J35)</f>
        <v>39.98</v>
      </c>
      <c r="K36" s="124">
        <f t="shared" si="6"/>
        <v>10.98</v>
      </c>
      <c r="L36" s="124">
        <f t="shared" si="6"/>
        <v>29</v>
      </c>
      <c r="M36" s="121">
        <f t="shared" si="6"/>
        <v>2</v>
      </c>
      <c r="N36" s="124">
        <f>K36/M36</f>
        <v>5.49</v>
      </c>
    </row>
    <row r="37">
      <c r="A37" s="120"/>
      <c r="B37" s="120"/>
      <c r="C37" s="120"/>
      <c r="D37" s="121"/>
      <c r="E37" s="121"/>
      <c r="F37" s="121"/>
      <c r="G37" s="121"/>
      <c r="H37" s="121"/>
      <c r="I37" s="121"/>
      <c r="J37" s="124"/>
      <c r="K37" s="124"/>
      <c r="L37" s="124"/>
      <c r="M37" s="121"/>
      <c r="N37" s="124"/>
    </row>
    <row r="38">
      <c r="A38" s="125" t="s">
        <v>86</v>
      </c>
      <c r="B38" s="125" t="s">
        <v>85</v>
      </c>
      <c r="C38" s="125">
        <v>1031.0</v>
      </c>
      <c r="D38" s="125" t="s">
        <v>678</v>
      </c>
      <c r="E38" s="125" t="s">
        <v>666</v>
      </c>
      <c r="F38" s="126">
        <v>43020.0</v>
      </c>
      <c r="G38" s="126">
        <v>43468.0</v>
      </c>
      <c r="H38" s="126">
        <v>43468.0</v>
      </c>
      <c r="I38" s="126">
        <v>43468.0</v>
      </c>
      <c r="J38" s="127">
        <v>14.49</v>
      </c>
      <c r="K38" s="127">
        <v>11.59</v>
      </c>
      <c r="L38" s="127">
        <v>2.9</v>
      </c>
      <c r="M38" s="125">
        <v>1.0</v>
      </c>
      <c r="N38" s="127">
        <v>11.59</v>
      </c>
    </row>
    <row r="39">
      <c r="A39" s="27">
        <f t="shared" ref="A39:B39" si="7">COUNTA(A38)</f>
        <v>1</v>
      </c>
      <c r="B39" s="27">
        <f t="shared" si="7"/>
        <v>1</v>
      </c>
      <c r="C39" s="27"/>
      <c r="D39" s="95"/>
      <c r="E39" s="128">
        <v>14.49</v>
      </c>
      <c r="F39" s="128">
        <v>11.59</v>
      </c>
      <c r="G39" s="128">
        <v>2.9</v>
      </c>
      <c r="H39" s="27">
        <v>1.0</v>
      </c>
      <c r="I39" s="129">
        <v>11.59</v>
      </c>
      <c r="J39" s="130">
        <f t="shared" ref="J39:M39" si="8">SUM(J38)</f>
        <v>14.49</v>
      </c>
      <c r="K39" s="130">
        <f t="shared" si="8"/>
        <v>11.59</v>
      </c>
      <c r="L39" s="130">
        <f t="shared" si="8"/>
        <v>2.9</v>
      </c>
      <c r="M39" s="95">
        <f t="shared" si="8"/>
        <v>1</v>
      </c>
      <c r="N39" s="130">
        <f>K39/M39</f>
        <v>11.59</v>
      </c>
    </row>
    <row r="40">
      <c r="A40" s="131"/>
      <c r="B40" s="131"/>
      <c r="C40" s="131"/>
      <c r="D40" s="132"/>
      <c r="E40" s="132"/>
      <c r="F40" s="132"/>
      <c r="G40" s="132"/>
      <c r="H40" s="132"/>
      <c r="I40" s="132"/>
      <c r="J40" s="133"/>
      <c r="K40" s="133"/>
      <c r="L40" s="133"/>
      <c r="M40" s="132"/>
      <c r="N40" s="133"/>
    </row>
    <row r="41">
      <c r="A41" s="134" t="s">
        <v>88</v>
      </c>
      <c r="B41" s="134" t="s">
        <v>87</v>
      </c>
      <c r="C41" s="134">
        <v>985.0</v>
      </c>
      <c r="D41" s="134" t="s">
        <v>679</v>
      </c>
      <c r="E41" s="134" t="s">
        <v>666</v>
      </c>
      <c r="F41" s="135">
        <v>43901.0</v>
      </c>
      <c r="G41" s="135">
        <v>43903.0</v>
      </c>
      <c r="H41" s="135">
        <v>44019.0</v>
      </c>
      <c r="I41" s="135">
        <v>44020.0</v>
      </c>
      <c r="J41" s="136">
        <v>5.99</v>
      </c>
      <c r="K41" s="136">
        <v>5.99</v>
      </c>
      <c r="L41" s="136">
        <v>0.0</v>
      </c>
      <c r="M41" s="134">
        <v>3.0</v>
      </c>
      <c r="N41" s="136">
        <v>2.0</v>
      </c>
    </row>
    <row r="42">
      <c r="A42" s="137">
        <f t="shared" ref="A42:B42" si="9">COUNTA(A41)</f>
        <v>1</v>
      </c>
      <c r="B42" s="137">
        <f t="shared" si="9"/>
        <v>1</v>
      </c>
      <c r="C42" s="137"/>
      <c r="D42" s="137"/>
      <c r="E42" s="138">
        <v>5.99</v>
      </c>
      <c r="F42" s="138">
        <v>5.99</v>
      </c>
      <c r="G42" s="138">
        <v>0.0</v>
      </c>
      <c r="H42" s="137">
        <v>3.0</v>
      </c>
      <c r="I42" s="139">
        <v>1.9966666666666668</v>
      </c>
      <c r="J42" s="140">
        <f t="shared" ref="J42:M42" si="10">SUM(J41)</f>
        <v>5.99</v>
      </c>
      <c r="K42" s="140">
        <f t="shared" si="10"/>
        <v>5.99</v>
      </c>
      <c r="L42" s="140">
        <f t="shared" si="10"/>
        <v>0</v>
      </c>
      <c r="M42" s="141">
        <f t="shared" si="10"/>
        <v>3</v>
      </c>
      <c r="N42" s="139">
        <f>K42/M42</f>
        <v>1.996666667</v>
      </c>
    </row>
    <row r="43">
      <c r="A43" s="142"/>
      <c r="B43" s="142"/>
      <c r="C43" s="142"/>
      <c r="D43" s="142"/>
      <c r="E43" s="112"/>
      <c r="F43" s="112"/>
      <c r="G43" s="112"/>
      <c r="H43" s="112"/>
      <c r="I43" s="112"/>
      <c r="J43" s="143"/>
      <c r="K43" s="143"/>
      <c r="L43" s="143"/>
      <c r="M43" s="112"/>
      <c r="N43" s="143"/>
    </row>
    <row r="44">
      <c r="A44" s="117" t="s">
        <v>90</v>
      </c>
      <c r="B44" s="117" t="s">
        <v>89</v>
      </c>
      <c r="C44" s="117">
        <v>944.0</v>
      </c>
      <c r="D44" s="117" t="s">
        <v>680</v>
      </c>
      <c r="E44" s="117" t="s">
        <v>33</v>
      </c>
      <c r="F44" s="118">
        <v>42118.0</v>
      </c>
      <c r="G44" s="118">
        <v>42969.0</v>
      </c>
      <c r="H44" s="118">
        <v>45798.0</v>
      </c>
      <c r="I44" s="118">
        <v>45803.0</v>
      </c>
      <c r="J44" s="119">
        <v>24.99</v>
      </c>
      <c r="K44" s="119">
        <v>9.99</v>
      </c>
      <c r="L44" s="119">
        <v>15.0</v>
      </c>
      <c r="M44" s="117">
        <v>28.0</v>
      </c>
      <c r="N44" s="119">
        <v>0.36</v>
      </c>
    </row>
    <row r="45">
      <c r="A45" s="120">
        <f t="shared" ref="A45:B45" si="11">COUNTA(A44)</f>
        <v>1</v>
      </c>
      <c r="B45" s="120">
        <f t="shared" si="11"/>
        <v>1</v>
      </c>
      <c r="C45" s="120"/>
      <c r="D45" s="121"/>
      <c r="E45" s="122">
        <v>24.99</v>
      </c>
      <c r="F45" s="122">
        <v>9.99</v>
      </c>
      <c r="G45" s="122">
        <v>15.0</v>
      </c>
      <c r="H45" s="120">
        <v>28.0</v>
      </c>
      <c r="I45" s="123">
        <v>0.3567857142857143</v>
      </c>
      <c r="J45" s="124">
        <f t="shared" ref="J45:M45" si="12">SUM(J44)</f>
        <v>24.99</v>
      </c>
      <c r="K45" s="124">
        <f t="shared" si="12"/>
        <v>9.99</v>
      </c>
      <c r="L45" s="124">
        <f t="shared" si="12"/>
        <v>15</v>
      </c>
      <c r="M45" s="121">
        <f t="shared" si="12"/>
        <v>28</v>
      </c>
      <c r="N45" s="124">
        <f>K45/M45</f>
        <v>0.3567857143</v>
      </c>
    </row>
    <row r="46">
      <c r="A46" s="64"/>
      <c r="B46" s="64"/>
      <c r="C46" s="64"/>
      <c r="D46" s="114"/>
      <c r="E46" s="114"/>
      <c r="F46" s="114"/>
      <c r="G46" s="114"/>
      <c r="H46" s="114"/>
      <c r="I46" s="114"/>
      <c r="J46" s="144"/>
      <c r="K46" s="144"/>
      <c r="L46" s="144"/>
      <c r="M46" s="114"/>
      <c r="N46" s="144"/>
    </row>
    <row r="47">
      <c r="A47" s="43" t="s">
        <v>92</v>
      </c>
      <c r="B47" s="43" t="s">
        <v>94</v>
      </c>
      <c r="C47" s="43">
        <v>35.0</v>
      </c>
      <c r="D47" s="43" t="s">
        <v>681</v>
      </c>
      <c r="E47" s="43" t="s">
        <v>682</v>
      </c>
      <c r="F47" s="57">
        <v>37288.0</v>
      </c>
      <c r="G47" s="57">
        <v>42877.0</v>
      </c>
      <c r="H47" s="57">
        <v>42877.0</v>
      </c>
      <c r="I47" s="57">
        <v>42877.0</v>
      </c>
      <c r="J47" s="47">
        <v>1.49</v>
      </c>
      <c r="K47" s="47">
        <v>1.49</v>
      </c>
      <c r="L47" s="47">
        <v>0.0</v>
      </c>
      <c r="M47" s="43">
        <v>20.0</v>
      </c>
      <c r="N47" s="47">
        <v>0.07</v>
      </c>
    </row>
    <row r="48">
      <c r="A48" s="43" t="s">
        <v>92</v>
      </c>
      <c r="B48" s="43" t="s">
        <v>125</v>
      </c>
      <c r="C48" s="43">
        <v>82.0</v>
      </c>
      <c r="D48" s="46" t="s">
        <v>683</v>
      </c>
      <c r="E48" s="46" t="s">
        <v>645</v>
      </c>
      <c r="F48" s="57">
        <v>37602.0</v>
      </c>
      <c r="G48" s="57">
        <v>42875.0</v>
      </c>
      <c r="H48" s="57">
        <v>43681.0</v>
      </c>
      <c r="I48" s="57">
        <v>45006.0</v>
      </c>
      <c r="J48" s="47">
        <v>13.98</v>
      </c>
      <c r="K48" s="47">
        <v>7.98</v>
      </c>
      <c r="L48" s="47">
        <v>6.0</v>
      </c>
      <c r="M48" s="43">
        <v>10.0</v>
      </c>
      <c r="N48" s="47">
        <v>0.8</v>
      </c>
    </row>
    <row r="49">
      <c r="A49" s="43" t="s">
        <v>92</v>
      </c>
      <c r="B49" s="43" t="s">
        <v>135</v>
      </c>
      <c r="C49" s="43">
        <v>120.0</v>
      </c>
      <c r="D49" s="43" t="s">
        <v>684</v>
      </c>
      <c r="E49" s="43" t="s">
        <v>645</v>
      </c>
      <c r="F49" s="57">
        <v>37946.0</v>
      </c>
      <c r="G49" s="57">
        <v>44285.0</v>
      </c>
      <c r="H49" s="57">
        <v>45061.0</v>
      </c>
      <c r="I49" s="57">
        <v>45061.0</v>
      </c>
      <c r="J49" s="47">
        <v>5.0</v>
      </c>
      <c r="K49" s="47">
        <v>5.0</v>
      </c>
      <c r="L49" s="47">
        <v>0.0</v>
      </c>
      <c r="M49" s="43">
        <v>5.0</v>
      </c>
      <c r="N49" s="47">
        <v>1.0</v>
      </c>
    </row>
    <row r="50">
      <c r="A50" s="43" t="s">
        <v>92</v>
      </c>
      <c r="B50" s="43"/>
      <c r="C50" s="43">
        <v>121.0</v>
      </c>
      <c r="D50" s="43" t="s">
        <v>685</v>
      </c>
      <c r="E50" s="43" t="s">
        <v>645</v>
      </c>
      <c r="F50" s="57">
        <v>38324.0</v>
      </c>
      <c r="G50" s="57">
        <v>44285.0</v>
      </c>
      <c r="H50" s="57">
        <v>44285.0</v>
      </c>
      <c r="I50" s="57">
        <v>44285.0</v>
      </c>
      <c r="J50" s="47">
        <v>5.0</v>
      </c>
      <c r="K50" s="47">
        <v>5.0</v>
      </c>
      <c r="L50" s="47">
        <v>0.0</v>
      </c>
      <c r="M50" s="43">
        <v>1.0</v>
      </c>
      <c r="N50" s="47">
        <v>5.0</v>
      </c>
    </row>
    <row r="51">
      <c r="A51" s="43" t="s">
        <v>92</v>
      </c>
      <c r="B51" s="43" t="s">
        <v>129</v>
      </c>
      <c r="C51" s="43">
        <v>144.0</v>
      </c>
      <c r="D51" s="43" t="s">
        <v>686</v>
      </c>
      <c r="E51" s="43" t="s">
        <v>645</v>
      </c>
      <c r="F51" s="57">
        <v>38646.0</v>
      </c>
      <c r="G51" s="57">
        <v>42950.0</v>
      </c>
      <c r="H51" s="57">
        <v>44687.0</v>
      </c>
      <c r="I51" s="57">
        <v>44694.0</v>
      </c>
      <c r="J51" s="47">
        <v>13.99</v>
      </c>
      <c r="K51" s="47">
        <v>5.99</v>
      </c>
      <c r="L51" s="47">
        <v>8.0</v>
      </c>
      <c r="M51" s="43">
        <v>36.0</v>
      </c>
      <c r="N51" s="47">
        <v>0.17</v>
      </c>
    </row>
    <row r="52">
      <c r="A52" s="43" t="s">
        <v>92</v>
      </c>
      <c r="B52" s="43"/>
      <c r="C52" s="43">
        <v>122.0</v>
      </c>
      <c r="D52" s="43" t="s">
        <v>687</v>
      </c>
      <c r="E52" s="43" t="s">
        <v>645</v>
      </c>
      <c r="F52" s="57">
        <v>38688.0</v>
      </c>
      <c r="G52" s="57">
        <v>44285.0</v>
      </c>
      <c r="H52" s="57">
        <v>44285.0</v>
      </c>
      <c r="I52" s="57">
        <v>44285.0</v>
      </c>
      <c r="J52" s="47">
        <v>4.99</v>
      </c>
      <c r="K52" s="47">
        <v>4.99</v>
      </c>
      <c r="L52" s="47">
        <v>0.0</v>
      </c>
      <c r="M52" s="43">
        <v>1.0</v>
      </c>
      <c r="N52" s="47">
        <v>4.99</v>
      </c>
    </row>
    <row r="53">
      <c r="A53" s="43" t="s">
        <v>92</v>
      </c>
      <c r="B53" s="43" t="s">
        <v>130</v>
      </c>
      <c r="C53" s="43">
        <v>81.0</v>
      </c>
      <c r="D53" s="43" t="s">
        <v>688</v>
      </c>
      <c r="E53" s="43" t="s">
        <v>645</v>
      </c>
      <c r="F53" s="57">
        <v>39015.0</v>
      </c>
      <c r="G53" s="57">
        <v>42950.0</v>
      </c>
      <c r="H53" s="57">
        <v>43240.0</v>
      </c>
      <c r="I53" s="57">
        <v>43336.0</v>
      </c>
      <c r="J53" s="47">
        <v>23.98</v>
      </c>
      <c r="K53" s="47">
        <v>15.98</v>
      </c>
      <c r="L53" s="47">
        <v>8.0</v>
      </c>
      <c r="M53" s="43">
        <v>29.0</v>
      </c>
      <c r="N53" s="47">
        <v>0.55</v>
      </c>
    </row>
    <row r="54">
      <c r="A54" s="43" t="s">
        <v>92</v>
      </c>
      <c r="B54" s="43" t="s">
        <v>107</v>
      </c>
      <c r="C54" s="43">
        <v>186.0</v>
      </c>
      <c r="D54" s="43" t="s">
        <v>689</v>
      </c>
      <c r="E54" s="43" t="s">
        <v>649</v>
      </c>
      <c r="F54" s="57">
        <v>39514.0</v>
      </c>
      <c r="G54" s="57">
        <v>44091.0</v>
      </c>
      <c r="H54" s="57">
        <v>44091.0</v>
      </c>
      <c r="I54" s="57">
        <v>44091.0</v>
      </c>
      <c r="J54" s="47">
        <v>14.99</v>
      </c>
      <c r="K54" s="47">
        <v>2.0</v>
      </c>
      <c r="L54" s="47">
        <v>12.99</v>
      </c>
      <c r="M54" s="43">
        <v>2.0</v>
      </c>
      <c r="N54" s="47">
        <v>1.0</v>
      </c>
    </row>
    <row r="55">
      <c r="A55" s="43" t="s">
        <v>92</v>
      </c>
      <c r="B55" s="43"/>
      <c r="C55" s="43">
        <v>235.0</v>
      </c>
      <c r="D55" s="43" t="s">
        <v>690</v>
      </c>
      <c r="E55" s="43" t="s">
        <v>649</v>
      </c>
      <c r="F55" s="57">
        <v>39745.0</v>
      </c>
      <c r="G55" s="57">
        <v>41448.0</v>
      </c>
      <c r="H55" s="57">
        <v>41448.0</v>
      </c>
      <c r="I55" s="57">
        <v>44141.0</v>
      </c>
      <c r="J55" s="47">
        <v>14.99</v>
      </c>
      <c r="K55" s="47">
        <v>2.0</v>
      </c>
      <c r="L55" s="47">
        <v>12.99</v>
      </c>
      <c r="M55" s="43">
        <v>50.0</v>
      </c>
      <c r="N55" s="47">
        <v>0.04</v>
      </c>
    </row>
    <row r="56">
      <c r="A56" s="43" t="s">
        <v>92</v>
      </c>
      <c r="B56" s="43" t="s">
        <v>106</v>
      </c>
      <c r="C56" s="43">
        <v>359.0</v>
      </c>
      <c r="D56" s="43" t="s">
        <v>691</v>
      </c>
      <c r="E56" s="43" t="s">
        <v>649</v>
      </c>
      <c r="F56" s="57">
        <v>39836.0</v>
      </c>
      <c r="G56" s="57">
        <v>40338.0</v>
      </c>
      <c r="H56" s="57">
        <v>40338.0</v>
      </c>
      <c r="I56" s="57">
        <v>40338.0</v>
      </c>
      <c r="J56" s="47">
        <v>19.99</v>
      </c>
      <c r="K56" s="47">
        <v>12.0</v>
      </c>
      <c r="L56" s="47">
        <v>7.99</v>
      </c>
      <c r="M56" s="43">
        <v>10.0</v>
      </c>
      <c r="N56" s="47">
        <v>1.2</v>
      </c>
    </row>
    <row r="57">
      <c r="A57" s="43" t="s">
        <v>92</v>
      </c>
      <c r="B57" s="43" t="s">
        <v>127</v>
      </c>
      <c r="C57" s="43">
        <v>326.0</v>
      </c>
      <c r="D57" s="43" t="s">
        <v>692</v>
      </c>
      <c r="E57" s="43" t="s">
        <v>649</v>
      </c>
      <c r="F57" s="57">
        <v>39976.0</v>
      </c>
      <c r="G57" s="57">
        <v>41553.0</v>
      </c>
      <c r="H57" s="57">
        <v>41553.0</v>
      </c>
      <c r="I57" s="57">
        <v>41745.0</v>
      </c>
      <c r="J57" s="47">
        <v>24.99</v>
      </c>
      <c r="K57" s="47">
        <v>7.99</v>
      </c>
      <c r="L57" s="47">
        <v>17.0</v>
      </c>
      <c r="M57" s="43">
        <v>1.0</v>
      </c>
      <c r="N57" s="47">
        <v>7.99</v>
      </c>
    </row>
    <row r="58">
      <c r="A58" s="43" t="s">
        <v>92</v>
      </c>
      <c r="B58" s="43" t="s">
        <v>137</v>
      </c>
      <c r="C58" s="43">
        <v>301.0</v>
      </c>
      <c r="D58" s="43" t="s">
        <v>693</v>
      </c>
      <c r="E58" s="43" t="s">
        <v>649</v>
      </c>
      <c r="F58" s="57">
        <v>40319.0</v>
      </c>
      <c r="G58" s="57">
        <v>40335.0</v>
      </c>
      <c r="H58" s="57">
        <v>40335.0</v>
      </c>
      <c r="I58" s="57">
        <v>44739.0</v>
      </c>
      <c r="J58" s="47">
        <v>14.99</v>
      </c>
      <c r="K58" s="47">
        <v>6.0</v>
      </c>
      <c r="L58" s="47">
        <v>8.99</v>
      </c>
      <c r="M58" s="43">
        <v>50.0</v>
      </c>
      <c r="N58" s="47">
        <v>0.12</v>
      </c>
    </row>
    <row r="59">
      <c r="A59" s="43" t="s">
        <v>92</v>
      </c>
      <c r="B59" s="43"/>
      <c r="C59" s="43">
        <v>310.0</v>
      </c>
      <c r="D59" s="43" t="s">
        <v>694</v>
      </c>
      <c r="E59" s="43" t="s">
        <v>649</v>
      </c>
      <c r="F59" s="57">
        <v>40354.0</v>
      </c>
      <c r="G59" s="57">
        <v>44115.0</v>
      </c>
      <c r="H59" s="57">
        <v>44178.0</v>
      </c>
      <c r="I59" s="57">
        <v>44178.0</v>
      </c>
      <c r="J59" s="47">
        <v>14.99</v>
      </c>
      <c r="K59" s="47">
        <v>5.0</v>
      </c>
      <c r="L59" s="47">
        <v>9.99</v>
      </c>
      <c r="M59" s="43">
        <v>5.0</v>
      </c>
      <c r="N59" s="47">
        <v>1.0</v>
      </c>
    </row>
    <row r="60">
      <c r="A60" s="43" t="s">
        <v>92</v>
      </c>
      <c r="B60" s="43"/>
      <c r="C60" s="43">
        <v>355.0</v>
      </c>
      <c r="D60" s="43" t="s">
        <v>695</v>
      </c>
      <c r="E60" s="43" t="s">
        <v>649</v>
      </c>
      <c r="F60" s="57">
        <v>40401.0</v>
      </c>
      <c r="G60" s="57">
        <v>44431.0</v>
      </c>
      <c r="H60" s="57">
        <v>45310.0</v>
      </c>
      <c r="I60" s="57">
        <v>45316.0</v>
      </c>
      <c r="J60" s="47">
        <v>14.99</v>
      </c>
      <c r="K60" s="47">
        <v>8.99</v>
      </c>
      <c r="L60" s="47">
        <v>6.0</v>
      </c>
      <c r="M60" s="43">
        <v>2.0</v>
      </c>
      <c r="N60" s="47">
        <v>4.5</v>
      </c>
    </row>
    <row r="61">
      <c r="A61" s="43" t="s">
        <v>92</v>
      </c>
      <c r="B61" s="43" t="s">
        <v>99</v>
      </c>
      <c r="C61" s="43">
        <v>220.0</v>
      </c>
      <c r="D61" s="43" t="s">
        <v>696</v>
      </c>
      <c r="E61" s="43" t="s">
        <v>649</v>
      </c>
      <c r="F61" s="57">
        <v>40445.0</v>
      </c>
      <c r="G61" s="57">
        <v>41856.0</v>
      </c>
      <c r="H61" s="57">
        <v>41856.0</v>
      </c>
      <c r="I61" s="57">
        <v>44811.0</v>
      </c>
      <c r="J61" s="47">
        <v>14.99</v>
      </c>
      <c r="K61" s="47">
        <v>3.5</v>
      </c>
      <c r="L61" s="47">
        <v>11.49</v>
      </c>
      <c r="M61" s="43">
        <v>5.0</v>
      </c>
      <c r="N61" s="47">
        <v>0.7</v>
      </c>
    </row>
    <row r="62">
      <c r="A62" s="43" t="s">
        <v>92</v>
      </c>
      <c r="B62" s="43" t="s">
        <v>96</v>
      </c>
      <c r="C62" s="44">
        <v>295.0</v>
      </c>
      <c r="D62" s="44" t="s">
        <v>697</v>
      </c>
      <c r="E62" s="44" t="s">
        <v>649</v>
      </c>
      <c r="F62" s="45">
        <v>40564.0</v>
      </c>
      <c r="G62" s="45">
        <v>44521.0</v>
      </c>
      <c r="H62" s="45">
        <v>45944.0</v>
      </c>
      <c r="I62" s="45">
        <v>45954.0</v>
      </c>
      <c r="J62" s="145">
        <v>23.0</v>
      </c>
      <c r="K62" s="145">
        <v>14.93</v>
      </c>
      <c r="L62" s="145">
        <v>8.07</v>
      </c>
      <c r="M62" s="44">
        <v>30.0</v>
      </c>
      <c r="N62" s="145">
        <v>0.49766666666666665</v>
      </c>
    </row>
    <row r="63">
      <c r="A63" s="43" t="s">
        <v>92</v>
      </c>
      <c r="B63" s="43" t="s">
        <v>108</v>
      </c>
      <c r="C63" s="43">
        <v>246.0</v>
      </c>
      <c r="D63" s="43" t="s">
        <v>698</v>
      </c>
      <c r="E63" s="43" t="s">
        <v>649</v>
      </c>
      <c r="F63" s="57">
        <v>40606.0</v>
      </c>
      <c r="G63" s="57">
        <v>40732.0</v>
      </c>
      <c r="H63" s="57">
        <v>40732.0</v>
      </c>
      <c r="I63" s="57">
        <v>44750.0</v>
      </c>
      <c r="J63" s="47">
        <v>29.99</v>
      </c>
      <c r="K63" s="47">
        <v>15.0</v>
      </c>
      <c r="L63" s="47">
        <v>14.99</v>
      </c>
      <c r="M63" s="43">
        <v>15.0</v>
      </c>
      <c r="N63" s="47">
        <v>1.0</v>
      </c>
    </row>
    <row r="64">
      <c r="A64" s="43" t="s">
        <v>92</v>
      </c>
      <c r="B64" s="43" t="s">
        <v>109</v>
      </c>
      <c r="C64" s="43">
        <v>225.0</v>
      </c>
      <c r="D64" s="43" t="s">
        <v>699</v>
      </c>
      <c r="E64" s="43" t="s">
        <v>649</v>
      </c>
      <c r="F64" s="57">
        <v>40781.0</v>
      </c>
      <c r="G64" s="57">
        <v>44091.0</v>
      </c>
      <c r="H64" s="57">
        <v>44404.0</v>
      </c>
      <c r="I64" s="57">
        <v>44405.0</v>
      </c>
      <c r="J64" s="47">
        <v>14.99</v>
      </c>
      <c r="K64" s="47">
        <v>6.0</v>
      </c>
      <c r="L64" s="47">
        <v>8.99</v>
      </c>
      <c r="M64" s="43">
        <v>10.0</v>
      </c>
      <c r="N64" s="47">
        <v>0.6</v>
      </c>
    </row>
    <row r="65">
      <c r="A65" s="43" t="s">
        <v>92</v>
      </c>
      <c r="B65" s="43" t="s">
        <v>115</v>
      </c>
      <c r="C65" s="43">
        <v>224.0</v>
      </c>
      <c r="D65" s="43" t="s">
        <v>700</v>
      </c>
      <c r="E65" s="43" t="s">
        <v>649</v>
      </c>
      <c r="F65" s="57">
        <v>40786.0</v>
      </c>
      <c r="G65" s="57">
        <v>44292.0</v>
      </c>
      <c r="H65" s="57">
        <v>45072.0</v>
      </c>
      <c r="I65" s="57">
        <v>45075.0</v>
      </c>
      <c r="J65" s="47">
        <v>12.99</v>
      </c>
      <c r="K65" s="47">
        <v>12.99</v>
      </c>
      <c r="L65" s="47">
        <v>0.0</v>
      </c>
      <c r="M65" s="43">
        <v>30.0</v>
      </c>
      <c r="N65" s="47">
        <v>0.43</v>
      </c>
    </row>
    <row r="66">
      <c r="A66" s="43" t="s">
        <v>92</v>
      </c>
      <c r="B66" s="43"/>
      <c r="C66" s="43">
        <v>313.0</v>
      </c>
      <c r="D66" s="43" t="s">
        <v>701</v>
      </c>
      <c r="E66" s="43" t="s">
        <v>649</v>
      </c>
      <c r="F66" s="57">
        <v>40865.0</v>
      </c>
      <c r="G66" s="57">
        <v>40885.0</v>
      </c>
      <c r="H66" s="57">
        <v>40885.0</v>
      </c>
      <c r="I66" s="57">
        <v>44750.0</v>
      </c>
      <c r="J66" s="47">
        <v>19.99</v>
      </c>
      <c r="K66" s="47">
        <v>4.0</v>
      </c>
      <c r="L66" s="47">
        <v>15.99</v>
      </c>
      <c r="M66" s="43">
        <v>15.0</v>
      </c>
      <c r="N66" s="47">
        <v>0.27</v>
      </c>
    </row>
    <row r="67">
      <c r="A67" s="43" t="s">
        <v>92</v>
      </c>
      <c r="B67" s="43" t="s">
        <v>102</v>
      </c>
      <c r="C67" s="43">
        <v>388.0</v>
      </c>
      <c r="D67" s="43" t="s">
        <v>702</v>
      </c>
      <c r="E67" s="43" t="s">
        <v>649</v>
      </c>
      <c r="F67" s="57">
        <v>40949.0</v>
      </c>
      <c r="G67" s="57">
        <v>44091.0</v>
      </c>
      <c r="H67" s="57">
        <v>45117.0</v>
      </c>
      <c r="I67" s="57">
        <v>45119.0</v>
      </c>
      <c r="J67" s="47">
        <v>29.99</v>
      </c>
      <c r="K67" s="47">
        <v>2.5</v>
      </c>
      <c r="L67" s="47">
        <v>27.49</v>
      </c>
      <c r="M67" s="43">
        <v>25.0</v>
      </c>
      <c r="N67" s="47">
        <v>0.1</v>
      </c>
    </row>
    <row r="68">
      <c r="A68" s="44" t="s">
        <v>92</v>
      </c>
      <c r="B68" s="44"/>
      <c r="C68" s="44">
        <v>296.0</v>
      </c>
      <c r="D68" s="44" t="s">
        <v>703</v>
      </c>
      <c r="E68" s="44" t="s">
        <v>649</v>
      </c>
      <c r="F68" s="45">
        <v>40977.0</v>
      </c>
      <c r="G68" s="45">
        <v>41374.0</v>
      </c>
      <c r="H68" s="45">
        <v>41374.0</v>
      </c>
      <c r="I68" s="45">
        <v>46017.0</v>
      </c>
      <c r="J68" s="145">
        <v>22.99</v>
      </c>
      <c r="K68" s="145">
        <v>14.93</v>
      </c>
      <c r="L68" s="145">
        <v>8.059999999999999</v>
      </c>
      <c r="M68" s="44">
        <v>15.0</v>
      </c>
      <c r="N68" s="145">
        <v>0.9953333333333333</v>
      </c>
    </row>
    <row r="69">
      <c r="A69" s="43" t="s">
        <v>92</v>
      </c>
      <c r="B69" s="43"/>
      <c r="C69" s="43">
        <v>241.0</v>
      </c>
      <c r="D69" s="43" t="s">
        <v>704</v>
      </c>
      <c r="E69" s="43" t="s">
        <v>649</v>
      </c>
      <c r="F69" s="57">
        <v>40984.0</v>
      </c>
      <c r="G69" s="57">
        <v>42138.0</v>
      </c>
      <c r="H69" s="57">
        <v>42138.0</v>
      </c>
      <c r="I69" s="57">
        <v>42138.0</v>
      </c>
      <c r="J69" s="47">
        <v>29.99</v>
      </c>
      <c r="K69" s="47">
        <v>4.0</v>
      </c>
      <c r="L69" s="47">
        <v>25.99</v>
      </c>
      <c r="M69" s="43">
        <v>1.0</v>
      </c>
      <c r="N69" s="47">
        <v>4.0</v>
      </c>
    </row>
    <row r="70">
      <c r="A70" s="43" t="s">
        <v>92</v>
      </c>
      <c r="B70" s="43"/>
      <c r="C70" s="43">
        <v>327.0</v>
      </c>
      <c r="D70" s="43" t="s">
        <v>705</v>
      </c>
      <c r="E70" s="43" t="s">
        <v>649</v>
      </c>
      <c r="F70" s="57">
        <v>41026.0</v>
      </c>
      <c r="G70" s="57">
        <v>42969.0</v>
      </c>
      <c r="H70" s="57">
        <v>42969.0</v>
      </c>
      <c r="I70" s="57">
        <v>42969.0</v>
      </c>
      <c r="J70" s="47">
        <v>24.99</v>
      </c>
      <c r="K70" s="47">
        <v>7.99</v>
      </c>
      <c r="L70" s="47">
        <v>17.0</v>
      </c>
      <c r="M70" s="43">
        <v>1.0</v>
      </c>
      <c r="N70" s="47">
        <v>7.99</v>
      </c>
    </row>
    <row r="71">
      <c r="A71" s="43" t="s">
        <v>92</v>
      </c>
      <c r="B71" s="43" t="s">
        <v>93</v>
      </c>
      <c r="C71" s="43">
        <v>384.0</v>
      </c>
      <c r="D71" s="43" t="s">
        <v>706</v>
      </c>
      <c r="E71" s="43" t="s">
        <v>649</v>
      </c>
      <c r="F71" s="57">
        <v>41089.0</v>
      </c>
      <c r="G71" s="57">
        <v>44115.0</v>
      </c>
      <c r="H71" s="57">
        <v>45090.0</v>
      </c>
      <c r="I71" s="57">
        <v>45096.0</v>
      </c>
      <c r="J71" s="47">
        <v>49.99</v>
      </c>
      <c r="K71" s="47">
        <v>15.0</v>
      </c>
      <c r="L71" s="47">
        <v>34.99</v>
      </c>
      <c r="M71" s="43">
        <v>40.0</v>
      </c>
      <c r="N71" s="47">
        <v>0.38</v>
      </c>
    </row>
    <row r="72">
      <c r="A72" s="43" t="s">
        <v>92</v>
      </c>
      <c r="B72" s="43" t="s">
        <v>126</v>
      </c>
      <c r="C72" s="43">
        <v>366.0</v>
      </c>
      <c r="D72" s="43" t="s">
        <v>707</v>
      </c>
      <c r="E72" s="43" t="s">
        <v>649</v>
      </c>
      <c r="F72" s="57">
        <v>41136.0</v>
      </c>
      <c r="G72" s="57">
        <v>42925.0</v>
      </c>
      <c r="H72" s="57">
        <v>45054.0</v>
      </c>
      <c r="I72" s="57">
        <v>45054.0</v>
      </c>
      <c r="J72" s="47">
        <v>14.99</v>
      </c>
      <c r="K72" s="47">
        <v>3.99</v>
      </c>
      <c r="L72" s="47">
        <v>11.0</v>
      </c>
      <c r="M72" s="43">
        <v>5.0</v>
      </c>
      <c r="N72" s="47">
        <v>0.8</v>
      </c>
    </row>
    <row r="73">
      <c r="A73" s="43" t="s">
        <v>92</v>
      </c>
      <c r="B73" s="43"/>
      <c r="C73" s="43">
        <v>360.0</v>
      </c>
      <c r="D73" s="43" t="s">
        <v>708</v>
      </c>
      <c r="E73" s="43" t="s">
        <v>649</v>
      </c>
      <c r="F73" s="57">
        <v>41138.0</v>
      </c>
      <c r="G73" s="57">
        <v>43652.0</v>
      </c>
      <c r="H73" s="57">
        <v>43659.0</v>
      </c>
      <c r="I73" s="57">
        <v>45203.0</v>
      </c>
      <c r="J73" s="47">
        <v>29.99</v>
      </c>
      <c r="K73" s="47">
        <v>4.49</v>
      </c>
      <c r="L73" s="47">
        <v>25.5</v>
      </c>
      <c r="M73" s="43">
        <v>42.0</v>
      </c>
      <c r="N73" s="47">
        <v>0.11</v>
      </c>
    </row>
    <row r="74">
      <c r="A74" s="43" t="s">
        <v>92</v>
      </c>
      <c r="B74" s="43"/>
      <c r="C74" s="43">
        <v>288.0</v>
      </c>
      <c r="D74" s="43" t="s">
        <v>709</v>
      </c>
      <c r="E74" s="43" t="s">
        <v>649</v>
      </c>
      <c r="F74" s="57">
        <v>41220.0</v>
      </c>
      <c r="G74" s="57">
        <v>41458.0</v>
      </c>
      <c r="H74" s="57">
        <v>41458.0</v>
      </c>
      <c r="I74" s="57">
        <v>44775.0</v>
      </c>
      <c r="J74" s="47">
        <v>19.99</v>
      </c>
      <c r="K74" s="47">
        <v>14.99</v>
      </c>
      <c r="L74" s="47">
        <v>5.0</v>
      </c>
      <c r="M74" s="43">
        <v>25.0</v>
      </c>
      <c r="N74" s="47">
        <v>0.6</v>
      </c>
    </row>
    <row r="75">
      <c r="A75" s="43" t="s">
        <v>92</v>
      </c>
      <c r="B75" s="43"/>
      <c r="C75" s="43">
        <v>236.0</v>
      </c>
      <c r="D75" s="43" t="s">
        <v>710</v>
      </c>
      <c r="E75" s="43" t="s">
        <v>649</v>
      </c>
      <c r="F75" s="57">
        <v>41242.0</v>
      </c>
      <c r="G75" s="57">
        <v>43519.0</v>
      </c>
      <c r="H75" s="57">
        <v>43540.0</v>
      </c>
      <c r="I75" s="57">
        <v>43552.0</v>
      </c>
      <c r="J75" s="47">
        <v>29.99</v>
      </c>
      <c r="K75" s="47">
        <v>17.99</v>
      </c>
      <c r="L75" s="47">
        <v>12.0</v>
      </c>
      <c r="M75" s="43">
        <v>36.0</v>
      </c>
      <c r="N75" s="47">
        <v>0.5</v>
      </c>
    </row>
    <row r="76">
      <c r="A76" s="43" t="s">
        <v>92</v>
      </c>
      <c r="B76" s="43"/>
      <c r="C76" s="44">
        <v>294.0</v>
      </c>
      <c r="D76" s="44" t="s">
        <v>711</v>
      </c>
      <c r="E76" s="44" t="s">
        <v>649</v>
      </c>
      <c r="F76" s="45">
        <v>41250.0</v>
      </c>
      <c r="G76" s="45">
        <v>44521.0</v>
      </c>
      <c r="H76" s="45">
        <v>44718.0</v>
      </c>
      <c r="I76" s="45">
        <v>45943.0</v>
      </c>
      <c r="J76" s="145">
        <v>24.0</v>
      </c>
      <c r="K76" s="145">
        <v>14.93</v>
      </c>
      <c r="L76" s="145">
        <v>9.07</v>
      </c>
      <c r="M76" s="44">
        <v>43.0</v>
      </c>
      <c r="N76" s="145">
        <v>0.3472093023255814</v>
      </c>
    </row>
    <row r="77">
      <c r="A77" s="43" t="s">
        <v>92</v>
      </c>
      <c r="B77" s="43" t="s">
        <v>138</v>
      </c>
      <c r="C77" s="43">
        <v>346.0</v>
      </c>
      <c r="D77" s="43" t="s">
        <v>712</v>
      </c>
      <c r="E77" s="43" t="s">
        <v>649</v>
      </c>
      <c r="F77" s="57">
        <v>41290.0</v>
      </c>
      <c r="G77" s="57">
        <v>42623.0</v>
      </c>
      <c r="H77" s="57">
        <v>42715.0</v>
      </c>
      <c r="I77" s="57">
        <v>44185.0</v>
      </c>
      <c r="J77" s="47">
        <v>9.99</v>
      </c>
      <c r="K77" s="47">
        <v>4.99</v>
      </c>
      <c r="L77" s="47">
        <v>5.0</v>
      </c>
      <c r="M77" s="43">
        <v>3.0</v>
      </c>
      <c r="N77" s="47">
        <v>1.66</v>
      </c>
    </row>
    <row r="78">
      <c r="A78" s="43" t="s">
        <v>92</v>
      </c>
      <c r="B78" s="43" t="s">
        <v>110</v>
      </c>
      <c r="C78" s="43">
        <v>427.0</v>
      </c>
      <c r="D78" s="43" t="s">
        <v>713</v>
      </c>
      <c r="E78" s="43" t="s">
        <v>649</v>
      </c>
      <c r="F78" s="57">
        <v>41395.0</v>
      </c>
      <c r="G78" s="57">
        <v>43345.0</v>
      </c>
      <c r="H78" s="57">
        <v>44284.0</v>
      </c>
      <c r="I78" s="57">
        <v>44294.0</v>
      </c>
      <c r="J78" s="47">
        <v>6.19</v>
      </c>
      <c r="K78" s="47">
        <v>6.19</v>
      </c>
      <c r="L78" s="47">
        <v>0.0</v>
      </c>
      <c r="M78" s="43">
        <v>5.0</v>
      </c>
      <c r="N78" s="47">
        <v>1.24</v>
      </c>
    </row>
    <row r="79">
      <c r="A79" s="43" t="s">
        <v>92</v>
      </c>
      <c r="B79" s="43" t="s">
        <v>124</v>
      </c>
      <c r="C79" s="43">
        <v>240.0</v>
      </c>
      <c r="D79" s="43" t="s">
        <v>714</v>
      </c>
      <c r="E79" s="43" t="s">
        <v>649</v>
      </c>
      <c r="F79" s="57">
        <v>41723.0</v>
      </c>
      <c r="G79" s="57">
        <v>42939.0</v>
      </c>
      <c r="H79" s="57">
        <v>42945.0</v>
      </c>
      <c r="I79" s="57">
        <v>44871.0</v>
      </c>
      <c r="J79" s="47">
        <v>9.99</v>
      </c>
      <c r="K79" s="47">
        <v>1.99</v>
      </c>
      <c r="L79" s="47">
        <v>8.0</v>
      </c>
      <c r="M79" s="43">
        <v>2.0</v>
      </c>
      <c r="N79" s="47">
        <v>1.0</v>
      </c>
    </row>
    <row r="80">
      <c r="A80" s="43" t="s">
        <v>92</v>
      </c>
      <c r="B80" s="43" t="s">
        <v>122</v>
      </c>
      <c r="C80" s="43">
        <v>426.0</v>
      </c>
      <c r="D80" s="43" t="s">
        <v>715</v>
      </c>
      <c r="E80" s="43" t="s">
        <v>649</v>
      </c>
      <c r="F80" s="57">
        <v>41752.0</v>
      </c>
      <c r="G80" s="57">
        <v>41769.0</v>
      </c>
      <c r="H80" s="57">
        <v>41769.0</v>
      </c>
      <c r="I80" s="57">
        <v>41985.0</v>
      </c>
      <c r="J80" s="47">
        <v>9.99</v>
      </c>
      <c r="K80" s="47">
        <v>9.99</v>
      </c>
      <c r="L80" s="47">
        <v>0.0</v>
      </c>
      <c r="M80" s="43">
        <v>30.0</v>
      </c>
      <c r="N80" s="47">
        <v>0.33</v>
      </c>
    </row>
    <row r="81">
      <c r="A81" s="43" t="s">
        <v>92</v>
      </c>
      <c r="B81" s="43"/>
      <c r="C81" s="43">
        <v>211.0</v>
      </c>
      <c r="D81" s="43" t="s">
        <v>716</v>
      </c>
      <c r="E81" s="43" t="s">
        <v>649</v>
      </c>
      <c r="F81" s="57">
        <v>41759.0</v>
      </c>
      <c r="G81" s="57">
        <v>42635.0</v>
      </c>
      <c r="H81" s="57">
        <v>43331.0</v>
      </c>
      <c r="I81" s="57">
        <v>43334.0</v>
      </c>
      <c r="J81" s="47">
        <v>14.99</v>
      </c>
      <c r="K81" s="47">
        <v>4.99</v>
      </c>
      <c r="L81" s="47">
        <v>10.0</v>
      </c>
      <c r="M81" s="43">
        <v>7.0</v>
      </c>
      <c r="N81" s="47">
        <v>0.71</v>
      </c>
    </row>
    <row r="82">
      <c r="A82" s="43" t="s">
        <v>92</v>
      </c>
      <c r="B82" s="43"/>
      <c r="C82" s="43">
        <v>419.0</v>
      </c>
      <c r="D82" s="43" t="s">
        <v>717</v>
      </c>
      <c r="E82" s="43" t="s">
        <v>649</v>
      </c>
      <c r="F82" s="57">
        <v>41786.0</v>
      </c>
      <c r="G82" s="57">
        <v>42818.0</v>
      </c>
      <c r="H82" s="57">
        <v>42818.0</v>
      </c>
      <c r="I82" s="57">
        <v>45635.0</v>
      </c>
      <c r="J82" s="47">
        <v>19.99</v>
      </c>
      <c r="K82" s="47">
        <v>7.99</v>
      </c>
      <c r="L82" s="47">
        <v>12.0</v>
      </c>
      <c r="M82" s="43">
        <v>71.0</v>
      </c>
      <c r="N82" s="47">
        <v>0.11</v>
      </c>
    </row>
    <row r="83">
      <c r="A83" s="43" t="s">
        <v>92</v>
      </c>
      <c r="B83" s="43" t="s">
        <v>101</v>
      </c>
      <c r="C83" s="43">
        <v>348.0</v>
      </c>
      <c r="D83" s="43" t="s">
        <v>718</v>
      </c>
      <c r="E83" s="43" t="s">
        <v>649</v>
      </c>
      <c r="F83" s="57">
        <v>41850.0</v>
      </c>
      <c r="G83" s="57">
        <v>42750.0</v>
      </c>
      <c r="H83" s="57">
        <v>42822.0</v>
      </c>
      <c r="I83" s="57">
        <v>45422.0</v>
      </c>
      <c r="J83" s="47">
        <v>12.99</v>
      </c>
      <c r="K83" s="47">
        <v>4.99</v>
      </c>
      <c r="L83" s="47">
        <v>8.0</v>
      </c>
      <c r="M83" s="43">
        <v>15.0</v>
      </c>
      <c r="N83" s="47">
        <v>0.33</v>
      </c>
    </row>
    <row r="84">
      <c r="A84" s="43" t="s">
        <v>92</v>
      </c>
      <c r="B84" s="43" t="s">
        <v>97</v>
      </c>
      <c r="C84" s="43">
        <v>361.0</v>
      </c>
      <c r="D84" s="43" t="s">
        <v>719</v>
      </c>
      <c r="E84" s="43" t="s">
        <v>649</v>
      </c>
      <c r="F84" s="57">
        <v>41906.0</v>
      </c>
      <c r="G84" s="57">
        <v>44139.0</v>
      </c>
      <c r="H84" s="57">
        <v>44139.0</v>
      </c>
      <c r="I84" s="57">
        <v>44139.0</v>
      </c>
      <c r="J84" s="47">
        <v>9.99</v>
      </c>
      <c r="K84" s="47">
        <v>1.49</v>
      </c>
      <c r="L84" s="47">
        <v>8.5</v>
      </c>
      <c r="M84" s="43">
        <v>1.0</v>
      </c>
      <c r="N84" s="47">
        <v>1.49</v>
      </c>
    </row>
    <row r="85">
      <c r="A85" s="43" t="s">
        <v>92</v>
      </c>
      <c r="B85" s="43"/>
      <c r="C85" s="43">
        <v>237.0</v>
      </c>
      <c r="D85" s="43" t="s">
        <v>720</v>
      </c>
      <c r="E85" s="43" t="s">
        <v>649</v>
      </c>
      <c r="F85" s="57">
        <v>41961.0</v>
      </c>
      <c r="G85" s="57">
        <v>43519.0</v>
      </c>
      <c r="H85" s="57">
        <v>43915.0</v>
      </c>
      <c r="I85" s="57">
        <v>43922.0</v>
      </c>
      <c r="J85" s="47">
        <v>24.99</v>
      </c>
      <c r="K85" s="47">
        <v>7.99</v>
      </c>
      <c r="L85" s="47">
        <v>17.0</v>
      </c>
      <c r="M85" s="43">
        <v>42.0</v>
      </c>
      <c r="N85" s="47">
        <v>0.19</v>
      </c>
    </row>
    <row r="86">
      <c r="A86" s="43" t="s">
        <v>92</v>
      </c>
      <c r="B86" s="43"/>
      <c r="C86" s="43">
        <v>242.0</v>
      </c>
      <c r="D86" s="43" t="s">
        <v>721</v>
      </c>
      <c r="E86" s="43" t="s">
        <v>649</v>
      </c>
      <c r="F86" s="57">
        <v>42272.0</v>
      </c>
      <c r="G86" s="57">
        <v>42272.0</v>
      </c>
      <c r="H86" s="57">
        <v>42272.0</v>
      </c>
      <c r="I86" s="57">
        <v>42272.0</v>
      </c>
      <c r="J86" s="47">
        <v>69.99</v>
      </c>
      <c r="K86" s="47">
        <v>69.99</v>
      </c>
      <c r="L86" s="47">
        <v>0.0</v>
      </c>
      <c r="M86" s="43">
        <v>11.0</v>
      </c>
      <c r="N86" s="47">
        <v>6.36</v>
      </c>
    </row>
    <row r="87">
      <c r="A87" s="43" t="s">
        <v>92</v>
      </c>
      <c r="B87" s="43"/>
      <c r="C87" s="43">
        <v>243.0</v>
      </c>
      <c r="D87" s="43" t="s">
        <v>722</v>
      </c>
      <c r="E87" s="43" t="s">
        <v>649</v>
      </c>
      <c r="F87" s="57">
        <v>42642.0</v>
      </c>
      <c r="G87" s="57">
        <v>42658.0</v>
      </c>
      <c r="H87" s="57">
        <v>42658.0</v>
      </c>
      <c r="I87" s="57">
        <v>42792.0</v>
      </c>
      <c r="J87" s="47">
        <v>69.99</v>
      </c>
      <c r="K87" s="47">
        <v>69.99</v>
      </c>
      <c r="L87" s="47">
        <v>0.0</v>
      </c>
      <c r="M87" s="43">
        <v>18.0</v>
      </c>
      <c r="N87" s="47">
        <v>3.89</v>
      </c>
    </row>
    <row r="88">
      <c r="A88" s="43" t="s">
        <v>92</v>
      </c>
      <c r="B88" s="43"/>
      <c r="C88" s="43">
        <v>244.0</v>
      </c>
      <c r="D88" s="43" t="s">
        <v>723</v>
      </c>
      <c r="E88" s="43" t="s">
        <v>649</v>
      </c>
      <c r="F88" s="57">
        <v>43007.0</v>
      </c>
      <c r="G88" s="57">
        <v>43007.0</v>
      </c>
      <c r="H88" s="57">
        <v>43008.0</v>
      </c>
      <c r="I88" s="57">
        <v>43073.0</v>
      </c>
      <c r="J88" s="47">
        <v>69.99</v>
      </c>
      <c r="K88" s="47">
        <v>69.99</v>
      </c>
      <c r="L88" s="47">
        <v>0.0</v>
      </c>
      <c r="M88" s="43">
        <v>14.0</v>
      </c>
      <c r="N88" s="47">
        <v>5.0</v>
      </c>
    </row>
    <row r="89">
      <c r="A89" s="43" t="s">
        <v>92</v>
      </c>
      <c r="B89" s="43"/>
      <c r="C89" s="43">
        <v>245.0</v>
      </c>
      <c r="D89" s="43" t="s">
        <v>724</v>
      </c>
      <c r="E89" s="43" t="s">
        <v>649</v>
      </c>
      <c r="F89" s="57">
        <v>43371.0</v>
      </c>
      <c r="G89" s="57">
        <v>43430.0</v>
      </c>
      <c r="H89" s="57">
        <v>43432.0</v>
      </c>
      <c r="I89" s="57">
        <v>43439.0</v>
      </c>
      <c r="J89" s="47">
        <v>69.99</v>
      </c>
      <c r="K89" s="47">
        <v>39.89</v>
      </c>
      <c r="L89" s="47">
        <v>30.1</v>
      </c>
      <c r="M89" s="43">
        <v>21.0</v>
      </c>
      <c r="N89" s="47">
        <v>1.9</v>
      </c>
    </row>
    <row r="90">
      <c r="A90" s="43" t="s">
        <v>92</v>
      </c>
      <c r="B90" s="43" t="s">
        <v>95</v>
      </c>
      <c r="C90" s="43">
        <v>448.0</v>
      </c>
      <c r="D90" s="43" t="s">
        <v>725</v>
      </c>
      <c r="E90" s="43" t="s">
        <v>671</v>
      </c>
      <c r="F90" s="57">
        <v>41061.0</v>
      </c>
      <c r="G90" s="57">
        <v>42666.0</v>
      </c>
      <c r="H90" s="57">
        <v>42666.0</v>
      </c>
      <c r="I90" s="57">
        <v>42666.0</v>
      </c>
      <c r="J90" s="47">
        <v>4.99</v>
      </c>
      <c r="K90" s="47">
        <v>1.99</v>
      </c>
      <c r="L90" s="47">
        <v>3.0</v>
      </c>
      <c r="M90" s="43">
        <v>1.0</v>
      </c>
      <c r="N90" s="47">
        <v>1.99</v>
      </c>
    </row>
    <row r="91">
      <c r="A91" s="43" t="s">
        <v>92</v>
      </c>
      <c r="B91" s="43" t="s">
        <v>103</v>
      </c>
      <c r="C91" s="43">
        <v>443.0</v>
      </c>
      <c r="D91" s="43" t="s">
        <v>726</v>
      </c>
      <c r="E91" s="43" t="s">
        <v>671</v>
      </c>
      <c r="F91" s="57">
        <v>41955.0</v>
      </c>
      <c r="G91" s="57">
        <v>42045.0</v>
      </c>
      <c r="H91" s="57">
        <v>45044.0</v>
      </c>
      <c r="I91" s="57">
        <v>45048.0</v>
      </c>
      <c r="J91" s="47">
        <v>0.0</v>
      </c>
      <c r="K91" s="47">
        <v>0.0</v>
      </c>
      <c r="L91" s="47">
        <v>0.0</v>
      </c>
      <c r="M91" s="43">
        <v>10.0</v>
      </c>
      <c r="N91" s="47">
        <v>0.0</v>
      </c>
    </row>
    <row r="92">
      <c r="A92" s="43" t="s">
        <v>92</v>
      </c>
      <c r="B92" s="43" t="s">
        <v>133</v>
      </c>
      <c r="C92" s="43">
        <v>451.0</v>
      </c>
      <c r="D92" s="43" t="s">
        <v>727</v>
      </c>
      <c r="E92" s="43" t="s">
        <v>671</v>
      </c>
      <c r="F92" s="57">
        <v>42423.0</v>
      </c>
      <c r="G92" s="57">
        <v>42832.0</v>
      </c>
      <c r="H92" s="57">
        <v>42832.0</v>
      </c>
      <c r="I92" s="57">
        <v>42832.0</v>
      </c>
      <c r="J92" s="47">
        <v>5.99</v>
      </c>
      <c r="K92" s="47">
        <v>1.99</v>
      </c>
      <c r="L92" s="47">
        <v>4.0</v>
      </c>
      <c r="M92" s="43">
        <v>1.0</v>
      </c>
      <c r="N92" s="47">
        <v>1.99</v>
      </c>
    </row>
    <row r="93">
      <c r="A93" s="43" t="s">
        <v>92</v>
      </c>
      <c r="B93" s="43"/>
      <c r="C93" s="43">
        <v>959.0</v>
      </c>
      <c r="D93" s="43" t="s">
        <v>728</v>
      </c>
      <c r="E93" s="43" t="s">
        <v>33</v>
      </c>
      <c r="F93" s="57">
        <v>41607.0</v>
      </c>
      <c r="G93" s="57">
        <v>44334.0</v>
      </c>
      <c r="H93" s="57">
        <v>44334.0</v>
      </c>
      <c r="I93" s="57">
        <v>44334.0</v>
      </c>
      <c r="J93" s="47">
        <v>0.0</v>
      </c>
      <c r="K93" s="47">
        <v>0.0</v>
      </c>
      <c r="L93" s="47">
        <v>0.0</v>
      </c>
      <c r="M93" s="43">
        <v>1.0</v>
      </c>
      <c r="N93" s="47">
        <v>0.0</v>
      </c>
    </row>
    <row r="94">
      <c r="A94" s="43" t="s">
        <v>92</v>
      </c>
      <c r="B94" s="43" t="s">
        <v>117</v>
      </c>
      <c r="C94" s="43">
        <v>592.0</v>
      </c>
      <c r="D94" s="43" t="s">
        <v>729</v>
      </c>
      <c r="E94" s="43" t="s">
        <v>33</v>
      </c>
      <c r="F94" s="57">
        <v>41647.0</v>
      </c>
      <c r="G94" s="57">
        <v>45048.0</v>
      </c>
      <c r="H94" s="57">
        <v>45048.0</v>
      </c>
      <c r="I94" s="57">
        <v>45048.0</v>
      </c>
      <c r="J94" s="47">
        <v>13.99</v>
      </c>
      <c r="K94" s="47">
        <v>3.49</v>
      </c>
      <c r="L94" s="47">
        <v>10.5</v>
      </c>
      <c r="M94" s="43">
        <v>1.0</v>
      </c>
      <c r="N94" s="47">
        <v>3.49</v>
      </c>
    </row>
    <row r="95">
      <c r="A95" s="43" t="s">
        <v>92</v>
      </c>
      <c r="B95" s="43" t="s">
        <v>128</v>
      </c>
      <c r="C95" s="43">
        <v>781.0</v>
      </c>
      <c r="D95" s="43" t="s">
        <v>730</v>
      </c>
      <c r="E95" s="43" t="s">
        <v>33</v>
      </c>
      <c r="F95" s="57">
        <v>41675.0</v>
      </c>
      <c r="G95" s="57">
        <v>44071.0</v>
      </c>
      <c r="H95" s="57">
        <v>44071.0</v>
      </c>
      <c r="I95" s="57">
        <v>44071.0</v>
      </c>
      <c r="J95" s="47">
        <v>18.99</v>
      </c>
      <c r="K95" s="47">
        <v>3.79</v>
      </c>
      <c r="L95" s="47">
        <v>15.2</v>
      </c>
      <c r="M95" s="43">
        <v>1.0</v>
      </c>
      <c r="N95" s="47">
        <v>3.79</v>
      </c>
    </row>
    <row r="96">
      <c r="A96" s="43" t="s">
        <v>92</v>
      </c>
      <c r="B96" s="43"/>
      <c r="C96" s="43">
        <v>979.0</v>
      </c>
      <c r="D96" s="43" t="s">
        <v>731</v>
      </c>
      <c r="E96" s="43" t="s">
        <v>33</v>
      </c>
      <c r="F96" s="57">
        <v>42216.0</v>
      </c>
      <c r="G96" s="57">
        <v>42257.0</v>
      </c>
      <c r="H96" s="57">
        <v>42258.0</v>
      </c>
      <c r="I96" s="57">
        <v>44094.0</v>
      </c>
      <c r="J96" s="47">
        <v>19.99</v>
      </c>
      <c r="K96" s="47">
        <v>19.99</v>
      </c>
      <c r="L96" s="47">
        <v>0.0</v>
      </c>
      <c r="M96" s="43">
        <v>40.0</v>
      </c>
      <c r="N96" s="47">
        <v>0.5</v>
      </c>
    </row>
    <row r="97">
      <c r="A97" s="43" t="s">
        <v>92</v>
      </c>
      <c r="B97" s="43" t="s">
        <v>91</v>
      </c>
      <c r="C97" s="43">
        <v>718.0</v>
      </c>
      <c r="D97" s="43" t="s">
        <v>732</v>
      </c>
      <c r="E97" s="43" t="s">
        <v>33</v>
      </c>
      <c r="F97" s="57">
        <v>42409.0</v>
      </c>
      <c r="G97" s="57">
        <v>42875.0</v>
      </c>
      <c r="H97" s="57">
        <v>42882.0</v>
      </c>
      <c r="I97" s="57">
        <v>44085.0</v>
      </c>
      <c r="J97" s="47">
        <v>14.99</v>
      </c>
      <c r="K97" s="47">
        <v>4.99</v>
      </c>
      <c r="L97" s="47">
        <v>10.0</v>
      </c>
      <c r="M97" s="43">
        <v>16.0</v>
      </c>
      <c r="N97" s="47">
        <v>0.31</v>
      </c>
    </row>
    <row r="98">
      <c r="A98" s="43" t="s">
        <v>92</v>
      </c>
      <c r="B98" s="43"/>
      <c r="C98" s="43">
        <v>619.0</v>
      </c>
      <c r="D98" s="43" t="s">
        <v>733</v>
      </c>
      <c r="E98" s="43" t="s">
        <v>33</v>
      </c>
      <c r="F98" s="57">
        <v>42423.0</v>
      </c>
      <c r="G98" s="57">
        <v>43519.0</v>
      </c>
      <c r="H98" s="57">
        <v>45392.0</v>
      </c>
      <c r="I98" s="57">
        <v>45404.0</v>
      </c>
      <c r="J98" s="46">
        <v>24.99</v>
      </c>
      <c r="K98" s="46">
        <v>7.99</v>
      </c>
      <c r="L98" s="47">
        <v>17.0</v>
      </c>
      <c r="M98" s="43">
        <v>30.0</v>
      </c>
      <c r="N98" s="47">
        <v>0.27</v>
      </c>
    </row>
    <row r="99">
      <c r="A99" s="43" t="s">
        <v>92</v>
      </c>
      <c r="B99" s="43" t="s">
        <v>111</v>
      </c>
      <c r="C99" s="43">
        <v>502.0</v>
      </c>
      <c r="D99" s="43" t="s">
        <v>734</v>
      </c>
      <c r="E99" s="43" t="s">
        <v>33</v>
      </c>
      <c r="F99" s="57">
        <v>42611.0</v>
      </c>
      <c r="G99" s="57">
        <v>42766.0</v>
      </c>
      <c r="H99" s="57">
        <v>42850.0</v>
      </c>
      <c r="I99" s="57">
        <v>44671.0</v>
      </c>
      <c r="J99" s="47">
        <v>11.99</v>
      </c>
      <c r="K99" s="47">
        <v>7.99</v>
      </c>
      <c r="L99" s="47">
        <v>4.0</v>
      </c>
      <c r="M99" s="43">
        <v>9.0</v>
      </c>
      <c r="N99" s="47">
        <v>0.89</v>
      </c>
    </row>
    <row r="100">
      <c r="A100" s="43" t="s">
        <v>92</v>
      </c>
      <c r="B100" s="43" t="s">
        <v>120</v>
      </c>
      <c r="C100" s="43">
        <v>679.0</v>
      </c>
      <c r="D100" s="43" t="s">
        <v>735</v>
      </c>
      <c r="E100" s="43" t="s">
        <v>33</v>
      </c>
      <c r="F100" s="57">
        <v>42633.0</v>
      </c>
      <c r="G100" s="57">
        <v>42951.0</v>
      </c>
      <c r="H100" s="57">
        <v>42974.0</v>
      </c>
      <c r="I100" s="57">
        <v>44844.0</v>
      </c>
      <c r="J100" s="47">
        <v>17.99</v>
      </c>
      <c r="K100" s="47">
        <v>4.99</v>
      </c>
      <c r="L100" s="47">
        <v>13.0</v>
      </c>
      <c r="M100" s="43">
        <v>4.0</v>
      </c>
      <c r="N100" s="47">
        <v>1.25</v>
      </c>
    </row>
    <row r="101">
      <c r="A101" s="43" t="s">
        <v>92</v>
      </c>
      <c r="B101" s="43" t="s">
        <v>131</v>
      </c>
      <c r="C101" s="43">
        <v>957.0</v>
      </c>
      <c r="D101" s="43" t="s">
        <v>736</v>
      </c>
      <c r="E101" s="43" t="s">
        <v>33</v>
      </c>
      <c r="F101" s="57">
        <v>42647.0</v>
      </c>
      <c r="G101" s="57">
        <v>42648.0</v>
      </c>
      <c r="H101" s="57">
        <v>42648.0</v>
      </c>
      <c r="I101" s="57">
        <v>42648.0</v>
      </c>
      <c r="J101" s="47">
        <v>14.99</v>
      </c>
      <c r="K101" s="47">
        <v>5.99</v>
      </c>
      <c r="L101" s="47">
        <v>9.0</v>
      </c>
      <c r="M101" s="43">
        <v>1.0</v>
      </c>
      <c r="N101" s="47">
        <v>5.99</v>
      </c>
    </row>
    <row r="102">
      <c r="A102" s="43" t="s">
        <v>92</v>
      </c>
      <c r="B102" s="43"/>
      <c r="C102" s="43">
        <v>960.0</v>
      </c>
      <c r="D102" s="43" t="s">
        <v>737</v>
      </c>
      <c r="E102" s="43" t="s">
        <v>33</v>
      </c>
      <c r="F102" s="57">
        <v>42689.0</v>
      </c>
      <c r="G102" s="57">
        <v>43668.0</v>
      </c>
      <c r="H102" s="57">
        <v>43675.0</v>
      </c>
      <c r="I102" s="57">
        <v>45636.0</v>
      </c>
      <c r="J102" s="47">
        <v>69.99</v>
      </c>
      <c r="K102" s="47">
        <v>14.99</v>
      </c>
      <c r="L102" s="47">
        <v>55.0</v>
      </c>
      <c r="M102" s="43">
        <v>56.0</v>
      </c>
      <c r="N102" s="47">
        <v>0.27</v>
      </c>
    </row>
    <row r="103">
      <c r="A103" s="43" t="s">
        <v>92</v>
      </c>
      <c r="B103" s="43" t="s">
        <v>118</v>
      </c>
      <c r="C103" s="43">
        <v>543.0</v>
      </c>
      <c r="D103" s="43" t="s">
        <v>738</v>
      </c>
      <c r="E103" s="43" t="s">
        <v>33</v>
      </c>
      <c r="F103" s="57">
        <v>43125.0</v>
      </c>
      <c r="G103" s="57">
        <v>43335.0</v>
      </c>
      <c r="H103" s="57">
        <v>43338.0</v>
      </c>
      <c r="I103" s="57">
        <v>43338.0</v>
      </c>
      <c r="J103" s="47">
        <v>19.99</v>
      </c>
      <c r="K103" s="47">
        <v>11.99</v>
      </c>
      <c r="L103" s="47">
        <v>8.0</v>
      </c>
      <c r="M103" s="43">
        <v>2.0</v>
      </c>
      <c r="N103" s="47">
        <v>6.0</v>
      </c>
    </row>
    <row r="104">
      <c r="A104" s="43" t="s">
        <v>92</v>
      </c>
      <c r="B104" s="43"/>
      <c r="C104" s="43">
        <v>620.0</v>
      </c>
      <c r="D104" s="43" t="s">
        <v>739</v>
      </c>
      <c r="E104" s="43" t="s">
        <v>33</v>
      </c>
      <c r="F104" s="57">
        <v>43186.0</v>
      </c>
      <c r="G104" s="57">
        <v>43372.0</v>
      </c>
      <c r="H104" s="57">
        <v>43373.0</v>
      </c>
      <c r="I104" s="57">
        <v>43987.0</v>
      </c>
      <c r="J104" s="47">
        <v>99.98</v>
      </c>
      <c r="K104" s="47">
        <v>49.98</v>
      </c>
      <c r="L104" s="47">
        <v>50.0</v>
      </c>
      <c r="M104" s="43">
        <v>103.0</v>
      </c>
      <c r="N104" s="47">
        <v>0.49</v>
      </c>
    </row>
    <row r="105">
      <c r="A105" s="43" t="s">
        <v>92</v>
      </c>
      <c r="B105" s="43"/>
      <c r="C105" s="43">
        <v>833.0</v>
      </c>
      <c r="D105" s="43" t="s">
        <v>740</v>
      </c>
      <c r="E105" s="43" t="s">
        <v>33</v>
      </c>
      <c r="F105" s="57">
        <v>43357.0</v>
      </c>
      <c r="G105" s="57">
        <v>45014.0</v>
      </c>
      <c r="H105" s="57">
        <v>45264.0</v>
      </c>
      <c r="I105" s="57">
        <v>45316.0</v>
      </c>
      <c r="J105" s="47">
        <v>39.99</v>
      </c>
      <c r="K105" s="47">
        <v>6.98</v>
      </c>
      <c r="L105" s="47">
        <v>33.01</v>
      </c>
      <c r="M105" s="43">
        <v>44.0</v>
      </c>
      <c r="N105" s="47">
        <v>0.16</v>
      </c>
    </row>
    <row r="106">
      <c r="A106" s="43" t="s">
        <v>92</v>
      </c>
      <c r="B106" s="43"/>
      <c r="C106" s="43">
        <v>621.0</v>
      </c>
      <c r="D106" s="43" t="s">
        <v>741</v>
      </c>
      <c r="E106" s="43" t="s">
        <v>33</v>
      </c>
      <c r="F106" s="57">
        <v>43511.0</v>
      </c>
      <c r="G106" s="57">
        <v>43548.0</v>
      </c>
      <c r="H106" s="57">
        <v>43618.0</v>
      </c>
      <c r="I106" s="57">
        <v>45310.0</v>
      </c>
      <c r="J106" s="47">
        <v>54.99</v>
      </c>
      <c r="K106" s="47">
        <v>27.49</v>
      </c>
      <c r="L106" s="47">
        <v>27.5</v>
      </c>
      <c r="M106" s="43">
        <v>51.0</v>
      </c>
      <c r="N106" s="47">
        <v>0.54</v>
      </c>
    </row>
    <row r="107">
      <c r="A107" s="43" t="s">
        <v>92</v>
      </c>
      <c r="B107" s="43"/>
      <c r="C107" s="43">
        <v>560.0</v>
      </c>
      <c r="D107" s="43" t="s">
        <v>742</v>
      </c>
      <c r="E107" s="43" t="s">
        <v>33</v>
      </c>
      <c r="F107" s="57">
        <v>43637.0</v>
      </c>
      <c r="G107" s="57">
        <v>43441.0</v>
      </c>
      <c r="H107" s="57">
        <v>43637.0</v>
      </c>
      <c r="I107" s="57">
        <v>44129.0</v>
      </c>
      <c r="J107" s="47">
        <v>59.99</v>
      </c>
      <c r="K107" s="47">
        <v>59.99</v>
      </c>
      <c r="L107" s="47">
        <v>0.0</v>
      </c>
      <c r="M107" s="43">
        <v>168.0</v>
      </c>
      <c r="N107" s="47">
        <v>0.36</v>
      </c>
    </row>
    <row r="108">
      <c r="A108" s="43" t="s">
        <v>92</v>
      </c>
      <c r="B108" s="43"/>
      <c r="C108" s="43">
        <v>625.0</v>
      </c>
      <c r="D108" s="43" t="s">
        <v>743</v>
      </c>
      <c r="E108" s="43" t="s">
        <v>33</v>
      </c>
      <c r="F108" s="57">
        <v>43735.0</v>
      </c>
      <c r="G108" s="57">
        <v>43922.0</v>
      </c>
      <c r="H108" s="57">
        <v>43974.0</v>
      </c>
      <c r="I108" s="57">
        <v>43981.0</v>
      </c>
      <c r="J108" s="47">
        <v>69.99</v>
      </c>
      <c r="K108" s="47">
        <v>27.99</v>
      </c>
      <c r="L108" s="47">
        <v>42.0</v>
      </c>
      <c r="M108" s="43">
        <v>28.0</v>
      </c>
      <c r="N108" s="47">
        <v>1.0</v>
      </c>
    </row>
    <row r="109">
      <c r="A109" s="146" t="s">
        <v>92</v>
      </c>
      <c r="B109" s="146" t="s">
        <v>134</v>
      </c>
      <c r="C109" s="146">
        <v>1098.0</v>
      </c>
      <c r="D109" s="146" t="s">
        <v>744</v>
      </c>
      <c r="E109" s="146" t="s">
        <v>33</v>
      </c>
      <c r="F109" s="147">
        <v>43858.0</v>
      </c>
      <c r="G109" s="147">
        <v>46005.0</v>
      </c>
      <c r="H109" s="147">
        <v>46013.0</v>
      </c>
      <c r="I109" s="147">
        <v>46017.0</v>
      </c>
      <c r="J109" s="148">
        <v>29.99</v>
      </c>
      <c r="K109" s="148">
        <v>5.99</v>
      </c>
      <c r="L109" s="148">
        <v>24.0</v>
      </c>
      <c r="M109" s="146">
        <v>25.0</v>
      </c>
      <c r="N109" s="148">
        <v>0.2396</v>
      </c>
    </row>
    <row r="110">
      <c r="A110" s="43" t="s">
        <v>92</v>
      </c>
      <c r="B110" s="43"/>
      <c r="C110" s="43">
        <v>603.0</v>
      </c>
      <c r="D110" s="43" t="s">
        <v>745</v>
      </c>
      <c r="E110" s="43" t="s">
        <v>33</v>
      </c>
      <c r="F110" s="57">
        <v>44057.0</v>
      </c>
      <c r="G110" s="57">
        <v>44593.0</v>
      </c>
      <c r="H110" s="57">
        <v>44593.0</v>
      </c>
      <c r="I110" s="57">
        <v>44593.0</v>
      </c>
      <c r="J110" s="47">
        <v>69.99</v>
      </c>
      <c r="K110" s="47">
        <v>0.0</v>
      </c>
      <c r="L110" s="47">
        <v>69.99</v>
      </c>
      <c r="M110" s="43">
        <v>1.0</v>
      </c>
      <c r="N110" s="47">
        <v>0.0</v>
      </c>
    </row>
    <row r="111">
      <c r="A111" s="43" t="s">
        <v>92</v>
      </c>
      <c r="B111" s="43" t="s">
        <v>114</v>
      </c>
      <c r="C111" s="43">
        <v>792.0</v>
      </c>
      <c r="D111" s="43" t="s">
        <v>746</v>
      </c>
      <c r="E111" s="43" t="s">
        <v>33</v>
      </c>
      <c r="F111" s="57">
        <v>44064.0</v>
      </c>
      <c r="G111" s="57">
        <v>44474.0</v>
      </c>
      <c r="H111" s="57">
        <v>44474.0</v>
      </c>
      <c r="I111" s="57">
        <v>44474.0</v>
      </c>
      <c r="J111" s="47">
        <v>59.99</v>
      </c>
      <c r="K111" s="47">
        <v>0.0</v>
      </c>
      <c r="L111" s="47">
        <v>59.99</v>
      </c>
      <c r="M111" s="43">
        <v>1.0</v>
      </c>
      <c r="N111" s="47">
        <v>0.0</v>
      </c>
    </row>
    <row r="112">
      <c r="A112" s="43" t="s">
        <v>92</v>
      </c>
      <c r="B112" s="43"/>
      <c r="C112" s="43">
        <v>626.0</v>
      </c>
      <c r="D112" s="43" t="s">
        <v>747</v>
      </c>
      <c r="E112" s="43" t="s">
        <v>33</v>
      </c>
      <c r="F112" s="57">
        <v>44113.0</v>
      </c>
      <c r="G112" s="57">
        <v>44334.0</v>
      </c>
      <c r="H112" s="57">
        <v>44339.0</v>
      </c>
      <c r="I112" s="57">
        <v>44339.0</v>
      </c>
      <c r="J112" s="47">
        <v>89.99</v>
      </c>
      <c r="K112" s="47">
        <v>24.29</v>
      </c>
      <c r="L112" s="47">
        <v>65.7</v>
      </c>
      <c r="M112" s="43">
        <v>4.0</v>
      </c>
      <c r="N112" s="47">
        <v>6.07</v>
      </c>
    </row>
    <row r="113">
      <c r="A113" s="43" t="s">
        <v>92</v>
      </c>
      <c r="B113" s="43" t="s">
        <v>136</v>
      </c>
      <c r="C113" s="43">
        <v>961.0</v>
      </c>
      <c r="D113" s="43" t="s">
        <v>748</v>
      </c>
      <c r="E113" s="43" t="s">
        <v>33</v>
      </c>
      <c r="F113" s="57">
        <v>44133.0</v>
      </c>
      <c r="G113" s="57">
        <v>44349.0</v>
      </c>
      <c r="H113" s="57">
        <v>44351.0</v>
      </c>
      <c r="I113" s="57">
        <v>45641.0</v>
      </c>
      <c r="J113" s="47">
        <v>69.99</v>
      </c>
      <c r="K113" s="47">
        <v>34.99</v>
      </c>
      <c r="L113" s="47">
        <v>35.0</v>
      </c>
      <c r="M113" s="43">
        <v>79.0</v>
      </c>
      <c r="N113" s="47">
        <v>0.44</v>
      </c>
    </row>
    <row r="114">
      <c r="A114" s="43" t="s">
        <v>92</v>
      </c>
      <c r="B114" s="43"/>
      <c r="C114" s="43">
        <v>516.0</v>
      </c>
      <c r="D114" s="43" t="s">
        <v>749</v>
      </c>
      <c r="E114" s="43" t="s">
        <v>33</v>
      </c>
      <c r="F114" s="57">
        <v>44145.0</v>
      </c>
      <c r="G114" s="57">
        <v>44521.0</v>
      </c>
      <c r="H114" s="57">
        <v>44927.0</v>
      </c>
      <c r="I114" s="57">
        <v>44936.0</v>
      </c>
      <c r="J114" s="47">
        <v>119.99</v>
      </c>
      <c r="K114" s="47">
        <v>59.99</v>
      </c>
      <c r="L114" s="47">
        <v>60.0</v>
      </c>
      <c r="M114" s="43">
        <v>22.0</v>
      </c>
      <c r="N114" s="47">
        <v>2.73</v>
      </c>
    </row>
    <row r="115">
      <c r="A115" s="43" t="s">
        <v>92</v>
      </c>
      <c r="B115" s="43" t="s">
        <v>121</v>
      </c>
      <c r="C115" s="43">
        <v>941.0</v>
      </c>
      <c r="D115" s="43" t="s">
        <v>750</v>
      </c>
      <c r="E115" s="43" t="s">
        <v>33</v>
      </c>
      <c r="F115" s="57">
        <v>44404.0</v>
      </c>
      <c r="G115" s="57">
        <v>44684.0</v>
      </c>
      <c r="H115" s="57">
        <v>44684.0</v>
      </c>
      <c r="I115" s="57">
        <v>44684.0</v>
      </c>
      <c r="J115" s="47">
        <v>19.99</v>
      </c>
      <c r="K115" s="47">
        <v>0.0</v>
      </c>
      <c r="L115" s="47">
        <v>19.99</v>
      </c>
      <c r="M115" s="43">
        <v>1.0</v>
      </c>
      <c r="N115" s="47">
        <v>0.0</v>
      </c>
    </row>
    <row r="116">
      <c r="A116" s="43" t="s">
        <v>92</v>
      </c>
      <c r="B116" s="43" t="s">
        <v>98</v>
      </c>
      <c r="C116" s="43">
        <v>519.0</v>
      </c>
      <c r="D116" s="43" t="s">
        <v>751</v>
      </c>
      <c r="E116" s="43" t="s">
        <v>33</v>
      </c>
      <c r="F116" s="57">
        <v>44467.0</v>
      </c>
      <c r="G116" s="57">
        <v>44467.0</v>
      </c>
      <c r="H116" s="57">
        <v>44468.0</v>
      </c>
      <c r="I116" s="57">
        <v>44468.0</v>
      </c>
      <c r="J116" s="47">
        <v>29.99</v>
      </c>
      <c r="K116" s="47">
        <v>0.0</v>
      </c>
      <c r="L116" s="47">
        <v>29.99</v>
      </c>
      <c r="M116" s="43">
        <v>2.0</v>
      </c>
      <c r="N116" s="47">
        <v>0.0</v>
      </c>
    </row>
    <row r="117">
      <c r="A117" s="43" t="s">
        <v>92</v>
      </c>
      <c r="B117" s="43"/>
      <c r="C117" s="43">
        <v>627.0</v>
      </c>
      <c r="D117" s="43" t="s">
        <v>752</v>
      </c>
      <c r="E117" s="43" t="s">
        <v>33</v>
      </c>
      <c r="F117" s="57">
        <v>44470.0</v>
      </c>
      <c r="G117" s="57">
        <v>44684.0</v>
      </c>
      <c r="H117" s="57">
        <v>44694.0</v>
      </c>
      <c r="I117" s="57">
        <v>44694.0</v>
      </c>
      <c r="J117" s="47">
        <v>79.99</v>
      </c>
      <c r="K117" s="47">
        <v>0.0</v>
      </c>
      <c r="L117" s="47">
        <v>79.99</v>
      </c>
      <c r="M117" s="43">
        <v>25.0</v>
      </c>
      <c r="N117" s="47">
        <v>0.0</v>
      </c>
    </row>
    <row r="118">
      <c r="A118" s="43" t="s">
        <v>92</v>
      </c>
      <c r="B118" s="43"/>
      <c r="C118" s="43">
        <v>515.0</v>
      </c>
      <c r="D118" s="43" t="s">
        <v>753</v>
      </c>
      <c r="E118" s="43" t="s">
        <v>33</v>
      </c>
      <c r="F118" s="57">
        <v>44475.0</v>
      </c>
      <c r="G118" s="57">
        <v>44623.0</v>
      </c>
      <c r="H118" s="57">
        <v>44664.0</v>
      </c>
      <c r="I118" s="57">
        <v>44684.0</v>
      </c>
      <c r="J118" s="47">
        <v>20.99</v>
      </c>
      <c r="K118" s="47">
        <v>13.64</v>
      </c>
      <c r="L118" s="47">
        <v>7.35</v>
      </c>
      <c r="M118" s="43">
        <v>42.0</v>
      </c>
      <c r="N118" s="47">
        <v>0.32</v>
      </c>
    </row>
    <row r="119">
      <c r="A119" s="43" t="s">
        <v>92</v>
      </c>
      <c r="B119" s="43"/>
      <c r="C119" s="43">
        <v>622.0</v>
      </c>
      <c r="D119" s="43" t="s">
        <v>754</v>
      </c>
      <c r="E119" s="43" t="s">
        <v>33</v>
      </c>
      <c r="F119" s="57">
        <v>44476.0</v>
      </c>
      <c r="G119" s="57">
        <v>44594.0</v>
      </c>
      <c r="H119" s="57">
        <v>44598.0</v>
      </c>
      <c r="I119" s="57">
        <v>44607.0</v>
      </c>
      <c r="J119" s="47">
        <v>99.99</v>
      </c>
      <c r="K119" s="47">
        <v>59.99</v>
      </c>
      <c r="L119" s="47">
        <v>40.0</v>
      </c>
      <c r="M119" s="43">
        <v>55.0</v>
      </c>
      <c r="N119" s="47">
        <v>1.09</v>
      </c>
    </row>
    <row r="120">
      <c r="A120" s="43" t="s">
        <v>92</v>
      </c>
      <c r="B120" s="43" t="s">
        <v>104</v>
      </c>
      <c r="C120" s="43">
        <v>773.0</v>
      </c>
      <c r="D120" s="43" t="s">
        <v>755</v>
      </c>
      <c r="E120" s="43" t="s">
        <v>33</v>
      </c>
      <c r="F120" s="57">
        <v>44665.0</v>
      </c>
      <c r="G120" s="57">
        <v>45304.0</v>
      </c>
      <c r="H120" s="57">
        <v>45487.0</v>
      </c>
      <c r="I120" s="57">
        <v>45499.0</v>
      </c>
      <c r="J120" s="47">
        <v>24.99</v>
      </c>
      <c r="K120" s="47">
        <v>0.0</v>
      </c>
      <c r="L120" s="47">
        <v>24.99</v>
      </c>
      <c r="M120" s="43">
        <v>37.0</v>
      </c>
      <c r="N120" s="47">
        <v>0.0</v>
      </c>
    </row>
    <row r="121">
      <c r="A121" s="44" t="s">
        <v>92</v>
      </c>
      <c r="B121" s="44" t="s">
        <v>112</v>
      </c>
      <c r="C121" s="44">
        <v>589.0</v>
      </c>
      <c r="D121" s="44" t="s">
        <v>756</v>
      </c>
      <c r="E121" s="44" t="s">
        <v>33</v>
      </c>
      <c r="F121" s="45">
        <v>44810.0</v>
      </c>
      <c r="G121" s="45">
        <v>44883.0</v>
      </c>
      <c r="H121" s="45">
        <v>44901.0</v>
      </c>
      <c r="I121" s="45">
        <v>46022.0</v>
      </c>
      <c r="J121" s="145">
        <v>29.99</v>
      </c>
      <c r="K121" s="145">
        <v>23.99</v>
      </c>
      <c r="L121" s="145">
        <v>6.0</v>
      </c>
      <c r="M121" s="44">
        <v>195.0</v>
      </c>
      <c r="N121" s="145">
        <v>0.12302564102564102</v>
      </c>
    </row>
    <row r="122">
      <c r="A122" s="43" t="s">
        <v>92</v>
      </c>
      <c r="B122" s="43" t="s">
        <v>116</v>
      </c>
      <c r="C122" s="43">
        <v>946.0</v>
      </c>
      <c r="D122" s="43" t="s">
        <v>757</v>
      </c>
      <c r="E122" s="43" t="s">
        <v>33</v>
      </c>
      <c r="F122" s="57">
        <v>44831.0</v>
      </c>
      <c r="G122" s="57">
        <v>45050.0</v>
      </c>
      <c r="H122" s="57">
        <v>45511.0</v>
      </c>
      <c r="I122" s="57">
        <v>45511.0</v>
      </c>
      <c r="J122" s="47">
        <v>29.99</v>
      </c>
      <c r="K122" s="47">
        <v>0.0</v>
      </c>
      <c r="L122" s="47">
        <v>29.99</v>
      </c>
      <c r="M122" s="43">
        <v>2.0</v>
      </c>
      <c r="N122" s="47">
        <v>0.0</v>
      </c>
    </row>
    <row r="123">
      <c r="A123" s="43" t="s">
        <v>92</v>
      </c>
      <c r="B123" s="43"/>
      <c r="C123" s="43">
        <v>628.0</v>
      </c>
      <c r="D123" s="43" t="s">
        <v>758</v>
      </c>
      <c r="E123" s="43" t="s">
        <v>33</v>
      </c>
      <c r="F123" s="57">
        <v>44834.0</v>
      </c>
      <c r="G123" s="57">
        <v>45070.0</v>
      </c>
      <c r="H123" s="57">
        <v>45070.0</v>
      </c>
      <c r="I123" s="57">
        <v>45070.0</v>
      </c>
      <c r="J123" s="47">
        <v>79.99</v>
      </c>
      <c r="K123" s="47">
        <v>31.99</v>
      </c>
      <c r="L123" s="47">
        <v>48.0</v>
      </c>
      <c r="M123" s="43">
        <v>2.0</v>
      </c>
      <c r="N123" s="47">
        <v>16.0</v>
      </c>
    </row>
    <row r="124">
      <c r="A124" s="43" t="s">
        <v>92</v>
      </c>
      <c r="B124" s="43" t="s">
        <v>113</v>
      </c>
      <c r="C124" s="43">
        <v>766.0</v>
      </c>
      <c r="D124" s="43" t="s">
        <v>759</v>
      </c>
      <c r="E124" s="43" t="s">
        <v>33</v>
      </c>
      <c r="F124" s="57">
        <v>44855.0</v>
      </c>
      <c r="G124" s="57">
        <v>45058.0</v>
      </c>
      <c r="H124" s="57">
        <v>45242.0</v>
      </c>
      <c r="I124" s="57">
        <v>45243.0</v>
      </c>
      <c r="J124" s="47">
        <v>39.99</v>
      </c>
      <c r="K124" s="47">
        <v>19.99</v>
      </c>
      <c r="L124" s="47">
        <v>20.0</v>
      </c>
      <c r="M124" s="43">
        <v>13.0</v>
      </c>
      <c r="N124" s="47">
        <v>1.54</v>
      </c>
    </row>
    <row r="125">
      <c r="A125" s="43" t="s">
        <v>92</v>
      </c>
      <c r="B125" s="43"/>
      <c r="C125" s="43">
        <v>729.0</v>
      </c>
      <c r="D125" s="43" t="s">
        <v>760</v>
      </c>
      <c r="E125" s="43" t="s">
        <v>33</v>
      </c>
      <c r="F125" s="57">
        <v>45020.0</v>
      </c>
      <c r="G125" s="57">
        <v>45020.0</v>
      </c>
      <c r="H125" s="57">
        <v>45020.0</v>
      </c>
      <c r="I125" s="57">
        <v>45020.0</v>
      </c>
      <c r="J125" s="47">
        <v>0.0</v>
      </c>
      <c r="K125" s="47">
        <v>0.0</v>
      </c>
      <c r="L125" s="47">
        <v>0.0</v>
      </c>
      <c r="M125" s="43">
        <v>1.0</v>
      </c>
      <c r="N125" s="47">
        <v>0.0</v>
      </c>
    </row>
    <row r="126">
      <c r="A126" s="43" t="s">
        <v>92</v>
      </c>
      <c r="B126" s="43" t="s">
        <v>100</v>
      </c>
      <c r="C126" s="43">
        <v>652.0</v>
      </c>
      <c r="D126" s="43" t="s">
        <v>761</v>
      </c>
      <c r="E126" s="43" t="s">
        <v>33</v>
      </c>
      <c r="F126" s="57">
        <v>45049.0</v>
      </c>
      <c r="G126" s="57">
        <v>45177.0</v>
      </c>
      <c r="H126" s="57">
        <v>45773.0</v>
      </c>
      <c r="I126" s="57">
        <v>45783.0</v>
      </c>
      <c r="J126" s="47">
        <v>19.99</v>
      </c>
      <c r="K126" s="47">
        <v>0.0</v>
      </c>
      <c r="L126" s="47">
        <v>19.99</v>
      </c>
      <c r="M126" s="43">
        <v>54.0</v>
      </c>
      <c r="N126" s="47">
        <v>0.0</v>
      </c>
    </row>
    <row r="127">
      <c r="A127" s="43" t="s">
        <v>92</v>
      </c>
      <c r="B127" s="43"/>
      <c r="C127" s="43">
        <v>602.0</v>
      </c>
      <c r="D127" s="43" t="s">
        <v>762</v>
      </c>
      <c r="E127" s="43" t="s">
        <v>33</v>
      </c>
      <c r="F127" s="57">
        <v>45198.0</v>
      </c>
      <c r="G127" s="57">
        <v>45377.0</v>
      </c>
      <c r="H127" s="57">
        <v>45385.0</v>
      </c>
      <c r="I127" s="57">
        <v>45467.0</v>
      </c>
      <c r="J127" s="47">
        <v>79.99</v>
      </c>
      <c r="K127" s="47">
        <v>15.99</v>
      </c>
      <c r="L127" s="47">
        <v>64.0</v>
      </c>
      <c r="M127" s="43">
        <v>8.0</v>
      </c>
      <c r="N127" s="47">
        <v>2.0</v>
      </c>
    </row>
    <row r="128">
      <c r="A128" s="43" t="s">
        <v>92</v>
      </c>
      <c r="B128" s="43"/>
      <c r="C128" s="43">
        <v>767.0</v>
      </c>
      <c r="D128" s="43" t="s">
        <v>763</v>
      </c>
      <c r="E128" s="43" t="s">
        <v>33</v>
      </c>
      <c r="F128" s="57">
        <v>45205.0</v>
      </c>
      <c r="G128" s="57">
        <v>45475.0</v>
      </c>
      <c r="H128" s="57">
        <v>45475.0</v>
      </c>
      <c r="I128" s="57">
        <v>45475.0</v>
      </c>
      <c r="J128" s="47">
        <v>79.99</v>
      </c>
      <c r="K128" s="47">
        <v>0.0</v>
      </c>
      <c r="L128" s="47">
        <v>79.99</v>
      </c>
      <c r="M128" s="43">
        <v>1.0</v>
      </c>
      <c r="N128" s="47">
        <v>0.0</v>
      </c>
    </row>
    <row r="129">
      <c r="A129" s="43" t="s">
        <v>92</v>
      </c>
      <c r="B129" s="43" t="s">
        <v>105</v>
      </c>
      <c r="C129" s="43">
        <v>529.0</v>
      </c>
      <c r="D129" s="43" t="s">
        <v>764</v>
      </c>
      <c r="E129" s="43" t="s">
        <v>33</v>
      </c>
      <c r="F129" s="57">
        <v>45349.0</v>
      </c>
      <c r="G129" s="57">
        <v>45482.0</v>
      </c>
      <c r="H129" s="57">
        <v>45484.0</v>
      </c>
      <c r="I129" s="57">
        <v>45484.0</v>
      </c>
      <c r="J129" s="47">
        <v>14.99</v>
      </c>
      <c r="K129" s="47">
        <v>9.89</v>
      </c>
      <c r="L129" s="47">
        <v>5.1</v>
      </c>
      <c r="M129" s="43">
        <v>2.0</v>
      </c>
      <c r="N129" s="47">
        <v>4.95</v>
      </c>
    </row>
    <row r="130">
      <c r="A130" s="43" t="s">
        <v>92</v>
      </c>
      <c r="B130" s="43" t="s">
        <v>132</v>
      </c>
      <c r="C130" s="43">
        <v>1014.0</v>
      </c>
      <c r="D130" s="43" t="s">
        <v>765</v>
      </c>
      <c r="E130" s="43" t="s">
        <v>666</v>
      </c>
      <c r="F130" s="57">
        <v>42656.0</v>
      </c>
      <c r="G130" s="57">
        <v>44623.0</v>
      </c>
      <c r="H130" s="57">
        <v>44623.0</v>
      </c>
      <c r="I130" s="57">
        <v>44623.0</v>
      </c>
      <c r="J130" s="47">
        <v>14.99</v>
      </c>
      <c r="K130" s="47">
        <v>7.49</v>
      </c>
      <c r="L130" s="47">
        <v>7.5</v>
      </c>
      <c r="M130" s="43">
        <v>1.0</v>
      </c>
      <c r="N130" s="47">
        <v>7.49</v>
      </c>
    </row>
    <row r="131">
      <c r="A131" s="43" t="s">
        <v>92</v>
      </c>
      <c r="B131" s="43"/>
      <c r="C131" s="43">
        <v>1000.0</v>
      </c>
      <c r="D131" s="43" t="s">
        <v>766</v>
      </c>
      <c r="E131" s="43" t="s">
        <v>666</v>
      </c>
      <c r="F131" s="57">
        <v>42682.0</v>
      </c>
      <c r="G131" s="57">
        <v>43466.0</v>
      </c>
      <c r="H131" s="57">
        <v>43467.0</v>
      </c>
      <c r="I131" s="57">
        <v>43467.0</v>
      </c>
      <c r="J131" s="47">
        <v>39.99</v>
      </c>
      <c r="K131" s="47">
        <v>12.99</v>
      </c>
      <c r="L131" s="47">
        <v>27.0</v>
      </c>
      <c r="M131" s="43">
        <v>1.0</v>
      </c>
      <c r="N131" s="47">
        <v>12.99</v>
      </c>
    </row>
    <row r="132">
      <c r="A132" s="43" t="s">
        <v>92</v>
      </c>
      <c r="B132" s="43" t="s">
        <v>139</v>
      </c>
      <c r="C132" s="43">
        <v>1020.0</v>
      </c>
      <c r="D132" s="43" t="s">
        <v>767</v>
      </c>
      <c r="E132" s="43" t="s">
        <v>666</v>
      </c>
      <c r="F132" s="57">
        <v>42787.0</v>
      </c>
      <c r="G132" s="57">
        <v>43466.0</v>
      </c>
      <c r="H132" s="57">
        <v>43543.0</v>
      </c>
      <c r="I132" s="57">
        <v>43543.0</v>
      </c>
      <c r="J132" s="47">
        <v>15.99</v>
      </c>
      <c r="K132" s="47">
        <v>4.99</v>
      </c>
      <c r="L132" s="47">
        <v>11.0</v>
      </c>
      <c r="M132" s="43">
        <v>1.0</v>
      </c>
      <c r="N132" s="47">
        <v>4.99</v>
      </c>
    </row>
    <row r="133">
      <c r="A133" s="43" t="s">
        <v>92</v>
      </c>
      <c r="B133" s="43" t="s">
        <v>123</v>
      </c>
      <c r="C133" s="43">
        <v>1017.0</v>
      </c>
      <c r="D133" s="43" t="s">
        <v>768</v>
      </c>
      <c r="E133" s="43" t="s">
        <v>666</v>
      </c>
      <c r="F133" s="57">
        <v>43270.0</v>
      </c>
      <c r="G133" s="57">
        <v>43804.0</v>
      </c>
      <c r="H133" s="57">
        <v>43804.0</v>
      </c>
      <c r="I133" s="57">
        <v>43804.0</v>
      </c>
      <c r="J133" s="47">
        <v>19.99</v>
      </c>
      <c r="K133" s="47">
        <v>3.99</v>
      </c>
      <c r="L133" s="47">
        <v>16.0</v>
      </c>
      <c r="M133" s="43">
        <v>1.0</v>
      </c>
      <c r="N133" s="47">
        <v>3.99</v>
      </c>
    </row>
    <row r="134">
      <c r="A134" s="43" t="s">
        <v>92</v>
      </c>
      <c r="B134" s="43" t="s">
        <v>119</v>
      </c>
      <c r="C134" s="43">
        <v>1057.0</v>
      </c>
      <c r="D134" s="43" t="s">
        <v>769</v>
      </c>
      <c r="E134" s="43" t="s">
        <v>39</v>
      </c>
      <c r="F134" s="57">
        <v>44953.0</v>
      </c>
      <c r="G134" s="57">
        <v>45520.0</v>
      </c>
      <c r="H134" s="57">
        <v>45531.0</v>
      </c>
      <c r="I134" s="57">
        <v>45535.0</v>
      </c>
      <c r="J134" s="47">
        <v>79.99</v>
      </c>
      <c r="K134" s="47">
        <v>27.99</v>
      </c>
      <c r="L134" s="47">
        <v>52.0</v>
      </c>
      <c r="M134" s="43">
        <v>5.0</v>
      </c>
      <c r="N134" s="47">
        <v>5.6</v>
      </c>
    </row>
    <row r="135">
      <c r="A135" s="72">
        <f t="shared" ref="A135:B135" si="13">COUNTA(A47:A134)</f>
        <v>88</v>
      </c>
      <c r="B135" s="72">
        <f t="shared" si="13"/>
        <v>48</v>
      </c>
      <c r="C135" s="72"/>
      <c r="D135" s="39"/>
      <c r="E135" s="149">
        <v>2805.86</v>
      </c>
      <c r="F135" s="149">
        <v>1168.91</v>
      </c>
      <c r="G135" s="149">
        <v>1636.95</v>
      </c>
      <c r="H135" s="72">
        <v>1948.0</v>
      </c>
      <c r="I135" s="55">
        <v>0.6</v>
      </c>
      <c r="J135" s="71">
        <f t="shared" ref="J135:M135" si="14">SUM(J47:J134)</f>
        <v>2805.86</v>
      </c>
      <c r="K135" s="71">
        <f t="shared" si="14"/>
        <v>1168.91</v>
      </c>
      <c r="L135" s="71">
        <f t="shared" si="14"/>
        <v>1636.95</v>
      </c>
      <c r="M135" s="39">
        <f t="shared" si="14"/>
        <v>1948</v>
      </c>
      <c r="N135" s="71">
        <f>K135/M135</f>
        <v>0.6000564682</v>
      </c>
    </row>
    <row r="136">
      <c r="A136" s="68"/>
      <c r="B136" s="68"/>
      <c r="C136" s="68"/>
      <c r="D136" s="73"/>
      <c r="E136" s="73"/>
      <c r="F136" s="73"/>
      <c r="G136" s="73"/>
      <c r="H136" s="73"/>
      <c r="I136" s="73"/>
      <c r="J136" s="7"/>
      <c r="K136" s="7"/>
      <c r="L136" s="7"/>
      <c r="M136" s="7"/>
      <c r="N136" s="7"/>
    </row>
    <row r="137">
      <c r="A137" s="43" t="s">
        <v>141</v>
      </c>
      <c r="B137" s="43" t="s">
        <v>145</v>
      </c>
      <c r="C137" s="43">
        <v>44.0</v>
      </c>
      <c r="D137" s="43" t="s">
        <v>770</v>
      </c>
      <c r="E137" s="43" t="s">
        <v>682</v>
      </c>
      <c r="F137" s="57">
        <v>36777.0</v>
      </c>
      <c r="G137" s="57">
        <v>41763.0</v>
      </c>
      <c r="H137" s="57">
        <v>41763.0</v>
      </c>
      <c r="I137" s="57">
        <v>41763.0</v>
      </c>
      <c r="J137" s="47">
        <v>4.99</v>
      </c>
      <c r="K137" s="47">
        <v>4.99</v>
      </c>
      <c r="L137" s="47">
        <v>0.0</v>
      </c>
      <c r="M137" s="43">
        <v>35.0</v>
      </c>
      <c r="N137" s="47">
        <v>0.14</v>
      </c>
    </row>
    <row r="138">
      <c r="A138" s="43" t="s">
        <v>141</v>
      </c>
      <c r="B138" s="43" t="s">
        <v>144</v>
      </c>
      <c r="C138" s="43">
        <v>417.0</v>
      </c>
      <c r="D138" s="43" t="s">
        <v>771</v>
      </c>
      <c r="E138" s="43" t="s">
        <v>649</v>
      </c>
      <c r="F138" s="57">
        <v>40087.0</v>
      </c>
      <c r="G138" s="57">
        <v>44539.0</v>
      </c>
      <c r="H138" s="57">
        <v>44539.0</v>
      </c>
      <c r="I138" s="57">
        <v>44539.0</v>
      </c>
      <c r="J138" s="47">
        <v>19.99</v>
      </c>
      <c r="K138" s="47">
        <v>7.99</v>
      </c>
      <c r="L138" s="47">
        <v>12.0</v>
      </c>
      <c r="M138" s="43">
        <v>1.0</v>
      </c>
      <c r="N138" s="47">
        <v>7.99</v>
      </c>
    </row>
    <row r="139">
      <c r="A139" s="43" t="s">
        <v>141</v>
      </c>
      <c r="B139" s="43" t="s">
        <v>143</v>
      </c>
      <c r="C139" s="43">
        <v>181.0</v>
      </c>
      <c r="D139" s="43" t="s">
        <v>772</v>
      </c>
      <c r="E139" s="43" t="s">
        <v>649</v>
      </c>
      <c r="F139" s="57">
        <v>40710.0</v>
      </c>
      <c r="G139" s="57">
        <v>44237.0</v>
      </c>
      <c r="H139" s="57">
        <v>44244.0</v>
      </c>
      <c r="I139" s="57">
        <v>44261.0</v>
      </c>
      <c r="J139" s="47">
        <v>19.99</v>
      </c>
      <c r="K139" s="47">
        <v>19.99</v>
      </c>
      <c r="L139" s="47">
        <v>0.0</v>
      </c>
      <c r="M139" s="43">
        <v>30.0</v>
      </c>
      <c r="N139" s="47">
        <v>0.67</v>
      </c>
    </row>
    <row r="140">
      <c r="A140" s="43" t="s">
        <v>141</v>
      </c>
      <c r="B140" s="43" t="s">
        <v>140</v>
      </c>
      <c r="C140" s="43">
        <v>983.0</v>
      </c>
      <c r="D140" s="43" t="s">
        <v>773</v>
      </c>
      <c r="E140" s="43" t="s">
        <v>666</v>
      </c>
      <c r="F140" s="57">
        <v>43242.0</v>
      </c>
      <c r="G140" s="57">
        <v>43912.0</v>
      </c>
      <c r="H140" s="57">
        <v>44019.0</v>
      </c>
      <c r="I140" s="57">
        <v>44019.0</v>
      </c>
      <c r="J140" s="47">
        <v>14.99</v>
      </c>
      <c r="K140" s="47">
        <v>4.99</v>
      </c>
      <c r="L140" s="47">
        <v>10.0</v>
      </c>
      <c r="M140" s="43">
        <v>2.0</v>
      </c>
      <c r="N140" s="47">
        <v>2.5</v>
      </c>
    </row>
    <row r="141">
      <c r="A141" s="43" t="s">
        <v>141</v>
      </c>
      <c r="B141" s="43" t="s">
        <v>142</v>
      </c>
      <c r="C141" s="43">
        <v>639.0</v>
      </c>
      <c r="D141" s="43" t="s">
        <v>774</v>
      </c>
      <c r="E141" s="43" t="s">
        <v>33</v>
      </c>
      <c r="F141" s="57">
        <v>44102.0</v>
      </c>
      <c r="G141" s="57">
        <v>44334.0</v>
      </c>
      <c r="H141" s="57">
        <v>44334.0</v>
      </c>
      <c r="I141" s="57">
        <v>44334.0</v>
      </c>
      <c r="J141" s="47">
        <v>0.0</v>
      </c>
      <c r="K141" s="47">
        <v>0.0</v>
      </c>
      <c r="L141" s="47">
        <v>0.0</v>
      </c>
      <c r="M141" s="43">
        <v>1.0</v>
      </c>
      <c r="N141" s="47">
        <v>0.0</v>
      </c>
    </row>
    <row r="142">
      <c r="A142" s="44" t="s">
        <v>141</v>
      </c>
      <c r="B142" s="44" t="s">
        <v>146</v>
      </c>
      <c r="C142" s="43">
        <v>1084.0</v>
      </c>
      <c r="D142" s="43" t="s">
        <v>775</v>
      </c>
      <c r="E142" s="43" t="s">
        <v>39</v>
      </c>
      <c r="F142" s="57">
        <v>45699.0</v>
      </c>
      <c r="G142" s="57">
        <v>45800.0</v>
      </c>
      <c r="H142" s="57">
        <v>45800.0</v>
      </c>
      <c r="I142" s="57">
        <v>45800.0</v>
      </c>
      <c r="J142" s="46">
        <v>16.99</v>
      </c>
      <c r="K142" s="46">
        <v>11.04</v>
      </c>
      <c r="L142" s="46">
        <v>5.95</v>
      </c>
      <c r="M142" s="43">
        <v>1.0</v>
      </c>
      <c r="N142" s="46">
        <v>11.04</v>
      </c>
    </row>
    <row r="143">
      <c r="A143" s="72">
        <f t="shared" ref="A143:B143" si="15">COUNTA(A137:A142)</f>
        <v>6</v>
      </c>
      <c r="B143" s="72">
        <f t="shared" si="15"/>
        <v>6</v>
      </c>
      <c r="C143" s="72"/>
      <c r="D143" s="72"/>
      <c r="E143" s="55">
        <v>76.95</v>
      </c>
      <c r="F143" s="55">
        <v>49.0</v>
      </c>
      <c r="G143" s="55">
        <v>27.95</v>
      </c>
      <c r="H143" s="72">
        <v>70.0</v>
      </c>
      <c r="I143" s="55">
        <v>0.7</v>
      </c>
      <c r="J143" s="71">
        <f t="shared" ref="J143:M143" si="16">SUM(J137:J142)</f>
        <v>76.95</v>
      </c>
      <c r="K143" s="71">
        <f t="shared" si="16"/>
        <v>49</v>
      </c>
      <c r="L143" s="71">
        <f t="shared" si="16"/>
        <v>27.95</v>
      </c>
      <c r="M143" s="39">
        <f t="shared" si="16"/>
        <v>70</v>
      </c>
      <c r="N143" s="71">
        <f>K143/M143</f>
        <v>0.7</v>
      </c>
    </row>
    <row r="144">
      <c r="A144" s="150"/>
      <c r="B144" s="68"/>
      <c r="C144" s="68"/>
      <c r="D144" s="68"/>
      <c r="E144" s="73"/>
      <c r="F144" s="73"/>
      <c r="G144" s="73"/>
      <c r="H144" s="73"/>
      <c r="I144" s="73"/>
      <c r="J144" s="151"/>
      <c r="K144" s="151"/>
      <c r="L144" s="151"/>
      <c r="M144" s="73"/>
      <c r="N144" s="151"/>
    </row>
    <row r="145">
      <c r="A145" s="152" t="s">
        <v>148</v>
      </c>
      <c r="B145" s="152" t="s">
        <v>147</v>
      </c>
      <c r="C145" s="152">
        <v>458.0</v>
      </c>
      <c r="D145" s="152" t="s">
        <v>776</v>
      </c>
      <c r="E145" s="152" t="s">
        <v>671</v>
      </c>
      <c r="F145" s="153">
        <v>42206.0</v>
      </c>
      <c r="G145" s="153">
        <v>42887.0</v>
      </c>
      <c r="H145" s="153">
        <v>42904.0</v>
      </c>
      <c r="I145" s="153">
        <v>44841.0</v>
      </c>
      <c r="J145" s="154">
        <v>7.99</v>
      </c>
      <c r="K145" s="154">
        <v>2.99</v>
      </c>
      <c r="L145" s="154">
        <v>5.0</v>
      </c>
      <c r="M145" s="152">
        <v>6.0</v>
      </c>
      <c r="N145" s="154">
        <v>0.5</v>
      </c>
    </row>
    <row r="146">
      <c r="A146" s="155">
        <f t="shared" ref="A146:B146" si="17">COUNTA(A145)</f>
        <v>1</v>
      </c>
      <c r="B146" s="155">
        <f t="shared" si="17"/>
        <v>1</v>
      </c>
      <c r="C146" s="155"/>
      <c r="D146" s="156"/>
      <c r="E146" s="157">
        <v>7.99</v>
      </c>
      <c r="F146" s="157">
        <v>2.99</v>
      </c>
      <c r="G146" s="157">
        <v>5.0</v>
      </c>
      <c r="H146" s="155">
        <v>6.0</v>
      </c>
      <c r="I146" s="158">
        <v>0.49833333333333335</v>
      </c>
      <c r="J146" s="159">
        <f t="shared" ref="J146:M146" si="18">SUM(J145)</f>
        <v>7.99</v>
      </c>
      <c r="K146" s="159">
        <f t="shared" si="18"/>
        <v>2.99</v>
      </c>
      <c r="L146" s="159">
        <f t="shared" si="18"/>
        <v>5</v>
      </c>
      <c r="M146" s="156">
        <f t="shared" si="18"/>
        <v>6</v>
      </c>
      <c r="N146" s="159">
        <f>K146/M146</f>
        <v>0.4983333333</v>
      </c>
    </row>
    <row r="147">
      <c r="A147" s="49"/>
      <c r="B147" s="49"/>
      <c r="C147" s="49"/>
      <c r="D147" s="79"/>
      <c r="E147" s="49"/>
      <c r="F147" s="49"/>
      <c r="G147" s="49"/>
      <c r="H147" s="49"/>
      <c r="I147" s="49"/>
      <c r="J147" s="52"/>
      <c r="K147" s="52"/>
      <c r="L147" s="52"/>
      <c r="M147" s="79"/>
      <c r="N147" s="52"/>
    </row>
    <row r="148">
      <c r="A148" s="53" t="s">
        <v>150</v>
      </c>
      <c r="B148" s="53" t="s">
        <v>149</v>
      </c>
      <c r="C148" s="53">
        <v>356.0</v>
      </c>
      <c r="D148" s="53" t="s">
        <v>777</v>
      </c>
      <c r="E148" s="53" t="s">
        <v>649</v>
      </c>
      <c r="F148" s="160">
        <v>41772.0</v>
      </c>
      <c r="G148" s="160">
        <v>45700.0</v>
      </c>
      <c r="H148" s="160">
        <v>45700.0</v>
      </c>
      <c r="I148" s="160">
        <v>45700.0</v>
      </c>
      <c r="J148" s="54">
        <v>9.99</v>
      </c>
      <c r="K148" s="54">
        <v>1.49</v>
      </c>
      <c r="L148" s="54">
        <v>8.5</v>
      </c>
      <c r="M148" s="53">
        <v>1.0</v>
      </c>
      <c r="N148" s="54">
        <v>1.49</v>
      </c>
    </row>
    <row r="149">
      <c r="A149" s="53" t="s">
        <v>150</v>
      </c>
      <c r="B149" s="53"/>
      <c r="C149" s="53">
        <v>926.0</v>
      </c>
      <c r="D149" s="53" t="s">
        <v>778</v>
      </c>
      <c r="E149" s="53" t="s">
        <v>33</v>
      </c>
      <c r="F149" s="160">
        <v>42290.0</v>
      </c>
      <c r="G149" s="160">
        <v>45707.0</v>
      </c>
      <c r="H149" s="160">
        <v>45707.0</v>
      </c>
      <c r="I149" s="160">
        <v>45707.0</v>
      </c>
      <c r="J149" s="54">
        <v>29.99</v>
      </c>
      <c r="K149" s="54">
        <v>4.49</v>
      </c>
      <c r="L149" s="54">
        <v>25.5</v>
      </c>
      <c r="M149" s="53">
        <v>1.0</v>
      </c>
      <c r="N149" s="54">
        <v>4.49</v>
      </c>
    </row>
    <row r="150">
      <c r="A150" s="53" t="s">
        <v>150</v>
      </c>
      <c r="B150" s="53" t="s">
        <v>151</v>
      </c>
      <c r="C150" s="53">
        <v>526.0</v>
      </c>
      <c r="D150" s="53" t="s">
        <v>779</v>
      </c>
      <c r="E150" s="53" t="s">
        <v>33</v>
      </c>
      <c r="F150" s="160">
        <v>43655.0</v>
      </c>
      <c r="G150" s="160">
        <v>43867.0</v>
      </c>
      <c r="H150" s="160">
        <v>43867.0</v>
      </c>
      <c r="I150" s="160">
        <v>43867.0</v>
      </c>
      <c r="J150" s="54">
        <v>14.99</v>
      </c>
      <c r="K150" s="54">
        <v>7.49</v>
      </c>
      <c r="L150" s="54">
        <v>7.5</v>
      </c>
      <c r="M150" s="53">
        <v>2.0</v>
      </c>
      <c r="N150" s="54">
        <v>3.75</v>
      </c>
    </row>
    <row r="151">
      <c r="A151" s="53" t="s">
        <v>150</v>
      </c>
      <c r="B151" s="53"/>
      <c r="C151" s="53">
        <v>831.0</v>
      </c>
      <c r="D151" s="53" t="s">
        <v>780</v>
      </c>
      <c r="E151" s="53" t="s">
        <v>33</v>
      </c>
      <c r="F151" s="160">
        <v>43893.0</v>
      </c>
      <c r="G151" s="160">
        <v>45700.0</v>
      </c>
      <c r="H151" s="160">
        <v>45736.0</v>
      </c>
      <c r="I151" s="160">
        <v>45737.0</v>
      </c>
      <c r="J151" s="54">
        <v>10.0</v>
      </c>
      <c r="K151" s="54">
        <v>1.5</v>
      </c>
      <c r="L151" s="54">
        <v>8.5</v>
      </c>
      <c r="M151" s="53">
        <v>2.0</v>
      </c>
      <c r="N151" s="54">
        <v>0.75</v>
      </c>
    </row>
    <row r="152">
      <c r="A152" s="53" t="s">
        <v>150</v>
      </c>
      <c r="B152" s="53"/>
      <c r="C152" s="53">
        <v>832.0</v>
      </c>
      <c r="D152" s="53" t="s">
        <v>781</v>
      </c>
      <c r="E152" s="53" t="s">
        <v>33</v>
      </c>
      <c r="F152" s="160">
        <v>43893.0</v>
      </c>
      <c r="G152" s="160">
        <v>45700.0</v>
      </c>
      <c r="H152" s="160">
        <v>45700.0</v>
      </c>
      <c r="I152" s="160">
        <v>45700.0</v>
      </c>
      <c r="J152" s="76">
        <v>10.0</v>
      </c>
      <c r="K152" s="76">
        <v>1.5</v>
      </c>
      <c r="L152" s="54">
        <v>8.5</v>
      </c>
      <c r="M152" s="53">
        <v>1.0</v>
      </c>
      <c r="N152" s="54">
        <v>1.5</v>
      </c>
    </row>
    <row r="153">
      <c r="A153" s="49">
        <f t="shared" ref="A153:B153" si="19">COUNTA(A148:A152)</f>
        <v>5</v>
      </c>
      <c r="B153" s="49">
        <f t="shared" si="19"/>
        <v>2</v>
      </c>
      <c r="C153" s="49"/>
      <c r="D153" s="73"/>
      <c r="E153" s="78">
        <v>74.97</v>
      </c>
      <c r="F153" s="78">
        <v>16.47</v>
      </c>
      <c r="G153" s="78">
        <v>58.5</v>
      </c>
      <c r="H153" s="49">
        <v>7.0</v>
      </c>
      <c r="I153" s="161">
        <v>2.3528571428571428</v>
      </c>
      <c r="J153" s="52">
        <f t="shared" ref="J153:M153" si="20">SUM(J148:J152)</f>
        <v>74.97</v>
      </c>
      <c r="K153" s="52">
        <f t="shared" si="20"/>
        <v>16.47</v>
      </c>
      <c r="L153" s="52">
        <f t="shared" si="20"/>
        <v>58.5</v>
      </c>
      <c r="M153" s="79">
        <f t="shared" si="20"/>
        <v>7</v>
      </c>
      <c r="N153" s="52">
        <f>K153/M153</f>
        <v>2.352857143</v>
      </c>
    </row>
    <row r="154">
      <c r="A154" s="68"/>
      <c r="B154" s="68"/>
      <c r="C154" s="68"/>
      <c r="D154" s="73"/>
      <c r="E154" s="73"/>
      <c r="F154" s="73"/>
      <c r="G154" s="73"/>
      <c r="H154" s="73"/>
      <c r="I154" s="73"/>
      <c r="J154" s="1"/>
      <c r="K154" s="1"/>
      <c r="L154" s="1"/>
      <c r="M154" s="1"/>
      <c r="N154" s="1"/>
    </row>
    <row r="155">
      <c r="A155" s="49" t="s">
        <v>153</v>
      </c>
      <c r="B155" s="49" t="s">
        <v>152</v>
      </c>
      <c r="C155" s="49">
        <v>292.0</v>
      </c>
      <c r="D155" s="49" t="s">
        <v>782</v>
      </c>
      <c r="E155" s="49" t="s">
        <v>649</v>
      </c>
      <c r="F155" s="162">
        <v>40417.0</v>
      </c>
      <c r="G155" s="162">
        <v>41495.0</v>
      </c>
      <c r="H155" s="162">
        <v>41495.0</v>
      </c>
      <c r="I155" s="162">
        <v>44781.0</v>
      </c>
      <c r="J155" s="78">
        <v>29.99</v>
      </c>
      <c r="K155" s="78">
        <v>10.0</v>
      </c>
      <c r="L155" s="78">
        <v>19.99</v>
      </c>
      <c r="M155" s="49">
        <v>45.0</v>
      </c>
      <c r="N155" s="78">
        <v>0.22</v>
      </c>
    </row>
    <row r="156">
      <c r="A156" s="49" t="s">
        <v>153</v>
      </c>
      <c r="B156" s="49" t="s">
        <v>156</v>
      </c>
      <c r="C156" s="49">
        <v>268.0</v>
      </c>
      <c r="D156" s="49" t="s">
        <v>783</v>
      </c>
      <c r="E156" s="49" t="s">
        <v>649</v>
      </c>
      <c r="F156" s="162">
        <v>41919.0</v>
      </c>
      <c r="G156" s="162">
        <v>43295.0</v>
      </c>
      <c r="H156" s="162">
        <v>43423.0</v>
      </c>
      <c r="I156" s="162">
        <v>44872.0</v>
      </c>
      <c r="J156" s="78">
        <v>6.99</v>
      </c>
      <c r="K156" s="78">
        <v>6.99</v>
      </c>
      <c r="L156" s="78">
        <v>0.0</v>
      </c>
      <c r="M156" s="49">
        <v>3.0</v>
      </c>
      <c r="N156" s="78">
        <v>2.33</v>
      </c>
    </row>
    <row r="157">
      <c r="A157" s="49" t="s">
        <v>153</v>
      </c>
      <c r="B157" s="49" t="s">
        <v>155</v>
      </c>
      <c r="C157" s="49">
        <v>586.0</v>
      </c>
      <c r="D157" s="49" t="s">
        <v>784</v>
      </c>
      <c r="E157" s="49" t="s">
        <v>33</v>
      </c>
      <c r="F157" s="162">
        <v>42563.0</v>
      </c>
      <c r="G157" s="162">
        <v>42844.0</v>
      </c>
      <c r="H157" s="162">
        <v>44846.0</v>
      </c>
      <c r="I157" s="162">
        <v>44847.0</v>
      </c>
      <c r="J157" s="78">
        <v>19.99</v>
      </c>
      <c r="K157" s="78">
        <v>9.99</v>
      </c>
      <c r="L157" s="78">
        <v>10.0</v>
      </c>
      <c r="M157" s="49">
        <v>17.0</v>
      </c>
      <c r="N157" s="78">
        <v>0.59</v>
      </c>
    </row>
    <row r="158">
      <c r="A158" s="49" t="s">
        <v>153</v>
      </c>
      <c r="B158" s="49" t="s">
        <v>154</v>
      </c>
      <c r="C158" s="49">
        <v>989.0</v>
      </c>
      <c r="D158" s="49" t="s">
        <v>785</v>
      </c>
      <c r="E158" s="49" t="s">
        <v>666</v>
      </c>
      <c r="F158" s="162">
        <v>43221.0</v>
      </c>
      <c r="G158" s="162">
        <v>43475.0</v>
      </c>
      <c r="H158" s="162">
        <v>43479.0</v>
      </c>
      <c r="I158" s="162">
        <v>43481.0</v>
      </c>
      <c r="J158" s="161">
        <v>29.99</v>
      </c>
      <c r="K158" s="161">
        <v>29.99</v>
      </c>
      <c r="L158" s="78">
        <v>0.0</v>
      </c>
      <c r="M158" s="49">
        <v>1.0</v>
      </c>
      <c r="N158" s="78">
        <v>29.99</v>
      </c>
    </row>
    <row r="159">
      <c r="A159" s="49" t="s">
        <v>153</v>
      </c>
      <c r="B159" s="49" t="s">
        <v>157</v>
      </c>
      <c r="C159" s="49">
        <v>1056.0</v>
      </c>
      <c r="D159" s="49" t="s">
        <v>786</v>
      </c>
      <c r="E159" s="49" t="s">
        <v>39</v>
      </c>
      <c r="F159" s="162">
        <v>45092.0</v>
      </c>
      <c r="G159" s="162">
        <v>45719.0</v>
      </c>
      <c r="H159" s="162">
        <v>45719.0</v>
      </c>
      <c r="I159" s="162">
        <v>45719.0</v>
      </c>
      <c r="J159" s="78">
        <v>19.99</v>
      </c>
      <c r="K159" s="78">
        <v>4.99</v>
      </c>
      <c r="L159" s="78">
        <v>15.0</v>
      </c>
      <c r="M159" s="49">
        <v>1.0</v>
      </c>
      <c r="N159" s="78">
        <v>4.99</v>
      </c>
    </row>
    <row r="160">
      <c r="A160" s="53">
        <f t="shared" ref="A160:B160" si="21">COUNTA(A155:A159)</f>
        <v>5</v>
      </c>
      <c r="B160" s="53">
        <f t="shared" si="21"/>
        <v>5</v>
      </c>
      <c r="C160" s="53"/>
      <c r="D160" s="75"/>
      <c r="E160" s="54">
        <v>106.95</v>
      </c>
      <c r="F160" s="54">
        <v>61.96</v>
      </c>
      <c r="G160" s="54">
        <v>44.99</v>
      </c>
      <c r="H160" s="53">
        <v>67.0</v>
      </c>
      <c r="I160" s="54">
        <v>0.9247761194029851</v>
      </c>
      <c r="J160" s="163">
        <f t="shared" ref="J160:M160" si="22">SUM(J155:J159)</f>
        <v>106.95</v>
      </c>
      <c r="K160" s="163">
        <f t="shared" si="22"/>
        <v>61.96</v>
      </c>
      <c r="L160" s="163">
        <f t="shared" si="22"/>
        <v>44.99</v>
      </c>
      <c r="M160" s="75">
        <f t="shared" si="22"/>
        <v>67</v>
      </c>
      <c r="N160" s="163">
        <f>K160/M160</f>
        <v>0.9247761194</v>
      </c>
    </row>
    <row r="161">
      <c r="A161" s="79"/>
      <c r="B161" s="49"/>
      <c r="C161" s="49"/>
      <c r="D161" s="79"/>
      <c r="E161" s="79"/>
      <c r="F161" s="79"/>
      <c r="G161" s="79"/>
      <c r="H161" s="79"/>
      <c r="I161" s="79"/>
      <c r="J161" s="52"/>
      <c r="K161" s="52"/>
      <c r="L161" s="52"/>
      <c r="M161" s="79"/>
      <c r="N161" s="52"/>
    </row>
    <row r="162">
      <c r="A162" s="43" t="s">
        <v>159</v>
      </c>
      <c r="B162" s="43" t="s">
        <v>158</v>
      </c>
      <c r="C162" s="43">
        <v>16.0</v>
      </c>
      <c r="D162" s="43" t="s">
        <v>787</v>
      </c>
      <c r="E162" s="43" t="s">
        <v>682</v>
      </c>
      <c r="F162" s="57">
        <v>35765.0</v>
      </c>
      <c r="G162" s="57">
        <v>42363.0</v>
      </c>
      <c r="H162" s="57">
        <v>43123.0</v>
      </c>
      <c r="I162" s="57">
        <v>44022.0</v>
      </c>
      <c r="J162" s="47">
        <v>22.98</v>
      </c>
      <c r="K162" s="47">
        <v>8.98</v>
      </c>
      <c r="L162" s="47">
        <v>14.0</v>
      </c>
      <c r="M162" s="43">
        <v>1.0</v>
      </c>
      <c r="N162" s="47">
        <v>8.98</v>
      </c>
    </row>
    <row r="163">
      <c r="A163" s="43" t="s">
        <v>159</v>
      </c>
      <c r="B163" s="43" t="s">
        <v>164</v>
      </c>
      <c r="C163" s="43">
        <v>272.0</v>
      </c>
      <c r="D163" s="43" t="s">
        <v>788</v>
      </c>
      <c r="E163" s="43" t="s">
        <v>649</v>
      </c>
      <c r="F163" s="57">
        <v>39409.0</v>
      </c>
      <c r="G163" s="57">
        <v>44091.0</v>
      </c>
      <c r="H163" s="57">
        <v>44091.0</v>
      </c>
      <c r="I163" s="57">
        <v>44091.0</v>
      </c>
      <c r="J163" s="47">
        <v>19.99</v>
      </c>
      <c r="K163" s="47">
        <v>2.0</v>
      </c>
      <c r="L163" s="47">
        <v>17.99</v>
      </c>
      <c r="M163" s="43">
        <v>1.0</v>
      </c>
      <c r="N163" s="47">
        <v>2.0</v>
      </c>
    </row>
    <row r="164">
      <c r="A164" s="43" t="s">
        <v>159</v>
      </c>
      <c r="B164" s="43"/>
      <c r="C164" s="43">
        <v>273.0</v>
      </c>
      <c r="D164" s="43" t="s">
        <v>789</v>
      </c>
      <c r="E164" s="43" t="s">
        <v>649</v>
      </c>
      <c r="F164" s="57">
        <v>40410.0</v>
      </c>
      <c r="G164" s="57">
        <v>44091.0</v>
      </c>
      <c r="H164" s="57">
        <v>44091.0</v>
      </c>
      <c r="I164" s="57">
        <v>44091.0</v>
      </c>
      <c r="J164" s="47">
        <v>21.99</v>
      </c>
      <c r="K164" s="47">
        <v>2.0</v>
      </c>
      <c r="L164" s="47">
        <v>19.99</v>
      </c>
      <c r="M164" s="43">
        <v>1.0</v>
      </c>
      <c r="N164" s="47">
        <v>2.0</v>
      </c>
    </row>
    <row r="165">
      <c r="A165" s="43" t="s">
        <v>159</v>
      </c>
      <c r="B165" s="43"/>
      <c r="C165" s="43">
        <v>260.0</v>
      </c>
      <c r="D165" s="43" t="s">
        <v>790</v>
      </c>
      <c r="E165" s="43" t="s">
        <v>649</v>
      </c>
      <c r="F165" s="57">
        <v>41233.0</v>
      </c>
      <c r="G165" s="57">
        <v>44115.0</v>
      </c>
      <c r="H165" s="57">
        <v>45134.0</v>
      </c>
      <c r="I165" s="57">
        <v>45134.0</v>
      </c>
      <c r="J165" s="47">
        <v>19.99</v>
      </c>
      <c r="K165" s="47">
        <v>5.0</v>
      </c>
      <c r="L165" s="47">
        <v>14.99</v>
      </c>
      <c r="M165" s="43">
        <v>5.0</v>
      </c>
      <c r="N165" s="47">
        <v>1.0</v>
      </c>
    </row>
    <row r="166">
      <c r="A166" s="43" t="s">
        <v>159</v>
      </c>
      <c r="B166" s="43" t="s">
        <v>160</v>
      </c>
      <c r="C166" s="43">
        <v>860.0</v>
      </c>
      <c r="D166" s="43" t="s">
        <v>791</v>
      </c>
      <c r="E166" s="43" t="s">
        <v>33</v>
      </c>
      <c r="F166" s="57">
        <v>42465.0</v>
      </c>
      <c r="G166" s="57">
        <v>43964.0</v>
      </c>
      <c r="H166" s="57">
        <v>44039.0</v>
      </c>
      <c r="I166" s="57">
        <v>44039.0</v>
      </c>
      <c r="J166" s="47">
        <v>9.99</v>
      </c>
      <c r="K166" s="47">
        <v>4.49</v>
      </c>
      <c r="L166" s="47">
        <v>5.5</v>
      </c>
      <c r="M166" s="43">
        <v>2.0</v>
      </c>
      <c r="N166" s="47">
        <v>2.25</v>
      </c>
    </row>
    <row r="167">
      <c r="A167" s="43" t="s">
        <v>159</v>
      </c>
      <c r="B167" s="43"/>
      <c r="C167" s="44">
        <v>659.0</v>
      </c>
      <c r="D167" s="44" t="s">
        <v>792</v>
      </c>
      <c r="E167" s="44" t="s">
        <v>33</v>
      </c>
      <c r="F167" s="45">
        <v>43417.0</v>
      </c>
      <c r="G167" s="45">
        <v>44461.0</v>
      </c>
      <c r="H167" s="45">
        <v>45937.0</v>
      </c>
      <c r="I167" s="45">
        <v>45937.0</v>
      </c>
      <c r="J167" s="145">
        <v>69.99</v>
      </c>
      <c r="K167" s="145">
        <v>0.0</v>
      </c>
      <c r="L167" s="145">
        <v>69.99</v>
      </c>
      <c r="M167" s="44">
        <v>2.0</v>
      </c>
      <c r="N167" s="145">
        <v>0.0</v>
      </c>
    </row>
    <row r="168">
      <c r="A168" s="43" t="s">
        <v>159</v>
      </c>
      <c r="B168" s="43" t="s">
        <v>165</v>
      </c>
      <c r="C168" s="43">
        <v>643.0</v>
      </c>
      <c r="D168" s="43" t="s">
        <v>793</v>
      </c>
      <c r="E168" s="43" t="s">
        <v>33</v>
      </c>
      <c r="F168" s="57">
        <v>44131.0</v>
      </c>
      <c r="G168" s="57">
        <v>44621.0</v>
      </c>
      <c r="H168" s="57">
        <v>44621.0</v>
      </c>
      <c r="I168" s="57">
        <v>44621.0</v>
      </c>
      <c r="J168" s="47">
        <v>29.99</v>
      </c>
      <c r="K168" s="47">
        <v>0.0</v>
      </c>
      <c r="L168" s="47">
        <v>29.99</v>
      </c>
      <c r="M168" s="43">
        <v>2.0</v>
      </c>
      <c r="N168" s="47">
        <v>0.0</v>
      </c>
    </row>
    <row r="169">
      <c r="A169" s="43" t="s">
        <v>159</v>
      </c>
      <c r="B169" s="43" t="s">
        <v>163</v>
      </c>
      <c r="C169" s="43">
        <v>631.0</v>
      </c>
      <c r="D169" s="43" t="s">
        <v>794</v>
      </c>
      <c r="E169" s="43" t="s">
        <v>33</v>
      </c>
      <c r="F169" s="57">
        <v>44502.0</v>
      </c>
      <c r="G169" s="57">
        <v>44502.0</v>
      </c>
      <c r="H169" s="57">
        <v>44502.0</v>
      </c>
      <c r="I169" s="57">
        <v>44502.0</v>
      </c>
      <c r="J169" s="47">
        <v>19.99</v>
      </c>
      <c r="K169" s="47">
        <v>0.0</v>
      </c>
      <c r="L169" s="47">
        <v>19.99</v>
      </c>
      <c r="M169" s="43">
        <v>1.0</v>
      </c>
      <c r="N169" s="47">
        <v>0.0</v>
      </c>
    </row>
    <row r="170">
      <c r="A170" s="43" t="s">
        <v>159</v>
      </c>
      <c r="B170" s="43" t="s">
        <v>162</v>
      </c>
      <c r="C170" s="43">
        <v>580.0</v>
      </c>
      <c r="D170" s="43" t="s">
        <v>795</v>
      </c>
      <c r="E170" s="43" t="s">
        <v>33</v>
      </c>
      <c r="F170" s="57">
        <v>44565.0</v>
      </c>
      <c r="G170" s="57">
        <v>44565.0</v>
      </c>
      <c r="H170" s="57">
        <v>44565.0</v>
      </c>
      <c r="I170" s="57">
        <v>44565.0</v>
      </c>
      <c r="J170" s="47">
        <v>29.99</v>
      </c>
      <c r="K170" s="47">
        <v>0.0</v>
      </c>
      <c r="L170" s="47">
        <v>29.99</v>
      </c>
      <c r="M170" s="43">
        <v>1.0</v>
      </c>
      <c r="N170" s="47">
        <v>0.0</v>
      </c>
    </row>
    <row r="171">
      <c r="A171" s="145" t="s">
        <v>159</v>
      </c>
      <c r="B171" s="44" t="s">
        <v>161</v>
      </c>
      <c r="C171" s="44">
        <v>1093.0</v>
      </c>
      <c r="D171" s="44" t="s">
        <v>796</v>
      </c>
      <c r="E171" s="44" t="s">
        <v>33</v>
      </c>
      <c r="F171" s="57">
        <v>45198.0</v>
      </c>
      <c r="G171" s="57">
        <v>45937.0</v>
      </c>
      <c r="H171" s="57">
        <v>45937.0</v>
      </c>
      <c r="I171" s="57">
        <v>45937.0</v>
      </c>
      <c r="J171" s="164">
        <v>24.99</v>
      </c>
      <c r="K171" s="164">
        <v>0.0</v>
      </c>
      <c r="L171" s="164">
        <f>J171-K171</f>
        <v>24.99</v>
      </c>
      <c r="M171" s="69">
        <v>1.0</v>
      </c>
      <c r="N171" s="164">
        <f t="shared" ref="N171:N172" si="25">K171/M171</f>
        <v>0</v>
      </c>
    </row>
    <row r="172">
      <c r="A172" s="72">
        <f t="shared" ref="A172:B172" si="23">COUNTA(A162:A171)</f>
        <v>10</v>
      </c>
      <c r="B172" s="72">
        <f t="shared" si="23"/>
        <v>7</v>
      </c>
      <c r="C172" s="72"/>
      <c r="D172" s="39"/>
      <c r="E172" s="165">
        <v>269.89</v>
      </c>
      <c r="F172" s="165">
        <v>22.47</v>
      </c>
      <c r="G172" s="165">
        <v>247.42</v>
      </c>
      <c r="H172" s="72">
        <v>17.0</v>
      </c>
      <c r="I172" s="55">
        <v>1.321764705882353</v>
      </c>
      <c r="J172" s="71">
        <f t="shared" ref="J172:M172" si="24">SUM(J162:J171)</f>
        <v>269.89</v>
      </c>
      <c r="K172" s="71">
        <f t="shared" si="24"/>
        <v>22.47</v>
      </c>
      <c r="L172" s="71">
        <f t="shared" si="24"/>
        <v>247.42</v>
      </c>
      <c r="M172" s="39">
        <f t="shared" si="24"/>
        <v>17</v>
      </c>
      <c r="N172" s="71">
        <f t="shared" si="25"/>
        <v>1.321764706</v>
      </c>
    </row>
    <row r="173">
      <c r="A173" s="64"/>
      <c r="B173" s="64"/>
      <c r="C173" s="64"/>
      <c r="D173" s="114"/>
      <c r="E173" s="64"/>
      <c r="F173" s="64"/>
      <c r="G173" s="64"/>
      <c r="H173" s="64"/>
      <c r="I173" s="64"/>
      <c r="J173" s="7"/>
      <c r="K173" s="7"/>
      <c r="L173" s="7"/>
      <c r="M173" s="7"/>
      <c r="N173" s="144"/>
    </row>
    <row r="174">
      <c r="A174" s="53" t="s">
        <v>167</v>
      </c>
      <c r="B174" s="53" t="s">
        <v>166</v>
      </c>
      <c r="C174" s="53">
        <v>433.0</v>
      </c>
      <c r="D174" s="53" t="s">
        <v>797</v>
      </c>
      <c r="E174" s="53" t="s">
        <v>671</v>
      </c>
      <c r="F174" s="160">
        <v>43732.0</v>
      </c>
      <c r="G174" s="160">
        <v>43912.0</v>
      </c>
      <c r="H174" s="160">
        <v>44911.0</v>
      </c>
      <c r="I174" s="160">
        <v>44912.0</v>
      </c>
      <c r="J174" s="76">
        <v>1.99</v>
      </c>
      <c r="K174" s="76">
        <v>1.99</v>
      </c>
      <c r="L174" s="76">
        <v>0.0</v>
      </c>
      <c r="M174" s="53">
        <v>2.0</v>
      </c>
      <c r="N174" s="76">
        <v>1.0</v>
      </c>
    </row>
    <row r="175">
      <c r="A175" s="49">
        <f t="shared" ref="A175:B175" si="26">COUNTA(A174)</f>
        <v>1</v>
      </c>
      <c r="B175" s="49">
        <f t="shared" si="26"/>
        <v>1</v>
      </c>
      <c r="C175" s="49"/>
      <c r="D175" s="79"/>
      <c r="E175" s="166">
        <v>1.99</v>
      </c>
      <c r="F175" s="166">
        <v>1.99</v>
      </c>
      <c r="G175" s="166">
        <v>0.0</v>
      </c>
      <c r="H175" s="49">
        <v>2.0</v>
      </c>
      <c r="I175" s="161">
        <v>0.995</v>
      </c>
      <c r="J175" s="52">
        <f t="shared" ref="J175:M175" si="27">SUM(J174)</f>
        <v>1.99</v>
      </c>
      <c r="K175" s="52">
        <f t="shared" si="27"/>
        <v>1.99</v>
      </c>
      <c r="L175" s="52">
        <f t="shared" si="27"/>
        <v>0</v>
      </c>
      <c r="M175" s="79">
        <f t="shared" si="27"/>
        <v>2</v>
      </c>
      <c r="N175" s="52">
        <f>K175/M175</f>
        <v>0.995</v>
      </c>
    </row>
    <row r="176">
      <c r="A176" s="49"/>
      <c r="B176" s="49"/>
      <c r="C176" s="49"/>
      <c r="D176" s="79"/>
      <c r="E176" s="79"/>
      <c r="F176" s="79"/>
      <c r="G176" s="79"/>
      <c r="H176" s="79"/>
      <c r="I176" s="79"/>
      <c r="J176" s="52"/>
      <c r="K176" s="52"/>
      <c r="L176" s="52"/>
      <c r="M176" s="79"/>
      <c r="N176" s="52"/>
    </row>
    <row r="177">
      <c r="A177" s="72" t="s">
        <v>25</v>
      </c>
      <c r="B177" s="72" t="s">
        <v>234</v>
      </c>
      <c r="C177" s="72">
        <v>75.0</v>
      </c>
      <c r="D177" s="72" t="s">
        <v>798</v>
      </c>
      <c r="E177" s="72" t="s">
        <v>682</v>
      </c>
      <c r="F177" s="167">
        <v>34971.0</v>
      </c>
      <c r="G177" s="167">
        <v>43014.0</v>
      </c>
      <c r="H177" s="167">
        <v>43014.0</v>
      </c>
      <c r="I177" s="167">
        <v>43014.0</v>
      </c>
      <c r="J177" s="165">
        <v>9.99</v>
      </c>
      <c r="K177" s="165">
        <v>1.99</v>
      </c>
      <c r="L177" s="165">
        <v>8.0</v>
      </c>
      <c r="M177" s="72">
        <v>1.0</v>
      </c>
      <c r="N177" s="165">
        <v>1.99</v>
      </c>
    </row>
    <row r="178">
      <c r="A178" s="72" t="s">
        <v>25</v>
      </c>
      <c r="B178" s="72" t="s">
        <v>248</v>
      </c>
      <c r="C178" s="72">
        <v>12.0</v>
      </c>
      <c r="D178" s="72" t="s">
        <v>799</v>
      </c>
      <c r="E178" s="72" t="s">
        <v>682</v>
      </c>
      <c r="F178" s="167">
        <v>34992.0</v>
      </c>
      <c r="G178" s="167">
        <v>43014.0</v>
      </c>
      <c r="H178" s="167">
        <v>43014.0</v>
      </c>
      <c r="I178" s="167">
        <v>43014.0</v>
      </c>
      <c r="J178" s="55">
        <v>4.99</v>
      </c>
      <c r="K178" s="55">
        <v>2.99</v>
      </c>
      <c r="L178" s="165">
        <v>2.0</v>
      </c>
      <c r="M178" s="72">
        <v>10.0</v>
      </c>
      <c r="N178" s="165">
        <v>0.3</v>
      </c>
    </row>
    <row r="179">
      <c r="A179" s="72" t="s">
        <v>25</v>
      </c>
      <c r="B179" s="72" t="s">
        <v>221</v>
      </c>
      <c r="C179" s="72">
        <v>63.0</v>
      </c>
      <c r="D179" s="72" t="s">
        <v>800</v>
      </c>
      <c r="E179" s="72" t="s">
        <v>682</v>
      </c>
      <c r="F179" s="167">
        <v>35391.0</v>
      </c>
      <c r="G179" s="167">
        <v>42806.0</v>
      </c>
      <c r="H179" s="167">
        <v>42806.0</v>
      </c>
      <c r="I179" s="167">
        <v>42806.0</v>
      </c>
      <c r="J179" s="42">
        <v>15.99</v>
      </c>
      <c r="K179" s="42">
        <v>3.99</v>
      </c>
      <c r="L179" s="42">
        <f t="shared" ref="L179:L180" si="28">J179-K179</f>
        <v>12</v>
      </c>
      <c r="M179" s="39">
        <v>1.0</v>
      </c>
      <c r="N179" s="71">
        <f t="shared" ref="N179:N180" si="29">K179/M179</f>
        <v>3.99</v>
      </c>
    </row>
    <row r="180">
      <c r="A180" s="39" t="s">
        <v>25</v>
      </c>
      <c r="B180" s="39" t="s">
        <v>171</v>
      </c>
      <c r="C180" s="39">
        <v>1091.0</v>
      </c>
      <c r="D180" s="39" t="s">
        <v>801</v>
      </c>
      <c r="E180" s="39" t="s">
        <v>682</v>
      </c>
      <c r="F180" s="167">
        <v>35699.0</v>
      </c>
      <c r="G180" s="167">
        <v>45920.0</v>
      </c>
      <c r="H180" s="167">
        <v>45921.0</v>
      </c>
      <c r="I180" s="167">
        <v>45922.0</v>
      </c>
      <c r="J180" s="42">
        <v>29.99</v>
      </c>
      <c r="K180" s="42">
        <v>0.0</v>
      </c>
      <c r="L180" s="42">
        <f t="shared" si="28"/>
        <v>29.99</v>
      </c>
      <c r="M180" s="39">
        <v>6.0</v>
      </c>
      <c r="N180" s="42">
        <f t="shared" si="29"/>
        <v>0</v>
      </c>
    </row>
    <row r="181">
      <c r="A181" s="72" t="s">
        <v>25</v>
      </c>
      <c r="B181" s="72" t="s">
        <v>185</v>
      </c>
      <c r="C181" s="72">
        <v>27.0</v>
      </c>
      <c r="D181" s="72" t="s">
        <v>802</v>
      </c>
      <c r="E181" s="72" t="s">
        <v>682</v>
      </c>
      <c r="F181" s="167">
        <v>35748.0</v>
      </c>
      <c r="G181" s="167">
        <v>42655.0</v>
      </c>
      <c r="H181" s="167">
        <v>42655.0</v>
      </c>
      <c r="I181" s="167">
        <v>42655.0</v>
      </c>
      <c r="J181" s="165">
        <v>1.99</v>
      </c>
      <c r="K181" s="165">
        <v>1.99</v>
      </c>
      <c r="L181" s="165">
        <v>0.0</v>
      </c>
      <c r="M181" s="72">
        <v>1.0</v>
      </c>
      <c r="N181" s="165">
        <v>1.99</v>
      </c>
    </row>
    <row r="182">
      <c r="A182" s="72" t="s">
        <v>25</v>
      </c>
      <c r="B182" s="72"/>
      <c r="C182" s="72">
        <v>64.0</v>
      </c>
      <c r="D182" s="72" t="s">
        <v>803</v>
      </c>
      <c r="E182" s="72" t="s">
        <v>682</v>
      </c>
      <c r="F182" s="167">
        <v>35755.0</v>
      </c>
      <c r="G182" s="167">
        <v>42806.0</v>
      </c>
      <c r="H182" s="167">
        <v>42806.0</v>
      </c>
      <c r="I182" s="167">
        <v>42806.0</v>
      </c>
      <c r="J182" s="42">
        <v>15.99</v>
      </c>
      <c r="K182" s="42">
        <v>3.99</v>
      </c>
      <c r="L182" s="42">
        <f>J182-K182</f>
        <v>12</v>
      </c>
      <c r="M182" s="39">
        <v>1.0</v>
      </c>
      <c r="N182" s="71">
        <f>K182/M182</f>
        <v>3.99</v>
      </c>
    </row>
    <row r="183">
      <c r="A183" s="72" t="s">
        <v>25</v>
      </c>
      <c r="B183" s="72" t="s">
        <v>204</v>
      </c>
      <c r="C183" s="72">
        <v>62.0</v>
      </c>
      <c r="D183" s="72" t="s">
        <v>804</v>
      </c>
      <c r="E183" s="72" t="s">
        <v>682</v>
      </c>
      <c r="F183" s="167">
        <v>35827.0</v>
      </c>
      <c r="G183" s="167">
        <v>40696.0</v>
      </c>
      <c r="H183" s="167">
        <v>40696.0</v>
      </c>
      <c r="I183" s="167">
        <v>40696.0</v>
      </c>
      <c r="J183" s="165">
        <v>4.99</v>
      </c>
      <c r="K183" s="165">
        <v>4.99</v>
      </c>
      <c r="L183" s="165">
        <v>0.0</v>
      </c>
      <c r="M183" s="72">
        <v>1.0</v>
      </c>
      <c r="N183" s="165">
        <v>4.99</v>
      </c>
    </row>
    <row r="184">
      <c r="A184" s="72" t="s">
        <v>25</v>
      </c>
      <c r="B184" s="72" t="s">
        <v>179</v>
      </c>
      <c r="C184" s="72">
        <v>6.0</v>
      </c>
      <c r="D184" s="72" t="s">
        <v>805</v>
      </c>
      <c r="E184" s="72" t="s">
        <v>682</v>
      </c>
      <c r="F184" s="167">
        <v>35991.0</v>
      </c>
      <c r="G184" s="167">
        <v>40538.0</v>
      </c>
      <c r="H184" s="167">
        <v>40538.0</v>
      </c>
      <c r="I184" s="167">
        <v>40538.0</v>
      </c>
      <c r="J184" s="165">
        <v>9.99</v>
      </c>
      <c r="K184" s="165">
        <v>9.99</v>
      </c>
      <c r="L184" s="165">
        <v>0.0</v>
      </c>
      <c r="M184" s="72">
        <v>70.0</v>
      </c>
      <c r="N184" s="165">
        <v>0.14</v>
      </c>
    </row>
    <row r="185">
      <c r="A185" s="72" t="s">
        <v>25</v>
      </c>
      <c r="B185" s="72" t="s">
        <v>197</v>
      </c>
      <c r="C185" s="72">
        <v>32.0</v>
      </c>
      <c r="D185" s="72" t="s">
        <v>806</v>
      </c>
      <c r="E185" s="72" t="s">
        <v>682</v>
      </c>
      <c r="F185" s="167">
        <v>36077.0</v>
      </c>
      <c r="G185" s="167">
        <v>41551.0</v>
      </c>
      <c r="H185" s="167">
        <v>45479.0</v>
      </c>
      <c r="I185" s="167">
        <v>45483.0</v>
      </c>
      <c r="J185" s="165">
        <v>4.99</v>
      </c>
      <c r="K185" s="165">
        <v>4.99</v>
      </c>
      <c r="L185" s="165">
        <v>0.0</v>
      </c>
      <c r="M185" s="72">
        <v>15.0</v>
      </c>
      <c r="N185" s="165">
        <v>0.33</v>
      </c>
    </row>
    <row r="186">
      <c r="A186" s="72" t="s">
        <v>25</v>
      </c>
      <c r="B186" s="72"/>
      <c r="C186" s="72">
        <v>65.0</v>
      </c>
      <c r="D186" s="72" t="s">
        <v>807</v>
      </c>
      <c r="E186" s="72" t="s">
        <v>682</v>
      </c>
      <c r="F186" s="167">
        <v>36119.0</v>
      </c>
      <c r="G186" s="167">
        <v>42806.0</v>
      </c>
      <c r="H186" s="167">
        <v>42806.0</v>
      </c>
      <c r="I186" s="167">
        <v>42806.0</v>
      </c>
      <c r="J186" s="42">
        <v>15.98</v>
      </c>
      <c r="K186" s="42">
        <v>3.98</v>
      </c>
      <c r="L186" s="42">
        <f>J186-K186</f>
        <v>12</v>
      </c>
      <c r="M186" s="39">
        <v>1.0</v>
      </c>
      <c r="N186" s="71">
        <f>K186/M186</f>
        <v>3.98</v>
      </c>
    </row>
    <row r="187">
      <c r="A187" s="72" t="s">
        <v>25</v>
      </c>
      <c r="B187" s="72" t="s">
        <v>244</v>
      </c>
      <c r="C187" s="72">
        <v>1.0</v>
      </c>
      <c r="D187" s="72" t="s">
        <v>808</v>
      </c>
      <c r="E187" s="72" t="s">
        <v>682</v>
      </c>
      <c r="F187" s="167">
        <v>36192.0</v>
      </c>
      <c r="G187" s="167">
        <v>42877.0</v>
      </c>
      <c r="H187" s="167">
        <v>42877.0</v>
      </c>
      <c r="I187" s="167">
        <v>42877.0</v>
      </c>
      <c r="J187" s="165">
        <v>1.49</v>
      </c>
      <c r="K187" s="165">
        <v>1.49</v>
      </c>
      <c r="L187" s="165">
        <v>0.0</v>
      </c>
      <c r="M187" s="72">
        <v>15.0</v>
      </c>
      <c r="N187" s="165">
        <v>0.1</v>
      </c>
    </row>
    <row r="188">
      <c r="A188" s="72" t="s">
        <v>25</v>
      </c>
      <c r="B188" s="72"/>
      <c r="C188" s="72">
        <v>15.0</v>
      </c>
      <c r="D188" s="72" t="s">
        <v>809</v>
      </c>
      <c r="E188" s="72" t="s">
        <v>682</v>
      </c>
      <c r="F188" s="167">
        <v>36336.0</v>
      </c>
      <c r="G188" s="167">
        <v>42218.0</v>
      </c>
      <c r="H188" s="167">
        <v>42218.0</v>
      </c>
      <c r="I188" s="167">
        <v>42218.0</v>
      </c>
      <c r="J188" s="165">
        <v>2.49</v>
      </c>
      <c r="K188" s="165">
        <v>2.49</v>
      </c>
      <c r="L188" s="165">
        <v>0.0</v>
      </c>
      <c r="M188" s="72">
        <v>5.0</v>
      </c>
      <c r="N188" s="165">
        <v>0.5</v>
      </c>
    </row>
    <row r="189">
      <c r="A189" s="72" t="s">
        <v>25</v>
      </c>
      <c r="B189" s="72" t="s">
        <v>238</v>
      </c>
      <c r="C189" s="72">
        <v>41.0</v>
      </c>
      <c r="D189" s="72" t="s">
        <v>810</v>
      </c>
      <c r="E189" s="72" t="s">
        <v>682</v>
      </c>
      <c r="F189" s="167">
        <v>36455.0</v>
      </c>
      <c r="G189" s="167">
        <v>41568.0</v>
      </c>
      <c r="H189" s="167">
        <v>41568.0</v>
      </c>
      <c r="I189" s="167">
        <v>41568.0</v>
      </c>
      <c r="J189" s="165">
        <v>4.99</v>
      </c>
      <c r="K189" s="165">
        <v>4.99</v>
      </c>
      <c r="L189" s="165">
        <v>0.0</v>
      </c>
      <c r="M189" s="72">
        <v>50.0</v>
      </c>
      <c r="N189" s="165">
        <v>0.1</v>
      </c>
    </row>
    <row r="190">
      <c r="A190" s="72" t="s">
        <v>25</v>
      </c>
      <c r="B190" s="72"/>
      <c r="C190" s="72">
        <v>66.0</v>
      </c>
      <c r="D190" s="72" t="s">
        <v>811</v>
      </c>
      <c r="E190" s="72" t="s">
        <v>682</v>
      </c>
      <c r="F190" s="167">
        <v>36497.0</v>
      </c>
      <c r="G190" s="167">
        <v>42806.0</v>
      </c>
      <c r="H190" s="167">
        <v>42806.0</v>
      </c>
      <c r="I190" s="167">
        <v>42806.0</v>
      </c>
      <c r="J190" s="165">
        <v>5.99</v>
      </c>
      <c r="K190" s="165">
        <v>1.99</v>
      </c>
      <c r="L190" s="165">
        <v>4.0</v>
      </c>
      <c r="M190" s="72">
        <v>1.0</v>
      </c>
      <c r="N190" s="165">
        <v>1.99</v>
      </c>
    </row>
    <row r="191">
      <c r="A191" s="72" t="s">
        <v>25</v>
      </c>
      <c r="B191" s="72"/>
      <c r="C191" s="72">
        <v>70.0</v>
      </c>
      <c r="D191" s="72" t="s">
        <v>812</v>
      </c>
      <c r="E191" s="72" t="s">
        <v>682</v>
      </c>
      <c r="F191" s="167">
        <v>36560.0</v>
      </c>
      <c r="G191" s="167">
        <v>42653.0</v>
      </c>
      <c r="H191" s="167">
        <v>45479.0</v>
      </c>
      <c r="I191" s="167">
        <v>45485.0</v>
      </c>
      <c r="J191" s="165">
        <v>1.99</v>
      </c>
      <c r="K191" s="165">
        <v>1.99</v>
      </c>
      <c r="L191" s="165">
        <v>0.0</v>
      </c>
      <c r="M191" s="72">
        <v>15.0</v>
      </c>
      <c r="N191" s="165">
        <v>0.13</v>
      </c>
    </row>
    <row r="192">
      <c r="A192" s="71" t="s">
        <v>25</v>
      </c>
      <c r="B192" s="39"/>
      <c r="C192" s="72">
        <v>33.0</v>
      </c>
      <c r="D192" s="72" t="s">
        <v>813</v>
      </c>
      <c r="E192" s="72" t="s">
        <v>682</v>
      </c>
      <c r="F192" s="167">
        <v>36637.0</v>
      </c>
      <c r="G192" s="167">
        <v>45800.0</v>
      </c>
      <c r="H192" s="167">
        <v>45805.0</v>
      </c>
      <c r="I192" s="167">
        <v>45807.0</v>
      </c>
      <c r="J192" s="55">
        <v>9.99</v>
      </c>
      <c r="K192" s="55">
        <v>4.99</v>
      </c>
      <c r="L192" s="55">
        <v>5.0</v>
      </c>
      <c r="M192" s="72">
        <v>11.0</v>
      </c>
      <c r="N192" s="55">
        <v>0.45</v>
      </c>
    </row>
    <row r="193">
      <c r="A193" s="72" t="s">
        <v>25</v>
      </c>
      <c r="B193" s="72" t="s">
        <v>200</v>
      </c>
      <c r="C193" s="72">
        <v>28.0</v>
      </c>
      <c r="D193" s="72" t="s">
        <v>814</v>
      </c>
      <c r="E193" s="72" t="s">
        <v>682</v>
      </c>
      <c r="F193" s="167">
        <v>36763.0</v>
      </c>
      <c r="G193" s="167">
        <v>40538.0</v>
      </c>
      <c r="H193" s="167">
        <v>40538.0</v>
      </c>
      <c r="I193" s="167">
        <v>40538.0</v>
      </c>
      <c r="J193" s="165">
        <v>9.99</v>
      </c>
      <c r="K193" s="165">
        <v>9.99</v>
      </c>
      <c r="L193" s="165">
        <v>0.0</v>
      </c>
      <c r="M193" s="72">
        <v>70.0</v>
      </c>
      <c r="N193" s="165">
        <v>0.14</v>
      </c>
    </row>
    <row r="194">
      <c r="A194" s="72" t="s">
        <v>25</v>
      </c>
      <c r="B194" s="72"/>
      <c r="C194" s="72">
        <v>67.0</v>
      </c>
      <c r="D194" s="72" t="s">
        <v>815</v>
      </c>
      <c r="E194" s="72" t="s">
        <v>682</v>
      </c>
      <c r="F194" s="167">
        <v>36847.0</v>
      </c>
      <c r="G194" s="167">
        <v>42806.0</v>
      </c>
      <c r="H194" s="167">
        <v>42806.0</v>
      </c>
      <c r="I194" s="167">
        <v>42806.0</v>
      </c>
      <c r="J194" s="165">
        <v>5.99</v>
      </c>
      <c r="K194" s="165">
        <v>1.99</v>
      </c>
      <c r="L194" s="165">
        <v>4.0</v>
      </c>
      <c r="M194" s="72">
        <v>1.0</v>
      </c>
      <c r="N194" s="165">
        <v>1.99</v>
      </c>
    </row>
    <row r="195">
      <c r="A195" s="72" t="s">
        <v>25</v>
      </c>
      <c r="B195" s="72"/>
      <c r="C195" s="72">
        <v>11.0</v>
      </c>
      <c r="D195" s="55" t="s">
        <v>816</v>
      </c>
      <c r="E195" s="55" t="s">
        <v>682</v>
      </c>
      <c r="F195" s="167">
        <v>36859.0</v>
      </c>
      <c r="G195" s="167">
        <v>40538.0</v>
      </c>
      <c r="H195" s="167">
        <v>40538.0</v>
      </c>
      <c r="I195" s="167">
        <v>40538.0</v>
      </c>
      <c r="J195" s="165">
        <v>9.99</v>
      </c>
      <c r="K195" s="165">
        <v>9.99</v>
      </c>
      <c r="L195" s="165">
        <v>0.0</v>
      </c>
      <c r="M195" s="72">
        <v>45.0</v>
      </c>
      <c r="N195" s="165">
        <v>0.22</v>
      </c>
    </row>
    <row r="196">
      <c r="A196" s="72" t="s">
        <v>25</v>
      </c>
      <c r="B196" s="72"/>
      <c r="C196" s="72">
        <v>3.0</v>
      </c>
      <c r="D196" s="72" t="s">
        <v>817</v>
      </c>
      <c r="E196" s="72" t="s">
        <v>682</v>
      </c>
      <c r="F196" s="167">
        <v>36924.0</v>
      </c>
      <c r="G196" s="167">
        <v>42877.0</v>
      </c>
      <c r="H196" s="167">
        <v>42877.0</v>
      </c>
      <c r="I196" s="167">
        <v>42877.0</v>
      </c>
      <c r="J196" s="165">
        <v>1.99</v>
      </c>
      <c r="K196" s="165">
        <v>1.99</v>
      </c>
      <c r="L196" s="165">
        <v>0.0</v>
      </c>
      <c r="M196" s="72">
        <v>10.0</v>
      </c>
      <c r="N196" s="165">
        <v>0.2</v>
      </c>
    </row>
    <row r="197">
      <c r="A197" s="72" t="s">
        <v>25</v>
      </c>
      <c r="B197" s="72"/>
      <c r="C197" s="72">
        <v>71.0</v>
      </c>
      <c r="D197" s="72" t="s">
        <v>818</v>
      </c>
      <c r="E197" s="72" t="s">
        <v>682</v>
      </c>
      <c r="F197" s="167">
        <v>36973.0</v>
      </c>
      <c r="G197" s="167">
        <v>42877.0</v>
      </c>
      <c r="H197" s="167">
        <v>42877.0</v>
      </c>
      <c r="I197" s="167">
        <v>42877.0</v>
      </c>
      <c r="J197" s="165">
        <v>1.99</v>
      </c>
      <c r="K197" s="165">
        <v>1.99</v>
      </c>
      <c r="L197" s="165">
        <v>0.0</v>
      </c>
      <c r="M197" s="72">
        <v>20.0</v>
      </c>
      <c r="N197" s="165">
        <v>0.1</v>
      </c>
    </row>
    <row r="198">
      <c r="A198" s="72" t="s">
        <v>25</v>
      </c>
      <c r="B198" s="72" t="s">
        <v>192</v>
      </c>
      <c r="C198" s="72">
        <v>145.0</v>
      </c>
      <c r="D198" s="72" t="s">
        <v>819</v>
      </c>
      <c r="E198" s="72" t="s">
        <v>645</v>
      </c>
      <c r="F198" s="167">
        <v>36854.0</v>
      </c>
      <c r="G198" s="167">
        <v>45586.0</v>
      </c>
      <c r="H198" s="167">
        <v>45586.0</v>
      </c>
      <c r="I198" s="167">
        <v>45586.0</v>
      </c>
      <c r="J198" s="165">
        <v>9.99</v>
      </c>
      <c r="K198" s="165">
        <v>6.99</v>
      </c>
      <c r="L198" s="165">
        <v>3.0</v>
      </c>
      <c r="M198" s="72">
        <v>1.0</v>
      </c>
      <c r="N198" s="165">
        <v>6.99</v>
      </c>
    </row>
    <row r="199">
      <c r="A199" s="72" t="s">
        <v>25</v>
      </c>
      <c r="B199" s="72"/>
      <c r="C199" s="72">
        <v>146.0</v>
      </c>
      <c r="D199" s="72" t="s">
        <v>820</v>
      </c>
      <c r="E199" s="72" t="s">
        <v>645</v>
      </c>
      <c r="F199" s="167">
        <v>37547.0</v>
      </c>
      <c r="G199" s="167">
        <v>45586.0</v>
      </c>
      <c r="H199" s="167">
        <v>45586.0</v>
      </c>
      <c r="I199" s="167">
        <v>45586.0</v>
      </c>
      <c r="J199" s="165">
        <v>9.99</v>
      </c>
      <c r="K199" s="165">
        <v>6.99</v>
      </c>
      <c r="L199" s="165">
        <v>3.0</v>
      </c>
      <c r="M199" s="72">
        <v>1.0</v>
      </c>
      <c r="N199" s="165">
        <v>6.99</v>
      </c>
    </row>
    <row r="200">
      <c r="A200" s="72" t="s">
        <v>25</v>
      </c>
      <c r="B200" s="72"/>
      <c r="C200" s="72">
        <v>119.0</v>
      </c>
      <c r="D200" s="72" t="s">
        <v>821</v>
      </c>
      <c r="E200" s="72" t="s">
        <v>645</v>
      </c>
      <c r="F200" s="167">
        <v>37722.0</v>
      </c>
      <c r="G200" s="167">
        <v>45177.0</v>
      </c>
      <c r="H200" s="167">
        <v>45797.0</v>
      </c>
      <c r="I200" s="167">
        <v>45798.0</v>
      </c>
      <c r="J200" s="165">
        <v>9.99</v>
      </c>
      <c r="K200" s="165">
        <v>0.0</v>
      </c>
      <c r="L200" s="165">
        <v>9.99</v>
      </c>
      <c r="M200" s="72">
        <v>2.0</v>
      </c>
      <c r="N200" s="165">
        <v>0.0</v>
      </c>
    </row>
    <row r="201">
      <c r="A201" s="72" t="s">
        <v>25</v>
      </c>
      <c r="B201" s="72"/>
      <c r="C201" s="72">
        <v>147.0</v>
      </c>
      <c r="D201" s="72" t="s">
        <v>822</v>
      </c>
      <c r="E201" s="72" t="s">
        <v>645</v>
      </c>
      <c r="F201" s="167">
        <v>38435.0</v>
      </c>
      <c r="G201" s="167">
        <v>45586.0</v>
      </c>
      <c r="H201" s="167">
        <v>45586.0</v>
      </c>
      <c r="I201" s="167">
        <v>45586.0</v>
      </c>
      <c r="J201" s="55">
        <v>9.99</v>
      </c>
      <c r="K201" s="55">
        <v>6.99</v>
      </c>
      <c r="L201" s="165">
        <v>3.0</v>
      </c>
      <c r="M201" s="72">
        <v>1.0</v>
      </c>
      <c r="N201" s="165">
        <v>6.99</v>
      </c>
    </row>
    <row r="202">
      <c r="A202" s="72" t="s">
        <v>25</v>
      </c>
      <c r="B202" s="72"/>
      <c r="C202" s="72">
        <v>140.0</v>
      </c>
      <c r="D202" s="72" t="s">
        <v>823</v>
      </c>
      <c r="E202" s="72" t="s">
        <v>645</v>
      </c>
      <c r="F202" s="167">
        <v>38898.0</v>
      </c>
      <c r="G202" s="167">
        <v>43373.0</v>
      </c>
      <c r="H202" s="167">
        <v>43373.0</v>
      </c>
      <c r="I202" s="167">
        <v>43373.0</v>
      </c>
      <c r="J202" s="165">
        <v>4.49</v>
      </c>
      <c r="K202" s="165">
        <v>4.49</v>
      </c>
      <c r="L202" s="165">
        <v>0.0</v>
      </c>
      <c r="M202" s="72">
        <v>1.0</v>
      </c>
      <c r="N202" s="165">
        <v>4.49</v>
      </c>
    </row>
    <row r="203">
      <c r="A203" s="72" t="s">
        <v>25</v>
      </c>
      <c r="B203" s="72"/>
      <c r="C203" s="72">
        <v>111.0</v>
      </c>
      <c r="D203" s="72" t="s">
        <v>824</v>
      </c>
      <c r="E203" s="72" t="s">
        <v>645</v>
      </c>
      <c r="F203" s="167">
        <v>39605.0</v>
      </c>
      <c r="G203" s="167">
        <v>42236.0</v>
      </c>
      <c r="H203" s="167">
        <v>42236.0</v>
      </c>
      <c r="I203" s="167">
        <v>42236.0</v>
      </c>
      <c r="J203" s="165">
        <v>9.99</v>
      </c>
      <c r="K203" s="165">
        <v>0.0</v>
      </c>
      <c r="L203" s="165">
        <v>9.99</v>
      </c>
      <c r="M203" s="72">
        <v>1.0</v>
      </c>
      <c r="N203" s="165">
        <v>0.0</v>
      </c>
    </row>
    <row r="204">
      <c r="A204" s="72" t="s">
        <v>25</v>
      </c>
      <c r="B204" s="72"/>
      <c r="C204" s="72">
        <v>112.0</v>
      </c>
      <c r="D204" s="72" t="s">
        <v>825</v>
      </c>
      <c r="E204" s="72" t="s">
        <v>645</v>
      </c>
      <c r="F204" s="167">
        <v>39731.0</v>
      </c>
      <c r="G204" s="167">
        <v>42236.0</v>
      </c>
      <c r="H204" s="167">
        <v>42236.0</v>
      </c>
      <c r="I204" s="167">
        <v>42236.0</v>
      </c>
      <c r="J204" s="165">
        <v>9.99</v>
      </c>
      <c r="K204" s="165">
        <v>0.0</v>
      </c>
      <c r="L204" s="165">
        <v>9.99</v>
      </c>
      <c r="M204" s="72">
        <v>1.0</v>
      </c>
      <c r="N204" s="165">
        <v>0.0</v>
      </c>
    </row>
    <row r="205">
      <c r="A205" s="72" t="s">
        <v>25</v>
      </c>
      <c r="B205" s="72" t="s">
        <v>247</v>
      </c>
      <c r="C205" s="72">
        <v>92.0</v>
      </c>
      <c r="D205" s="72" t="s">
        <v>826</v>
      </c>
      <c r="E205" s="72" t="s">
        <v>645</v>
      </c>
      <c r="F205" s="167">
        <v>40115.0</v>
      </c>
      <c r="G205" s="167">
        <v>40336.0</v>
      </c>
      <c r="H205" s="167">
        <v>40336.0</v>
      </c>
      <c r="I205" s="167">
        <v>44125.0</v>
      </c>
      <c r="J205" s="165">
        <v>2.5</v>
      </c>
      <c r="K205" s="165">
        <v>2.5</v>
      </c>
      <c r="L205" s="165">
        <v>0.0</v>
      </c>
      <c r="M205" s="72">
        <v>10.0</v>
      </c>
      <c r="N205" s="165">
        <v>0.25</v>
      </c>
    </row>
    <row r="206">
      <c r="A206" s="72" t="s">
        <v>25</v>
      </c>
      <c r="B206" s="72" t="s">
        <v>182</v>
      </c>
      <c r="C206" s="72">
        <v>154.0</v>
      </c>
      <c r="D206" s="72" t="s">
        <v>827</v>
      </c>
      <c r="E206" s="72" t="s">
        <v>37</v>
      </c>
      <c r="F206" s="167">
        <v>38611.0</v>
      </c>
      <c r="G206" s="167">
        <v>43373.0</v>
      </c>
      <c r="H206" s="167">
        <v>43373.0</v>
      </c>
      <c r="I206" s="167">
        <v>43373.0</v>
      </c>
      <c r="J206" s="165">
        <v>9.99</v>
      </c>
      <c r="K206" s="165">
        <v>9.99</v>
      </c>
      <c r="L206" s="165">
        <v>0.0</v>
      </c>
      <c r="M206" s="72">
        <v>1.0</v>
      </c>
      <c r="N206" s="165">
        <v>9.99</v>
      </c>
    </row>
    <row r="207">
      <c r="A207" s="72" t="s">
        <v>25</v>
      </c>
      <c r="B207" s="72" t="s">
        <v>225</v>
      </c>
      <c r="C207" s="72">
        <v>164.0</v>
      </c>
      <c r="D207" s="72" t="s">
        <v>828</v>
      </c>
      <c r="E207" s="72" t="s">
        <v>37</v>
      </c>
      <c r="F207" s="167">
        <v>38660.0</v>
      </c>
      <c r="G207" s="167">
        <v>42700.0</v>
      </c>
      <c r="H207" s="167">
        <v>42700.0</v>
      </c>
      <c r="I207" s="167">
        <v>42700.0</v>
      </c>
      <c r="J207" s="165">
        <v>11.66</v>
      </c>
      <c r="K207" s="165">
        <v>4.99</v>
      </c>
      <c r="L207" s="165">
        <v>6.67</v>
      </c>
      <c r="M207" s="72">
        <v>1.0</v>
      </c>
      <c r="N207" s="165">
        <v>4.99</v>
      </c>
    </row>
    <row r="208">
      <c r="A208" s="72" t="s">
        <v>25</v>
      </c>
      <c r="B208" s="72" t="s">
        <v>240</v>
      </c>
      <c r="C208" s="72">
        <v>172.0</v>
      </c>
      <c r="D208" s="72" t="s">
        <v>829</v>
      </c>
      <c r="E208" s="72" t="s">
        <v>37</v>
      </c>
      <c r="F208" s="167">
        <v>38786.0</v>
      </c>
      <c r="G208" s="167">
        <v>43373.0</v>
      </c>
      <c r="H208" s="167">
        <v>43373.0</v>
      </c>
      <c r="I208" s="167">
        <v>43373.0</v>
      </c>
      <c r="J208" s="165">
        <v>12.98</v>
      </c>
      <c r="K208" s="165">
        <v>12.98</v>
      </c>
      <c r="L208" s="165">
        <v>0.0</v>
      </c>
      <c r="M208" s="72">
        <v>1.0</v>
      </c>
      <c r="N208" s="165">
        <v>12.98</v>
      </c>
    </row>
    <row r="209">
      <c r="A209" s="72" t="s">
        <v>25</v>
      </c>
      <c r="B209" s="72"/>
      <c r="C209" s="72">
        <v>165.0</v>
      </c>
      <c r="D209" s="72" t="s">
        <v>830</v>
      </c>
      <c r="E209" s="72" t="s">
        <v>37</v>
      </c>
      <c r="F209" s="167">
        <v>39024.0</v>
      </c>
      <c r="G209" s="167">
        <v>42700.0</v>
      </c>
      <c r="H209" s="167">
        <v>45685.0</v>
      </c>
      <c r="I209" s="167">
        <v>45688.0</v>
      </c>
      <c r="J209" s="165">
        <v>11.66</v>
      </c>
      <c r="K209" s="165">
        <v>5.0</v>
      </c>
      <c r="L209" s="165">
        <v>6.66</v>
      </c>
      <c r="M209" s="72">
        <v>3.0</v>
      </c>
      <c r="N209" s="165">
        <v>1.67</v>
      </c>
    </row>
    <row r="210">
      <c r="A210" s="72" t="s">
        <v>25</v>
      </c>
      <c r="B210" s="72"/>
      <c r="C210" s="72">
        <v>179.0</v>
      </c>
      <c r="D210" s="72" t="s">
        <v>831</v>
      </c>
      <c r="E210" s="72" t="s">
        <v>37</v>
      </c>
      <c r="F210" s="167">
        <v>39430.0</v>
      </c>
      <c r="G210" s="167">
        <v>43014.0</v>
      </c>
      <c r="H210" s="167">
        <v>43014.0</v>
      </c>
      <c r="I210" s="167">
        <v>43014.0</v>
      </c>
      <c r="J210" s="165">
        <v>7.99</v>
      </c>
      <c r="K210" s="165">
        <v>7.99</v>
      </c>
      <c r="L210" s="165">
        <v>0.0</v>
      </c>
      <c r="M210" s="72">
        <v>1.0</v>
      </c>
      <c r="N210" s="165">
        <v>7.99</v>
      </c>
    </row>
    <row r="211">
      <c r="A211" s="72" t="s">
        <v>25</v>
      </c>
      <c r="B211" s="72"/>
      <c r="C211" s="72">
        <v>166.0</v>
      </c>
      <c r="D211" s="72" t="s">
        <v>832</v>
      </c>
      <c r="E211" s="72" t="s">
        <v>37</v>
      </c>
      <c r="F211" s="167">
        <v>40109.0</v>
      </c>
      <c r="G211" s="167">
        <v>42700.0</v>
      </c>
      <c r="H211" s="167">
        <v>42700.0</v>
      </c>
      <c r="I211" s="167">
        <v>42700.0</v>
      </c>
      <c r="J211" s="165">
        <v>11.66</v>
      </c>
      <c r="K211" s="165">
        <v>5.0</v>
      </c>
      <c r="L211" s="165">
        <v>6.66</v>
      </c>
      <c r="M211" s="72">
        <v>1.0</v>
      </c>
      <c r="N211" s="165">
        <v>5.0</v>
      </c>
    </row>
    <row r="212">
      <c r="A212" s="72" t="s">
        <v>25</v>
      </c>
      <c r="B212" s="72"/>
      <c r="C212" s="72">
        <v>170.0</v>
      </c>
      <c r="D212" s="72" t="s">
        <v>833</v>
      </c>
      <c r="E212" s="72" t="s">
        <v>37</v>
      </c>
      <c r="F212" s="167">
        <v>40627.0</v>
      </c>
      <c r="G212" s="167">
        <v>42236.0</v>
      </c>
      <c r="H212" s="167">
        <v>42236.0</v>
      </c>
      <c r="I212" s="167">
        <v>42236.0</v>
      </c>
      <c r="J212" s="165">
        <v>4.99</v>
      </c>
      <c r="K212" s="165">
        <v>0.0</v>
      </c>
      <c r="L212" s="165">
        <v>4.99</v>
      </c>
      <c r="M212" s="72">
        <v>1.0</v>
      </c>
      <c r="N212" s="165">
        <v>0.0</v>
      </c>
    </row>
    <row r="213">
      <c r="A213" s="72" t="s">
        <v>25</v>
      </c>
      <c r="B213" s="72"/>
      <c r="C213" s="72">
        <v>171.0</v>
      </c>
      <c r="D213" s="72" t="s">
        <v>834</v>
      </c>
      <c r="E213" s="72" t="s">
        <v>37</v>
      </c>
      <c r="F213" s="167">
        <v>40676.0</v>
      </c>
      <c r="G213" s="167">
        <v>42236.0</v>
      </c>
      <c r="H213" s="167">
        <v>42236.0</v>
      </c>
      <c r="I213" s="167">
        <v>42236.0</v>
      </c>
      <c r="J213" s="165">
        <v>4.99</v>
      </c>
      <c r="K213" s="165">
        <v>0.0</v>
      </c>
      <c r="L213" s="165">
        <v>4.99</v>
      </c>
      <c r="M213" s="72">
        <v>1.0</v>
      </c>
      <c r="N213" s="165">
        <v>0.0</v>
      </c>
    </row>
    <row r="214">
      <c r="A214" s="72" t="s">
        <v>25</v>
      </c>
      <c r="B214" s="72" t="s">
        <v>220</v>
      </c>
      <c r="C214" s="72">
        <v>403.0</v>
      </c>
      <c r="D214" s="72" t="s">
        <v>835</v>
      </c>
      <c r="E214" s="72" t="s">
        <v>649</v>
      </c>
      <c r="F214" s="167">
        <v>38789.0</v>
      </c>
      <c r="G214" s="167">
        <v>42811.0</v>
      </c>
      <c r="H214" s="167">
        <v>42837.0</v>
      </c>
      <c r="I214" s="167">
        <v>45406.0</v>
      </c>
      <c r="J214" s="165">
        <v>9.99</v>
      </c>
      <c r="K214" s="165">
        <v>9.99</v>
      </c>
      <c r="L214" s="165">
        <v>0.0</v>
      </c>
      <c r="M214" s="72">
        <v>3.0</v>
      </c>
      <c r="N214" s="165">
        <v>3.33</v>
      </c>
    </row>
    <row r="215">
      <c r="A215" s="72" t="s">
        <v>25</v>
      </c>
      <c r="B215" s="72" t="s">
        <v>235</v>
      </c>
      <c r="C215" s="72">
        <v>374.0</v>
      </c>
      <c r="D215" s="72" t="s">
        <v>836</v>
      </c>
      <c r="E215" s="72" t="s">
        <v>649</v>
      </c>
      <c r="F215" s="167">
        <v>39178.0</v>
      </c>
      <c r="G215" s="167">
        <v>44299.0</v>
      </c>
      <c r="H215" s="167">
        <v>44299.0</v>
      </c>
      <c r="I215" s="167">
        <v>44299.0</v>
      </c>
      <c r="J215" s="165">
        <v>4.99</v>
      </c>
      <c r="K215" s="165">
        <v>4.99</v>
      </c>
      <c r="L215" s="165">
        <v>0.0</v>
      </c>
      <c r="M215" s="72">
        <v>1.0</v>
      </c>
      <c r="N215" s="165">
        <v>4.99</v>
      </c>
    </row>
    <row r="216">
      <c r="A216" s="72" t="s">
        <v>25</v>
      </c>
      <c r="B216" s="72"/>
      <c r="C216" s="72">
        <v>206.0</v>
      </c>
      <c r="D216" s="72" t="s">
        <v>837</v>
      </c>
      <c r="E216" s="72" t="s">
        <v>649</v>
      </c>
      <c r="F216" s="167">
        <v>39472.0</v>
      </c>
      <c r="G216" s="167">
        <v>40705.0</v>
      </c>
      <c r="H216" s="167">
        <v>40705.0</v>
      </c>
      <c r="I216" s="167">
        <v>45675.0</v>
      </c>
      <c r="J216" s="165">
        <v>59.98</v>
      </c>
      <c r="K216" s="165">
        <v>9.99</v>
      </c>
      <c r="L216" s="165">
        <v>49.99</v>
      </c>
      <c r="M216" s="72">
        <v>17.0</v>
      </c>
      <c r="N216" s="165">
        <v>0.59</v>
      </c>
    </row>
    <row r="217">
      <c r="A217" s="72" t="s">
        <v>25</v>
      </c>
      <c r="B217" s="72"/>
      <c r="C217" s="72">
        <v>421.0</v>
      </c>
      <c r="D217" s="72" t="s">
        <v>838</v>
      </c>
      <c r="E217" s="72" t="s">
        <v>649</v>
      </c>
      <c r="F217" s="167">
        <v>39716.0</v>
      </c>
      <c r="G217" s="167">
        <v>43463.0</v>
      </c>
      <c r="H217" s="167">
        <v>43463.0</v>
      </c>
      <c r="I217" s="167">
        <v>43463.0</v>
      </c>
      <c r="J217" s="165">
        <v>22.49</v>
      </c>
      <c r="K217" s="165">
        <v>5.0</v>
      </c>
      <c r="L217" s="165">
        <v>17.49</v>
      </c>
      <c r="M217" s="72">
        <v>5.0</v>
      </c>
      <c r="N217" s="165">
        <v>1.0</v>
      </c>
    </row>
    <row r="218">
      <c r="A218" s="72" t="s">
        <v>25</v>
      </c>
      <c r="B218" s="72" t="s">
        <v>211</v>
      </c>
      <c r="C218" s="72">
        <v>286.0</v>
      </c>
      <c r="D218" s="72" t="s">
        <v>839</v>
      </c>
      <c r="E218" s="72" t="s">
        <v>649</v>
      </c>
      <c r="F218" s="167">
        <v>39757.0</v>
      </c>
      <c r="G218" s="167">
        <v>40178.0</v>
      </c>
      <c r="H218" s="167">
        <v>40178.0</v>
      </c>
      <c r="I218" s="167">
        <v>44777.0</v>
      </c>
      <c r="J218" s="165">
        <v>14.99</v>
      </c>
      <c r="K218" s="165">
        <v>10.5</v>
      </c>
      <c r="L218" s="165">
        <v>4.49</v>
      </c>
      <c r="M218" s="72">
        <v>20.0</v>
      </c>
      <c r="N218" s="165">
        <v>0.53</v>
      </c>
    </row>
    <row r="219">
      <c r="A219" s="72" t="s">
        <v>25</v>
      </c>
      <c r="B219" s="72" t="s">
        <v>186</v>
      </c>
      <c r="C219" s="72">
        <v>307.0</v>
      </c>
      <c r="D219" s="72" t="s">
        <v>840</v>
      </c>
      <c r="E219" s="72" t="s">
        <v>649</v>
      </c>
      <c r="F219" s="167">
        <v>39759.0</v>
      </c>
      <c r="G219" s="167">
        <v>40302.0</v>
      </c>
      <c r="H219" s="167">
        <v>40302.0</v>
      </c>
      <c r="I219" s="167">
        <v>44735.0</v>
      </c>
      <c r="J219" s="165">
        <v>5.0</v>
      </c>
      <c r="K219" s="165">
        <v>5.0</v>
      </c>
      <c r="L219" s="165">
        <v>0.0</v>
      </c>
      <c r="M219" s="72">
        <v>20.0</v>
      </c>
      <c r="N219" s="165">
        <v>0.25</v>
      </c>
    </row>
    <row r="220">
      <c r="A220" s="72" t="s">
        <v>25</v>
      </c>
      <c r="B220" s="72" t="s">
        <v>226</v>
      </c>
      <c r="C220" s="72">
        <v>190.0</v>
      </c>
      <c r="D220" s="72" t="s">
        <v>841</v>
      </c>
      <c r="E220" s="72" t="s">
        <v>649</v>
      </c>
      <c r="F220" s="167">
        <v>40053.0</v>
      </c>
      <c r="G220" s="167">
        <v>43922.0</v>
      </c>
      <c r="H220" s="167">
        <v>43927.0</v>
      </c>
      <c r="I220" s="167">
        <v>45647.0</v>
      </c>
      <c r="J220" s="165">
        <v>19.99</v>
      </c>
      <c r="K220" s="165">
        <v>7.99</v>
      </c>
      <c r="L220" s="165">
        <v>12.0</v>
      </c>
      <c r="M220" s="72">
        <v>22.0</v>
      </c>
      <c r="N220" s="165">
        <v>0.36</v>
      </c>
    </row>
    <row r="221">
      <c r="A221" s="72" t="s">
        <v>25</v>
      </c>
      <c r="B221" s="72" t="s">
        <v>230</v>
      </c>
      <c r="C221" s="72">
        <v>311.0</v>
      </c>
      <c r="D221" s="72" t="s">
        <v>842</v>
      </c>
      <c r="E221" s="72" t="s">
        <v>649</v>
      </c>
      <c r="F221" s="167">
        <v>40073.0</v>
      </c>
      <c r="G221" s="167">
        <v>40140.0</v>
      </c>
      <c r="H221" s="167">
        <v>40140.0</v>
      </c>
      <c r="I221" s="167">
        <v>44727.0</v>
      </c>
      <c r="J221" s="165">
        <v>19.99</v>
      </c>
      <c r="K221" s="165">
        <v>4.0</v>
      </c>
      <c r="L221" s="165">
        <v>15.99</v>
      </c>
      <c r="M221" s="72">
        <v>60.0</v>
      </c>
      <c r="N221" s="165">
        <v>0.07</v>
      </c>
    </row>
    <row r="222">
      <c r="A222" s="72" t="s">
        <v>25</v>
      </c>
      <c r="B222" s="72" t="s">
        <v>223</v>
      </c>
      <c r="C222" s="72">
        <v>207.0</v>
      </c>
      <c r="D222" s="72" t="s">
        <v>843</v>
      </c>
      <c r="E222" s="72" t="s">
        <v>649</v>
      </c>
      <c r="F222" s="167">
        <v>40116.0</v>
      </c>
      <c r="G222" s="167">
        <v>40317.0</v>
      </c>
      <c r="H222" s="167">
        <v>40317.0</v>
      </c>
      <c r="I222" s="167">
        <v>44125.0</v>
      </c>
      <c r="J222" s="165">
        <v>29.99</v>
      </c>
      <c r="K222" s="165">
        <v>29.99</v>
      </c>
      <c r="L222" s="165">
        <v>0.0</v>
      </c>
      <c r="M222" s="72">
        <v>5.0</v>
      </c>
      <c r="N222" s="165">
        <v>6.0</v>
      </c>
    </row>
    <row r="223">
      <c r="A223" s="72" t="s">
        <v>25</v>
      </c>
      <c r="B223" s="72" t="s">
        <v>203</v>
      </c>
      <c r="C223" s="72">
        <v>258.0</v>
      </c>
      <c r="D223" s="72" t="s">
        <v>844</v>
      </c>
      <c r="E223" s="72" t="s">
        <v>649</v>
      </c>
      <c r="F223" s="167">
        <v>40141.0</v>
      </c>
      <c r="G223" s="167">
        <v>42236.0</v>
      </c>
      <c r="H223" s="167">
        <v>45062.0</v>
      </c>
      <c r="I223" s="167">
        <v>45066.0</v>
      </c>
      <c r="J223" s="165">
        <v>3.99</v>
      </c>
      <c r="K223" s="165">
        <v>3.99</v>
      </c>
      <c r="L223" s="165">
        <v>0.0</v>
      </c>
      <c r="M223" s="72">
        <v>10.0</v>
      </c>
      <c r="N223" s="165">
        <v>0.4</v>
      </c>
    </row>
    <row r="224">
      <c r="A224" s="72" t="s">
        <v>25</v>
      </c>
      <c r="B224" s="72" t="s">
        <v>174</v>
      </c>
      <c r="C224" s="72">
        <v>200.0</v>
      </c>
      <c r="D224" s="72" t="s">
        <v>845</v>
      </c>
      <c r="E224" s="72" t="s">
        <v>649</v>
      </c>
      <c r="F224" s="167">
        <v>40326.0</v>
      </c>
      <c r="G224" s="167">
        <v>40327.0</v>
      </c>
      <c r="H224" s="167">
        <v>40327.0</v>
      </c>
      <c r="I224" s="167">
        <v>40331.0</v>
      </c>
      <c r="J224" s="55">
        <v>19.99</v>
      </c>
      <c r="K224" s="55">
        <v>18.0</v>
      </c>
      <c r="L224" s="165">
        <v>1.99</v>
      </c>
      <c r="M224" s="72">
        <v>25.0</v>
      </c>
      <c r="N224" s="165">
        <v>0.72</v>
      </c>
    </row>
    <row r="225">
      <c r="A225" s="72" t="s">
        <v>25</v>
      </c>
      <c r="B225" s="72"/>
      <c r="C225" s="72">
        <v>278.0</v>
      </c>
      <c r="D225" s="72" t="s">
        <v>846</v>
      </c>
      <c r="E225" s="72" t="s">
        <v>649</v>
      </c>
      <c r="F225" s="167">
        <v>40354.0</v>
      </c>
      <c r="G225" s="167">
        <v>42832.0</v>
      </c>
      <c r="H225" s="167">
        <v>42836.0</v>
      </c>
      <c r="I225" s="167">
        <v>45165.0</v>
      </c>
      <c r="J225" s="55">
        <v>20.0</v>
      </c>
      <c r="K225" s="55">
        <v>10.0</v>
      </c>
      <c r="L225" s="165">
        <v>10.0</v>
      </c>
      <c r="M225" s="72">
        <v>10.0</v>
      </c>
      <c r="N225" s="165">
        <v>1.0</v>
      </c>
    </row>
    <row r="226">
      <c r="A226" s="72" t="s">
        <v>25</v>
      </c>
      <c r="B226" s="72"/>
      <c r="C226" s="72">
        <v>228.0</v>
      </c>
      <c r="D226" s="72" t="s">
        <v>847</v>
      </c>
      <c r="E226" s="72" t="s">
        <v>649</v>
      </c>
      <c r="F226" s="167">
        <v>40473.0</v>
      </c>
      <c r="G226" s="167">
        <v>44115.0</v>
      </c>
      <c r="H226" s="167">
        <v>45127.0</v>
      </c>
      <c r="I226" s="167">
        <v>45134.0</v>
      </c>
      <c r="J226" s="55">
        <v>2.5</v>
      </c>
      <c r="K226" s="55">
        <v>2.5</v>
      </c>
      <c r="L226" s="165">
        <v>0.0</v>
      </c>
      <c r="M226" s="72">
        <v>5.0</v>
      </c>
      <c r="N226" s="165">
        <v>0.5</v>
      </c>
    </row>
    <row r="227">
      <c r="A227" s="72" t="s">
        <v>25</v>
      </c>
      <c r="B227" s="72"/>
      <c r="C227" s="72">
        <v>312.0</v>
      </c>
      <c r="D227" s="72" t="s">
        <v>848</v>
      </c>
      <c r="E227" s="72" t="s">
        <v>649</v>
      </c>
      <c r="F227" s="167">
        <v>40501.0</v>
      </c>
      <c r="G227" s="167">
        <v>45664.0</v>
      </c>
      <c r="H227" s="167">
        <v>45822.0</v>
      </c>
      <c r="I227" s="167">
        <v>45830.0</v>
      </c>
      <c r="J227" s="55">
        <v>39.99</v>
      </c>
      <c r="K227" s="55">
        <v>0.0</v>
      </c>
      <c r="L227" s="165">
        <v>39.99</v>
      </c>
      <c r="M227" s="72">
        <v>30.0</v>
      </c>
      <c r="N227" s="165">
        <v>0.0</v>
      </c>
    </row>
    <row r="228">
      <c r="A228" s="72" t="s">
        <v>25</v>
      </c>
      <c r="B228" s="72"/>
      <c r="C228" s="72">
        <v>287.0</v>
      </c>
      <c r="D228" s="72" t="s">
        <v>849</v>
      </c>
      <c r="E228" s="72" t="s">
        <v>649</v>
      </c>
      <c r="F228" s="167">
        <v>40562.0</v>
      </c>
      <c r="G228" s="167">
        <v>40895.0</v>
      </c>
      <c r="H228" s="167">
        <v>40895.0</v>
      </c>
      <c r="I228" s="167">
        <v>44777.0</v>
      </c>
      <c r="J228" s="165">
        <v>29.99</v>
      </c>
      <c r="K228" s="165">
        <v>19.49</v>
      </c>
      <c r="L228" s="165">
        <v>10.5</v>
      </c>
      <c r="M228" s="72">
        <v>20.0</v>
      </c>
      <c r="N228" s="165">
        <v>0.97</v>
      </c>
    </row>
    <row r="229">
      <c r="A229" s="72" t="s">
        <v>25</v>
      </c>
      <c r="B229" s="72"/>
      <c r="C229" s="72">
        <v>308.0</v>
      </c>
      <c r="D229" s="72" t="s">
        <v>850</v>
      </c>
      <c r="E229" s="72" t="s">
        <v>649</v>
      </c>
      <c r="F229" s="167">
        <v>40633.0</v>
      </c>
      <c r="G229" s="167">
        <v>41392.0</v>
      </c>
      <c r="H229" s="167">
        <v>41392.0</v>
      </c>
      <c r="I229" s="167">
        <v>44778.0</v>
      </c>
      <c r="J229" s="165">
        <v>14.99</v>
      </c>
      <c r="K229" s="165">
        <v>14.99</v>
      </c>
      <c r="L229" s="165">
        <v>0.0</v>
      </c>
      <c r="M229" s="72">
        <v>10.0</v>
      </c>
      <c r="N229" s="165">
        <v>1.5</v>
      </c>
    </row>
    <row r="230">
      <c r="A230" s="72" t="s">
        <v>25</v>
      </c>
      <c r="B230" s="72" t="s">
        <v>232</v>
      </c>
      <c r="C230" s="72">
        <v>204.0</v>
      </c>
      <c r="D230" s="72" t="s">
        <v>851</v>
      </c>
      <c r="E230" s="72" t="s">
        <v>649</v>
      </c>
      <c r="F230" s="167">
        <v>40676.0</v>
      </c>
      <c r="G230" s="167">
        <v>41632.0</v>
      </c>
      <c r="H230" s="167">
        <v>41632.0</v>
      </c>
      <c r="I230" s="167">
        <v>44792.0</v>
      </c>
      <c r="J230" s="55">
        <v>19.99</v>
      </c>
      <c r="K230" s="55">
        <v>0.5</v>
      </c>
      <c r="L230" s="165">
        <v>19.49</v>
      </c>
      <c r="M230" s="72">
        <v>7.0</v>
      </c>
      <c r="N230" s="165">
        <v>0.07</v>
      </c>
    </row>
    <row r="231">
      <c r="A231" s="72" t="s">
        <v>25</v>
      </c>
      <c r="B231" s="72" t="s">
        <v>181</v>
      </c>
      <c r="C231" s="72">
        <v>194.0</v>
      </c>
      <c r="D231" s="72" t="s">
        <v>852</v>
      </c>
      <c r="E231" s="72" t="s">
        <v>649</v>
      </c>
      <c r="F231" s="167">
        <v>40834.0</v>
      </c>
      <c r="G231" s="167">
        <v>40944.0</v>
      </c>
      <c r="H231" s="167">
        <v>40944.0</v>
      </c>
      <c r="I231" s="167">
        <v>44762.0</v>
      </c>
      <c r="J231" s="165">
        <v>6.99</v>
      </c>
      <c r="K231" s="165">
        <v>6.99</v>
      </c>
      <c r="L231" s="165">
        <v>0.0</v>
      </c>
      <c r="M231" s="72">
        <v>20.0</v>
      </c>
      <c r="N231" s="165">
        <v>0.35</v>
      </c>
    </row>
    <row r="232">
      <c r="A232" s="72" t="s">
        <v>25</v>
      </c>
      <c r="B232" s="72"/>
      <c r="C232" s="72">
        <v>191.0</v>
      </c>
      <c r="D232" s="72" t="s">
        <v>853</v>
      </c>
      <c r="E232" s="72" t="s">
        <v>649</v>
      </c>
      <c r="F232" s="167">
        <v>40837.0</v>
      </c>
      <c r="G232" s="167">
        <v>43922.0</v>
      </c>
      <c r="H232" s="167">
        <v>43976.0</v>
      </c>
      <c r="I232" s="167">
        <v>45648.0</v>
      </c>
      <c r="J232" s="165">
        <v>19.99</v>
      </c>
      <c r="K232" s="165">
        <v>7.99</v>
      </c>
      <c r="L232" s="165">
        <v>12.0</v>
      </c>
      <c r="M232" s="72">
        <v>20.0</v>
      </c>
      <c r="N232" s="165">
        <v>0.4</v>
      </c>
    </row>
    <row r="233">
      <c r="A233" s="72" t="s">
        <v>25</v>
      </c>
      <c r="B233" s="72"/>
      <c r="C233" s="72">
        <v>279.0</v>
      </c>
      <c r="D233" s="72" t="s">
        <v>854</v>
      </c>
      <c r="E233" s="72" t="s">
        <v>649</v>
      </c>
      <c r="F233" s="167">
        <v>40865.0</v>
      </c>
      <c r="G233" s="167">
        <v>42832.0</v>
      </c>
      <c r="H233" s="167">
        <v>42832.0</v>
      </c>
      <c r="I233" s="167">
        <v>42832.0</v>
      </c>
      <c r="J233" s="165">
        <v>19.99</v>
      </c>
      <c r="K233" s="165">
        <v>9.99</v>
      </c>
      <c r="L233" s="165">
        <v>10.0</v>
      </c>
      <c r="M233" s="72">
        <v>10.0</v>
      </c>
      <c r="N233" s="165">
        <v>1.0</v>
      </c>
    </row>
    <row r="234">
      <c r="A234" s="72" t="s">
        <v>25</v>
      </c>
      <c r="B234" s="72"/>
      <c r="C234" s="72">
        <v>309.0</v>
      </c>
      <c r="D234" s="72" t="s">
        <v>855</v>
      </c>
      <c r="E234" s="72" t="s">
        <v>649</v>
      </c>
      <c r="F234" s="167">
        <v>40961.0</v>
      </c>
      <c r="G234" s="167">
        <v>43014.0</v>
      </c>
      <c r="H234" s="167">
        <v>44110.0</v>
      </c>
      <c r="I234" s="167">
        <v>44872.0</v>
      </c>
      <c r="J234" s="165">
        <v>8.99</v>
      </c>
      <c r="K234" s="165">
        <v>3.99</v>
      </c>
      <c r="L234" s="165">
        <v>5.0</v>
      </c>
      <c r="M234" s="72">
        <v>25.0</v>
      </c>
      <c r="N234" s="165">
        <v>0.16</v>
      </c>
    </row>
    <row r="235">
      <c r="A235" s="72" t="s">
        <v>25</v>
      </c>
      <c r="B235" s="72"/>
      <c r="C235" s="72">
        <v>363.0</v>
      </c>
      <c r="D235" s="72" t="s">
        <v>856</v>
      </c>
      <c r="E235" s="72" t="s">
        <v>649</v>
      </c>
      <c r="F235" s="167">
        <v>41033.0</v>
      </c>
      <c r="G235" s="167">
        <v>44708.0</v>
      </c>
      <c r="H235" s="167">
        <v>44708.0</v>
      </c>
      <c r="I235" s="167">
        <v>44708.0</v>
      </c>
      <c r="J235" s="165">
        <v>34.99</v>
      </c>
      <c r="K235" s="165">
        <v>3.49</v>
      </c>
      <c r="L235" s="165">
        <v>31.5</v>
      </c>
      <c r="M235" s="72">
        <v>1.0</v>
      </c>
      <c r="N235" s="165">
        <v>3.49</v>
      </c>
    </row>
    <row r="236">
      <c r="A236" s="72" t="s">
        <v>25</v>
      </c>
      <c r="B236" s="72"/>
      <c r="C236" s="72">
        <v>280.0</v>
      </c>
      <c r="D236" s="72" t="s">
        <v>857</v>
      </c>
      <c r="E236" s="72" t="s">
        <v>649</v>
      </c>
      <c r="F236" s="167">
        <v>41082.0</v>
      </c>
      <c r="G236" s="167">
        <v>42236.0</v>
      </c>
      <c r="H236" s="167">
        <v>42236.0</v>
      </c>
      <c r="I236" s="167">
        <v>44865.0</v>
      </c>
      <c r="J236" s="165">
        <v>19.99</v>
      </c>
      <c r="K236" s="165">
        <v>0.0</v>
      </c>
      <c r="L236" s="165">
        <v>19.99</v>
      </c>
      <c r="M236" s="72">
        <v>30.0</v>
      </c>
      <c r="N236" s="165">
        <v>0.0</v>
      </c>
    </row>
    <row r="237">
      <c r="A237" s="72" t="s">
        <v>25</v>
      </c>
      <c r="B237" s="72" t="s">
        <v>198</v>
      </c>
      <c r="C237" s="72">
        <v>270.0</v>
      </c>
      <c r="D237" s="72" t="s">
        <v>858</v>
      </c>
      <c r="E237" s="72" t="s">
        <v>649</v>
      </c>
      <c r="F237" s="167">
        <v>41192.0</v>
      </c>
      <c r="G237" s="167">
        <v>41373.0</v>
      </c>
      <c r="H237" s="167">
        <v>41373.0</v>
      </c>
      <c r="I237" s="167">
        <v>44754.0</v>
      </c>
      <c r="J237" s="165">
        <v>12.99</v>
      </c>
      <c r="K237" s="165">
        <v>12.99</v>
      </c>
      <c r="L237" s="165">
        <v>0.0</v>
      </c>
      <c r="M237" s="72">
        <v>7.0</v>
      </c>
      <c r="N237" s="165">
        <v>1.86</v>
      </c>
    </row>
    <row r="238">
      <c r="A238" s="72" t="s">
        <v>25</v>
      </c>
      <c r="B238" s="72"/>
      <c r="C238" s="72">
        <v>423.0</v>
      </c>
      <c r="D238" s="55" t="s">
        <v>859</v>
      </c>
      <c r="E238" s="55" t="s">
        <v>649</v>
      </c>
      <c r="F238" s="167">
        <v>41192.0</v>
      </c>
      <c r="G238" s="167">
        <v>42201.0</v>
      </c>
      <c r="H238" s="167">
        <v>42201.0</v>
      </c>
      <c r="I238" s="167">
        <v>44861.0</v>
      </c>
      <c r="J238" s="165">
        <v>14.99</v>
      </c>
      <c r="K238" s="165">
        <v>0.0</v>
      </c>
      <c r="L238" s="165">
        <v>14.99</v>
      </c>
      <c r="M238" s="72">
        <v>5.0</v>
      </c>
      <c r="N238" s="165">
        <v>0.0</v>
      </c>
    </row>
    <row r="239">
      <c r="A239" s="72" t="s">
        <v>25</v>
      </c>
      <c r="B239" s="72"/>
      <c r="C239" s="72">
        <v>314.0</v>
      </c>
      <c r="D239" s="72" t="s">
        <v>860</v>
      </c>
      <c r="E239" s="72" t="s">
        <v>649</v>
      </c>
      <c r="F239" s="167">
        <v>41215.0</v>
      </c>
      <c r="G239" s="167">
        <v>41493.0</v>
      </c>
      <c r="H239" s="167">
        <v>41494.0</v>
      </c>
      <c r="I239" s="167">
        <v>44783.0</v>
      </c>
      <c r="J239" s="165">
        <v>19.99</v>
      </c>
      <c r="K239" s="165">
        <v>0.0</v>
      </c>
      <c r="L239" s="165">
        <v>19.99</v>
      </c>
      <c r="M239" s="72">
        <v>25.0</v>
      </c>
      <c r="N239" s="165">
        <v>0.0</v>
      </c>
    </row>
    <row r="240">
      <c r="A240" s="72" t="s">
        <v>25</v>
      </c>
      <c r="B240" s="72" t="s">
        <v>177</v>
      </c>
      <c r="C240" s="72">
        <v>420.0</v>
      </c>
      <c r="D240" s="72" t="s">
        <v>861</v>
      </c>
      <c r="E240" s="72" t="s">
        <v>649</v>
      </c>
      <c r="F240" s="167">
        <v>41219.0</v>
      </c>
      <c r="G240" s="167">
        <v>44422.0</v>
      </c>
      <c r="H240" s="167">
        <v>45060.0</v>
      </c>
      <c r="I240" s="167">
        <v>45068.0</v>
      </c>
      <c r="J240" s="165">
        <v>4.99</v>
      </c>
      <c r="K240" s="165">
        <v>4.99</v>
      </c>
      <c r="L240" s="165">
        <v>0.0</v>
      </c>
      <c r="M240" s="72">
        <v>5.0</v>
      </c>
      <c r="N240" s="165">
        <v>1.0</v>
      </c>
    </row>
    <row r="241">
      <c r="A241" s="72" t="s">
        <v>25</v>
      </c>
      <c r="B241" s="72" t="s">
        <v>194</v>
      </c>
      <c r="C241" s="72">
        <v>386.0</v>
      </c>
      <c r="D241" s="72" t="s">
        <v>862</v>
      </c>
      <c r="E241" s="72" t="s">
        <v>649</v>
      </c>
      <c r="F241" s="167">
        <v>41229.0</v>
      </c>
      <c r="G241" s="167">
        <v>44299.0</v>
      </c>
      <c r="H241" s="167">
        <v>44377.0</v>
      </c>
      <c r="I241" s="167">
        <v>44377.0</v>
      </c>
      <c r="J241" s="165">
        <v>9.99</v>
      </c>
      <c r="K241" s="165">
        <v>9.99</v>
      </c>
      <c r="L241" s="165">
        <v>0.0</v>
      </c>
      <c r="M241" s="72">
        <v>2.0</v>
      </c>
      <c r="N241" s="165">
        <v>5.0</v>
      </c>
    </row>
    <row r="242">
      <c r="A242" s="72" t="s">
        <v>25</v>
      </c>
      <c r="B242" s="72" t="s">
        <v>180</v>
      </c>
      <c r="C242" s="72">
        <v>232.0</v>
      </c>
      <c r="D242" s="72" t="s">
        <v>863</v>
      </c>
      <c r="E242" s="72" t="s">
        <v>649</v>
      </c>
      <c r="F242" s="167">
        <v>41229.0</v>
      </c>
      <c r="G242" s="167">
        <v>41374.0</v>
      </c>
      <c r="H242" s="167">
        <v>41375.0</v>
      </c>
      <c r="I242" s="167">
        <v>44764.0</v>
      </c>
      <c r="J242" s="165">
        <v>24.99</v>
      </c>
      <c r="K242" s="165">
        <v>9.99</v>
      </c>
      <c r="L242" s="165">
        <v>15.0</v>
      </c>
      <c r="M242" s="72">
        <v>25.0</v>
      </c>
      <c r="N242" s="165">
        <v>0.4</v>
      </c>
    </row>
    <row r="243">
      <c r="A243" s="72" t="s">
        <v>25</v>
      </c>
      <c r="B243" s="72"/>
      <c r="C243" s="72">
        <v>413.0</v>
      </c>
      <c r="D243" s="72" t="s">
        <v>864</v>
      </c>
      <c r="E243" s="72" t="s">
        <v>649</v>
      </c>
      <c r="F243" s="167">
        <v>41351.0</v>
      </c>
      <c r="G243" s="167">
        <v>42811.0</v>
      </c>
      <c r="H243" s="167">
        <v>42828.0</v>
      </c>
      <c r="I243" s="167">
        <v>45408.0</v>
      </c>
      <c r="J243" s="165">
        <v>9.99</v>
      </c>
      <c r="K243" s="165">
        <v>9.99</v>
      </c>
      <c r="L243" s="165">
        <v>0.0</v>
      </c>
      <c r="M243" s="72">
        <v>5.0</v>
      </c>
      <c r="N243" s="165">
        <v>2.0</v>
      </c>
    </row>
    <row r="244">
      <c r="A244" s="72" t="s">
        <v>25</v>
      </c>
      <c r="B244" s="72" t="s">
        <v>173</v>
      </c>
      <c r="C244" s="72">
        <v>401.0</v>
      </c>
      <c r="D244" s="72" t="s">
        <v>865</v>
      </c>
      <c r="E244" s="72" t="s">
        <v>649</v>
      </c>
      <c r="F244" s="167">
        <v>41388.0</v>
      </c>
      <c r="G244" s="167">
        <v>41410.0</v>
      </c>
      <c r="H244" s="167">
        <v>41410.0</v>
      </c>
      <c r="I244" s="167">
        <v>44764.0</v>
      </c>
      <c r="J244" s="165">
        <v>7.99</v>
      </c>
      <c r="K244" s="165">
        <v>0.0</v>
      </c>
      <c r="L244" s="165">
        <v>7.99</v>
      </c>
      <c r="M244" s="72">
        <v>2.0</v>
      </c>
      <c r="N244" s="165">
        <v>0.0</v>
      </c>
    </row>
    <row r="245">
      <c r="A245" s="72" t="s">
        <v>25</v>
      </c>
      <c r="B245" s="72" t="s">
        <v>183</v>
      </c>
      <c r="C245" s="72">
        <v>370.0</v>
      </c>
      <c r="D245" s="72" t="s">
        <v>866</v>
      </c>
      <c r="E245" s="72" t="s">
        <v>649</v>
      </c>
      <c r="F245" s="167">
        <v>41479.0</v>
      </c>
      <c r="G245" s="167">
        <v>41522.0</v>
      </c>
      <c r="H245" s="167">
        <v>41522.0</v>
      </c>
      <c r="I245" s="167">
        <v>44791.0</v>
      </c>
      <c r="J245" s="165">
        <v>8.49</v>
      </c>
      <c r="K245" s="165">
        <v>2.49</v>
      </c>
      <c r="L245" s="165">
        <v>6.0</v>
      </c>
      <c r="M245" s="72">
        <v>5.0</v>
      </c>
      <c r="N245" s="165">
        <v>0.5</v>
      </c>
    </row>
    <row r="246">
      <c r="A246" s="72" t="s">
        <v>25</v>
      </c>
      <c r="B246" s="72"/>
      <c r="C246" s="72">
        <v>376.0</v>
      </c>
      <c r="D246" s="72" t="s">
        <v>867</v>
      </c>
      <c r="E246" s="72" t="s">
        <v>649</v>
      </c>
      <c r="F246" s="167">
        <v>41486.0</v>
      </c>
      <c r="G246" s="167">
        <v>41558.0</v>
      </c>
      <c r="H246" s="167">
        <v>41558.0</v>
      </c>
      <c r="I246" s="167">
        <v>44793.0</v>
      </c>
      <c r="J246" s="165">
        <v>9.99</v>
      </c>
      <c r="K246" s="165">
        <v>9.99</v>
      </c>
      <c r="L246" s="165">
        <v>0.0</v>
      </c>
      <c r="M246" s="72">
        <v>30.0</v>
      </c>
      <c r="N246" s="165">
        <v>0.33</v>
      </c>
    </row>
    <row r="247">
      <c r="A247" s="72" t="s">
        <v>25</v>
      </c>
      <c r="B247" s="72" t="s">
        <v>236</v>
      </c>
      <c r="C247" s="72">
        <v>291.0</v>
      </c>
      <c r="D247" s="72" t="s">
        <v>868</v>
      </c>
      <c r="E247" s="72" t="s">
        <v>649</v>
      </c>
      <c r="F247" s="167">
        <v>41542.0</v>
      </c>
      <c r="G247" s="167">
        <v>43373.0</v>
      </c>
      <c r="H247" s="167">
        <v>43373.0</v>
      </c>
      <c r="I247" s="167">
        <v>43373.0</v>
      </c>
      <c r="J247" s="165">
        <v>9.99</v>
      </c>
      <c r="K247" s="165">
        <v>9.99</v>
      </c>
      <c r="L247" s="165">
        <v>0.0</v>
      </c>
      <c r="M247" s="72">
        <v>1.0</v>
      </c>
      <c r="N247" s="165">
        <v>9.99</v>
      </c>
    </row>
    <row r="248">
      <c r="A248" s="72" t="s">
        <v>25</v>
      </c>
      <c r="B248" s="72"/>
      <c r="C248" s="72">
        <v>281.0</v>
      </c>
      <c r="D248" s="72" t="s">
        <v>869</v>
      </c>
      <c r="E248" s="72" t="s">
        <v>649</v>
      </c>
      <c r="F248" s="167">
        <v>41593.0</v>
      </c>
      <c r="G248" s="167">
        <v>44203.0</v>
      </c>
      <c r="H248" s="167">
        <v>44220.0</v>
      </c>
      <c r="I248" s="167">
        <v>44222.0</v>
      </c>
      <c r="J248" s="165">
        <v>39.99</v>
      </c>
      <c r="K248" s="165">
        <v>9.99</v>
      </c>
      <c r="L248" s="165">
        <v>30.0</v>
      </c>
      <c r="M248" s="72">
        <v>7.0</v>
      </c>
      <c r="N248" s="165">
        <v>1.43</v>
      </c>
    </row>
    <row r="249">
      <c r="A249" s="72" t="s">
        <v>25</v>
      </c>
      <c r="B249" s="72" t="s">
        <v>239</v>
      </c>
      <c r="C249" s="72">
        <v>329.0</v>
      </c>
      <c r="D249" s="72" t="s">
        <v>870</v>
      </c>
      <c r="E249" s="72" t="s">
        <v>649</v>
      </c>
      <c r="F249" s="167">
        <v>41607.0</v>
      </c>
      <c r="G249" s="167">
        <v>43433.0</v>
      </c>
      <c r="H249" s="167">
        <v>43434.0</v>
      </c>
      <c r="I249" s="167">
        <v>44442.0</v>
      </c>
      <c r="J249" s="165">
        <v>24.99</v>
      </c>
      <c r="K249" s="165">
        <v>6.99</v>
      </c>
      <c r="L249" s="165">
        <v>18.0</v>
      </c>
      <c r="M249" s="72">
        <v>9.0</v>
      </c>
      <c r="N249" s="165">
        <v>0.78</v>
      </c>
    </row>
    <row r="250">
      <c r="A250" s="72" t="s">
        <v>25</v>
      </c>
      <c r="B250" s="72" t="s">
        <v>199</v>
      </c>
      <c r="C250" s="72">
        <v>261.0</v>
      </c>
      <c r="D250" s="72" t="s">
        <v>871</v>
      </c>
      <c r="E250" s="72" t="s">
        <v>649</v>
      </c>
      <c r="F250" s="167">
        <v>41864.0</v>
      </c>
      <c r="G250" s="167">
        <v>42925.0</v>
      </c>
      <c r="H250" s="167">
        <v>42925.0</v>
      </c>
      <c r="I250" s="167">
        <v>42925.0</v>
      </c>
      <c r="J250" s="165">
        <v>12.99</v>
      </c>
      <c r="K250" s="165">
        <v>3.99</v>
      </c>
      <c r="L250" s="165">
        <v>9.0</v>
      </c>
      <c r="M250" s="72">
        <v>1.0</v>
      </c>
      <c r="N250" s="165">
        <v>3.99</v>
      </c>
    </row>
    <row r="251">
      <c r="A251" s="72" t="s">
        <v>25</v>
      </c>
      <c r="B251" s="72" t="s">
        <v>210</v>
      </c>
      <c r="C251" s="72">
        <v>251.0</v>
      </c>
      <c r="D251" s="72" t="s">
        <v>872</v>
      </c>
      <c r="E251" s="72" t="s">
        <v>649</v>
      </c>
      <c r="F251" s="167">
        <v>41968.0</v>
      </c>
      <c r="G251" s="167">
        <v>42887.0</v>
      </c>
      <c r="H251" s="167">
        <v>42904.0</v>
      </c>
      <c r="I251" s="167">
        <v>45426.0</v>
      </c>
      <c r="J251" s="165">
        <v>14.99</v>
      </c>
      <c r="K251" s="165">
        <v>3.99</v>
      </c>
      <c r="L251" s="165">
        <v>11.0</v>
      </c>
      <c r="M251" s="72">
        <v>5.0</v>
      </c>
      <c r="N251" s="165">
        <v>0.8</v>
      </c>
    </row>
    <row r="252">
      <c r="A252" s="72" t="s">
        <v>25</v>
      </c>
      <c r="B252" s="72"/>
      <c r="C252" s="72">
        <v>289.0</v>
      </c>
      <c r="D252" s="72" t="s">
        <v>873</v>
      </c>
      <c r="E252" s="72" t="s">
        <v>649</v>
      </c>
      <c r="F252" s="167">
        <v>41969.0</v>
      </c>
      <c r="G252" s="167">
        <v>43014.0</v>
      </c>
      <c r="H252" s="167">
        <v>43014.0</v>
      </c>
      <c r="I252" s="167">
        <v>43014.0</v>
      </c>
      <c r="J252" s="165">
        <v>49.99</v>
      </c>
      <c r="K252" s="165">
        <v>9.99</v>
      </c>
      <c r="L252" s="165">
        <v>40.0</v>
      </c>
      <c r="M252" s="72">
        <v>1.0</v>
      </c>
      <c r="N252" s="165">
        <v>9.99</v>
      </c>
    </row>
    <row r="253">
      <c r="A253" s="72" t="s">
        <v>25</v>
      </c>
      <c r="B253" s="72"/>
      <c r="C253" s="72">
        <v>371.0</v>
      </c>
      <c r="D253" s="72" t="s">
        <v>874</v>
      </c>
      <c r="E253" s="72" t="s">
        <v>649</v>
      </c>
      <c r="F253" s="167">
        <v>42102.0</v>
      </c>
      <c r="G253" s="167">
        <v>42811.0</v>
      </c>
      <c r="H253" s="167">
        <v>43189.0</v>
      </c>
      <c r="I253" s="167">
        <v>44791.0</v>
      </c>
      <c r="J253" s="165">
        <v>8.49</v>
      </c>
      <c r="K253" s="165">
        <v>2.49</v>
      </c>
      <c r="L253" s="165">
        <v>6.0</v>
      </c>
      <c r="M253" s="72">
        <v>1.0</v>
      </c>
      <c r="N253" s="165">
        <v>2.49</v>
      </c>
    </row>
    <row r="254">
      <c r="A254" s="72" t="s">
        <v>25</v>
      </c>
      <c r="B254" s="72" t="s">
        <v>253</v>
      </c>
      <c r="C254" s="72">
        <v>328.0</v>
      </c>
      <c r="D254" s="72" t="s">
        <v>875</v>
      </c>
      <c r="E254" s="72" t="s">
        <v>649</v>
      </c>
      <c r="F254" s="167">
        <v>42269.0</v>
      </c>
      <c r="G254" s="167">
        <v>42939.0</v>
      </c>
      <c r="H254" s="167">
        <v>42939.0</v>
      </c>
      <c r="I254" s="167">
        <v>42939.0</v>
      </c>
      <c r="J254" s="165">
        <v>9.99</v>
      </c>
      <c r="K254" s="165">
        <v>2.99</v>
      </c>
      <c r="L254" s="165">
        <v>7.0</v>
      </c>
      <c r="M254" s="72">
        <v>1.0</v>
      </c>
      <c r="N254" s="165">
        <v>2.99</v>
      </c>
    </row>
    <row r="255">
      <c r="A255" s="72" t="s">
        <v>25</v>
      </c>
      <c r="B255" s="72"/>
      <c r="C255" s="72">
        <v>493.0</v>
      </c>
      <c r="D255" s="72" t="s">
        <v>876</v>
      </c>
      <c r="E255" s="72" t="s">
        <v>671</v>
      </c>
      <c r="F255" s="167">
        <v>40961.0</v>
      </c>
      <c r="G255" s="167">
        <v>43463.0</v>
      </c>
      <c r="H255" s="167">
        <v>43463.0</v>
      </c>
      <c r="I255" s="167">
        <v>43463.0</v>
      </c>
      <c r="J255" s="165">
        <v>22.49</v>
      </c>
      <c r="K255" s="165">
        <v>4.99</v>
      </c>
      <c r="L255" s="165">
        <v>17.5</v>
      </c>
      <c r="M255" s="72">
        <v>10.0</v>
      </c>
      <c r="N255" s="165">
        <v>0.5</v>
      </c>
    </row>
    <row r="256">
      <c r="A256" s="72" t="s">
        <v>25</v>
      </c>
      <c r="B256" s="72"/>
      <c r="C256" s="72">
        <v>468.0</v>
      </c>
      <c r="D256" s="72" t="s">
        <v>877</v>
      </c>
      <c r="E256" s="72" t="s">
        <v>671</v>
      </c>
      <c r="F256" s="167">
        <v>41194.0</v>
      </c>
      <c r="G256" s="167">
        <v>43373.0</v>
      </c>
      <c r="H256" s="167">
        <v>45041.0</v>
      </c>
      <c r="I256" s="167">
        <v>45043.0</v>
      </c>
      <c r="J256" s="165">
        <v>19.99</v>
      </c>
      <c r="K256" s="165">
        <v>19.99</v>
      </c>
      <c r="L256" s="165">
        <v>0.0</v>
      </c>
      <c r="M256" s="72">
        <v>25.0</v>
      </c>
      <c r="N256" s="165">
        <v>0.8</v>
      </c>
    </row>
    <row r="257">
      <c r="A257" s="72" t="s">
        <v>25</v>
      </c>
      <c r="B257" s="72" t="s">
        <v>187</v>
      </c>
      <c r="C257" s="72">
        <v>459.0</v>
      </c>
      <c r="D257" s="72" t="s">
        <v>878</v>
      </c>
      <c r="E257" s="72" t="s">
        <v>671</v>
      </c>
      <c r="F257" s="167">
        <v>41365.0</v>
      </c>
      <c r="G257" s="167">
        <v>42840.0</v>
      </c>
      <c r="H257" s="167">
        <v>42868.0</v>
      </c>
      <c r="I257" s="167">
        <v>44871.0</v>
      </c>
      <c r="J257" s="165">
        <v>3.59</v>
      </c>
      <c r="K257" s="165">
        <v>3.59</v>
      </c>
      <c r="L257" s="165">
        <v>0.0</v>
      </c>
      <c r="M257" s="72">
        <v>5.0</v>
      </c>
      <c r="N257" s="165">
        <v>0.72</v>
      </c>
    </row>
    <row r="258">
      <c r="A258" s="72" t="s">
        <v>25</v>
      </c>
      <c r="B258" s="72" t="s">
        <v>195</v>
      </c>
      <c r="C258" s="72">
        <v>489.0</v>
      </c>
      <c r="D258" s="72" t="s">
        <v>879</v>
      </c>
      <c r="E258" s="72" t="s">
        <v>671</v>
      </c>
      <c r="F258" s="167">
        <v>41409.0</v>
      </c>
      <c r="G258" s="167">
        <v>42224.0</v>
      </c>
      <c r="H258" s="167">
        <v>42224.0</v>
      </c>
      <c r="I258" s="167">
        <v>44866.0</v>
      </c>
      <c r="J258" s="165">
        <v>7.99</v>
      </c>
      <c r="K258" s="165">
        <v>7.99</v>
      </c>
      <c r="L258" s="165">
        <v>0.0</v>
      </c>
      <c r="M258" s="72">
        <v>5.0</v>
      </c>
      <c r="N258" s="165">
        <v>1.6</v>
      </c>
    </row>
    <row r="259">
      <c r="A259" s="72" t="s">
        <v>25</v>
      </c>
      <c r="B259" s="72" t="s">
        <v>227</v>
      </c>
      <c r="C259" s="72">
        <v>453.0</v>
      </c>
      <c r="D259" s="72" t="s">
        <v>880</v>
      </c>
      <c r="E259" s="72" t="s">
        <v>671</v>
      </c>
      <c r="F259" s="167">
        <v>41661.0</v>
      </c>
      <c r="G259" s="167">
        <v>42791.0</v>
      </c>
      <c r="H259" s="167">
        <v>42791.0</v>
      </c>
      <c r="I259" s="167">
        <v>42791.0</v>
      </c>
      <c r="J259" s="165">
        <v>24.99</v>
      </c>
      <c r="K259" s="165">
        <v>9.99</v>
      </c>
      <c r="L259" s="165">
        <v>15.0</v>
      </c>
      <c r="M259" s="72">
        <v>1.0</v>
      </c>
      <c r="N259" s="165">
        <v>9.99</v>
      </c>
    </row>
    <row r="260">
      <c r="A260" s="72" t="s">
        <v>25</v>
      </c>
      <c r="B260" s="72"/>
      <c r="C260" s="72">
        <v>475.0</v>
      </c>
      <c r="D260" s="72" t="s">
        <v>881</v>
      </c>
      <c r="E260" s="72" t="s">
        <v>671</v>
      </c>
      <c r="F260" s="167">
        <v>41675.0</v>
      </c>
      <c r="G260" s="167">
        <v>43373.0</v>
      </c>
      <c r="H260" s="167">
        <v>43423.0</v>
      </c>
      <c r="I260" s="167">
        <v>44948.0</v>
      </c>
      <c r="J260" s="165">
        <v>4.99</v>
      </c>
      <c r="K260" s="165">
        <v>4.99</v>
      </c>
      <c r="L260" s="165">
        <v>0.0</v>
      </c>
      <c r="M260" s="72">
        <v>5.0</v>
      </c>
      <c r="N260" s="165">
        <v>1.0</v>
      </c>
    </row>
    <row r="261">
      <c r="A261" s="72" t="s">
        <v>25</v>
      </c>
      <c r="B261" s="72" t="s">
        <v>208</v>
      </c>
      <c r="C261" s="72">
        <v>484.0</v>
      </c>
      <c r="D261" s="72" t="s">
        <v>882</v>
      </c>
      <c r="E261" s="72" t="s">
        <v>671</v>
      </c>
      <c r="F261" s="167">
        <v>41682.0</v>
      </c>
      <c r="G261" s="167">
        <v>42363.0</v>
      </c>
      <c r="H261" s="167">
        <v>42363.0</v>
      </c>
      <c r="I261" s="167">
        <v>42363.0</v>
      </c>
      <c r="J261" s="165">
        <v>6.99</v>
      </c>
      <c r="K261" s="165">
        <v>6.99</v>
      </c>
      <c r="L261" s="165">
        <v>0.0</v>
      </c>
      <c r="M261" s="72">
        <v>1.0</v>
      </c>
      <c r="N261" s="165">
        <v>6.99</v>
      </c>
    </row>
    <row r="262">
      <c r="A262" s="72" t="s">
        <v>25</v>
      </c>
      <c r="B262" s="72" t="s">
        <v>233</v>
      </c>
      <c r="C262" s="72">
        <v>440.0</v>
      </c>
      <c r="D262" s="72" t="s">
        <v>883</v>
      </c>
      <c r="E262" s="72" t="s">
        <v>671</v>
      </c>
      <c r="F262" s="167">
        <v>41740.0</v>
      </c>
      <c r="G262" s="167">
        <v>41791.0</v>
      </c>
      <c r="H262" s="167">
        <v>41791.0</v>
      </c>
      <c r="I262" s="167">
        <v>41791.0</v>
      </c>
      <c r="J262" s="165">
        <v>39.99</v>
      </c>
      <c r="K262" s="165">
        <v>39.99</v>
      </c>
      <c r="L262" s="165">
        <v>0.0</v>
      </c>
      <c r="M262" s="72">
        <v>1.0</v>
      </c>
      <c r="N262" s="165">
        <v>39.99</v>
      </c>
    </row>
    <row r="263">
      <c r="A263" s="72" t="s">
        <v>25</v>
      </c>
      <c r="B263" s="72" t="s">
        <v>231</v>
      </c>
      <c r="C263" s="72">
        <v>457.0</v>
      </c>
      <c r="D263" s="72" t="s">
        <v>884</v>
      </c>
      <c r="E263" s="72" t="s">
        <v>671</v>
      </c>
      <c r="F263" s="167">
        <v>41796.0</v>
      </c>
      <c r="G263" s="167">
        <v>42218.0</v>
      </c>
      <c r="H263" s="167">
        <v>42235.0</v>
      </c>
      <c r="I263" s="167">
        <v>44960.0</v>
      </c>
      <c r="J263" s="165">
        <v>24.99</v>
      </c>
      <c r="K263" s="165">
        <v>9.99</v>
      </c>
      <c r="L263" s="165">
        <v>15.0</v>
      </c>
      <c r="M263" s="72">
        <v>25.0</v>
      </c>
      <c r="N263" s="165">
        <v>0.4</v>
      </c>
    </row>
    <row r="264">
      <c r="A264" s="72" t="s">
        <v>25</v>
      </c>
      <c r="B264" s="72" t="s">
        <v>201</v>
      </c>
      <c r="C264" s="72">
        <v>465.0</v>
      </c>
      <c r="D264" s="72" t="s">
        <v>885</v>
      </c>
      <c r="E264" s="72" t="s">
        <v>671</v>
      </c>
      <c r="F264" s="167">
        <v>41829.0</v>
      </c>
      <c r="G264" s="167">
        <v>42832.0</v>
      </c>
      <c r="H264" s="167">
        <v>42832.0</v>
      </c>
      <c r="I264" s="167">
        <v>43574.0</v>
      </c>
      <c r="J264" s="165">
        <v>3.99</v>
      </c>
      <c r="K264" s="165">
        <v>3.99</v>
      </c>
      <c r="L264" s="165">
        <v>0.0</v>
      </c>
      <c r="M264" s="72">
        <v>2.0</v>
      </c>
      <c r="N264" s="165">
        <v>2.0</v>
      </c>
    </row>
    <row r="265">
      <c r="A265" s="72" t="s">
        <v>25</v>
      </c>
      <c r="B265" s="72" t="s">
        <v>217</v>
      </c>
      <c r="C265" s="72">
        <v>479.0</v>
      </c>
      <c r="D265" s="72" t="s">
        <v>886</v>
      </c>
      <c r="E265" s="72" t="s">
        <v>671</v>
      </c>
      <c r="F265" s="167">
        <v>41856.0</v>
      </c>
      <c r="G265" s="167">
        <v>43749.0</v>
      </c>
      <c r="H265" s="167">
        <v>43749.0</v>
      </c>
      <c r="I265" s="167">
        <v>45007.0</v>
      </c>
      <c r="J265" s="165">
        <v>2.99</v>
      </c>
      <c r="K265" s="165">
        <v>2.99</v>
      </c>
      <c r="L265" s="165">
        <v>0.0</v>
      </c>
      <c r="M265" s="72">
        <v>25.0</v>
      </c>
      <c r="N265" s="165">
        <v>0.12</v>
      </c>
    </row>
    <row r="266">
      <c r="A266" s="72" t="s">
        <v>25</v>
      </c>
      <c r="B266" s="72"/>
      <c r="C266" s="72">
        <v>490.0</v>
      </c>
      <c r="D266" s="72" t="s">
        <v>887</v>
      </c>
      <c r="E266" s="72" t="s">
        <v>671</v>
      </c>
      <c r="F266" s="167">
        <v>41885.0</v>
      </c>
      <c r="G266" s="167">
        <v>42326.0</v>
      </c>
      <c r="H266" s="167">
        <v>42326.0</v>
      </c>
      <c r="I266" s="167">
        <v>42326.0</v>
      </c>
      <c r="J266" s="165">
        <v>15.99</v>
      </c>
      <c r="K266" s="165">
        <v>6.4</v>
      </c>
      <c r="L266" s="165">
        <v>9.59</v>
      </c>
      <c r="M266" s="72">
        <v>5.0</v>
      </c>
      <c r="N266" s="165">
        <v>1.28</v>
      </c>
    </row>
    <row r="267">
      <c r="A267" s="72" t="s">
        <v>25</v>
      </c>
      <c r="B267" s="72" t="s">
        <v>243</v>
      </c>
      <c r="C267" s="72">
        <v>462.0</v>
      </c>
      <c r="D267" s="72" t="s">
        <v>888</v>
      </c>
      <c r="E267" s="72" t="s">
        <v>671</v>
      </c>
      <c r="F267" s="167">
        <v>41982.0</v>
      </c>
      <c r="G267" s="167">
        <v>42832.0</v>
      </c>
      <c r="H267" s="167">
        <v>42832.0</v>
      </c>
      <c r="I267" s="167">
        <v>44186.0</v>
      </c>
      <c r="J267" s="165">
        <v>5.49</v>
      </c>
      <c r="K267" s="165">
        <v>5.49</v>
      </c>
      <c r="L267" s="165">
        <v>0.0</v>
      </c>
      <c r="M267" s="72">
        <v>4.0</v>
      </c>
      <c r="N267" s="165">
        <v>1.37</v>
      </c>
    </row>
    <row r="268">
      <c r="A268" s="72" t="s">
        <v>25</v>
      </c>
      <c r="B268" s="72" t="s">
        <v>172</v>
      </c>
      <c r="C268" s="72">
        <v>476.0</v>
      </c>
      <c r="D268" s="72" t="s">
        <v>889</v>
      </c>
      <c r="E268" s="72" t="s">
        <v>671</v>
      </c>
      <c r="F268" s="167">
        <v>41990.0</v>
      </c>
      <c r="G268" s="167">
        <v>42363.0</v>
      </c>
      <c r="H268" s="167">
        <v>42363.0</v>
      </c>
      <c r="I268" s="167">
        <v>42363.0</v>
      </c>
      <c r="J268" s="165">
        <v>10.99</v>
      </c>
      <c r="K268" s="165">
        <v>3.99</v>
      </c>
      <c r="L268" s="165">
        <v>7.0</v>
      </c>
      <c r="M268" s="72">
        <v>1.0</v>
      </c>
      <c r="N268" s="165">
        <v>3.99</v>
      </c>
    </row>
    <row r="269">
      <c r="A269" s="72" t="s">
        <v>25</v>
      </c>
      <c r="B269" s="72" t="s">
        <v>222</v>
      </c>
      <c r="C269" s="72">
        <v>449.0</v>
      </c>
      <c r="D269" s="72" t="s">
        <v>890</v>
      </c>
      <c r="E269" s="72" t="s">
        <v>671</v>
      </c>
      <c r="F269" s="167">
        <v>42045.0</v>
      </c>
      <c r="G269" s="167">
        <v>42832.0</v>
      </c>
      <c r="H269" s="167">
        <v>42832.0</v>
      </c>
      <c r="I269" s="167">
        <v>45025.0</v>
      </c>
      <c r="J269" s="165">
        <v>4.49</v>
      </c>
      <c r="K269" s="165">
        <v>3.49</v>
      </c>
      <c r="L269" s="165">
        <v>1.0</v>
      </c>
      <c r="M269" s="72">
        <v>2.0</v>
      </c>
      <c r="N269" s="165">
        <v>1.75</v>
      </c>
    </row>
    <row r="270">
      <c r="A270" s="72" t="s">
        <v>25</v>
      </c>
      <c r="B270" s="72"/>
      <c r="C270" s="72">
        <v>454.0</v>
      </c>
      <c r="D270" s="72" t="s">
        <v>891</v>
      </c>
      <c r="E270" s="72" t="s">
        <v>671</v>
      </c>
      <c r="F270" s="167">
        <v>42067.0</v>
      </c>
      <c r="G270" s="167">
        <v>42791.0</v>
      </c>
      <c r="H270" s="167">
        <v>42791.0</v>
      </c>
      <c r="I270" s="167">
        <v>42791.0</v>
      </c>
      <c r="J270" s="165">
        <v>12.99</v>
      </c>
      <c r="K270" s="165">
        <v>6.49</v>
      </c>
      <c r="L270" s="165">
        <v>6.5</v>
      </c>
      <c r="M270" s="72">
        <v>1.0</v>
      </c>
      <c r="N270" s="165">
        <v>6.49</v>
      </c>
    </row>
    <row r="271">
      <c r="A271" s="72" t="s">
        <v>25</v>
      </c>
      <c r="B271" s="72" t="s">
        <v>206</v>
      </c>
      <c r="C271" s="72">
        <v>439.0</v>
      </c>
      <c r="D271" s="72" t="s">
        <v>892</v>
      </c>
      <c r="E271" s="72" t="s">
        <v>671</v>
      </c>
      <c r="F271" s="167">
        <v>42074.0</v>
      </c>
      <c r="G271" s="167">
        <v>43373.0</v>
      </c>
      <c r="H271" s="167">
        <v>43373.0</v>
      </c>
      <c r="I271" s="167">
        <v>43373.0</v>
      </c>
      <c r="J271" s="165">
        <v>9.99</v>
      </c>
      <c r="K271" s="165">
        <v>9.99</v>
      </c>
      <c r="L271" s="165">
        <v>0.0</v>
      </c>
      <c r="M271" s="72">
        <v>1.0</v>
      </c>
      <c r="N271" s="165">
        <v>9.99</v>
      </c>
    </row>
    <row r="272">
      <c r="A272" s="72" t="s">
        <v>25</v>
      </c>
      <c r="B272" s="72" t="s">
        <v>212</v>
      </c>
      <c r="C272" s="72">
        <v>447.0</v>
      </c>
      <c r="D272" s="72" t="s">
        <v>893</v>
      </c>
      <c r="E272" s="72" t="s">
        <v>671</v>
      </c>
      <c r="F272" s="167">
        <v>42207.0</v>
      </c>
      <c r="G272" s="167">
        <v>42875.0</v>
      </c>
      <c r="H272" s="167">
        <v>42875.0</v>
      </c>
      <c r="I272" s="167">
        <v>42875.0</v>
      </c>
      <c r="J272" s="165">
        <v>9.99</v>
      </c>
      <c r="K272" s="165">
        <v>2.99</v>
      </c>
      <c r="L272" s="165">
        <v>7.0</v>
      </c>
      <c r="M272" s="72">
        <v>1.0</v>
      </c>
      <c r="N272" s="165">
        <v>2.99</v>
      </c>
    </row>
    <row r="273">
      <c r="A273" s="72" t="s">
        <v>25</v>
      </c>
      <c r="B273" s="72" t="s">
        <v>207</v>
      </c>
      <c r="C273" s="72">
        <v>456.0</v>
      </c>
      <c r="D273" s="72" t="s">
        <v>894</v>
      </c>
      <c r="E273" s="72" t="s">
        <v>671</v>
      </c>
      <c r="F273" s="167">
        <v>43214.0</v>
      </c>
      <c r="G273" s="167">
        <v>43414.0</v>
      </c>
      <c r="H273" s="167">
        <v>43427.0</v>
      </c>
      <c r="I273" s="167">
        <v>44952.0</v>
      </c>
      <c r="J273" s="165">
        <v>7.99</v>
      </c>
      <c r="K273" s="165">
        <v>3.99</v>
      </c>
      <c r="L273" s="165">
        <v>4.0</v>
      </c>
      <c r="M273" s="72">
        <v>15.0</v>
      </c>
      <c r="N273" s="165">
        <v>0.27</v>
      </c>
    </row>
    <row r="274">
      <c r="A274" s="72" t="s">
        <v>25</v>
      </c>
      <c r="B274" s="72"/>
      <c r="C274" s="72">
        <v>969.0</v>
      </c>
      <c r="D274" s="72" t="s">
        <v>895</v>
      </c>
      <c r="E274" s="72" t="s">
        <v>33</v>
      </c>
      <c r="F274" s="167">
        <v>41789.0</v>
      </c>
      <c r="G274" s="167">
        <v>42969.0</v>
      </c>
      <c r="H274" s="167">
        <v>42970.0</v>
      </c>
      <c r="I274" s="167">
        <v>43089.0</v>
      </c>
      <c r="J274" s="165">
        <v>17.49</v>
      </c>
      <c r="K274" s="165">
        <v>8.99</v>
      </c>
      <c r="L274" s="165">
        <v>8.5</v>
      </c>
      <c r="M274" s="72">
        <v>1.0</v>
      </c>
      <c r="N274" s="165">
        <v>8.99</v>
      </c>
    </row>
    <row r="275">
      <c r="A275" s="72" t="s">
        <v>25</v>
      </c>
      <c r="B275" s="72"/>
      <c r="C275" s="72">
        <v>776.0</v>
      </c>
      <c r="D275" s="72" t="s">
        <v>896</v>
      </c>
      <c r="E275" s="72" t="s">
        <v>33</v>
      </c>
      <c r="F275" s="167">
        <v>41843.0</v>
      </c>
      <c r="G275" s="167">
        <v>42123.0</v>
      </c>
      <c r="H275" s="167">
        <v>42123.0</v>
      </c>
      <c r="I275" s="167">
        <v>44140.0</v>
      </c>
      <c r="J275" s="165">
        <v>23.58</v>
      </c>
      <c r="K275" s="165">
        <v>20.98</v>
      </c>
      <c r="L275" s="165">
        <v>2.6</v>
      </c>
      <c r="M275" s="72">
        <v>58.0</v>
      </c>
      <c r="N275" s="165">
        <v>0.36</v>
      </c>
    </row>
    <row r="276">
      <c r="A276" s="72" t="s">
        <v>25</v>
      </c>
      <c r="B276" s="72" t="s">
        <v>175</v>
      </c>
      <c r="C276" s="72">
        <v>877.0</v>
      </c>
      <c r="D276" s="72" t="s">
        <v>897</v>
      </c>
      <c r="E276" s="72" t="s">
        <v>33</v>
      </c>
      <c r="F276" s="167">
        <v>41864.0</v>
      </c>
      <c r="G276" s="167">
        <v>43804.0</v>
      </c>
      <c r="H276" s="167">
        <v>43809.0</v>
      </c>
      <c r="I276" s="167">
        <v>43809.0</v>
      </c>
      <c r="J276" s="165">
        <v>30.98</v>
      </c>
      <c r="K276" s="165">
        <v>24.98</v>
      </c>
      <c r="L276" s="165">
        <v>6.0</v>
      </c>
      <c r="M276" s="72">
        <v>5.0</v>
      </c>
      <c r="N276" s="165">
        <v>5.0</v>
      </c>
    </row>
    <row r="277">
      <c r="A277" s="72" t="s">
        <v>25</v>
      </c>
      <c r="B277" s="72"/>
      <c r="C277" s="72">
        <v>634.0</v>
      </c>
      <c r="D277" s="72" t="s">
        <v>898</v>
      </c>
      <c r="E277" s="72" t="s">
        <v>33</v>
      </c>
      <c r="F277" s="167">
        <v>41901.0</v>
      </c>
      <c r="G277" s="167">
        <v>42811.0</v>
      </c>
      <c r="H277" s="167">
        <v>42811.0</v>
      </c>
      <c r="I277" s="167">
        <v>42811.0</v>
      </c>
      <c r="J277" s="165">
        <v>24.99</v>
      </c>
      <c r="K277" s="165">
        <v>4.99</v>
      </c>
      <c r="L277" s="165">
        <v>20.0</v>
      </c>
      <c r="M277" s="72">
        <v>1.0</v>
      </c>
      <c r="N277" s="165">
        <v>4.99</v>
      </c>
    </row>
    <row r="278">
      <c r="A278" s="72" t="s">
        <v>25</v>
      </c>
      <c r="B278" s="72" t="s">
        <v>213</v>
      </c>
      <c r="C278" s="72">
        <v>696.0</v>
      </c>
      <c r="D278" s="72" t="s">
        <v>899</v>
      </c>
      <c r="E278" s="72" t="s">
        <v>33</v>
      </c>
      <c r="F278" s="167">
        <v>42116.0</v>
      </c>
      <c r="G278" s="167">
        <v>42811.0</v>
      </c>
      <c r="H278" s="167">
        <v>45623.0</v>
      </c>
      <c r="I278" s="167">
        <v>45624.0</v>
      </c>
      <c r="J278" s="165">
        <v>13.99</v>
      </c>
      <c r="K278" s="165">
        <v>2.99</v>
      </c>
      <c r="L278" s="165">
        <v>11.0</v>
      </c>
      <c r="M278" s="72">
        <v>6.0</v>
      </c>
      <c r="N278" s="165">
        <v>0.5</v>
      </c>
    </row>
    <row r="279">
      <c r="A279" s="72" t="s">
        <v>25</v>
      </c>
      <c r="B279" s="72" t="s">
        <v>214</v>
      </c>
      <c r="C279" s="72">
        <v>912.0</v>
      </c>
      <c r="D279" s="72" t="s">
        <v>900</v>
      </c>
      <c r="E279" s="72" t="s">
        <v>33</v>
      </c>
      <c r="F279" s="167">
        <v>42153.0</v>
      </c>
      <c r="G279" s="167">
        <v>42754.0</v>
      </c>
      <c r="H279" s="167">
        <v>43080.0</v>
      </c>
      <c r="I279" s="167">
        <v>45172.0</v>
      </c>
      <c r="J279" s="165">
        <v>17.99</v>
      </c>
      <c r="K279" s="165">
        <v>6.99</v>
      </c>
      <c r="L279" s="165">
        <v>11.0</v>
      </c>
      <c r="M279" s="72">
        <v>9.0</v>
      </c>
      <c r="N279" s="165">
        <v>0.78</v>
      </c>
    </row>
    <row r="280">
      <c r="A280" s="72" t="s">
        <v>25</v>
      </c>
      <c r="B280" s="72"/>
      <c r="C280" s="72">
        <v>523.0</v>
      </c>
      <c r="D280" s="72" t="s">
        <v>901</v>
      </c>
      <c r="E280" s="72" t="s">
        <v>33</v>
      </c>
      <c r="F280" s="167">
        <v>42178.0</v>
      </c>
      <c r="G280" s="167">
        <v>43922.0</v>
      </c>
      <c r="H280" s="167">
        <v>43922.0</v>
      </c>
      <c r="I280" s="167">
        <v>43922.0</v>
      </c>
      <c r="J280" s="165">
        <v>19.99</v>
      </c>
      <c r="K280" s="165">
        <v>7.99</v>
      </c>
      <c r="L280" s="165">
        <v>12.0</v>
      </c>
      <c r="M280" s="72">
        <v>1.0</v>
      </c>
      <c r="N280" s="165">
        <v>7.99</v>
      </c>
    </row>
    <row r="281">
      <c r="A281" s="72" t="s">
        <v>25</v>
      </c>
      <c r="B281" s="72"/>
      <c r="C281" s="72">
        <v>958.0</v>
      </c>
      <c r="D281" s="72" t="s">
        <v>902</v>
      </c>
      <c r="E281" s="72" t="s">
        <v>33</v>
      </c>
      <c r="F281" s="167">
        <v>42234.0</v>
      </c>
      <c r="G281" s="167">
        <v>42950.0</v>
      </c>
      <c r="H281" s="167">
        <v>43082.0</v>
      </c>
      <c r="I281" s="167">
        <v>44957.0</v>
      </c>
      <c r="J281" s="165">
        <v>17.99</v>
      </c>
      <c r="K281" s="165">
        <v>4.99</v>
      </c>
      <c r="L281" s="165">
        <v>13.0</v>
      </c>
      <c r="M281" s="72">
        <v>5.0</v>
      </c>
      <c r="N281" s="165">
        <v>1.0</v>
      </c>
    </row>
    <row r="282">
      <c r="A282" s="72" t="s">
        <v>25</v>
      </c>
      <c r="B282" s="72"/>
      <c r="C282" s="72">
        <v>671.0</v>
      </c>
      <c r="D282" s="72" t="s">
        <v>903</v>
      </c>
      <c r="E282" s="72" t="s">
        <v>33</v>
      </c>
      <c r="F282" s="167">
        <v>42241.0</v>
      </c>
      <c r="G282" s="167">
        <v>44640.0</v>
      </c>
      <c r="H282" s="167">
        <v>44837.0</v>
      </c>
      <c r="I282" s="167">
        <v>44837.0</v>
      </c>
      <c r="J282" s="165">
        <v>12.99</v>
      </c>
      <c r="K282" s="165">
        <v>2.59</v>
      </c>
      <c r="L282" s="165">
        <v>10.4</v>
      </c>
      <c r="M282" s="72">
        <v>1.0</v>
      </c>
      <c r="N282" s="165">
        <v>2.59</v>
      </c>
    </row>
    <row r="283">
      <c r="A283" s="72" t="s">
        <v>25</v>
      </c>
      <c r="B283" s="72" t="s">
        <v>237</v>
      </c>
      <c r="C283" s="72">
        <v>955.0</v>
      </c>
      <c r="D283" s="72" t="s">
        <v>904</v>
      </c>
      <c r="E283" s="72" t="s">
        <v>33</v>
      </c>
      <c r="F283" s="167">
        <v>42242.0</v>
      </c>
      <c r="G283" s="167">
        <v>42273.0</v>
      </c>
      <c r="H283" s="167">
        <v>42273.0</v>
      </c>
      <c r="I283" s="167">
        <v>44479.0</v>
      </c>
      <c r="J283" s="165">
        <v>59.99</v>
      </c>
      <c r="K283" s="165">
        <v>34.99</v>
      </c>
      <c r="L283" s="165">
        <v>25.0</v>
      </c>
      <c r="M283" s="72">
        <v>70.0</v>
      </c>
      <c r="N283" s="165">
        <v>0.5</v>
      </c>
    </row>
    <row r="284">
      <c r="A284" s="72" t="s">
        <v>25</v>
      </c>
      <c r="B284" s="72"/>
      <c r="C284" s="72">
        <v>883.0</v>
      </c>
      <c r="D284" s="72" t="s">
        <v>905</v>
      </c>
      <c r="E284" s="72" t="s">
        <v>33</v>
      </c>
      <c r="F284" s="167">
        <v>42256.0</v>
      </c>
      <c r="G284" s="167">
        <v>42954.0</v>
      </c>
      <c r="H284" s="167">
        <v>42954.0</v>
      </c>
      <c r="I284" s="167">
        <v>42954.0</v>
      </c>
      <c r="J284" s="165">
        <v>19.99</v>
      </c>
      <c r="K284" s="165">
        <v>11.99</v>
      </c>
      <c r="L284" s="165">
        <v>8.0</v>
      </c>
      <c r="M284" s="72">
        <v>1.0</v>
      </c>
      <c r="N284" s="165">
        <v>11.99</v>
      </c>
    </row>
    <row r="285">
      <c r="A285" s="72" t="s">
        <v>25</v>
      </c>
      <c r="B285" s="72" t="s">
        <v>205</v>
      </c>
      <c r="C285" s="72">
        <v>664.0</v>
      </c>
      <c r="D285" s="72" t="s">
        <v>906</v>
      </c>
      <c r="E285" s="72" t="s">
        <v>33</v>
      </c>
      <c r="F285" s="167">
        <v>42263.0</v>
      </c>
      <c r="G285" s="167">
        <v>42859.0</v>
      </c>
      <c r="H285" s="167">
        <v>43060.0</v>
      </c>
      <c r="I285" s="167">
        <v>45425.0</v>
      </c>
      <c r="J285" s="165">
        <v>6.99</v>
      </c>
      <c r="K285" s="165">
        <v>1.99</v>
      </c>
      <c r="L285" s="165">
        <v>5.0</v>
      </c>
      <c r="M285" s="72">
        <v>1.0</v>
      </c>
      <c r="N285" s="165">
        <v>1.99</v>
      </c>
    </row>
    <row r="286">
      <c r="A286" s="72" t="s">
        <v>25</v>
      </c>
      <c r="B286" s="72" t="s">
        <v>245</v>
      </c>
      <c r="C286" s="72">
        <v>546.0</v>
      </c>
      <c r="D286" s="72" t="s">
        <v>907</v>
      </c>
      <c r="E286" s="72" t="s">
        <v>33</v>
      </c>
      <c r="F286" s="167">
        <v>42320.0</v>
      </c>
      <c r="G286" s="167">
        <v>42939.0</v>
      </c>
      <c r="H286" s="167">
        <v>42939.0</v>
      </c>
      <c r="I286" s="167">
        <v>42939.0</v>
      </c>
      <c r="J286" s="165">
        <v>9.99</v>
      </c>
      <c r="K286" s="165">
        <v>2.99</v>
      </c>
      <c r="L286" s="165">
        <v>7.0</v>
      </c>
      <c r="M286" s="72">
        <v>1.0</v>
      </c>
      <c r="N286" s="165">
        <v>2.99</v>
      </c>
    </row>
    <row r="287">
      <c r="A287" s="72" t="s">
        <v>25</v>
      </c>
      <c r="B287" s="72" t="s">
        <v>190</v>
      </c>
      <c r="C287" s="72">
        <v>499.0</v>
      </c>
      <c r="D287" s="72" t="s">
        <v>908</v>
      </c>
      <c r="E287" s="72" t="s">
        <v>33</v>
      </c>
      <c r="F287" s="167">
        <v>42451.0</v>
      </c>
      <c r="G287" s="167">
        <v>42932.0</v>
      </c>
      <c r="H287" s="167">
        <v>42932.0</v>
      </c>
      <c r="I287" s="167">
        <v>42932.0</v>
      </c>
      <c r="J287" s="165">
        <v>9.99</v>
      </c>
      <c r="K287" s="165">
        <v>4.99</v>
      </c>
      <c r="L287" s="165">
        <v>5.0</v>
      </c>
      <c r="M287" s="72">
        <v>1.0</v>
      </c>
      <c r="N287" s="165">
        <v>4.99</v>
      </c>
    </row>
    <row r="288">
      <c r="A288" s="72" t="s">
        <v>25</v>
      </c>
      <c r="B288" s="72"/>
      <c r="C288" s="72">
        <v>878.0</v>
      </c>
      <c r="D288" s="72" t="s">
        <v>909</v>
      </c>
      <c r="E288" s="72" t="s">
        <v>33</v>
      </c>
      <c r="F288" s="167">
        <v>42493.0</v>
      </c>
      <c r="G288" s="167">
        <v>43749.0</v>
      </c>
      <c r="H288" s="167">
        <v>44035.0</v>
      </c>
      <c r="I288" s="167">
        <v>44037.0</v>
      </c>
      <c r="J288" s="165">
        <v>12.98</v>
      </c>
      <c r="K288" s="165">
        <v>12.98</v>
      </c>
      <c r="L288" s="165">
        <v>0.0</v>
      </c>
      <c r="M288" s="72">
        <v>14.0</v>
      </c>
      <c r="N288" s="165">
        <v>0.93</v>
      </c>
    </row>
    <row r="289">
      <c r="A289" s="72" t="s">
        <v>25</v>
      </c>
      <c r="B289" s="72" t="s">
        <v>242</v>
      </c>
      <c r="C289" s="72">
        <v>566.0</v>
      </c>
      <c r="D289" s="72" t="s">
        <v>910</v>
      </c>
      <c r="E289" s="72" t="s">
        <v>33</v>
      </c>
      <c r="F289" s="167">
        <v>42524.0</v>
      </c>
      <c r="G289" s="167">
        <v>43519.0</v>
      </c>
      <c r="H289" s="167">
        <v>43526.0</v>
      </c>
      <c r="I289" s="167">
        <v>43526.0</v>
      </c>
      <c r="J289" s="165">
        <v>7.99</v>
      </c>
      <c r="K289" s="165">
        <v>2.99</v>
      </c>
      <c r="L289" s="165">
        <v>5.0</v>
      </c>
      <c r="M289" s="72">
        <v>1.0</v>
      </c>
      <c r="N289" s="165">
        <v>2.99</v>
      </c>
    </row>
    <row r="290">
      <c r="A290" s="72" t="s">
        <v>25</v>
      </c>
      <c r="B290" s="72" t="s">
        <v>196</v>
      </c>
      <c r="C290" s="72">
        <v>782.0</v>
      </c>
      <c r="D290" s="72" t="s">
        <v>911</v>
      </c>
      <c r="E290" s="72" t="s">
        <v>33</v>
      </c>
      <c r="F290" s="167">
        <v>42584.0</v>
      </c>
      <c r="G290" s="167">
        <v>42859.0</v>
      </c>
      <c r="H290" s="167">
        <v>42862.0</v>
      </c>
      <c r="I290" s="167">
        <v>44345.0</v>
      </c>
      <c r="J290" s="165">
        <v>64.22</v>
      </c>
      <c r="K290" s="165">
        <v>47.43</v>
      </c>
      <c r="L290" s="165">
        <v>16.79</v>
      </c>
      <c r="M290" s="72">
        <v>7.0</v>
      </c>
      <c r="N290" s="165">
        <v>6.78</v>
      </c>
    </row>
    <row r="291">
      <c r="A291" s="72" t="s">
        <v>25</v>
      </c>
      <c r="B291" s="72"/>
      <c r="C291" s="72">
        <v>772.0</v>
      </c>
      <c r="D291" s="72" t="s">
        <v>912</v>
      </c>
      <c r="E291" s="72" t="s">
        <v>33</v>
      </c>
      <c r="F291" s="167">
        <v>42592.0</v>
      </c>
      <c r="G291" s="167">
        <v>44349.0</v>
      </c>
      <c r="H291" s="167">
        <v>44350.0</v>
      </c>
      <c r="I291" s="167">
        <v>44350.0</v>
      </c>
      <c r="J291" s="165">
        <v>49.99</v>
      </c>
      <c r="K291" s="165">
        <v>24.99</v>
      </c>
      <c r="L291" s="165">
        <v>25.0</v>
      </c>
      <c r="M291" s="72">
        <v>5.0</v>
      </c>
      <c r="N291" s="165">
        <v>5.0</v>
      </c>
    </row>
    <row r="292">
      <c r="A292" s="72" t="s">
        <v>25</v>
      </c>
      <c r="B292" s="72"/>
      <c r="C292" s="72">
        <v>970.0</v>
      </c>
      <c r="D292" s="72" t="s">
        <v>913</v>
      </c>
      <c r="E292" s="72" t="s">
        <v>33</v>
      </c>
      <c r="F292" s="167">
        <v>42605.0</v>
      </c>
      <c r="G292" s="167">
        <v>42969.0</v>
      </c>
      <c r="H292" s="167">
        <v>42969.0</v>
      </c>
      <c r="I292" s="167">
        <v>42969.0</v>
      </c>
      <c r="J292" s="165">
        <v>17.49</v>
      </c>
      <c r="K292" s="165">
        <v>8.99</v>
      </c>
      <c r="L292" s="165">
        <v>8.5</v>
      </c>
      <c r="M292" s="72">
        <v>1.0</v>
      </c>
      <c r="N292" s="165">
        <v>8.99</v>
      </c>
    </row>
    <row r="293">
      <c r="A293" s="72" t="s">
        <v>25</v>
      </c>
      <c r="B293" s="72" t="s">
        <v>188</v>
      </c>
      <c r="C293" s="72">
        <v>669.0</v>
      </c>
      <c r="D293" s="72" t="s">
        <v>914</v>
      </c>
      <c r="E293" s="72" t="s">
        <v>33</v>
      </c>
      <c r="F293" s="167">
        <v>42612.0</v>
      </c>
      <c r="G293" s="167">
        <v>42811.0</v>
      </c>
      <c r="H293" s="167">
        <v>42822.0</v>
      </c>
      <c r="I293" s="167">
        <v>42824.0</v>
      </c>
      <c r="J293" s="165">
        <v>14.99</v>
      </c>
      <c r="K293" s="165">
        <v>4.99</v>
      </c>
      <c r="L293" s="165">
        <v>10.0</v>
      </c>
      <c r="M293" s="72">
        <v>10.0</v>
      </c>
      <c r="N293" s="165">
        <v>0.5</v>
      </c>
    </row>
    <row r="294">
      <c r="A294" s="72" t="s">
        <v>25</v>
      </c>
      <c r="B294" s="72" t="s">
        <v>219</v>
      </c>
      <c r="C294" s="72">
        <v>951.0</v>
      </c>
      <c r="D294" s="72" t="s">
        <v>915</v>
      </c>
      <c r="E294" s="72" t="s">
        <v>33</v>
      </c>
      <c r="F294" s="167">
        <v>42618.0</v>
      </c>
      <c r="G294" s="167">
        <v>44708.0</v>
      </c>
      <c r="H294" s="167">
        <v>44713.0</v>
      </c>
      <c r="I294" s="167">
        <v>44719.0</v>
      </c>
      <c r="J294" s="165">
        <v>24.99</v>
      </c>
      <c r="K294" s="165">
        <v>4.99</v>
      </c>
      <c r="L294" s="165">
        <v>20.0</v>
      </c>
      <c r="M294" s="72">
        <v>2.0</v>
      </c>
      <c r="N294" s="165">
        <v>2.5</v>
      </c>
    </row>
    <row r="295">
      <c r="A295" s="72" t="s">
        <v>25</v>
      </c>
      <c r="B295" s="72" t="s">
        <v>228</v>
      </c>
      <c r="C295" s="72">
        <v>901.0</v>
      </c>
      <c r="D295" s="72" t="s">
        <v>916</v>
      </c>
      <c r="E295" s="72" t="s">
        <v>33</v>
      </c>
      <c r="F295" s="167">
        <v>42668.0</v>
      </c>
      <c r="G295" s="167">
        <v>42710.0</v>
      </c>
      <c r="H295" s="167">
        <v>42710.0</v>
      </c>
      <c r="I295" s="167">
        <v>42710.0</v>
      </c>
      <c r="J295" s="165">
        <v>28.49</v>
      </c>
      <c r="K295" s="165">
        <v>28.49</v>
      </c>
      <c r="L295" s="165">
        <v>0.0</v>
      </c>
      <c r="M295" s="72">
        <v>1.0</v>
      </c>
      <c r="N295" s="165">
        <v>28.49</v>
      </c>
    </row>
    <row r="296">
      <c r="A296" s="72" t="s">
        <v>25</v>
      </c>
      <c r="B296" s="72" t="s">
        <v>241</v>
      </c>
      <c r="C296" s="72">
        <v>508.0</v>
      </c>
      <c r="D296" s="72" t="s">
        <v>917</v>
      </c>
      <c r="E296" s="72" t="s">
        <v>33</v>
      </c>
      <c r="F296" s="167">
        <v>42696.0</v>
      </c>
      <c r="G296" s="167">
        <v>44139.0</v>
      </c>
      <c r="H296" s="167">
        <v>44139.0</v>
      </c>
      <c r="I296" s="167">
        <v>44139.0</v>
      </c>
      <c r="J296" s="165">
        <v>14.24</v>
      </c>
      <c r="K296" s="165">
        <v>1.56</v>
      </c>
      <c r="L296" s="165">
        <v>12.68</v>
      </c>
      <c r="M296" s="72">
        <v>1.0</v>
      </c>
      <c r="N296" s="165">
        <v>1.56</v>
      </c>
    </row>
    <row r="297">
      <c r="A297" s="72" t="s">
        <v>25</v>
      </c>
      <c r="B297" s="72"/>
      <c r="C297" s="72">
        <v>697.0</v>
      </c>
      <c r="D297" s="72" t="s">
        <v>918</v>
      </c>
      <c r="E297" s="72" t="s">
        <v>33</v>
      </c>
      <c r="F297" s="167">
        <v>42832.0</v>
      </c>
      <c r="G297" s="167">
        <v>43519.0</v>
      </c>
      <c r="H297" s="167">
        <v>43527.0</v>
      </c>
      <c r="I297" s="167">
        <v>43540.0</v>
      </c>
      <c r="J297" s="165">
        <v>59.99</v>
      </c>
      <c r="K297" s="165">
        <v>16.99</v>
      </c>
      <c r="L297" s="165">
        <v>43.0</v>
      </c>
      <c r="M297" s="72">
        <v>10.0</v>
      </c>
      <c r="N297" s="165">
        <v>1.7</v>
      </c>
    </row>
    <row r="298">
      <c r="A298" s="72" t="s">
        <v>25</v>
      </c>
      <c r="B298" s="72" t="s">
        <v>218</v>
      </c>
      <c r="C298" s="72">
        <v>977.0</v>
      </c>
      <c r="D298" s="72" t="s">
        <v>919</v>
      </c>
      <c r="E298" s="72" t="s">
        <v>33</v>
      </c>
      <c r="F298" s="167">
        <v>42836.0</v>
      </c>
      <c r="G298" s="167">
        <v>43519.0</v>
      </c>
      <c r="H298" s="167">
        <v>43521.0</v>
      </c>
      <c r="I298" s="167">
        <v>43847.0</v>
      </c>
      <c r="J298" s="165">
        <v>39.99</v>
      </c>
      <c r="K298" s="165">
        <v>11.99</v>
      </c>
      <c r="L298" s="165">
        <v>28.0</v>
      </c>
      <c r="M298" s="72">
        <v>3.0</v>
      </c>
      <c r="N298" s="165">
        <v>4.0</v>
      </c>
    </row>
    <row r="299">
      <c r="A299" s="72" t="s">
        <v>25</v>
      </c>
      <c r="B299" s="72"/>
      <c r="C299" s="72">
        <v>796.0</v>
      </c>
      <c r="D299" s="72" t="s">
        <v>920</v>
      </c>
      <c r="E299" s="72" t="s">
        <v>33</v>
      </c>
      <c r="F299" s="167">
        <v>42864.0</v>
      </c>
      <c r="G299" s="167">
        <v>43155.0</v>
      </c>
      <c r="H299" s="167">
        <v>43189.0</v>
      </c>
      <c r="I299" s="167">
        <v>43468.0</v>
      </c>
      <c r="J299" s="165">
        <v>16.99</v>
      </c>
      <c r="K299" s="165">
        <v>4.99</v>
      </c>
      <c r="L299" s="165">
        <v>12.0</v>
      </c>
      <c r="M299" s="72">
        <v>1.0</v>
      </c>
      <c r="N299" s="165">
        <v>4.99</v>
      </c>
    </row>
    <row r="300">
      <c r="A300" s="72" t="s">
        <v>25</v>
      </c>
      <c r="B300" s="72"/>
      <c r="C300" s="72">
        <v>567.0</v>
      </c>
      <c r="D300" s="72" t="s">
        <v>921</v>
      </c>
      <c r="E300" s="72" t="s">
        <v>33</v>
      </c>
      <c r="F300" s="167">
        <v>42885.0</v>
      </c>
      <c r="G300" s="167">
        <v>43519.0</v>
      </c>
      <c r="H300" s="167">
        <v>43520.0</v>
      </c>
      <c r="I300" s="167">
        <v>43520.0</v>
      </c>
      <c r="J300" s="165">
        <v>10.99</v>
      </c>
      <c r="K300" s="165">
        <v>2.99</v>
      </c>
      <c r="L300" s="165">
        <v>8.0</v>
      </c>
      <c r="M300" s="72">
        <v>1.0</v>
      </c>
      <c r="N300" s="165">
        <v>2.99</v>
      </c>
    </row>
    <row r="301">
      <c r="A301" s="72" t="s">
        <v>25</v>
      </c>
      <c r="B301" s="72"/>
      <c r="C301" s="72">
        <v>750.0</v>
      </c>
      <c r="D301" s="72" t="s">
        <v>922</v>
      </c>
      <c r="E301" s="72" t="s">
        <v>33</v>
      </c>
      <c r="F301" s="167">
        <v>42916.0</v>
      </c>
      <c r="G301" s="167">
        <v>42810.0</v>
      </c>
      <c r="H301" s="167">
        <v>42916.0</v>
      </c>
      <c r="I301" s="167">
        <v>42916.0</v>
      </c>
      <c r="J301" s="165">
        <v>39.99</v>
      </c>
      <c r="K301" s="165">
        <v>26.99</v>
      </c>
      <c r="L301" s="165">
        <v>13.0</v>
      </c>
      <c r="M301" s="72">
        <v>1.0</v>
      </c>
      <c r="N301" s="165">
        <v>26.99</v>
      </c>
    </row>
    <row r="302">
      <c r="A302" s="72" t="s">
        <v>25</v>
      </c>
      <c r="B302" s="72" t="s">
        <v>251</v>
      </c>
      <c r="C302" s="72">
        <v>904.0</v>
      </c>
      <c r="D302" s="72" t="s">
        <v>923</v>
      </c>
      <c r="E302" s="72" t="s">
        <v>33</v>
      </c>
      <c r="F302" s="167">
        <v>42920.0</v>
      </c>
      <c r="G302" s="167">
        <v>42920.0</v>
      </c>
      <c r="H302" s="167">
        <v>42920.0</v>
      </c>
      <c r="I302" s="167">
        <v>42920.0</v>
      </c>
      <c r="J302" s="165">
        <v>0.0</v>
      </c>
      <c r="K302" s="165">
        <v>0.0</v>
      </c>
      <c r="L302" s="165">
        <v>0.0</v>
      </c>
      <c r="M302" s="72">
        <v>1.0</v>
      </c>
      <c r="N302" s="165">
        <v>0.0</v>
      </c>
    </row>
    <row r="303">
      <c r="A303" s="72" t="s">
        <v>25</v>
      </c>
      <c r="B303" s="72" t="s">
        <v>189</v>
      </c>
      <c r="C303" s="72">
        <v>920.0</v>
      </c>
      <c r="D303" s="72" t="s">
        <v>924</v>
      </c>
      <c r="E303" s="72" t="s">
        <v>33</v>
      </c>
      <c r="F303" s="167">
        <v>43305.0</v>
      </c>
      <c r="G303" s="167">
        <v>44590.0</v>
      </c>
      <c r="H303" s="167">
        <v>44590.0</v>
      </c>
      <c r="I303" s="167">
        <v>44590.0</v>
      </c>
      <c r="J303" s="165">
        <v>29.99</v>
      </c>
      <c r="K303" s="165">
        <v>0.0</v>
      </c>
      <c r="L303" s="165">
        <v>29.99</v>
      </c>
      <c r="M303" s="72">
        <v>1.0</v>
      </c>
      <c r="N303" s="165">
        <v>0.0</v>
      </c>
    </row>
    <row r="304">
      <c r="A304" s="72" t="s">
        <v>25</v>
      </c>
      <c r="B304" s="72"/>
      <c r="C304" s="72">
        <v>783.0</v>
      </c>
      <c r="D304" s="72" t="s">
        <v>925</v>
      </c>
      <c r="E304" s="72" t="s">
        <v>33</v>
      </c>
      <c r="F304" s="167">
        <v>43319.0</v>
      </c>
      <c r="G304" s="167">
        <v>43268.0</v>
      </c>
      <c r="H304" s="167">
        <v>43323.0</v>
      </c>
      <c r="I304" s="167">
        <v>44345.0</v>
      </c>
      <c r="J304" s="165">
        <v>64.22</v>
      </c>
      <c r="K304" s="165">
        <v>47.42</v>
      </c>
      <c r="L304" s="165">
        <v>16.8</v>
      </c>
      <c r="M304" s="72">
        <v>4.0</v>
      </c>
      <c r="N304" s="165">
        <v>11.86</v>
      </c>
    </row>
    <row r="305">
      <c r="A305" s="72" t="s">
        <v>25</v>
      </c>
      <c r="B305" s="72"/>
      <c r="C305" s="72">
        <v>698.0</v>
      </c>
      <c r="D305" s="72" t="s">
        <v>926</v>
      </c>
      <c r="E305" s="72" t="s">
        <v>33</v>
      </c>
      <c r="F305" s="167">
        <v>43392.0</v>
      </c>
      <c r="G305" s="167">
        <v>44539.0</v>
      </c>
      <c r="H305" s="167">
        <v>44539.0</v>
      </c>
      <c r="I305" s="167">
        <v>44539.0</v>
      </c>
      <c r="J305" s="165">
        <v>59.99</v>
      </c>
      <c r="K305" s="165">
        <v>0.0</v>
      </c>
      <c r="L305" s="165">
        <v>59.99</v>
      </c>
      <c r="M305" s="72">
        <v>1.0</v>
      </c>
      <c r="N305" s="165">
        <v>0.0</v>
      </c>
    </row>
    <row r="306">
      <c r="A306" s="72" t="s">
        <v>25</v>
      </c>
      <c r="B306" s="72"/>
      <c r="C306" s="72">
        <v>568.0</v>
      </c>
      <c r="D306" s="72" t="s">
        <v>927</v>
      </c>
      <c r="E306" s="72" t="s">
        <v>33</v>
      </c>
      <c r="F306" s="167">
        <v>43564.0</v>
      </c>
      <c r="G306" s="167">
        <v>44431.0</v>
      </c>
      <c r="H306" s="167">
        <v>44431.0</v>
      </c>
      <c r="I306" s="167">
        <v>44431.0</v>
      </c>
      <c r="J306" s="165">
        <v>29.99</v>
      </c>
      <c r="K306" s="165">
        <v>7.49</v>
      </c>
      <c r="L306" s="165">
        <v>22.5</v>
      </c>
      <c r="M306" s="72">
        <v>1.0</v>
      </c>
      <c r="N306" s="165">
        <v>7.49</v>
      </c>
    </row>
    <row r="307">
      <c r="A307" s="72" t="s">
        <v>25</v>
      </c>
      <c r="B307" s="72"/>
      <c r="C307" s="72">
        <v>882.0</v>
      </c>
      <c r="D307" s="72" t="s">
        <v>928</v>
      </c>
      <c r="E307" s="72" t="s">
        <v>33</v>
      </c>
      <c r="F307" s="167">
        <v>43606.0</v>
      </c>
      <c r="G307" s="167">
        <v>44621.0</v>
      </c>
      <c r="H307" s="167">
        <v>44897.0</v>
      </c>
      <c r="I307" s="167">
        <v>44897.0</v>
      </c>
      <c r="J307" s="165">
        <v>39.99</v>
      </c>
      <c r="K307" s="165">
        <v>0.0</v>
      </c>
      <c r="L307" s="165">
        <v>39.99</v>
      </c>
      <c r="M307" s="72">
        <v>2.0</v>
      </c>
      <c r="N307" s="165">
        <v>0.0</v>
      </c>
    </row>
    <row r="308">
      <c r="A308" s="72" t="s">
        <v>25</v>
      </c>
      <c r="B308" s="72"/>
      <c r="C308" s="72">
        <v>978.0</v>
      </c>
      <c r="D308" s="72" t="s">
        <v>929</v>
      </c>
      <c r="E308" s="72" t="s">
        <v>33</v>
      </c>
      <c r="F308" s="167">
        <v>43746.0</v>
      </c>
      <c r="G308" s="167">
        <v>43824.0</v>
      </c>
      <c r="H308" s="167">
        <v>43831.0</v>
      </c>
      <c r="I308" s="167">
        <v>43834.0</v>
      </c>
      <c r="J308" s="165">
        <v>29.99</v>
      </c>
      <c r="K308" s="165">
        <v>0.0</v>
      </c>
      <c r="L308" s="165">
        <v>29.99</v>
      </c>
      <c r="M308" s="72">
        <v>21.0</v>
      </c>
      <c r="N308" s="165">
        <v>0.0</v>
      </c>
    </row>
    <row r="309">
      <c r="A309" s="72" t="s">
        <v>25</v>
      </c>
      <c r="B309" s="72"/>
      <c r="C309" s="72">
        <v>598.0</v>
      </c>
      <c r="D309" s="72" t="s">
        <v>930</v>
      </c>
      <c r="E309" s="72" t="s">
        <v>33</v>
      </c>
      <c r="F309" s="167">
        <v>43875.0</v>
      </c>
      <c r="G309" s="167">
        <v>43907.0</v>
      </c>
      <c r="H309" s="167">
        <v>43907.0</v>
      </c>
      <c r="I309" s="167">
        <v>43907.0</v>
      </c>
      <c r="J309" s="165">
        <v>39.99</v>
      </c>
      <c r="K309" s="165">
        <v>29.99</v>
      </c>
      <c r="L309" s="165">
        <v>10.0</v>
      </c>
      <c r="M309" s="72">
        <v>1.0</v>
      </c>
      <c r="N309" s="165">
        <v>29.99</v>
      </c>
    </row>
    <row r="310">
      <c r="A310" s="72" t="s">
        <v>25</v>
      </c>
      <c r="B310" s="72" t="s">
        <v>246</v>
      </c>
      <c r="C310" s="72">
        <v>948.0</v>
      </c>
      <c r="D310" s="72" t="s">
        <v>931</v>
      </c>
      <c r="E310" s="72" t="s">
        <v>33</v>
      </c>
      <c r="F310" s="167">
        <v>43886.0</v>
      </c>
      <c r="G310" s="167">
        <v>44006.0</v>
      </c>
      <c r="H310" s="167">
        <v>44006.0</v>
      </c>
      <c r="I310" s="167">
        <v>44385.0</v>
      </c>
      <c r="J310" s="165">
        <v>56.98</v>
      </c>
      <c r="K310" s="165">
        <v>37.58</v>
      </c>
      <c r="L310" s="165">
        <v>19.4</v>
      </c>
      <c r="M310" s="72">
        <v>15.0</v>
      </c>
      <c r="N310" s="165">
        <v>2.51</v>
      </c>
    </row>
    <row r="311">
      <c r="A311" s="72" t="s">
        <v>25</v>
      </c>
      <c r="B311" s="72" t="s">
        <v>176</v>
      </c>
      <c r="C311" s="72">
        <v>797.0</v>
      </c>
      <c r="D311" s="72" t="s">
        <v>932</v>
      </c>
      <c r="E311" s="72" t="s">
        <v>33</v>
      </c>
      <c r="F311" s="167">
        <v>43921.0</v>
      </c>
      <c r="G311" s="167">
        <v>44609.0</v>
      </c>
      <c r="H311" s="167">
        <v>44610.0</v>
      </c>
      <c r="I311" s="167">
        <v>45631.0</v>
      </c>
      <c r="J311" s="165">
        <v>17.99</v>
      </c>
      <c r="K311" s="165">
        <v>8.99</v>
      </c>
      <c r="L311" s="165">
        <v>9.0</v>
      </c>
      <c r="M311" s="72">
        <v>11.0</v>
      </c>
      <c r="N311" s="165">
        <v>0.82</v>
      </c>
    </row>
    <row r="312">
      <c r="A312" s="72" t="s">
        <v>25</v>
      </c>
      <c r="B312" s="72" t="s">
        <v>224</v>
      </c>
      <c r="C312" s="72">
        <v>635.0</v>
      </c>
      <c r="D312" s="72" t="s">
        <v>933</v>
      </c>
      <c r="E312" s="72" t="s">
        <v>33</v>
      </c>
      <c r="F312" s="167">
        <v>43965.0</v>
      </c>
      <c r="G312" s="167">
        <v>44708.0</v>
      </c>
      <c r="H312" s="167">
        <v>45626.0</v>
      </c>
      <c r="I312" s="167">
        <v>45627.0</v>
      </c>
      <c r="J312" s="165">
        <v>5.99</v>
      </c>
      <c r="K312" s="165">
        <v>3.59</v>
      </c>
      <c r="L312" s="165">
        <v>2.4</v>
      </c>
      <c r="M312" s="72">
        <v>2.0</v>
      </c>
      <c r="N312" s="165">
        <v>1.8</v>
      </c>
    </row>
    <row r="313">
      <c r="A313" s="72" t="s">
        <v>25</v>
      </c>
      <c r="B313" s="72"/>
      <c r="C313" s="72">
        <v>616.0</v>
      </c>
      <c r="D313" s="72" t="s">
        <v>934</v>
      </c>
      <c r="E313" s="72" t="s">
        <v>33</v>
      </c>
      <c r="F313" s="167">
        <v>44047.0</v>
      </c>
      <c r="G313" s="167">
        <v>44058.0</v>
      </c>
      <c r="H313" s="167">
        <v>44058.0</v>
      </c>
      <c r="I313" s="167">
        <v>45809.0</v>
      </c>
      <c r="J313" s="165">
        <v>19.99</v>
      </c>
      <c r="K313" s="165">
        <v>0.0</v>
      </c>
      <c r="L313" s="165">
        <v>19.99</v>
      </c>
      <c r="M313" s="72">
        <v>55.0</v>
      </c>
      <c r="N313" s="165">
        <v>0.0</v>
      </c>
    </row>
    <row r="314">
      <c r="A314" s="72" t="s">
        <v>25</v>
      </c>
      <c r="B314" s="72"/>
      <c r="C314" s="72">
        <v>587.0</v>
      </c>
      <c r="D314" s="72" t="s">
        <v>935</v>
      </c>
      <c r="E314" s="72" t="s">
        <v>33</v>
      </c>
      <c r="F314" s="167">
        <v>44141.0</v>
      </c>
      <c r="G314" s="167">
        <v>44565.0</v>
      </c>
      <c r="H314" s="167">
        <v>44565.0</v>
      </c>
      <c r="I314" s="167">
        <v>44565.0</v>
      </c>
      <c r="J314" s="165">
        <v>69.99</v>
      </c>
      <c r="K314" s="165">
        <v>0.0</v>
      </c>
      <c r="L314" s="165">
        <v>69.99</v>
      </c>
      <c r="M314" s="72">
        <v>1.0</v>
      </c>
      <c r="N314" s="165">
        <v>0.0</v>
      </c>
    </row>
    <row r="315">
      <c r="A315" s="72" t="s">
        <v>25</v>
      </c>
      <c r="B315" s="72" t="s">
        <v>193</v>
      </c>
      <c r="C315" s="72">
        <v>793.0</v>
      </c>
      <c r="D315" s="72" t="s">
        <v>936</v>
      </c>
      <c r="E315" s="72" t="s">
        <v>33</v>
      </c>
      <c r="F315" s="167">
        <v>44145.0</v>
      </c>
      <c r="G315" s="167">
        <v>44593.0</v>
      </c>
      <c r="H315" s="167">
        <v>44593.0</v>
      </c>
      <c r="I315" s="167">
        <v>44593.0</v>
      </c>
      <c r="J315" s="55">
        <v>44.99</v>
      </c>
      <c r="K315" s="55">
        <v>0.0</v>
      </c>
      <c r="L315" s="165">
        <v>44.99</v>
      </c>
      <c r="M315" s="72">
        <v>1.0</v>
      </c>
      <c r="N315" s="165">
        <v>0.0</v>
      </c>
    </row>
    <row r="316">
      <c r="A316" s="72" t="s">
        <v>25</v>
      </c>
      <c r="B316" s="72"/>
      <c r="C316" s="72">
        <v>825.0</v>
      </c>
      <c r="D316" s="72" t="s">
        <v>937</v>
      </c>
      <c r="E316" s="72" t="s">
        <v>33</v>
      </c>
      <c r="F316" s="167">
        <v>44147.0</v>
      </c>
      <c r="G316" s="167">
        <v>44883.0</v>
      </c>
      <c r="H316" s="167">
        <v>44885.0</v>
      </c>
      <c r="I316" s="167">
        <v>44889.0</v>
      </c>
      <c r="J316" s="165">
        <v>69.99</v>
      </c>
      <c r="K316" s="165">
        <v>29.39</v>
      </c>
      <c r="L316" s="165">
        <v>40.6</v>
      </c>
      <c r="M316" s="72">
        <v>30.0</v>
      </c>
      <c r="N316" s="165">
        <v>0.98</v>
      </c>
    </row>
    <row r="317">
      <c r="A317" s="72" t="s">
        <v>25</v>
      </c>
      <c r="B317" s="72" t="s">
        <v>170</v>
      </c>
      <c r="C317" s="72">
        <v>535.0</v>
      </c>
      <c r="D317" s="72" t="s">
        <v>938</v>
      </c>
      <c r="E317" s="72" t="s">
        <v>33</v>
      </c>
      <c r="F317" s="167">
        <v>44165.0</v>
      </c>
      <c r="G317" s="167">
        <v>45070.0</v>
      </c>
      <c r="H317" s="167">
        <v>45070.0</v>
      </c>
      <c r="I317" s="167">
        <v>45070.0</v>
      </c>
      <c r="J317" s="165">
        <v>10.99</v>
      </c>
      <c r="K317" s="165">
        <v>0.54</v>
      </c>
      <c r="L317" s="165">
        <v>10.45</v>
      </c>
      <c r="M317" s="72">
        <v>1.0</v>
      </c>
      <c r="N317" s="165">
        <v>0.54</v>
      </c>
    </row>
    <row r="318">
      <c r="A318" s="72" t="s">
        <v>25</v>
      </c>
      <c r="B318" s="72"/>
      <c r="C318" s="72">
        <v>971.0</v>
      </c>
      <c r="D318" s="72" t="s">
        <v>939</v>
      </c>
      <c r="E318" s="72" t="s">
        <v>33</v>
      </c>
      <c r="F318" s="167">
        <v>44166.0</v>
      </c>
      <c r="G318" s="167">
        <v>44335.0</v>
      </c>
      <c r="H318" s="167">
        <v>44335.0</v>
      </c>
      <c r="I318" s="167">
        <v>44335.0</v>
      </c>
      <c r="J318" s="165">
        <v>14.99</v>
      </c>
      <c r="K318" s="165">
        <v>9.74</v>
      </c>
      <c r="L318" s="165">
        <v>5.25</v>
      </c>
      <c r="M318" s="72">
        <v>1.0</v>
      </c>
      <c r="N318" s="165">
        <v>9.74</v>
      </c>
    </row>
    <row r="319">
      <c r="A319" s="72" t="s">
        <v>25</v>
      </c>
      <c r="B319" s="72"/>
      <c r="C319" s="72">
        <v>925.0</v>
      </c>
      <c r="D319" s="72" t="s">
        <v>940</v>
      </c>
      <c r="E319" s="72" t="s">
        <v>33</v>
      </c>
      <c r="F319" s="167">
        <v>44196.0</v>
      </c>
      <c r="G319" s="167">
        <v>45382.0</v>
      </c>
      <c r="H319" s="167">
        <v>45382.0</v>
      </c>
      <c r="I319" s="167">
        <v>45382.0</v>
      </c>
      <c r="J319" s="165">
        <v>26.48</v>
      </c>
      <c r="K319" s="165">
        <v>0.0</v>
      </c>
      <c r="L319" s="165">
        <v>26.48</v>
      </c>
      <c r="M319" s="72">
        <v>1.0</v>
      </c>
      <c r="N319" s="165">
        <v>0.0</v>
      </c>
    </row>
    <row r="320">
      <c r="A320" s="72" t="s">
        <v>25</v>
      </c>
      <c r="B320" s="72" t="s">
        <v>178</v>
      </c>
      <c r="C320" s="72">
        <v>873.0</v>
      </c>
      <c r="D320" s="72" t="s">
        <v>941</v>
      </c>
      <c r="E320" s="72" t="s">
        <v>33</v>
      </c>
      <c r="F320" s="167">
        <v>44273.0</v>
      </c>
      <c r="G320" s="167">
        <v>44335.0</v>
      </c>
      <c r="H320" s="167">
        <v>44424.0</v>
      </c>
      <c r="I320" s="167">
        <v>44427.0</v>
      </c>
      <c r="J320" s="165">
        <v>5.99</v>
      </c>
      <c r="K320" s="165">
        <v>4.19</v>
      </c>
      <c r="L320" s="165">
        <v>1.8</v>
      </c>
      <c r="M320" s="72">
        <v>5.0</v>
      </c>
      <c r="N320" s="165">
        <v>0.84</v>
      </c>
    </row>
    <row r="321">
      <c r="A321" s="39" t="s">
        <v>25</v>
      </c>
      <c r="B321" s="39" t="s">
        <v>191</v>
      </c>
      <c r="C321" s="39">
        <v>1089.0</v>
      </c>
      <c r="D321" s="39" t="s">
        <v>942</v>
      </c>
      <c r="E321" s="39" t="s">
        <v>33</v>
      </c>
      <c r="F321" s="41">
        <v>44274.0</v>
      </c>
      <c r="G321" s="41">
        <v>45920.0</v>
      </c>
      <c r="H321" s="41">
        <v>45922.0</v>
      </c>
      <c r="I321" s="41">
        <v>45936.0</v>
      </c>
      <c r="J321" s="42">
        <v>5.0</v>
      </c>
      <c r="K321" s="42">
        <v>0.0</v>
      </c>
      <c r="L321" s="42">
        <v>5.0</v>
      </c>
      <c r="M321" s="39">
        <v>6.0</v>
      </c>
      <c r="N321" s="42">
        <v>0.0</v>
      </c>
    </row>
    <row r="322">
      <c r="A322" s="39" t="s">
        <v>25</v>
      </c>
      <c r="B322" s="39"/>
      <c r="C322" s="39">
        <v>1090.0</v>
      </c>
      <c r="D322" s="39" t="s">
        <v>943</v>
      </c>
      <c r="E322" s="39" t="s">
        <v>33</v>
      </c>
      <c r="F322" s="41">
        <v>44274.0</v>
      </c>
      <c r="G322" s="41">
        <v>45920.0</v>
      </c>
      <c r="H322" s="41">
        <v>45922.0</v>
      </c>
      <c r="I322" s="41">
        <v>45936.0</v>
      </c>
      <c r="J322" s="42">
        <v>4.99</v>
      </c>
      <c r="K322" s="42">
        <v>0.0</v>
      </c>
      <c r="L322" s="42">
        <v>4.99</v>
      </c>
      <c r="M322" s="39">
        <v>5.0</v>
      </c>
      <c r="N322" s="42">
        <v>0.0</v>
      </c>
    </row>
    <row r="323">
      <c r="A323" s="72" t="s">
        <v>25</v>
      </c>
      <c r="B323" s="72"/>
      <c r="C323" s="72">
        <v>613.0</v>
      </c>
      <c r="D323" s="72" t="s">
        <v>944</v>
      </c>
      <c r="E323" s="72" t="s">
        <v>33</v>
      </c>
      <c r="F323" s="167">
        <v>44393.0</v>
      </c>
      <c r="G323" s="167">
        <v>44446.0</v>
      </c>
      <c r="H323" s="167">
        <v>44448.0</v>
      </c>
      <c r="I323" s="167">
        <v>44469.0</v>
      </c>
      <c r="J323" s="165">
        <v>69.99</v>
      </c>
      <c r="K323" s="165">
        <v>0.0</v>
      </c>
      <c r="L323" s="165">
        <v>69.99</v>
      </c>
      <c r="M323" s="72">
        <v>103.0</v>
      </c>
      <c r="N323" s="165">
        <v>0.0</v>
      </c>
    </row>
    <row r="324">
      <c r="A324" s="39" t="s">
        <v>25</v>
      </c>
      <c r="B324" s="39" t="s">
        <v>216</v>
      </c>
      <c r="C324" s="72">
        <v>879.0</v>
      </c>
      <c r="D324" s="72" t="s">
        <v>945</v>
      </c>
      <c r="E324" s="72" t="s">
        <v>33</v>
      </c>
      <c r="F324" s="167">
        <v>44456.0</v>
      </c>
      <c r="G324" s="167">
        <v>45020.0</v>
      </c>
      <c r="H324" s="167">
        <v>45754.0</v>
      </c>
      <c r="I324" s="167">
        <v>45757.0</v>
      </c>
      <c r="J324" s="165">
        <v>24.99</v>
      </c>
      <c r="K324" s="165">
        <v>0.0</v>
      </c>
      <c r="L324" s="165">
        <v>24.99</v>
      </c>
      <c r="M324" s="72">
        <v>15.0</v>
      </c>
      <c r="N324" s="165">
        <v>0.0</v>
      </c>
    </row>
    <row r="325">
      <c r="A325" s="72" t="s">
        <v>25</v>
      </c>
      <c r="B325" s="72"/>
      <c r="C325" s="72">
        <v>681.0</v>
      </c>
      <c r="D325" s="72" t="s">
        <v>946</v>
      </c>
      <c r="E325" s="72" t="s">
        <v>33</v>
      </c>
      <c r="F325" s="167">
        <v>44509.0</v>
      </c>
      <c r="G325" s="167">
        <v>45083.0</v>
      </c>
      <c r="H325" s="167">
        <v>45083.0</v>
      </c>
      <c r="I325" s="167">
        <v>45083.0</v>
      </c>
      <c r="J325" s="165">
        <v>59.99</v>
      </c>
      <c r="K325" s="165">
        <v>0.0</v>
      </c>
      <c r="L325" s="165">
        <v>59.99</v>
      </c>
      <c r="M325" s="72">
        <v>1.0</v>
      </c>
      <c r="N325" s="165">
        <v>0.0</v>
      </c>
    </row>
    <row r="326">
      <c r="A326" s="72" t="s">
        <v>25</v>
      </c>
      <c r="B326" s="72" t="s">
        <v>168</v>
      </c>
      <c r="C326" s="72">
        <v>578.0</v>
      </c>
      <c r="D326" s="72" t="s">
        <v>947</v>
      </c>
      <c r="E326" s="72" t="s">
        <v>33</v>
      </c>
      <c r="F326" s="167">
        <v>44523.0</v>
      </c>
      <c r="G326" s="167">
        <v>45140.0</v>
      </c>
      <c r="H326" s="167">
        <v>45809.0</v>
      </c>
      <c r="I326" s="167">
        <v>45809.0</v>
      </c>
      <c r="J326" s="165">
        <v>19.99</v>
      </c>
      <c r="K326" s="165">
        <v>0.0</v>
      </c>
      <c r="L326" s="165">
        <v>19.99</v>
      </c>
      <c r="M326" s="72">
        <v>2.0</v>
      </c>
      <c r="N326" s="165">
        <v>0.0</v>
      </c>
    </row>
    <row r="327">
      <c r="A327" s="72" t="s">
        <v>25</v>
      </c>
      <c r="B327" s="72"/>
      <c r="C327" s="72">
        <v>778.0</v>
      </c>
      <c r="D327" s="72" t="s">
        <v>948</v>
      </c>
      <c r="E327" s="72" t="s">
        <v>33</v>
      </c>
      <c r="F327" s="167">
        <v>44600.0</v>
      </c>
      <c r="G327" s="167">
        <v>44923.0</v>
      </c>
      <c r="H327" s="167">
        <v>45475.0</v>
      </c>
      <c r="I327" s="167">
        <v>45475.0</v>
      </c>
      <c r="J327" s="165">
        <v>29.99</v>
      </c>
      <c r="K327" s="165">
        <v>9.89</v>
      </c>
      <c r="L327" s="165">
        <v>20.1</v>
      </c>
      <c r="M327" s="72">
        <v>2.0</v>
      </c>
      <c r="N327" s="165">
        <v>4.95</v>
      </c>
    </row>
    <row r="328">
      <c r="A328" s="72" t="s">
        <v>25</v>
      </c>
      <c r="B328" s="72"/>
      <c r="C328" s="72">
        <v>651.0</v>
      </c>
      <c r="D328" s="72" t="s">
        <v>949</v>
      </c>
      <c r="E328" s="72" t="s">
        <v>33</v>
      </c>
      <c r="F328" s="167">
        <v>44617.0</v>
      </c>
      <c r="G328" s="167">
        <v>45048.0</v>
      </c>
      <c r="H328" s="167">
        <v>45236.0</v>
      </c>
      <c r="I328" s="167">
        <v>45246.0</v>
      </c>
      <c r="J328" s="165">
        <v>69.99</v>
      </c>
      <c r="K328" s="165">
        <v>0.0</v>
      </c>
      <c r="L328" s="165">
        <v>69.99</v>
      </c>
      <c r="M328" s="72">
        <v>60.0</v>
      </c>
      <c r="N328" s="165">
        <v>0.0</v>
      </c>
    </row>
    <row r="329">
      <c r="A329" s="72" t="s">
        <v>25</v>
      </c>
      <c r="B329" s="72"/>
      <c r="C329" s="72">
        <v>699.0</v>
      </c>
      <c r="D329" s="72" t="s">
        <v>950</v>
      </c>
      <c r="E329" s="72" t="s">
        <v>33</v>
      </c>
      <c r="F329" s="167">
        <v>44656.0</v>
      </c>
      <c r="G329" s="167">
        <v>45511.0</v>
      </c>
      <c r="H329" s="167">
        <v>45511.0</v>
      </c>
      <c r="I329" s="167">
        <v>45511.0</v>
      </c>
      <c r="J329" s="165">
        <v>59.99</v>
      </c>
      <c r="K329" s="165">
        <v>0.0</v>
      </c>
      <c r="L329" s="165">
        <v>59.99</v>
      </c>
      <c r="M329" s="72">
        <v>1.0</v>
      </c>
      <c r="N329" s="165">
        <v>0.0</v>
      </c>
    </row>
    <row r="330">
      <c r="A330" s="72" t="s">
        <v>25</v>
      </c>
      <c r="B330" s="72"/>
      <c r="C330" s="72">
        <v>949.0</v>
      </c>
      <c r="D330" s="72" t="s">
        <v>951</v>
      </c>
      <c r="E330" s="72" t="s">
        <v>33</v>
      </c>
      <c r="F330" s="167">
        <v>44782.0</v>
      </c>
      <c r="G330" s="167">
        <v>45143.0</v>
      </c>
      <c r="H330" s="167">
        <v>45424.0</v>
      </c>
      <c r="I330" s="167">
        <v>45430.0</v>
      </c>
      <c r="J330" s="165">
        <v>29.99</v>
      </c>
      <c r="K330" s="165">
        <v>14.99</v>
      </c>
      <c r="L330" s="165">
        <v>15.0</v>
      </c>
      <c r="M330" s="72">
        <v>1.0</v>
      </c>
      <c r="N330" s="165">
        <v>14.99</v>
      </c>
    </row>
    <row r="331">
      <c r="A331" s="72" t="s">
        <v>25</v>
      </c>
      <c r="B331" s="72"/>
      <c r="C331" s="72">
        <v>821.0</v>
      </c>
      <c r="D331" s="72" t="s">
        <v>952</v>
      </c>
      <c r="E331" s="72" t="s">
        <v>33</v>
      </c>
      <c r="F331" s="167">
        <v>44789.0</v>
      </c>
      <c r="G331" s="167">
        <v>45328.0</v>
      </c>
      <c r="H331" s="167">
        <v>45328.0</v>
      </c>
      <c r="I331" s="167">
        <v>45328.0</v>
      </c>
      <c r="J331" s="165">
        <v>29.99</v>
      </c>
      <c r="K331" s="165">
        <v>0.0</v>
      </c>
      <c r="L331" s="165">
        <v>29.99</v>
      </c>
      <c r="M331" s="72">
        <v>1.0</v>
      </c>
      <c r="N331" s="165">
        <v>0.0</v>
      </c>
    </row>
    <row r="332">
      <c r="A332" s="72" t="s">
        <v>25</v>
      </c>
      <c r="B332" s="72"/>
      <c r="C332" s="72">
        <v>615.0</v>
      </c>
      <c r="D332" s="72" t="s">
        <v>953</v>
      </c>
      <c r="E332" s="72" t="s">
        <v>33</v>
      </c>
      <c r="F332" s="167">
        <v>44803.0</v>
      </c>
      <c r="G332" s="167">
        <v>44922.0</v>
      </c>
      <c r="H332" s="167">
        <v>45357.0</v>
      </c>
      <c r="I332" s="167">
        <v>45357.0</v>
      </c>
      <c r="J332" s="165">
        <v>54.99</v>
      </c>
      <c r="K332" s="165">
        <v>0.0</v>
      </c>
      <c r="L332" s="165">
        <v>54.99</v>
      </c>
      <c r="M332" s="72">
        <v>2.0</v>
      </c>
      <c r="N332" s="165">
        <v>0.0</v>
      </c>
    </row>
    <row r="333">
      <c r="A333" s="72" t="s">
        <v>25</v>
      </c>
      <c r="B333" s="72"/>
      <c r="C333" s="72">
        <v>801.0</v>
      </c>
      <c r="D333" s="72" t="s">
        <v>954</v>
      </c>
      <c r="E333" s="72" t="s">
        <v>33</v>
      </c>
      <c r="F333" s="167">
        <v>44957.0</v>
      </c>
      <c r="G333" s="167">
        <v>45265.0</v>
      </c>
      <c r="H333" s="167">
        <v>45265.0</v>
      </c>
      <c r="I333" s="167">
        <v>45506.0</v>
      </c>
      <c r="J333" s="165">
        <v>32.98</v>
      </c>
      <c r="K333" s="165">
        <v>2.99</v>
      </c>
      <c r="L333" s="165">
        <v>29.99</v>
      </c>
      <c r="M333" s="72">
        <v>76.0</v>
      </c>
      <c r="N333" s="165">
        <v>0.04</v>
      </c>
    </row>
    <row r="334">
      <c r="A334" s="72" t="s">
        <v>25</v>
      </c>
      <c r="B334" s="72" t="s">
        <v>184</v>
      </c>
      <c r="C334" s="72">
        <v>575.0</v>
      </c>
      <c r="D334" s="72" t="s">
        <v>955</v>
      </c>
      <c r="E334" s="72" t="s">
        <v>33</v>
      </c>
      <c r="F334" s="167">
        <v>45037.0</v>
      </c>
      <c r="G334" s="167">
        <v>45491.0</v>
      </c>
      <c r="H334" s="167">
        <v>45496.0</v>
      </c>
      <c r="I334" s="167">
        <v>45514.0</v>
      </c>
      <c r="J334" s="165">
        <v>69.99</v>
      </c>
      <c r="K334" s="165">
        <v>34.99</v>
      </c>
      <c r="L334" s="165">
        <v>35.0</v>
      </c>
      <c r="M334" s="72">
        <v>42.0</v>
      </c>
      <c r="N334" s="165">
        <v>0.83</v>
      </c>
    </row>
    <row r="335">
      <c r="A335" s="39" t="s">
        <v>25</v>
      </c>
      <c r="B335" s="39"/>
      <c r="C335" s="72">
        <v>688.0</v>
      </c>
      <c r="D335" s="72" t="s">
        <v>956</v>
      </c>
      <c r="E335" s="72" t="s">
        <v>33</v>
      </c>
      <c r="F335" s="167">
        <v>45078.0</v>
      </c>
      <c r="G335" s="167">
        <v>45734.0</v>
      </c>
      <c r="H335" s="167">
        <v>45743.0</v>
      </c>
      <c r="I335" s="167">
        <v>45743.0</v>
      </c>
      <c r="J335" s="55">
        <v>24.99</v>
      </c>
      <c r="K335" s="55">
        <v>8.49</v>
      </c>
      <c r="L335" s="55">
        <v>16.5</v>
      </c>
      <c r="M335" s="72">
        <v>3.0</v>
      </c>
      <c r="N335" s="55">
        <v>2.83</v>
      </c>
    </row>
    <row r="336">
      <c r="A336" s="72" t="s">
        <v>25</v>
      </c>
      <c r="B336" s="72"/>
      <c r="C336" s="72">
        <v>614.0</v>
      </c>
      <c r="D336" s="72" t="s">
        <v>957</v>
      </c>
      <c r="E336" s="72" t="s">
        <v>33</v>
      </c>
      <c r="F336" s="167">
        <v>45093.0</v>
      </c>
      <c r="G336" s="167">
        <v>45356.0</v>
      </c>
      <c r="H336" s="167">
        <v>45356.0</v>
      </c>
      <c r="I336" s="167">
        <v>45369.0</v>
      </c>
      <c r="J336" s="165">
        <v>79.99</v>
      </c>
      <c r="K336" s="165">
        <v>0.0</v>
      </c>
      <c r="L336" s="165">
        <v>79.99</v>
      </c>
      <c r="M336" s="72">
        <v>82.0</v>
      </c>
      <c r="N336" s="165">
        <v>0.0</v>
      </c>
    </row>
    <row r="337">
      <c r="A337" s="39" t="s">
        <v>25</v>
      </c>
      <c r="B337" s="39" t="s">
        <v>202</v>
      </c>
      <c r="C337" s="39">
        <v>1099.0</v>
      </c>
      <c r="D337" s="39" t="s">
        <v>958</v>
      </c>
      <c r="E337" s="39" t="s">
        <v>33</v>
      </c>
      <c r="F337" s="41">
        <v>45337.0</v>
      </c>
      <c r="G337" s="41">
        <v>46005.0</v>
      </c>
      <c r="H337" s="41">
        <v>46013.0</v>
      </c>
      <c r="I337" s="41">
        <v>46022.0</v>
      </c>
      <c r="J337" s="42">
        <v>19.99</v>
      </c>
      <c r="K337" s="42">
        <v>3.99</v>
      </c>
      <c r="L337" s="42">
        <v>15.999999999999998</v>
      </c>
      <c r="M337" s="39">
        <v>6.0</v>
      </c>
      <c r="N337" s="42">
        <v>0.665</v>
      </c>
    </row>
    <row r="338">
      <c r="A338" s="39" t="s">
        <v>25</v>
      </c>
      <c r="B338" s="40" t="s">
        <v>24</v>
      </c>
      <c r="C338" s="39">
        <v>1101.0</v>
      </c>
      <c r="D338" s="39" t="s">
        <v>32</v>
      </c>
      <c r="E338" s="39" t="s">
        <v>33</v>
      </c>
      <c r="F338" s="41">
        <v>45505.0</v>
      </c>
      <c r="G338" s="41">
        <v>46016.0</v>
      </c>
      <c r="H338" s="41">
        <v>46016.0</v>
      </c>
      <c r="I338" s="41">
        <v>46016.0</v>
      </c>
      <c r="J338" s="42">
        <v>17.99</v>
      </c>
      <c r="K338" s="42">
        <v>0.0</v>
      </c>
      <c r="L338" s="42">
        <v>17.99</v>
      </c>
      <c r="M338" s="39">
        <v>1.0</v>
      </c>
      <c r="N338" s="42">
        <v>0.0</v>
      </c>
    </row>
    <row r="339">
      <c r="A339" s="72" t="s">
        <v>25</v>
      </c>
      <c r="B339" s="72" t="s">
        <v>250</v>
      </c>
      <c r="C339" s="72">
        <v>1010.0</v>
      </c>
      <c r="D339" s="72" t="s">
        <v>959</v>
      </c>
      <c r="E339" s="72" t="s">
        <v>666</v>
      </c>
      <c r="F339" s="167">
        <v>42290.0</v>
      </c>
      <c r="G339" s="167">
        <v>43468.0</v>
      </c>
      <c r="H339" s="167">
        <v>43468.0</v>
      </c>
      <c r="I339" s="167">
        <v>43468.0</v>
      </c>
      <c r="J339" s="165">
        <v>19.99</v>
      </c>
      <c r="K339" s="165">
        <v>9.99</v>
      </c>
      <c r="L339" s="165">
        <v>10.0</v>
      </c>
      <c r="M339" s="72">
        <v>1.0</v>
      </c>
      <c r="N339" s="165">
        <v>9.99</v>
      </c>
    </row>
    <row r="340">
      <c r="A340" s="72" t="s">
        <v>25</v>
      </c>
      <c r="B340" s="72" t="s">
        <v>209</v>
      </c>
      <c r="C340" s="72">
        <v>1023.0</v>
      </c>
      <c r="D340" s="72" t="s">
        <v>960</v>
      </c>
      <c r="E340" s="72" t="s">
        <v>666</v>
      </c>
      <c r="F340" s="167">
        <v>42653.0</v>
      </c>
      <c r="G340" s="167">
        <v>43463.0</v>
      </c>
      <c r="H340" s="167">
        <v>43463.0</v>
      </c>
      <c r="I340" s="167">
        <v>45150.0</v>
      </c>
      <c r="J340" s="165">
        <v>29.99</v>
      </c>
      <c r="K340" s="165">
        <v>0.0</v>
      </c>
      <c r="L340" s="165">
        <v>29.99</v>
      </c>
      <c r="M340" s="72">
        <v>11.0</v>
      </c>
      <c r="N340" s="165">
        <v>0.0</v>
      </c>
    </row>
    <row r="341">
      <c r="A341" s="72" t="s">
        <v>25</v>
      </c>
      <c r="B341" s="72"/>
      <c r="C341" s="72">
        <v>988.0</v>
      </c>
      <c r="D341" s="72" t="s">
        <v>961</v>
      </c>
      <c r="E341" s="72" t="s">
        <v>666</v>
      </c>
      <c r="F341" s="167">
        <v>42654.0</v>
      </c>
      <c r="G341" s="167">
        <v>43472.0</v>
      </c>
      <c r="H341" s="167">
        <v>44034.0</v>
      </c>
      <c r="I341" s="167">
        <v>44035.0</v>
      </c>
      <c r="J341" s="165">
        <v>19.99</v>
      </c>
      <c r="K341" s="165">
        <v>9.99</v>
      </c>
      <c r="L341" s="165">
        <v>10.0</v>
      </c>
      <c r="M341" s="72">
        <v>4.0</v>
      </c>
      <c r="N341" s="165">
        <v>2.5</v>
      </c>
    </row>
    <row r="342">
      <c r="A342" s="72" t="s">
        <v>25</v>
      </c>
      <c r="B342" s="72"/>
      <c r="C342" s="72">
        <v>998.0</v>
      </c>
      <c r="D342" s="72" t="s">
        <v>962</v>
      </c>
      <c r="E342" s="72" t="s">
        <v>666</v>
      </c>
      <c r="F342" s="167">
        <v>42656.0</v>
      </c>
      <c r="G342" s="167">
        <v>43475.0</v>
      </c>
      <c r="H342" s="167">
        <v>43537.0</v>
      </c>
      <c r="I342" s="167">
        <v>43537.0</v>
      </c>
      <c r="J342" s="165">
        <v>19.99</v>
      </c>
      <c r="K342" s="165">
        <v>19.99</v>
      </c>
      <c r="L342" s="165">
        <v>0.0</v>
      </c>
      <c r="M342" s="72">
        <v>2.0</v>
      </c>
      <c r="N342" s="165">
        <v>10.0</v>
      </c>
    </row>
    <row r="343">
      <c r="A343" s="72" t="s">
        <v>25</v>
      </c>
      <c r="B343" s="72"/>
      <c r="C343" s="72">
        <v>1027.0</v>
      </c>
      <c r="D343" s="72" t="s">
        <v>963</v>
      </c>
      <c r="E343" s="72" t="s">
        <v>666</v>
      </c>
      <c r="F343" s="167">
        <v>42656.0</v>
      </c>
      <c r="G343" s="167">
        <v>43466.0</v>
      </c>
      <c r="H343" s="167">
        <v>43480.0</v>
      </c>
      <c r="I343" s="167">
        <v>43480.0</v>
      </c>
      <c r="J343" s="165">
        <v>19.99</v>
      </c>
      <c r="K343" s="165">
        <v>9.99</v>
      </c>
      <c r="L343" s="165">
        <v>10.0</v>
      </c>
      <c r="M343" s="72">
        <v>1.0</v>
      </c>
      <c r="N343" s="165">
        <v>9.99</v>
      </c>
    </row>
    <row r="344">
      <c r="A344" s="72" t="s">
        <v>25</v>
      </c>
      <c r="B344" s="72"/>
      <c r="C344" s="72">
        <v>1043.0</v>
      </c>
      <c r="D344" s="72" t="s">
        <v>964</v>
      </c>
      <c r="E344" s="72" t="s">
        <v>666</v>
      </c>
      <c r="F344" s="167">
        <v>42656.0</v>
      </c>
      <c r="G344" s="167">
        <v>43466.0</v>
      </c>
      <c r="H344" s="167">
        <v>43543.0</v>
      </c>
      <c r="I344" s="167">
        <v>43543.0</v>
      </c>
      <c r="J344" s="165">
        <v>9.99</v>
      </c>
      <c r="K344" s="165">
        <v>3.99</v>
      </c>
      <c r="L344" s="165">
        <v>6.0</v>
      </c>
      <c r="M344" s="72">
        <v>1.0</v>
      </c>
      <c r="N344" s="165">
        <v>3.99</v>
      </c>
    </row>
    <row r="345">
      <c r="A345" s="72" t="s">
        <v>25</v>
      </c>
      <c r="B345" s="72"/>
      <c r="C345" s="72">
        <v>1045.0</v>
      </c>
      <c r="D345" s="72" t="s">
        <v>965</v>
      </c>
      <c r="E345" s="72" t="s">
        <v>666</v>
      </c>
      <c r="F345" s="167">
        <v>42656.0</v>
      </c>
      <c r="G345" s="167">
        <v>43468.0</v>
      </c>
      <c r="H345" s="167">
        <v>43477.0</v>
      </c>
      <c r="I345" s="167">
        <v>43896.0</v>
      </c>
      <c r="J345" s="165">
        <v>19.99</v>
      </c>
      <c r="K345" s="165">
        <v>9.99</v>
      </c>
      <c r="L345" s="165">
        <v>10.0</v>
      </c>
      <c r="M345" s="72">
        <v>1.0</v>
      </c>
      <c r="N345" s="165">
        <v>9.99</v>
      </c>
    </row>
    <row r="346">
      <c r="A346" s="72" t="s">
        <v>25</v>
      </c>
      <c r="B346" s="72"/>
      <c r="C346" s="72">
        <v>1018.0</v>
      </c>
      <c r="D346" s="72" t="s">
        <v>966</v>
      </c>
      <c r="E346" s="72" t="s">
        <v>666</v>
      </c>
      <c r="F346" s="167">
        <v>42682.0</v>
      </c>
      <c r="G346" s="167">
        <v>43804.0</v>
      </c>
      <c r="H346" s="167">
        <v>43810.0</v>
      </c>
      <c r="I346" s="167">
        <v>43810.0</v>
      </c>
      <c r="J346" s="165">
        <v>19.99</v>
      </c>
      <c r="K346" s="165">
        <v>7.99</v>
      </c>
      <c r="L346" s="165">
        <v>12.0</v>
      </c>
      <c r="M346" s="72">
        <v>2.0</v>
      </c>
      <c r="N346" s="165">
        <v>4.0</v>
      </c>
    </row>
    <row r="347">
      <c r="A347" s="72" t="s">
        <v>25</v>
      </c>
      <c r="B347" s="72"/>
      <c r="C347" s="72">
        <v>1040.0</v>
      </c>
      <c r="D347" s="72" t="s">
        <v>967</v>
      </c>
      <c r="E347" s="72" t="s">
        <v>666</v>
      </c>
      <c r="F347" s="167">
        <v>42941.0</v>
      </c>
      <c r="G347" s="167">
        <v>43475.0</v>
      </c>
      <c r="H347" s="167">
        <v>43543.0</v>
      </c>
      <c r="I347" s="167">
        <v>43543.0</v>
      </c>
      <c r="J347" s="165">
        <v>15.99</v>
      </c>
      <c r="K347" s="165">
        <v>15.99</v>
      </c>
      <c r="L347" s="165">
        <v>0.0</v>
      </c>
      <c r="M347" s="72">
        <v>1.0</v>
      </c>
      <c r="N347" s="165">
        <v>15.99</v>
      </c>
    </row>
    <row r="348">
      <c r="A348" s="72" t="s">
        <v>25</v>
      </c>
      <c r="B348" s="72" t="s">
        <v>249</v>
      </c>
      <c r="C348" s="72">
        <v>1047.0</v>
      </c>
      <c r="D348" s="72" t="s">
        <v>968</v>
      </c>
      <c r="E348" s="72" t="s">
        <v>666</v>
      </c>
      <c r="F348" s="167">
        <v>42990.0</v>
      </c>
      <c r="G348" s="167">
        <v>43615.0</v>
      </c>
      <c r="H348" s="167">
        <v>43616.0</v>
      </c>
      <c r="I348" s="167">
        <v>43616.0</v>
      </c>
      <c r="J348" s="165">
        <v>24.99</v>
      </c>
      <c r="K348" s="165">
        <v>9.99</v>
      </c>
      <c r="L348" s="165">
        <v>15.0</v>
      </c>
      <c r="M348" s="72">
        <v>1.0</v>
      </c>
      <c r="N348" s="165">
        <v>9.99</v>
      </c>
    </row>
    <row r="349">
      <c r="A349" s="72" t="s">
        <v>25</v>
      </c>
      <c r="B349" s="72" t="s">
        <v>215</v>
      </c>
      <c r="C349" s="72">
        <v>1029.0</v>
      </c>
      <c r="D349" s="72" t="s">
        <v>969</v>
      </c>
      <c r="E349" s="72" t="s">
        <v>666</v>
      </c>
      <c r="F349" s="167">
        <v>43119.0</v>
      </c>
      <c r="G349" s="167">
        <v>43468.0</v>
      </c>
      <c r="H349" s="167">
        <v>43543.0</v>
      </c>
      <c r="I349" s="167">
        <v>44027.0</v>
      </c>
      <c r="J349" s="165">
        <v>19.99</v>
      </c>
      <c r="K349" s="165">
        <v>11.99</v>
      </c>
      <c r="L349" s="165">
        <v>8.0</v>
      </c>
      <c r="M349" s="72">
        <v>18.0</v>
      </c>
      <c r="N349" s="165">
        <v>0.67</v>
      </c>
    </row>
    <row r="350">
      <c r="A350" s="72" t="s">
        <v>25</v>
      </c>
      <c r="B350" s="72" t="s">
        <v>252</v>
      </c>
      <c r="C350" s="72">
        <v>1009.0</v>
      </c>
      <c r="D350" s="72" t="s">
        <v>970</v>
      </c>
      <c r="E350" s="72" t="s">
        <v>666</v>
      </c>
      <c r="F350" s="167">
        <v>43979.0</v>
      </c>
      <c r="G350" s="167">
        <v>44252.0</v>
      </c>
      <c r="H350" s="167">
        <v>44254.0</v>
      </c>
      <c r="I350" s="167">
        <v>44254.0</v>
      </c>
      <c r="J350" s="165">
        <v>18.99</v>
      </c>
      <c r="K350" s="165">
        <v>11.39</v>
      </c>
      <c r="L350" s="165">
        <v>7.6</v>
      </c>
      <c r="M350" s="72">
        <v>2.0</v>
      </c>
      <c r="N350" s="165">
        <v>5.7</v>
      </c>
    </row>
    <row r="351">
      <c r="A351" s="72" t="s">
        <v>25</v>
      </c>
      <c r="B351" s="72"/>
      <c r="C351" s="72">
        <v>1030.0</v>
      </c>
      <c r="D351" s="72" t="s">
        <v>971</v>
      </c>
      <c r="E351" s="72" t="s">
        <v>666</v>
      </c>
      <c r="F351" s="167">
        <v>44385.0</v>
      </c>
      <c r="G351" s="167">
        <v>44708.0</v>
      </c>
      <c r="H351" s="167">
        <v>44708.0</v>
      </c>
      <c r="I351" s="167">
        <v>44708.0</v>
      </c>
      <c r="J351" s="165">
        <v>29.99</v>
      </c>
      <c r="K351" s="165">
        <v>13.49</v>
      </c>
      <c r="L351" s="165">
        <v>16.5</v>
      </c>
      <c r="M351" s="72">
        <v>1.0</v>
      </c>
      <c r="N351" s="165">
        <v>13.49</v>
      </c>
    </row>
    <row r="352">
      <c r="A352" s="72" t="s">
        <v>25</v>
      </c>
      <c r="B352" s="72" t="s">
        <v>229</v>
      </c>
      <c r="C352" s="72">
        <v>1076.0</v>
      </c>
      <c r="D352" s="72" t="s">
        <v>972</v>
      </c>
      <c r="E352" s="72" t="s">
        <v>39</v>
      </c>
      <c r="F352" s="167">
        <v>44894.0</v>
      </c>
      <c r="G352" s="167">
        <v>45265.0</v>
      </c>
      <c r="H352" s="167">
        <v>45265.0</v>
      </c>
      <c r="I352" s="167">
        <v>45265.0</v>
      </c>
      <c r="J352" s="165">
        <v>24.99</v>
      </c>
      <c r="K352" s="165">
        <v>0.0</v>
      </c>
      <c r="L352" s="165">
        <v>24.99</v>
      </c>
      <c r="M352" s="72">
        <v>1.0</v>
      </c>
      <c r="N352" s="165">
        <v>0.0</v>
      </c>
    </row>
    <row r="353">
      <c r="A353" s="71" t="s">
        <v>25</v>
      </c>
      <c r="B353" s="48"/>
      <c r="C353" s="72">
        <v>1060.0</v>
      </c>
      <c r="D353" s="72" t="s">
        <v>973</v>
      </c>
      <c r="E353" s="72" t="s">
        <v>39</v>
      </c>
      <c r="F353" s="167">
        <v>45267.0</v>
      </c>
      <c r="G353" s="167">
        <v>45734.0</v>
      </c>
      <c r="H353" s="167">
        <v>45734.0</v>
      </c>
      <c r="I353" s="167">
        <v>45734.0</v>
      </c>
      <c r="J353" s="55">
        <v>59.99</v>
      </c>
      <c r="K353" s="55">
        <v>23.99</v>
      </c>
      <c r="L353" s="165">
        <v>36.0</v>
      </c>
      <c r="M353" s="72">
        <v>1.0</v>
      </c>
      <c r="N353" s="165">
        <v>23.99</v>
      </c>
    </row>
    <row r="354">
      <c r="A354" s="72" t="s">
        <v>25</v>
      </c>
      <c r="B354" s="72"/>
      <c r="C354" s="72">
        <v>1072.0</v>
      </c>
      <c r="D354" s="72" t="s">
        <v>974</v>
      </c>
      <c r="E354" s="72" t="s">
        <v>39</v>
      </c>
      <c r="F354" s="167">
        <v>45377.0</v>
      </c>
      <c r="G354" s="167">
        <v>45445.0</v>
      </c>
      <c r="H354" s="167">
        <v>45445.0</v>
      </c>
      <c r="I354" s="167">
        <v>45445.0</v>
      </c>
      <c r="J354" s="165">
        <v>74.98</v>
      </c>
      <c r="K354" s="165">
        <v>65.48</v>
      </c>
      <c r="L354" s="165">
        <v>9.5</v>
      </c>
      <c r="M354" s="72">
        <v>1.0</v>
      </c>
      <c r="N354" s="165">
        <v>65.48</v>
      </c>
    </row>
    <row r="355">
      <c r="A355" s="72" t="s">
        <v>25</v>
      </c>
      <c r="B355" s="72" t="s">
        <v>169</v>
      </c>
      <c r="C355" s="72">
        <v>1082.0</v>
      </c>
      <c r="D355" s="72" t="s">
        <v>975</v>
      </c>
      <c r="E355" s="72" t="s">
        <v>39</v>
      </c>
      <c r="F355" s="167">
        <v>45552.0</v>
      </c>
      <c r="G355" s="167">
        <v>45554.0</v>
      </c>
      <c r="H355" s="167">
        <v>45555.0</v>
      </c>
      <c r="I355" s="167">
        <v>45559.0</v>
      </c>
      <c r="J355" s="165">
        <v>29.99</v>
      </c>
      <c r="K355" s="165">
        <v>0.0</v>
      </c>
      <c r="L355" s="165">
        <v>29.99</v>
      </c>
      <c r="M355" s="72">
        <v>10.0</v>
      </c>
      <c r="N355" s="165">
        <v>0.0</v>
      </c>
    </row>
    <row r="356">
      <c r="A356" s="44">
        <f t="shared" ref="A356:B356" si="30">COUNTA(A177:A355)</f>
        <v>179</v>
      </c>
      <c r="B356" s="44">
        <f t="shared" si="30"/>
        <v>87</v>
      </c>
      <c r="C356" s="44"/>
      <c r="D356" s="44"/>
      <c r="E356" s="46">
        <v>3795.59</v>
      </c>
      <c r="F356" s="46">
        <v>1437.55</v>
      </c>
      <c r="G356" s="47">
        <v>2358.04</v>
      </c>
      <c r="H356" s="43">
        <v>1868.0</v>
      </c>
      <c r="I356" s="46">
        <v>0.7703170338527673</v>
      </c>
      <c r="J356" s="145">
        <f t="shared" ref="J356:M356" si="31">SUM(J177:J355)</f>
        <v>3795.59</v>
      </c>
      <c r="K356" s="145">
        <f t="shared" si="31"/>
        <v>1437.55</v>
      </c>
      <c r="L356" s="145">
        <f t="shared" si="31"/>
        <v>2358.04</v>
      </c>
      <c r="M356" s="44">
        <f t="shared" si="31"/>
        <v>1868</v>
      </c>
      <c r="N356" s="145">
        <f>K356/M356</f>
        <v>0.7695663812</v>
      </c>
    </row>
    <row r="357">
      <c r="A357" s="64"/>
      <c r="B357" s="64"/>
      <c r="C357" s="64"/>
      <c r="D357" s="114"/>
      <c r="E357" s="114"/>
      <c r="F357" s="114"/>
      <c r="G357" s="114"/>
      <c r="H357" s="114"/>
      <c r="I357" s="114"/>
      <c r="J357" s="7"/>
      <c r="K357" s="7"/>
      <c r="L357" s="7"/>
      <c r="M357" s="7"/>
      <c r="N357" s="7"/>
    </row>
    <row r="358">
      <c r="A358" s="49" t="s">
        <v>27</v>
      </c>
      <c r="B358" s="49" t="s">
        <v>26</v>
      </c>
      <c r="C358" s="50">
        <v>1100.0</v>
      </c>
      <c r="D358" s="50" t="s">
        <v>34</v>
      </c>
      <c r="E358" s="50" t="s">
        <v>33</v>
      </c>
      <c r="F358" s="51">
        <v>44285.0</v>
      </c>
      <c r="G358" s="51">
        <v>46016.0</v>
      </c>
      <c r="H358" s="51">
        <v>46016.0</v>
      </c>
      <c r="I358" s="51">
        <v>46016.0</v>
      </c>
      <c r="J358" s="52">
        <v>39.99</v>
      </c>
      <c r="K358" s="52">
        <v>0.0</v>
      </c>
      <c r="L358" s="52">
        <v>39.99</v>
      </c>
      <c r="M358" s="50">
        <v>1.0</v>
      </c>
      <c r="N358" s="52">
        <v>0.0</v>
      </c>
    </row>
    <row r="359">
      <c r="A359" s="53">
        <f t="shared" ref="A359:B359" si="32">COUNTA(A358)</f>
        <v>1</v>
      </c>
      <c r="B359" s="53">
        <f t="shared" si="32"/>
        <v>1</v>
      </c>
      <c r="C359" s="53"/>
      <c r="D359" s="53"/>
      <c r="E359" s="54">
        <v>39.99</v>
      </c>
      <c r="F359" s="54">
        <v>0.0</v>
      </c>
      <c r="G359" s="54">
        <v>39.99</v>
      </c>
      <c r="H359" s="53">
        <v>1.0</v>
      </c>
      <c r="I359" s="54">
        <v>0.0</v>
      </c>
      <c r="J359" s="163">
        <f t="shared" ref="J359:M359" si="33">SUM(J358)</f>
        <v>39.99</v>
      </c>
      <c r="K359" s="163">
        <f t="shared" si="33"/>
        <v>0</v>
      </c>
      <c r="L359" s="163">
        <f t="shared" si="33"/>
        <v>39.99</v>
      </c>
      <c r="M359" s="75">
        <f t="shared" si="33"/>
        <v>1</v>
      </c>
      <c r="N359" s="163">
        <f>K359/M359</f>
        <v>0</v>
      </c>
    </row>
    <row r="360">
      <c r="A360" s="64"/>
      <c r="B360" s="64"/>
      <c r="C360" s="64"/>
      <c r="D360" s="114"/>
      <c r="E360" s="114"/>
      <c r="F360" s="114"/>
      <c r="G360" s="114"/>
      <c r="H360" s="114"/>
      <c r="I360" s="114"/>
      <c r="J360" s="7"/>
      <c r="K360" s="7"/>
      <c r="L360" s="7"/>
      <c r="M360" s="7"/>
      <c r="N360" s="7"/>
    </row>
    <row r="361">
      <c r="A361" s="49" t="s">
        <v>255</v>
      </c>
      <c r="B361" s="49" t="s">
        <v>262</v>
      </c>
      <c r="C361" s="49">
        <v>114.0</v>
      </c>
      <c r="D361" s="49" t="s">
        <v>976</v>
      </c>
      <c r="E361" s="49" t="s">
        <v>645</v>
      </c>
      <c r="F361" s="162">
        <v>37267.0</v>
      </c>
      <c r="G361" s="162">
        <v>42950.0</v>
      </c>
      <c r="H361" s="162">
        <v>44181.0</v>
      </c>
      <c r="I361" s="162">
        <v>44181.0</v>
      </c>
      <c r="J361" s="78">
        <v>13.99</v>
      </c>
      <c r="K361" s="78">
        <v>5.99</v>
      </c>
      <c r="L361" s="78">
        <v>8.0</v>
      </c>
      <c r="M361" s="49">
        <v>2.0</v>
      </c>
      <c r="N361" s="78">
        <v>3.0</v>
      </c>
    </row>
    <row r="362">
      <c r="A362" s="49" t="s">
        <v>255</v>
      </c>
      <c r="B362" s="49" t="s">
        <v>260</v>
      </c>
      <c r="C362" s="49">
        <v>375.0</v>
      </c>
      <c r="D362" s="49" t="s">
        <v>977</v>
      </c>
      <c r="E362" s="49" t="s">
        <v>649</v>
      </c>
      <c r="F362" s="162">
        <v>39443.0</v>
      </c>
      <c r="G362" s="162">
        <v>42754.0</v>
      </c>
      <c r="H362" s="162">
        <v>42754.0</v>
      </c>
      <c r="I362" s="162">
        <v>42754.0</v>
      </c>
      <c r="J362" s="78">
        <v>32.98</v>
      </c>
      <c r="K362" s="78">
        <v>17.98</v>
      </c>
      <c r="L362" s="78">
        <v>15.0</v>
      </c>
      <c r="M362" s="49">
        <v>1.0</v>
      </c>
      <c r="N362" s="78">
        <v>17.98</v>
      </c>
    </row>
    <row r="363">
      <c r="A363" s="49" t="s">
        <v>255</v>
      </c>
      <c r="B363" s="49" t="s">
        <v>259</v>
      </c>
      <c r="C363" s="49">
        <v>409.0</v>
      </c>
      <c r="D363" s="49" t="s">
        <v>978</v>
      </c>
      <c r="E363" s="49" t="s">
        <v>649</v>
      </c>
      <c r="F363" s="162">
        <v>40073.0</v>
      </c>
      <c r="G363" s="162">
        <v>42951.0</v>
      </c>
      <c r="H363" s="162">
        <v>43095.0</v>
      </c>
      <c r="I363" s="162">
        <v>45183.0</v>
      </c>
      <c r="J363" s="78">
        <v>9.99</v>
      </c>
      <c r="K363" s="78">
        <v>2.99</v>
      </c>
      <c r="L363" s="78">
        <v>7.0</v>
      </c>
      <c r="M363" s="49">
        <v>2.0</v>
      </c>
      <c r="N363" s="78">
        <v>1.5</v>
      </c>
    </row>
    <row r="364">
      <c r="A364" s="49" t="s">
        <v>255</v>
      </c>
      <c r="B364" s="49"/>
      <c r="C364" s="49">
        <v>410.0</v>
      </c>
      <c r="D364" s="49" t="s">
        <v>979</v>
      </c>
      <c r="E364" s="49" t="s">
        <v>649</v>
      </c>
      <c r="F364" s="162">
        <v>40975.0</v>
      </c>
      <c r="G364" s="162">
        <v>42951.0</v>
      </c>
      <c r="H364" s="162">
        <v>43095.0</v>
      </c>
      <c r="I364" s="162">
        <v>43095.0</v>
      </c>
      <c r="J364" s="78">
        <v>9.99</v>
      </c>
      <c r="K364" s="78">
        <v>2.99</v>
      </c>
      <c r="L364" s="78">
        <v>7.0</v>
      </c>
      <c r="M364" s="49">
        <v>1.0</v>
      </c>
      <c r="N364" s="78">
        <v>2.99</v>
      </c>
    </row>
    <row r="365">
      <c r="A365" s="49" t="s">
        <v>255</v>
      </c>
      <c r="B365" s="49" t="s">
        <v>263</v>
      </c>
      <c r="C365" s="49">
        <v>182.0</v>
      </c>
      <c r="D365" s="49" t="s">
        <v>980</v>
      </c>
      <c r="E365" s="49" t="s">
        <v>649</v>
      </c>
      <c r="F365" s="162">
        <v>41180.0</v>
      </c>
      <c r="G365" s="162">
        <v>41999.0</v>
      </c>
      <c r="H365" s="162">
        <v>42001.0</v>
      </c>
      <c r="I365" s="162">
        <v>44799.0</v>
      </c>
      <c r="J365" s="78">
        <v>10.0</v>
      </c>
      <c r="K365" s="78">
        <v>10.0</v>
      </c>
      <c r="L365" s="78">
        <v>0.0</v>
      </c>
      <c r="M365" s="49">
        <v>5.0</v>
      </c>
      <c r="N365" s="78">
        <v>2.0</v>
      </c>
    </row>
    <row r="366">
      <c r="A366" s="49" t="s">
        <v>255</v>
      </c>
      <c r="B366" s="49"/>
      <c r="C366" s="49">
        <v>183.0</v>
      </c>
      <c r="D366" s="49" t="s">
        <v>981</v>
      </c>
      <c r="E366" s="49" t="s">
        <v>649</v>
      </c>
      <c r="F366" s="162">
        <v>41180.0</v>
      </c>
      <c r="G366" s="162">
        <v>41999.0</v>
      </c>
      <c r="H366" s="162">
        <v>42001.0</v>
      </c>
      <c r="I366" s="162">
        <v>44799.0</v>
      </c>
      <c r="J366" s="78">
        <v>10.0</v>
      </c>
      <c r="K366" s="78">
        <v>10.0</v>
      </c>
      <c r="L366" s="78">
        <v>0.0</v>
      </c>
      <c r="M366" s="49">
        <v>2.0</v>
      </c>
      <c r="N366" s="78">
        <v>5.0</v>
      </c>
    </row>
    <row r="367">
      <c r="A367" s="49" t="s">
        <v>255</v>
      </c>
      <c r="B367" s="49"/>
      <c r="C367" s="49">
        <v>184.0</v>
      </c>
      <c r="D367" s="49" t="s">
        <v>982</v>
      </c>
      <c r="E367" s="49" t="s">
        <v>649</v>
      </c>
      <c r="F367" s="162">
        <v>41180.0</v>
      </c>
      <c r="G367" s="162">
        <v>41999.0</v>
      </c>
      <c r="H367" s="162">
        <v>42001.0</v>
      </c>
      <c r="I367" s="162">
        <v>44799.0</v>
      </c>
      <c r="J367" s="78">
        <v>9.99</v>
      </c>
      <c r="K367" s="78">
        <v>9.99</v>
      </c>
      <c r="L367" s="78">
        <v>0.0</v>
      </c>
      <c r="M367" s="49">
        <v>1.0</v>
      </c>
      <c r="N367" s="78">
        <v>9.99</v>
      </c>
    </row>
    <row r="368">
      <c r="A368" s="49" t="s">
        <v>255</v>
      </c>
      <c r="B368" s="49" t="s">
        <v>258</v>
      </c>
      <c r="C368" s="49">
        <v>396.0</v>
      </c>
      <c r="D368" s="49" t="s">
        <v>983</v>
      </c>
      <c r="E368" s="49" t="s">
        <v>649</v>
      </c>
      <c r="F368" s="162">
        <v>41857.0</v>
      </c>
      <c r="G368" s="162">
        <v>42875.0</v>
      </c>
      <c r="H368" s="162">
        <v>42875.0</v>
      </c>
      <c r="I368" s="162">
        <v>42875.0</v>
      </c>
      <c r="J368" s="78">
        <v>14.99</v>
      </c>
      <c r="K368" s="78">
        <v>3.99</v>
      </c>
      <c r="L368" s="78">
        <v>11.0</v>
      </c>
      <c r="M368" s="49">
        <v>4.0</v>
      </c>
      <c r="N368" s="78">
        <v>1.0</v>
      </c>
    </row>
    <row r="369">
      <c r="A369" s="49" t="s">
        <v>255</v>
      </c>
      <c r="B369" s="49" t="s">
        <v>254</v>
      </c>
      <c r="C369" s="49">
        <v>382.0</v>
      </c>
      <c r="D369" s="49" t="s">
        <v>984</v>
      </c>
      <c r="E369" s="49" t="s">
        <v>649</v>
      </c>
      <c r="F369" s="162">
        <v>41955.0</v>
      </c>
      <c r="G369" s="162">
        <v>42832.0</v>
      </c>
      <c r="H369" s="162">
        <v>44027.0</v>
      </c>
      <c r="I369" s="162">
        <v>44027.0</v>
      </c>
      <c r="J369" s="78">
        <v>9.98</v>
      </c>
      <c r="K369" s="78">
        <v>9.98</v>
      </c>
      <c r="L369" s="78">
        <v>0.0</v>
      </c>
      <c r="M369" s="49">
        <v>5.0</v>
      </c>
      <c r="N369" s="78">
        <v>2.0</v>
      </c>
    </row>
    <row r="370">
      <c r="A370" s="49" t="s">
        <v>255</v>
      </c>
      <c r="B370" s="49" t="s">
        <v>261</v>
      </c>
      <c r="C370" s="49">
        <v>188.0</v>
      </c>
      <c r="D370" s="49" t="s">
        <v>985</v>
      </c>
      <c r="E370" s="49" t="s">
        <v>649</v>
      </c>
      <c r="F370" s="162">
        <v>42152.0</v>
      </c>
      <c r="G370" s="162">
        <v>43519.0</v>
      </c>
      <c r="H370" s="162">
        <v>43675.0</v>
      </c>
      <c r="I370" s="162">
        <v>43681.0</v>
      </c>
      <c r="J370" s="78">
        <v>11.99</v>
      </c>
      <c r="K370" s="78">
        <v>4.99</v>
      </c>
      <c r="L370" s="78">
        <v>7.0</v>
      </c>
      <c r="M370" s="49">
        <v>2.0</v>
      </c>
      <c r="N370" s="78">
        <v>2.5</v>
      </c>
    </row>
    <row r="371">
      <c r="A371" s="49" t="s">
        <v>255</v>
      </c>
      <c r="B371" s="49"/>
      <c r="C371" s="49">
        <v>495.0</v>
      </c>
      <c r="D371" s="49" t="s">
        <v>986</v>
      </c>
      <c r="E371" s="49" t="s">
        <v>671</v>
      </c>
      <c r="F371" s="162">
        <v>42752.0</v>
      </c>
      <c r="G371" s="162">
        <v>42950.0</v>
      </c>
      <c r="H371" s="162">
        <v>42950.0</v>
      </c>
      <c r="I371" s="162">
        <v>42950.0</v>
      </c>
      <c r="J371" s="78">
        <v>9.99</v>
      </c>
      <c r="K371" s="78">
        <v>3.99</v>
      </c>
      <c r="L371" s="78">
        <v>6.0</v>
      </c>
      <c r="M371" s="49">
        <v>1.0</v>
      </c>
      <c r="N371" s="78">
        <v>3.99</v>
      </c>
    </row>
    <row r="372">
      <c r="A372" s="49" t="s">
        <v>255</v>
      </c>
      <c r="B372" s="49"/>
      <c r="C372" s="49">
        <v>814.0</v>
      </c>
      <c r="D372" s="49" t="s">
        <v>987</v>
      </c>
      <c r="E372" s="49" t="s">
        <v>33</v>
      </c>
      <c r="F372" s="162">
        <v>41607.0</v>
      </c>
      <c r="G372" s="162">
        <v>42925.0</v>
      </c>
      <c r="H372" s="162">
        <v>43080.0</v>
      </c>
      <c r="I372" s="162">
        <v>45354.0</v>
      </c>
      <c r="J372" s="78">
        <v>12.99</v>
      </c>
      <c r="K372" s="78">
        <v>3.99</v>
      </c>
      <c r="L372" s="78">
        <v>9.0</v>
      </c>
      <c r="M372" s="49">
        <v>7.0</v>
      </c>
      <c r="N372" s="78">
        <v>0.57</v>
      </c>
    </row>
    <row r="373">
      <c r="A373" s="49" t="s">
        <v>255</v>
      </c>
      <c r="B373" s="49"/>
      <c r="C373" s="49">
        <v>943.0</v>
      </c>
      <c r="D373" s="49" t="s">
        <v>988</v>
      </c>
      <c r="E373" s="49" t="s">
        <v>33</v>
      </c>
      <c r="F373" s="162">
        <v>42360.0</v>
      </c>
      <c r="G373" s="162">
        <v>42951.0</v>
      </c>
      <c r="H373" s="162">
        <v>43095.0</v>
      </c>
      <c r="I373" s="162">
        <v>43095.0</v>
      </c>
      <c r="J373" s="161">
        <v>9.99</v>
      </c>
      <c r="K373" s="161">
        <v>1.99</v>
      </c>
      <c r="L373" s="78">
        <v>8.0</v>
      </c>
      <c r="M373" s="49">
        <v>1.0</v>
      </c>
      <c r="N373" s="78">
        <v>1.99</v>
      </c>
    </row>
    <row r="374">
      <c r="A374" s="49" t="s">
        <v>255</v>
      </c>
      <c r="B374" s="49"/>
      <c r="C374" s="49">
        <v>764.0</v>
      </c>
      <c r="D374" s="49" t="s">
        <v>989</v>
      </c>
      <c r="E374" s="49" t="s">
        <v>33</v>
      </c>
      <c r="F374" s="162">
        <v>42521.0</v>
      </c>
      <c r="G374" s="162">
        <v>42811.0</v>
      </c>
      <c r="H374" s="162">
        <v>42823.0</v>
      </c>
      <c r="I374" s="162">
        <v>45425.0</v>
      </c>
      <c r="J374" s="78">
        <v>14.99</v>
      </c>
      <c r="K374" s="78">
        <v>4.49</v>
      </c>
      <c r="L374" s="78">
        <v>10.5</v>
      </c>
      <c r="M374" s="49">
        <v>33.0</v>
      </c>
      <c r="N374" s="78">
        <v>0.14</v>
      </c>
    </row>
    <row r="375">
      <c r="A375" s="49" t="s">
        <v>255</v>
      </c>
      <c r="B375" s="49" t="s">
        <v>257</v>
      </c>
      <c r="C375" s="49">
        <v>549.0</v>
      </c>
      <c r="D375" s="49" t="s">
        <v>990</v>
      </c>
      <c r="E375" s="49" t="s">
        <v>33</v>
      </c>
      <c r="F375" s="162">
        <v>42962.0</v>
      </c>
      <c r="G375" s="162">
        <v>43699.0</v>
      </c>
      <c r="H375" s="162">
        <v>43701.0</v>
      </c>
      <c r="I375" s="162">
        <v>43701.0</v>
      </c>
      <c r="J375" s="78">
        <v>139.98</v>
      </c>
      <c r="K375" s="78">
        <v>84.98</v>
      </c>
      <c r="L375" s="78">
        <v>55.0</v>
      </c>
      <c r="M375" s="49">
        <v>2.0</v>
      </c>
      <c r="N375" s="78">
        <v>42.49</v>
      </c>
    </row>
    <row r="376">
      <c r="A376" s="49" t="s">
        <v>255</v>
      </c>
      <c r="B376" s="49" t="s">
        <v>256</v>
      </c>
      <c r="C376" s="49">
        <v>973.0</v>
      </c>
      <c r="D376" s="49" t="s">
        <v>991</v>
      </c>
      <c r="E376" s="49" t="s">
        <v>33</v>
      </c>
      <c r="F376" s="162">
        <v>43704.0</v>
      </c>
      <c r="G376" s="162">
        <v>44334.0</v>
      </c>
      <c r="H376" s="162">
        <v>44342.0</v>
      </c>
      <c r="I376" s="162">
        <v>44354.0</v>
      </c>
      <c r="J376" s="78">
        <v>29.99</v>
      </c>
      <c r="K376" s="78">
        <v>0.0</v>
      </c>
      <c r="L376" s="78">
        <v>29.99</v>
      </c>
      <c r="M376" s="49">
        <v>43.0</v>
      </c>
      <c r="N376" s="78">
        <v>0.0</v>
      </c>
    </row>
    <row r="377">
      <c r="A377" s="49" t="s">
        <v>255</v>
      </c>
      <c r="B377" s="49"/>
      <c r="C377" s="49">
        <v>505.0</v>
      </c>
      <c r="D377" s="49" t="s">
        <v>992</v>
      </c>
      <c r="E377" s="49" t="s">
        <v>33</v>
      </c>
      <c r="F377" s="162">
        <v>44474.0</v>
      </c>
      <c r="G377" s="162">
        <v>45111.0</v>
      </c>
      <c r="H377" s="162">
        <v>45111.0</v>
      </c>
      <c r="I377" s="162">
        <v>45111.0</v>
      </c>
      <c r="J377" s="78">
        <v>29.99</v>
      </c>
      <c r="K377" s="78">
        <v>0.0</v>
      </c>
      <c r="L377" s="78">
        <v>29.99</v>
      </c>
      <c r="M377" s="49">
        <v>1.0</v>
      </c>
      <c r="N377" s="78">
        <v>0.0</v>
      </c>
    </row>
    <row r="378">
      <c r="A378" s="49" t="s">
        <v>255</v>
      </c>
      <c r="B378" s="49"/>
      <c r="C378" s="49">
        <v>1074.0</v>
      </c>
      <c r="D378" s="49" t="s">
        <v>993</v>
      </c>
      <c r="E378" s="49" t="s">
        <v>39</v>
      </c>
      <c r="F378" s="162">
        <v>44316.0</v>
      </c>
      <c r="G378" s="162">
        <v>44883.0</v>
      </c>
      <c r="H378" s="162">
        <v>45521.0</v>
      </c>
      <c r="I378" s="162">
        <v>45521.0</v>
      </c>
      <c r="J378" s="78">
        <v>79.99</v>
      </c>
      <c r="K378" s="78">
        <v>39.99</v>
      </c>
      <c r="L378" s="78">
        <v>40.0</v>
      </c>
      <c r="M378" s="49">
        <v>2.0</v>
      </c>
      <c r="N378" s="78">
        <v>20.0</v>
      </c>
    </row>
    <row r="379">
      <c r="A379" s="53">
        <f t="shared" ref="A379:B379" si="34">COUNTA(A361:A378)</f>
        <v>18</v>
      </c>
      <c r="B379" s="53">
        <f t="shared" si="34"/>
        <v>9</v>
      </c>
      <c r="C379" s="53"/>
      <c r="D379" s="53"/>
      <c r="E379" s="168">
        <v>461.81</v>
      </c>
      <c r="F379" s="168">
        <v>218.33</v>
      </c>
      <c r="G379" s="168">
        <v>243.48</v>
      </c>
      <c r="H379" s="53">
        <v>115.0</v>
      </c>
      <c r="I379" s="54">
        <v>1.898521739130435</v>
      </c>
      <c r="J379" s="163">
        <f t="shared" ref="J379:M379" si="35">SUM(J361:J378)</f>
        <v>461.81</v>
      </c>
      <c r="K379" s="163">
        <f t="shared" si="35"/>
        <v>218.33</v>
      </c>
      <c r="L379" s="163">
        <f t="shared" si="35"/>
        <v>243.48</v>
      </c>
      <c r="M379" s="75">
        <f t="shared" si="35"/>
        <v>115</v>
      </c>
      <c r="N379" s="163">
        <f>K379/M379</f>
        <v>1.898521739</v>
      </c>
    </row>
    <row r="380">
      <c r="A380" s="79"/>
      <c r="B380" s="49"/>
      <c r="C380" s="49"/>
      <c r="D380" s="49"/>
      <c r="E380" s="79"/>
      <c r="F380" s="79"/>
      <c r="G380" s="79"/>
      <c r="H380" s="79"/>
      <c r="I380" s="79"/>
      <c r="J380" s="52"/>
      <c r="K380" s="52"/>
      <c r="L380" s="52"/>
      <c r="M380" s="79"/>
      <c r="N380" s="52"/>
    </row>
    <row r="381">
      <c r="A381" s="53" t="s">
        <v>265</v>
      </c>
      <c r="B381" s="53" t="s">
        <v>288</v>
      </c>
      <c r="C381" s="53">
        <v>43.0</v>
      </c>
      <c r="D381" s="53" t="s">
        <v>994</v>
      </c>
      <c r="E381" s="53" t="s">
        <v>682</v>
      </c>
      <c r="F381" s="160">
        <v>34971.0</v>
      </c>
      <c r="G381" s="160">
        <v>41763.0</v>
      </c>
      <c r="H381" s="160">
        <v>41763.0</v>
      </c>
      <c r="I381" s="160">
        <v>41763.0</v>
      </c>
      <c r="J381" s="76">
        <v>4.99</v>
      </c>
      <c r="K381" s="76">
        <v>4.99</v>
      </c>
      <c r="L381" s="76">
        <v>0.0</v>
      </c>
      <c r="M381" s="53">
        <v>50.0</v>
      </c>
      <c r="N381" s="76">
        <v>0.1</v>
      </c>
    </row>
    <row r="382">
      <c r="A382" s="53" t="s">
        <v>265</v>
      </c>
      <c r="B382" s="53" t="s">
        <v>267</v>
      </c>
      <c r="C382" s="53">
        <v>48.0</v>
      </c>
      <c r="D382" s="53" t="s">
        <v>995</v>
      </c>
      <c r="E382" s="53" t="s">
        <v>682</v>
      </c>
      <c r="F382" s="160">
        <v>37148.0</v>
      </c>
      <c r="G382" s="160">
        <v>40538.0</v>
      </c>
      <c r="H382" s="160">
        <v>40538.0</v>
      </c>
      <c r="I382" s="160">
        <v>40538.0</v>
      </c>
      <c r="J382" s="76">
        <v>9.99</v>
      </c>
      <c r="K382" s="76">
        <v>9.99</v>
      </c>
      <c r="L382" s="76">
        <v>0.0</v>
      </c>
      <c r="M382" s="53">
        <v>45.0</v>
      </c>
      <c r="N382" s="76">
        <v>0.22</v>
      </c>
    </row>
    <row r="383">
      <c r="A383" s="53" t="s">
        <v>265</v>
      </c>
      <c r="B383" s="53"/>
      <c r="C383" s="53">
        <v>128.0</v>
      </c>
      <c r="D383" s="53" t="s">
        <v>996</v>
      </c>
      <c r="E383" s="53" t="s">
        <v>645</v>
      </c>
      <c r="F383" s="160">
        <v>37694.0</v>
      </c>
      <c r="G383" s="160">
        <v>44237.0</v>
      </c>
      <c r="H383" s="160">
        <v>44283.0</v>
      </c>
      <c r="I383" s="160">
        <v>44284.0</v>
      </c>
      <c r="J383" s="76">
        <v>9.99</v>
      </c>
      <c r="K383" s="76">
        <v>9.99</v>
      </c>
      <c r="L383" s="76">
        <v>0.0</v>
      </c>
      <c r="M383" s="53">
        <v>3.0</v>
      </c>
      <c r="N383" s="76">
        <v>3.33</v>
      </c>
    </row>
    <row r="384">
      <c r="A384" s="53" t="s">
        <v>265</v>
      </c>
      <c r="B384" s="53"/>
      <c r="C384" s="53">
        <v>78.0</v>
      </c>
      <c r="D384" s="53" t="s">
        <v>997</v>
      </c>
      <c r="E384" s="53" t="s">
        <v>645</v>
      </c>
      <c r="F384" s="160">
        <v>37939.0</v>
      </c>
      <c r="G384" s="160">
        <v>44237.0</v>
      </c>
      <c r="H384" s="160">
        <v>44261.0</v>
      </c>
      <c r="I384" s="160">
        <v>44265.0</v>
      </c>
      <c r="J384" s="76">
        <v>9.99</v>
      </c>
      <c r="K384" s="76">
        <v>9.99</v>
      </c>
      <c r="L384" s="76">
        <v>0.0</v>
      </c>
      <c r="M384" s="53">
        <v>10.0</v>
      </c>
      <c r="N384" s="76">
        <v>1.0</v>
      </c>
    </row>
    <row r="385">
      <c r="A385" s="53" t="s">
        <v>265</v>
      </c>
      <c r="B385" s="53" t="s">
        <v>283</v>
      </c>
      <c r="C385" s="53">
        <v>93.0</v>
      </c>
      <c r="D385" s="53" t="s">
        <v>998</v>
      </c>
      <c r="E385" s="53" t="s">
        <v>645</v>
      </c>
      <c r="F385" s="160">
        <v>38611.0</v>
      </c>
      <c r="G385" s="160">
        <v>44708.0</v>
      </c>
      <c r="H385" s="160">
        <v>44708.0</v>
      </c>
      <c r="I385" s="160">
        <v>44708.0</v>
      </c>
      <c r="J385" s="76">
        <v>13.49</v>
      </c>
      <c r="K385" s="76">
        <v>5.39</v>
      </c>
      <c r="L385" s="76">
        <v>8.1</v>
      </c>
      <c r="M385" s="53">
        <v>1.0</v>
      </c>
      <c r="N385" s="76">
        <v>5.39</v>
      </c>
    </row>
    <row r="386">
      <c r="A386" s="53" t="s">
        <v>265</v>
      </c>
      <c r="B386" s="53"/>
      <c r="C386" s="53">
        <v>259.0</v>
      </c>
      <c r="D386" s="53" t="s">
        <v>999</v>
      </c>
      <c r="E386" s="53" t="s">
        <v>649</v>
      </c>
      <c r="F386" s="160">
        <v>40233.0</v>
      </c>
      <c r="G386" s="160">
        <v>41880.0</v>
      </c>
      <c r="H386" s="160">
        <v>41880.0</v>
      </c>
      <c r="I386" s="160">
        <v>41960.0</v>
      </c>
      <c r="J386" s="54">
        <v>22.99</v>
      </c>
      <c r="K386" s="54">
        <v>8.99</v>
      </c>
      <c r="L386" s="76">
        <v>14.0</v>
      </c>
      <c r="M386" s="53">
        <v>35.0</v>
      </c>
      <c r="N386" s="76">
        <v>0.26</v>
      </c>
    </row>
    <row r="387">
      <c r="A387" s="53" t="s">
        <v>265</v>
      </c>
      <c r="B387" s="53" t="s">
        <v>274</v>
      </c>
      <c r="C387" s="53">
        <v>231.0</v>
      </c>
      <c r="D387" s="53" t="s">
        <v>1000</v>
      </c>
      <c r="E387" s="53" t="s">
        <v>649</v>
      </c>
      <c r="F387" s="160">
        <v>40393.0</v>
      </c>
      <c r="G387" s="160">
        <v>40538.0</v>
      </c>
      <c r="H387" s="160">
        <v>40538.0</v>
      </c>
      <c r="I387" s="160">
        <v>44764.0</v>
      </c>
      <c r="J387" s="76">
        <v>9.99</v>
      </c>
      <c r="K387" s="76">
        <v>9.99</v>
      </c>
      <c r="L387" s="76">
        <v>0.0</v>
      </c>
      <c r="M387" s="53">
        <v>20.0</v>
      </c>
      <c r="N387" s="76">
        <v>0.5</v>
      </c>
    </row>
    <row r="388">
      <c r="A388" s="53" t="s">
        <v>265</v>
      </c>
      <c r="B388" s="53"/>
      <c r="C388" s="53">
        <v>336.0</v>
      </c>
      <c r="D388" s="53" t="s">
        <v>1001</v>
      </c>
      <c r="E388" s="53" t="s">
        <v>649</v>
      </c>
      <c r="F388" s="160">
        <v>40872.0</v>
      </c>
      <c r="G388" s="160">
        <v>42299.0</v>
      </c>
      <c r="H388" s="160">
        <v>42300.0</v>
      </c>
      <c r="I388" s="160">
        <v>44865.0</v>
      </c>
      <c r="J388" s="76">
        <v>29.98</v>
      </c>
      <c r="K388" s="76">
        <v>26.99</v>
      </c>
      <c r="L388" s="76">
        <v>2.99</v>
      </c>
      <c r="M388" s="53">
        <v>40.0</v>
      </c>
      <c r="N388" s="76">
        <v>0.67</v>
      </c>
    </row>
    <row r="389">
      <c r="A389" s="53" t="s">
        <v>265</v>
      </c>
      <c r="B389" s="53" t="s">
        <v>264</v>
      </c>
      <c r="C389" s="53">
        <v>227.0</v>
      </c>
      <c r="D389" s="53" t="s">
        <v>1002</v>
      </c>
      <c r="E389" s="53" t="s">
        <v>649</v>
      </c>
      <c r="F389" s="160">
        <v>41194.0</v>
      </c>
      <c r="G389" s="160">
        <v>44091.0</v>
      </c>
      <c r="H389" s="160">
        <v>44413.0</v>
      </c>
      <c r="I389" s="160">
        <v>44416.0</v>
      </c>
      <c r="J389" s="76">
        <v>24.99</v>
      </c>
      <c r="K389" s="76">
        <v>3.0</v>
      </c>
      <c r="L389" s="76">
        <v>21.99</v>
      </c>
      <c r="M389" s="53">
        <v>5.0</v>
      </c>
      <c r="N389" s="76">
        <v>0.6</v>
      </c>
    </row>
    <row r="390">
      <c r="A390" s="53" t="s">
        <v>265</v>
      </c>
      <c r="B390" s="53"/>
      <c r="C390" s="53">
        <v>337.0</v>
      </c>
      <c r="D390" s="53" t="s">
        <v>1003</v>
      </c>
      <c r="E390" s="53" t="s">
        <v>649</v>
      </c>
      <c r="F390" s="160">
        <v>41516.0</v>
      </c>
      <c r="G390" s="160">
        <v>41642.0</v>
      </c>
      <c r="H390" s="160">
        <v>41642.0</v>
      </c>
      <c r="I390" s="160">
        <v>45491.0</v>
      </c>
      <c r="J390" s="76">
        <v>39.98</v>
      </c>
      <c r="K390" s="76">
        <v>26.99</v>
      </c>
      <c r="L390" s="76">
        <v>12.99</v>
      </c>
      <c r="M390" s="53">
        <v>80.0</v>
      </c>
      <c r="N390" s="76">
        <v>0.34</v>
      </c>
    </row>
    <row r="391">
      <c r="A391" s="53" t="s">
        <v>265</v>
      </c>
      <c r="B391" s="53"/>
      <c r="C391" s="53">
        <v>196.0</v>
      </c>
      <c r="D391" s="53" t="s">
        <v>1004</v>
      </c>
      <c r="E391" s="53" t="s">
        <v>649</v>
      </c>
      <c r="F391" s="160">
        <v>41556.0</v>
      </c>
      <c r="G391" s="160">
        <v>44412.0</v>
      </c>
      <c r="H391" s="160">
        <v>44412.0</v>
      </c>
      <c r="I391" s="160">
        <v>44412.0</v>
      </c>
      <c r="J391" s="76">
        <v>19.99</v>
      </c>
      <c r="K391" s="76">
        <v>5.99</v>
      </c>
      <c r="L391" s="76">
        <v>14.0</v>
      </c>
      <c r="M391" s="53">
        <v>1.0</v>
      </c>
      <c r="N391" s="76">
        <v>5.99</v>
      </c>
    </row>
    <row r="392">
      <c r="A392" s="53" t="s">
        <v>265</v>
      </c>
      <c r="B392" s="53" t="s">
        <v>280</v>
      </c>
      <c r="C392" s="53">
        <v>247.0</v>
      </c>
      <c r="D392" s="53" t="s">
        <v>1005</v>
      </c>
      <c r="E392" s="53" t="s">
        <v>649</v>
      </c>
      <c r="F392" s="160">
        <v>41584.0</v>
      </c>
      <c r="G392" s="160">
        <v>44292.0</v>
      </c>
      <c r="H392" s="160">
        <v>44292.0</v>
      </c>
      <c r="I392" s="160">
        <v>44292.0</v>
      </c>
      <c r="J392" s="76">
        <v>9.99</v>
      </c>
      <c r="K392" s="76">
        <v>9.99</v>
      </c>
      <c r="L392" s="76">
        <v>0.0</v>
      </c>
      <c r="M392" s="53">
        <v>1.0</v>
      </c>
      <c r="N392" s="76">
        <v>9.99</v>
      </c>
    </row>
    <row r="393">
      <c r="A393" s="53" t="s">
        <v>265</v>
      </c>
      <c r="B393" s="53" t="s">
        <v>272</v>
      </c>
      <c r="C393" s="53">
        <v>185.0</v>
      </c>
      <c r="D393" s="53" t="s">
        <v>1006</v>
      </c>
      <c r="E393" s="53" t="s">
        <v>649</v>
      </c>
      <c r="F393" s="160">
        <v>41815.0</v>
      </c>
      <c r="G393" s="160">
        <v>43727.0</v>
      </c>
      <c r="H393" s="160">
        <v>43757.0</v>
      </c>
      <c r="I393" s="160">
        <v>43757.0</v>
      </c>
      <c r="J393" s="76">
        <v>7.99</v>
      </c>
      <c r="K393" s="76">
        <v>2.99</v>
      </c>
      <c r="L393" s="76">
        <v>5.0</v>
      </c>
      <c r="M393" s="53">
        <v>2.0</v>
      </c>
      <c r="N393" s="76">
        <v>1.5</v>
      </c>
    </row>
    <row r="394">
      <c r="A394" s="53" t="s">
        <v>265</v>
      </c>
      <c r="B394" s="53" t="s">
        <v>266</v>
      </c>
      <c r="C394" s="53">
        <v>302.0</v>
      </c>
      <c r="D394" s="53" t="s">
        <v>1007</v>
      </c>
      <c r="E394" s="53" t="s">
        <v>649</v>
      </c>
      <c r="F394" s="160">
        <v>41976.0</v>
      </c>
      <c r="G394" s="160">
        <v>42635.0</v>
      </c>
      <c r="H394" s="160">
        <v>42799.0</v>
      </c>
      <c r="I394" s="160">
        <v>42799.0</v>
      </c>
      <c r="J394" s="76">
        <v>4.99</v>
      </c>
      <c r="K394" s="76">
        <v>4.99</v>
      </c>
      <c r="L394" s="76">
        <v>0.0</v>
      </c>
      <c r="M394" s="53">
        <v>1.0</v>
      </c>
      <c r="N394" s="76">
        <v>4.99</v>
      </c>
    </row>
    <row r="395">
      <c r="A395" s="53" t="s">
        <v>265</v>
      </c>
      <c r="B395" s="53"/>
      <c r="C395" s="53">
        <v>303.0</v>
      </c>
      <c r="D395" s="53" t="s">
        <v>1008</v>
      </c>
      <c r="E395" s="53" t="s">
        <v>649</v>
      </c>
      <c r="F395" s="160">
        <v>41976.0</v>
      </c>
      <c r="G395" s="160">
        <v>42635.0</v>
      </c>
      <c r="H395" s="160">
        <v>42799.0</v>
      </c>
      <c r="I395" s="160">
        <v>42799.0</v>
      </c>
      <c r="J395" s="76">
        <v>14.99</v>
      </c>
      <c r="K395" s="76">
        <v>9.99</v>
      </c>
      <c r="L395" s="76">
        <v>5.0</v>
      </c>
      <c r="M395" s="53">
        <v>1.0</v>
      </c>
      <c r="N395" s="76">
        <v>9.99</v>
      </c>
    </row>
    <row r="396">
      <c r="A396" s="53" t="s">
        <v>265</v>
      </c>
      <c r="B396" s="53" t="s">
        <v>273</v>
      </c>
      <c r="C396" s="53">
        <v>282.0</v>
      </c>
      <c r="D396" s="53" t="s">
        <v>1009</v>
      </c>
      <c r="E396" s="53" t="s">
        <v>649</v>
      </c>
      <c r="F396" s="160">
        <v>42034.0</v>
      </c>
      <c r="G396" s="160">
        <v>42700.0</v>
      </c>
      <c r="H396" s="160">
        <v>42852.0</v>
      </c>
      <c r="I396" s="160">
        <v>44914.0</v>
      </c>
      <c r="J396" s="76">
        <v>16.99</v>
      </c>
      <c r="K396" s="76">
        <v>5.99</v>
      </c>
      <c r="L396" s="76">
        <v>11.0</v>
      </c>
      <c r="M396" s="53">
        <v>25.0</v>
      </c>
      <c r="N396" s="76">
        <v>0.24</v>
      </c>
    </row>
    <row r="397">
      <c r="A397" s="53" t="s">
        <v>265</v>
      </c>
      <c r="B397" s="53" t="s">
        <v>269</v>
      </c>
      <c r="C397" s="53">
        <v>212.0</v>
      </c>
      <c r="D397" s="53" t="s">
        <v>1010</v>
      </c>
      <c r="E397" s="53" t="s">
        <v>649</v>
      </c>
      <c r="F397" s="160">
        <v>42130.0</v>
      </c>
      <c r="G397" s="160">
        <v>42950.0</v>
      </c>
      <c r="H397" s="160">
        <v>43682.0</v>
      </c>
      <c r="I397" s="160">
        <v>45006.0</v>
      </c>
      <c r="J397" s="76">
        <v>4.99</v>
      </c>
      <c r="K397" s="76">
        <v>1.99</v>
      </c>
      <c r="L397" s="76">
        <v>3.0</v>
      </c>
      <c r="M397" s="53">
        <v>1.0</v>
      </c>
      <c r="N397" s="76">
        <v>1.99</v>
      </c>
    </row>
    <row r="398">
      <c r="A398" s="53" t="s">
        <v>265</v>
      </c>
      <c r="B398" s="53" t="s">
        <v>287</v>
      </c>
      <c r="C398" s="53">
        <v>472.0</v>
      </c>
      <c r="D398" s="53" t="s">
        <v>1011</v>
      </c>
      <c r="E398" s="53" t="s">
        <v>671</v>
      </c>
      <c r="F398" s="160">
        <v>41191.0</v>
      </c>
      <c r="G398" s="160">
        <v>43373.0</v>
      </c>
      <c r="H398" s="160">
        <v>43757.0</v>
      </c>
      <c r="I398" s="160">
        <v>45008.0</v>
      </c>
      <c r="J398" s="76">
        <v>2.99</v>
      </c>
      <c r="K398" s="76">
        <v>2.99</v>
      </c>
      <c r="L398" s="76">
        <v>0.0</v>
      </c>
      <c r="M398" s="53">
        <v>10.0</v>
      </c>
      <c r="N398" s="76">
        <v>0.3</v>
      </c>
    </row>
    <row r="399">
      <c r="A399" s="53" t="s">
        <v>265</v>
      </c>
      <c r="B399" s="53"/>
      <c r="C399" s="53">
        <v>434.0</v>
      </c>
      <c r="D399" s="53" t="s">
        <v>1012</v>
      </c>
      <c r="E399" s="53" t="s">
        <v>671</v>
      </c>
      <c r="F399" s="160">
        <v>41563.0</v>
      </c>
      <c r="G399" s="160">
        <v>42187.0</v>
      </c>
      <c r="H399" s="160">
        <v>43855.0</v>
      </c>
      <c r="I399" s="160">
        <v>43855.0</v>
      </c>
      <c r="J399" s="76">
        <v>0.0</v>
      </c>
      <c r="K399" s="76">
        <v>0.0</v>
      </c>
      <c r="L399" s="76">
        <v>0.0</v>
      </c>
      <c r="M399" s="53">
        <v>5.0</v>
      </c>
      <c r="N399" s="76">
        <v>0.0</v>
      </c>
    </row>
    <row r="400">
      <c r="A400" s="53" t="s">
        <v>265</v>
      </c>
      <c r="B400" s="53" t="s">
        <v>284</v>
      </c>
      <c r="C400" s="53">
        <v>940.0</v>
      </c>
      <c r="D400" s="53" t="s">
        <v>1013</v>
      </c>
      <c r="E400" s="53" t="s">
        <v>33</v>
      </c>
      <c r="F400" s="160">
        <v>41745.0</v>
      </c>
      <c r="G400" s="160">
        <v>43912.0</v>
      </c>
      <c r="H400" s="160">
        <v>43914.0</v>
      </c>
      <c r="I400" s="160">
        <v>43914.0</v>
      </c>
      <c r="J400" s="76">
        <v>39.99</v>
      </c>
      <c r="K400" s="76">
        <v>9.99</v>
      </c>
      <c r="L400" s="76">
        <v>30.0</v>
      </c>
      <c r="M400" s="53">
        <v>2.0</v>
      </c>
      <c r="N400" s="76">
        <v>5.0</v>
      </c>
    </row>
    <row r="401">
      <c r="A401" s="53" t="s">
        <v>265</v>
      </c>
      <c r="B401" s="53"/>
      <c r="C401" s="53">
        <v>761.0</v>
      </c>
      <c r="D401" s="53" t="s">
        <v>1014</v>
      </c>
      <c r="E401" s="53" t="s">
        <v>33</v>
      </c>
      <c r="F401" s="160">
        <v>41970.0</v>
      </c>
      <c r="G401" s="160">
        <v>42635.0</v>
      </c>
      <c r="H401" s="160">
        <v>42799.0</v>
      </c>
      <c r="I401" s="160">
        <v>42799.0</v>
      </c>
      <c r="J401" s="76">
        <v>9.99</v>
      </c>
      <c r="K401" s="76">
        <v>4.99</v>
      </c>
      <c r="L401" s="76">
        <v>5.0</v>
      </c>
      <c r="M401" s="53">
        <v>1.0</v>
      </c>
      <c r="N401" s="76">
        <v>4.99</v>
      </c>
    </row>
    <row r="402">
      <c r="A402" s="53" t="s">
        <v>265</v>
      </c>
      <c r="B402" s="53" t="s">
        <v>275</v>
      </c>
      <c r="C402" s="53">
        <v>909.0</v>
      </c>
      <c r="D402" s="53" t="s">
        <v>1015</v>
      </c>
      <c r="E402" s="53" t="s">
        <v>33</v>
      </c>
      <c r="F402" s="160">
        <v>41975.0</v>
      </c>
      <c r="G402" s="160">
        <v>42791.0</v>
      </c>
      <c r="H402" s="160">
        <v>45310.0</v>
      </c>
      <c r="I402" s="160">
        <v>45316.0</v>
      </c>
      <c r="J402" s="76">
        <v>24.99</v>
      </c>
      <c r="K402" s="76">
        <v>11.99</v>
      </c>
      <c r="L402" s="76">
        <v>13.0</v>
      </c>
      <c r="M402" s="53">
        <v>3.0</v>
      </c>
      <c r="N402" s="76">
        <v>4.0</v>
      </c>
    </row>
    <row r="403">
      <c r="A403" s="53" t="s">
        <v>265</v>
      </c>
      <c r="B403" s="53" t="s">
        <v>271</v>
      </c>
      <c r="C403" s="53">
        <v>532.0</v>
      </c>
      <c r="D403" s="53" t="s">
        <v>1016</v>
      </c>
      <c r="E403" s="53" t="s">
        <v>33</v>
      </c>
      <c r="F403" s="160">
        <v>42269.0</v>
      </c>
      <c r="G403" s="160">
        <v>43824.0</v>
      </c>
      <c r="H403" s="160">
        <v>43825.0</v>
      </c>
      <c r="I403" s="160">
        <v>45357.0</v>
      </c>
      <c r="J403" s="76">
        <v>19.99</v>
      </c>
      <c r="K403" s="76">
        <v>7.49</v>
      </c>
      <c r="L403" s="76">
        <v>12.5</v>
      </c>
      <c r="M403" s="53">
        <v>6.0</v>
      </c>
      <c r="N403" s="76">
        <v>1.25</v>
      </c>
    </row>
    <row r="404">
      <c r="A404" s="53" t="s">
        <v>265</v>
      </c>
      <c r="B404" s="53" t="s">
        <v>281</v>
      </c>
      <c r="C404" s="53">
        <v>938.0</v>
      </c>
      <c r="D404" s="53" t="s">
        <v>1017</v>
      </c>
      <c r="E404" s="53" t="s">
        <v>33</v>
      </c>
      <c r="F404" s="160">
        <v>42453.0</v>
      </c>
      <c r="G404" s="160">
        <v>43625.0</v>
      </c>
      <c r="H404" s="160">
        <v>43625.0</v>
      </c>
      <c r="I404" s="160">
        <v>43625.0</v>
      </c>
      <c r="J404" s="76">
        <v>29.99</v>
      </c>
      <c r="K404" s="76">
        <v>11.99</v>
      </c>
      <c r="L404" s="76">
        <v>18.0</v>
      </c>
      <c r="M404" s="53">
        <v>1.0</v>
      </c>
      <c r="N404" s="76">
        <v>11.99</v>
      </c>
    </row>
    <row r="405">
      <c r="A405" s="53" t="s">
        <v>265</v>
      </c>
      <c r="B405" s="53" t="s">
        <v>276</v>
      </c>
      <c r="C405" s="53">
        <v>972.0</v>
      </c>
      <c r="D405" s="53" t="s">
        <v>1018</v>
      </c>
      <c r="E405" s="53" t="s">
        <v>33</v>
      </c>
      <c r="F405" s="160">
        <v>42650.0</v>
      </c>
      <c r="G405" s="160">
        <v>43275.0</v>
      </c>
      <c r="H405" s="160">
        <v>45514.0</v>
      </c>
      <c r="I405" s="160">
        <v>45524.0</v>
      </c>
      <c r="J405" s="76">
        <v>19.99</v>
      </c>
      <c r="K405" s="76">
        <v>12.99</v>
      </c>
      <c r="L405" s="76">
        <v>7.0</v>
      </c>
      <c r="M405" s="53">
        <v>9.0</v>
      </c>
      <c r="N405" s="76">
        <v>1.44</v>
      </c>
    </row>
    <row r="406">
      <c r="A406" s="53" t="s">
        <v>265</v>
      </c>
      <c r="B406" s="53" t="s">
        <v>277</v>
      </c>
      <c r="C406" s="53">
        <v>759.0</v>
      </c>
      <c r="D406" s="53" t="s">
        <v>1019</v>
      </c>
      <c r="E406" s="53" t="s">
        <v>33</v>
      </c>
      <c r="F406" s="160">
        <v>42707.0</v>
      </c>
      <c r="G406" s="160">
        <v>42951.0</v>
      </c>
      <c r="H406" s="160">
        <v>44182.0</v>
      </c>
      <c r="I406" s="160">
        <v>44185.0</v>
      </c>
      <c r="J406" s="76">
        <v>12.99</v>
      </c>
      <c r="K406" s="76">
        <v>4.49</v>
      </c>
      <c r="L406" s="76">
        <v>8.5</v>
      </c>
      <c r="M406" s="53">
        <v>8.0</v>
      </c>
      <c r="N406" s="76">
        <v>0.56</v>
      </c>
    </row>
    <row r="407">
      <c r="A407" s="53" t="s">
        <v>265</v>
      </c>
      <c r="B407" s="53" t="s">
        <v>278</v>
      </c>
      <c r="C407" s="53">
        <v>968.0</v>
      </c>
      <c r="D407" s="53" t="s">
        <v>1020</v>
      </c>
      <c r="E407" s="53" t="s">
        <v>33</v>
      </c>
      <c r="F407" s="160">
        <v>42843.0</v>
      </c>
      <c r="G407" s="160">
        <v>45177.0</v>
      </c>
      <c r="H407" s="160">
        <v>45177.0</v>
      </c>
      <c r="I407" s="160">
        <v>45177.0</v>
      </c>
      <c r="J407" s="76">
        <v>19.99</v>
      </c>
      <c r="K407" s="76">
        <v>0.0</v>
      </c>
      <c r="L407" s="76">
        <v>19.99</v>
      </c>
      <c r="M407" s="53">
        <v>1.0</v>
      </c>
      <c r="N407" s="76">
        <v>0.0</v>
      </c>
    </row>
    <row r="408">
      <c r="A408" s="53" t="s">
        <v>265</v>
      </c>
      <c r="B408" s="53"/>
      <c r="C408" s="53">
        <v>584.0</v>
      </c>
      <c r="D408" s="53" t="s">
        <v>1021</v>
      </c>
      <c r="E408" s="53" t="s">
        <v>33</v>
      </c>
      <c r="F408" s="160">
        <v>43245.0</v>
      </c>
      <c r="G408" s="160">
        <v>44334.0</v>
      </c>
      <c r="H408" s="160">
        <v>44377.0</v>
      </c>
      <c r="I408" s="160">
        <v>44389.0</v>
      </c>
      <c r="J408" s="76">
        <v>29.99</v>
      </c>
      <c r="K408" s="76">
        <v>0.0</v>
      </c>
      <c r="L408" s="76">
        <v>29.99</v>
      </c>
      <c r="M408" s="53">
        <v>11.0</v>
      </c>
      <c r="N408" s="76">
        <v>0.0</v>
      </c>
    </row>
    <row r="409">
      <c r="A409" s="53" t="s">
        <v>265</v>
      </c>
      <c r="B409" s="53"/>
      <c r="C409" s="53">
        <v>633.0</v>
      </c>
      <c r="D409" s="53" t="s">
        <v>1022</v>
      </c>
      <c r="E409" s="53" t="s">
        <v>33</v>
      </c>
      <c r="F409" s="160">
        <v>43424.0</v>
      </c>
      <c r="G409" s="160">
        <v>44708.0</v>
      </c>
      <c r="H409" s="160">
        <v>44708.0</v>
      </c>
      <c r="I409" s="160">
        <v>44708.0</v>
      </c>
      <c r="J409" s="76">
        <v>19.99</v>
      </c>
      <c r="K409" s="76">
        <v>0.99</v>
      </c>
      <c r="L409" s="76">
        <v>19.0</v>
      </c>
      <c r="M409" s="53">
        <v>1.0</v>
      </c>
      <c r="N409" s="76">
        <v>0.99</v>
      </c>
    </row>
    <row r="410">
      <c r="A410" s="53" t="s">
        <v>265</v>
      </c>
      <c r="B410" s="53"/>
      <c r="C410" s="53">
        <v>501.0</v>
      </c>
      <c r="D410" s="53" t="s">
        <v>1023</v>
      </c>
      <c r="E410" s="53" t="s">
        <v>33</v>
      </c>
      <c r="F410" s="160">
        <v>43599.0</v>
      </c>
      <c r="G410" s="160">
        <v>44213.0</v>
      </c>
      <c r="H410" s="160">
        <v>44291.0</v>
      </c>
      <c r="I410" s="160">
        <v>45410.0</v>
      </c>
      <c r="J410" s="76">
        <v>51.98</v>
      </c>
      <c r="K410" s="76">
        <v>16.98</v>
      </c>
      <c r="L410" s="76">
        <v>35.0</v>
      </c>
      <c r="M410" s="53">
        <v>34.0</v>
      </c>
      <c r="N410" s="76">
        <v>0.5</v>
      </c>
    </row>
    <row r="411">
      <c r="A411" s="53" t="s">
        <v>265</v>
      </c>
      <c r="B411" s="53" t="s">
        <v>279</v>
      </c>
      <c r="C411" s="53">
        <v>677.0</v>
      </c>
      <c r="D411" s="53" t="s">
        <v>1024</v>
      </c>
      <c r="E411" s="53" t="s">
        <v>33</v>
      </c>
      <c r="F411" s="160">
        <v>43888.0</v>
      </c>
      <c r="G411" s="160">
        <v>45177.0</v>
      </c>
      <c r="H411" s="160">
        <v>45177.0</v>
      </c>
      <c r="I411" s="160">
        <v>45177.0</v>
      </c>
      <c r="J411" s="76">
        <v>14.99</v>
      </c>
      <c r="K411" s="76">
        <v>0.0</v>
      </c>
      <c r="L411" s="76">
        <v>14.99</v>
      </c>
      <c r="M411" s="53">
        <v>1.0</v>
      </c>
      <c r="N411" s="76">
        <v>0.0</v>
      </c>
    </row>
    <row r="412">
      <c r="A412" s="53" t="s">
        <v>265</v>
      </c>
      <c r="B412" s="53" t="s">
        <v>282</v>
      </c>
      <c r="C412" s="53">
        <v>564.0</v>
      </c>
      <c r="D412" s="53" t="s">
        <v>1025</v>
      </c>
      <c r="E412" s="53" t="s">
        <v>33</v>
      </c>
      <c r="F412" s="160">
        <v>44250.0</v>
      </c>
      <c r="G412" s="160">
        <v>44684.0</v>
      </c>
      <c r="H412" s="160">
        <v>44695.0</v>
      </c>
      <c r="I412" s="160">
        <v>44703.0</v>
      </c>
      <c r="J412" s="54">
        <v>19.99</v>
      </c>
      <c r="K412" s="54">
        <v>0.0</v>
      </c>
      <c r="L412" s="76">
        <v>19.99</v>
      </c>
      <c r="M412" s="53">
        <v>13.0</v>
      </c>
      <c r="N412" s="76">
        <v>0.0</v>
      </c>
    </row>
    <row r="413">
      <c r="A413" s="53" t="s">
        <v>265</v>
      </c>
      <c r="B413" s="53" t="s">
        <v>285</v>
      </c>
      <c r="C413" s="53">
        <v>838.0</v>
      </c>
      <c r="D413" s="53" t="s">
        <v>1026</v>
      </c>
      <c r="E413" s="53" t="s">
        <v>33</v>
      </c>
      <c r="F413" s="160">
        <v>44600.0</v>
      </c>
      <c r="G413" s="160">
        <v>45356.0</v>
      </c>
      <c r="H413" s="160">
        <v>45356.0</v>
      </c>
      <c r="I413" s="160">
        <v>45356.0</v>
      </c>
      <c r="J413" s="76">
        <v>39.99</v>
      </c>
      <c r="K413" s="76">
        <v>0.0</v>
      </c>
      <c r="L413" s="76">
        <v>39.99</v>
      </c>
      <c r="M413" s="53">
        <v>1.0</v>
      </c>
      <c r="N413" s="76">
        <v>0.0</v>
      </c>
    </row>
    <row r="414">
      <c r="A414" s="53" t="s">
        <v>265</v>
      </c>
      <c r="B414" s="53" t="s">
        <v>289</v>
      </c>
      <c r="C414" s="53">
        <v>963.0</v>
      </c>
      <c r="D414" s="53" t="s">
        <v>1027</v>
      </c>
      <c r="E414" s="53" t="s">
        <v>33</v>
      </c>
      <c r="F414" s="160">
        <v>44651.0</v>
      </c>
      <c r="G414" s="160">
        <v>45202.0</v>
      </c>
      <c r="H414" s="160">
        <v>45202.0</v>
      </c>
      <c r="I414" s="160">
        <v>45202.0</v>
      </c>
      <c r="J414" s="76">
        <v>39.99</v>
      </c>
      <c r="K414" s="76">
        <v>0.0</v>
      </c>
      <c r="L414" s="76">
        <v>39.99</v>
      </c>
      <c r="M414" s="53">
        <v>1.0</v>
      </c>
      <c r="N414" s="76">
        <v>0.0</v>
      </c>
    </row>
    <row r="415">
      <c r="A415" s="53" t="s">
        <v>265</v>
      </c>
      <c r="B415" s="53" t="s">
        <v>270</v>
      </c>
      <c r="C415" s="53">
        <v>862.0</v>
      </c>
      <c r="D415" s="53" t="s">
        <v>1028</v>
      </c>
      <c r="E415" s="53" t="s">
        <v>33</v>
      </c>
      <c r="F415" s="160">
        <v>44761.0</v>
      </c>
      <c r="G415" s="160">
        <v>44889.0</v>
      </c>
      <c r="H415" s="160">
        <v>44890.0</v>
      </c>
      <c r="I415" s="160">
        <v>44905.0</v>
      </c>
      <c r="J415" s="76">
        <v>29.99</v>
      </c>
      <c r="K415" s="76">
        <v>18.99</v>
      </c>
      <c r="L415" s="76">
        <v>11.0</v>
      </c>
      <c r="M415" s="53">
        <v>11.0</v>
      </c>
      <c r="N415" s="76">
        <v>1.73</v>
      </c>
    </row>
    <row r="416">
      <c r="A416" s="53" t="s">
        <v>265</v>
      </c>
      <c r="B416" s="53" t="s">
        <v>268</v>
      </c>
      <c r="C416" s="53">
        <v>881.0</v>
      </c>
      <c r="D416" s="53" t="s">
        <v>1029</v>
      </c>
      <c r="E416" s="53" t="s">
        <v>33</v>
      </c>
      <c r="F416" s="160">
        <v>45006.0</v>
      </c>
      <c r="G416" s="160">
        <v>45080.0</v>
      </c>
      <c r="H416" s="160">
        <v>45080.0</v>
      </c>
      <c r="I416" s="160">
        <v>45080.0</v>
      </c>
      <c r="J416" s="76">
        <v>29.99</v>
      </c>
      <c r="K416" s="76">
        <v>17.49</v>
      </c>
      <c r="L416" s="76">
        <v>12.5</v>
      </c>
      <c r="M416" s="53">
        <v>2.0</v>
      </c>
      <c r="N416" s="76">
        <v>8.75</v>
      </c>
    </row>
    <row r="417">
      <c r="A417" s="53" t="s">
        <v>265</v>
      </c>
      <c r="B417" s="53" t="s">
        <v>286</v>
      </c>
      <c r="C417" s="53">
        <v>1079.0</v>
      </c>
      <c r="D417" s="53" t="s">
        <v>1030</v>
      </c>
      <c r="E417" s="53" t="s">
        <v>39</v>
      </c>
      <c r="F417" s="160">
        <v>44812.0</v>
      </c>
      <c r="G417" s="160">
        <v>45328.0</v>
      </c>
      <c r="H417" s="160">
        <v>45328.0</v>
      </c>
      <c r="I417" s="160">
        <v>45328.0</v>
      </c>
      <c r="J417" s="76">
        <v>59.99</v>
      </c>
      <c r="K417" s="76">
        <v>0.0</v>
      </c>
      <c r="L417" s="76">
        <v>59.99</v>
      </c>
      <c r="M417" s="53">
        <v>1.0</v>
      </c>
      <c r="N417" s="76">
        <v>0.0</v>
      </c>
    </row>
    <row r="418">
      <c r="A418" s="53" t="s">
        <v>265</v>
      </c>
      <c r="B418" s="53"/>
      <c r="C418" s="53">
        <v>1052.0</v>
      </c>
      <c r="D418" s="53" t="s">
        <v>1031</v>
      </c>
      <c r="E418" s="53" t="s">
        <v>39</v>
      </c>
      <c r="F418" s="160">
        <v>44852.0</v>
      </c>
      <c r="G418" s="160">
        <v>45214.0</v>
      </c>
      <c r="H418" s="160">
        <v>45410.0</v>
      </c>
      <c r="I418" s="160">
        <v>45412.0</v>
      </c>
      <c r="J418" s="76">
        <v>59.99</v>
      </c>
      <c r="K418" s="76">
        <v>29.99</v>
      </c>
      <c r="L418" s="76">
        <v>30.0</v>
      </c>
      <c r="M418" s="53">
        <v>6.0</v>
      </c>
      <c r="N418" s="76">
        <v>5.0</v>
      </c>
    </row>
    <row r="419">
      <c r="A419" s="49">
        <f t="shared" ref="A419:B419" si="36">COUNTA(A381:A418)</f>
        <v>38</v>
      </c>
      <c r="B419" s="49">
        <f t="shared" si="36"/>
        <v>25</v>
      </c>
      <c r="C419" s="49"/>
      <c r="D419" s="79"/>
      <c r="E419" s="166">
        <v>834.1</v>
      </c>
      <c r="F419" s="166">
        <v>309.6</v>
      </c>
      <c r="G419" s="166">
        <v>524.5</v>
      </c>
      <c r="H419" s="49">
        <v>449.0</v>
      </c>
      <c r="I419" s="161">
        <v>0.6895322939866371</v>
      </c>
      <c r="J419" s="52">
        <f t="shared" ref="J419:M419" si="37">SUM(J381:J418)</f>
        <v>834.1</v>
      </c>
      <c r="K419" s="52">
        <f t="shared" si="37"/>
        <v>309.6</v>
      </c>
      <c r="L419" s="52">
        <f t="shared" si="37"/>
        <v>524.5</v>
      </c>
      <c r="M419" s="79">
        <f t="shared" si="37"/>
        <v>449</v>
      </c>
      <c r="N419" s="52">
        <f>K419/M419</f>
        <v>0.689532294</v>
      </c>
    </row>
    <row r="420">
      <c r="A420" s="49"/>
      <c r="B420" s="49"/>
      <c r="C420" s="49"/>
      <c r="D420" s="79"/>
      <c r="E420" s="49"/>
      <c r="F420" s="49"/>
      <c r="G420" s="49"/>
      <c r="H420" s="49"/>
      <c r="I420" s="49"/>
      <c r="J420" s="1"/>
      <c r="K420" s="1"/>
      <c r="L420" s="1"/>
      <c r="M420" s="1"/>
      <c r="N420" s="1"/>
    </row>
    <row r="421">
      <c r="A421" s="102" t="s">
        <v>291</v>
      </c>
      <c r="B421" s="102" t="s">
        <v>297</v>
      </c>
      <c r="C421" s="102">
        <v>214.0</v>
      </c>
      <c r="D421" s="102" t="s">
        <v>1032</v>
      </c>
      <c r="E421" s="102" t="s">
        <v>649</v>
      </c>
      <c r="F421" s="169">
        <v>40779.0</v>
      </c>
      <c r="G421" s="169">
        <v>40867.0</v>
      </c>
      <c r="H421" s="169">
        <v>40867.0</v>
      </c>
      <c r="I421" s="169">
        <v>44750.0</v>
      </c>
      <c r="J421" s="170">
        <v>4.99</v>
      </c>
      <c r="K421" s="170">
        <v>4.99</v>
      </c>
      <c r="L421" s="170">
        <v>0.0</v>
      </c>
      <c r="M421" s="102">
        <v>5.0</v>
      </c>
      <c r="N421" s="170">
        <v>1.0</v>
      </c>
    </row>
    <row r="422">
      <c r="A422" s="102" t="s">
        <v>291</v>
      </c>
      <c r="B422" s="102" t="s">
        <v>306</v>
      </c>
      <c r="C422" s="102">
        <v>368.0</v>
      </c>
      <c r="D422" s="102" t="s">
        <v>1033</v>
      </c>
      <c r="E422" s="102" t="s">
        <v>649</v>
      </c>
      <c r="F422" s="169">
        <v>41089.0</v>
      </c>
      <c r="G422" s="169">
        <v>44422.0</v>
      </c>
      <c r="H422" s="169">
        <v>45098.0</v>
      </c>
      <c r="I422" s="169">
        <v>45106.0</v>
      </c>
      <c r="J422" s="171">
        <v>19.99</v>
      </c>
      <c r="K422" s="171">
        <v>19.99</v>
      </c>
      <c r="L422" s="170">
        <v>0.0</v>
      </c>
      <c r="M422" s="102">
        <v>40.0</v>
      </c>
      <c r="N422" s="170">
        <v>0.5</v>
      </c>
    </row>
    <row r="423">
      <c r="A423" s="102" t="s">
        <v>291</v>
      </c>
      <c r="B423" s="102" t="s">
        <v>295</v>
      </c>
      <c r="C423" s="102">
        <v>234.0</v>
      </c>
      <c r="D423" s="102" t="s">
        <v>1034</v>
      </c>
      <c r="E423" s="102" t="s">
        <v>649</v>
      </c>
      <c r="F423" s="169">
        <v>41682.0</v>
      </c>
      <c r="G423" s="169">
        <v>44292.0</v>
      </c>
      <c r="H423" s="169">
        <v>45116.0</v>
      </c>
      <c r="I423" s="169">
        <v>45126.0</v>
      </c>
      <c r="J423" s="170">
        <v>9.99</v>
      </c>
      <c r="K423" s="170">
        <v>9.99</v>
      </c>
      <c r="L423" s="170">
        <v>0.0</v>
      </c>
      <c r="M423" s="102">
        <v>20.0</v>
      </c>
      <c r="N423" s="170">
        <v>0.5</v>
      </c>
    </row>
    <row r="424">
      <c r="A424" s="102" t="s">
        <v>291</v>
      </c>
      <c r="B424" s="102" t="s">
        <v>298</v>
      </c>
      <c r="C424" s="102">
        <v>650.0</v>
      </c>
      <c r="D424" s="102" t="s">
        <v>1035</v>
      </c>
      <c r="E424" s="102" t="s">
        <v>33</v>
      </c>
      <c r="F424" s="169">
        <v>42272.0</v>
      </c>
      <c r="G424" s="169">
        <v>43922.0</v>
      </c>
      <c r="H424" s="169">
        <v>43925.0</v>
      </c>
      <c r="I424" s="169">
        <v>43925.0</v>
      </c>
      <c r="J424" s="170">
        <v>39.99</v>
      </c>
      <c r="K424" s="170">
        <v>3.99</v>
      </c>
      <c r="L424" s="170">
        <v>36.0</v>
      </c>
      <c r="M424" s="102">
        <v>2.0</v>
      </c>
      <c r="N424" s="170">
        <v>2.0</v>
      </c>
    </row>
    <row r="425">
      <c r="A425" s="102" t="s">
        <v>291</v>
      </c>
      <c r="B425" s="102" t="s">
        <v>305</v>
      </c>
      <c r="C425" s="102">
        <v>514.0</v>
      </c>
      <c r="D425" s="102" t="s">
        <v>1036</v>
      </c>
      <c r="E425" s="102" t="s">
        <v>33</v>
      </c>
      <c r="F425" s="169">
        <v>42524.0</v>
      </c>
      <c r="G425" s="169">
        <v>42954.0</v>
      </c>
      <c r="H425" s="169">
        <v>43058.0</v>
      </c>
      <c r="I425" s="169">
        <v>43058.0</v>
      </c>
      <c r="J425" s="170">
        <v>8.99</v>
      </c>
      <c r="K425" s="170">
        <v>2.99</v>
      </c>
      <c r="L425" s="170">
        <v>6.0</v>
      </c>
      <c r="M425" s="102">
        <v>2.0</v>
      </c>
      <c r="N425" s="170">
        <v>1.5</v>
      </c>
    </row>
    <row r="426">
      <c r="A426" s="102" t="s">
        <v>291</v>
      </c>
      <c r="B426" s="102" t="s">
        <v>292</v>
      </c>
      <c r="C426" s="102">
        <v>950.0</v>
      </c>
      <c r="D426" s="102" t="s">
        <v>1037</v>
      </c>
      <c r="E426" s="102" t="s">
        <v>33</v>
      </c>
      <c r="F426" s="169">
        <v>42787.0</v>
      </c>
      <c r="G426" s="169">
        <v>42859.0</v>
      </c>
      <c r="H426" s="169">
        <v>44911.0</v>
      </c>
      <c r="I426" s="169">
        <v>44911.0</v>
      </c>
      <c r="J426" s="170">
        <v>9.99</v>
      </c>
      <c r="K426" s="170">
        <v>6.99</v>
      </c>
      <c r="L426" s="170">
        <v>3.0</v>
      </c>
      <c r="M426" s="102">
        <v>1.0</v>
      </c>
      <c r="N426" s="170">
        <v>6.99</v>
      </c>
    </row>
    <row r="427">
      <c r="A427" s="102" t="s">
        <v>291</v>
      </c>
      <c r="B427" s="102" t="s">
        <v>299</v>
      </c>
      <c r="C427" s="102">
        <v>640.0</v>
      </c>
      <c r="D427" s="102" t="s">
        <v>1038</v>
      </c>
      <c r="E427" s="102" t="s">
        <v>33</v>
      </c>
      <c r="F427" s="169">
        <v>42794.0</v>
      </c>
      <c r="G427" s="169">
        <v>42951.0</v>
      </c>
      <c r="H427" s="169">
        <v>43039.0</v>
      </c>
      <c r="I427" s="169">
        <v>45359.0</v>
      </c>
      <c r="J427" s="170">
        <v>8.99</v>
      </c>
      <c r="K427" s="170">
        <v>3.99</v>
      </c>
      <c r="L427" s="170">
        <v>5.0</v>
      </c>
      <c r="M427" s="102">
        <v>4.0</v>
      </c>
      <c r="N427" s="170">
        <v>1.0</v>
      </c>
    </row>
    <row r="428">
      <c r="A428" s="102" t="s">
        <v>291</v>
      </c>
      <c r="B428" s="102" t="s">
        <v>302</v>
      </c>
      <c r="C428" s="102">
        <v>588.0</v>
      </c>
      <c r="D428" s="102" t="s">
        <v>1039</v>
      </c>
      <c r="E428" s="102" t="s">
        <v>33</v>
      </c>
      <c r="F428" s="169">
        <v>43061.0</v>
      </c>
      <c r="G428" s="169">
        <v>43472.0</v>
      </c>
      <c r="H428" s="169">
        <v>43542.0</v>
      </c>
      <c r="I428" s="169">
        <v>43542.0</v>
      </c>
      <c r="J428" s="170">
        <v>11.99</v>
      </c>
      <c r="K428" s="170">
        <v>4.99</v>
      </c>
      <c r="L428" s="170">
        <v>7.0</v>
      </c>
      <c r="M428" s="102">
        <v>4.0</v>
      </c>
      <c r="N428" s="170">
        <v>1.25</v>
      </c>
    </row>
    <row r="429">
      <c r="A429" s="102" t="s">
        <v>291</v>
      </c>
      <c r="B429" s="102" t="s">
        <v>293</v>
      </c>
      <c r="C429" s="102">
        <v>701.0</v>
      </c>
      <c r="D429" s="102" t="s">
        <v>1040</v>
      </c>
      <c r="E429" s="102" t="s">
        <v>33</v>
      </c>
      <c r="F429" s="169">
        <v>43629.0</v>
      </c>
      <c r="G429" s="169">
        <v>44640.0</v>
      </c>
      <c r="H429" s="169">
        <v>44704.0</v>
      </c>
      <c r="I429" s="169">
        <v>44706.0</v>
      </c>
      <c r="J429" s="170">
        <v>39.99</v>
      </c>
      <c r="K429" s="170">
        <v>7.99</v>
      </c>
      <c r="L429" s="170">
        <v>32.0</v>
      </c>
      <c r="M429" s="102">
        <v>19.0</v>
      </c>
      <c r="N429" s="170">
        <v>0.42</v>
      </c>
    </row>
    <row r="430">
      <c r="A430" s="102" t="s">
        <v>291</v>
      </c>
      <c r="B430" s="102" t="s">
        <v>290</v>
      </c>
      <c r="C430" s="102">
        <v>583.0</v>
      </c>
      <c r="D430" s="102" t="s">
        <v>1041</v>
      </c>
      <c r="E430" s="102" t="s">
        <v>33</v>
      </c>
      <c r="F430" s="169">
        <v>44040.0</v>
      </c>
      <c r="G430" s="169">
        <v>44071.0</v>
      </c>
      <c r="H430" s="169">
        <v>44078.0</v>
      </c>
      <c r="I430" s="169">
        <v>44081.0</v>
      </c>
      <c r="J430" s="170">
        <v>39.99</v>
      </c>
      <c r="K430" s="170">
        <v>31.99</v>
      </c>
      <c r="L430" s="170">
        <v>8.0</v>
      </c>
      <c r="M430" s="102">
        <v>30.0</v>
      </c>
      <c r="N430" s="170">
        <v>1.07</v>
      </c>
    </row>
    <row r="431">
      <c r="A431" s="102" t="s">
        <v>291</v>
      </c>
      <c r="B431" s="102" t="s">
        <v>300</v>
      </c>
      <c r="C431" s="102">
        <v>550.0</v>
      </c>
      <c r="D431" s="102" t="s">
        <v>1042</v>
      </c>
      <c r="E431" s="102" t="s">
        <v>33</v>
      </c>
      <c r="F431" s="169">
        <v>44119.0</v>
      </c>
      <c r="G431" s="169">
        <v>44203.0</v>
      </c>
      <c r="H431" s="169">
        <v>44310.0</v>
      </c>
      <c r="I431" s="169">
        <v>44654.0</v>
      </c>
      <c r="J431" s="170">
        <v>24.99</v>
      </c>
      <c r="K431" s="170">
        <v>17.49</v>
      </c>
      <c r="L431" s="170">
        <v>7.5</v>
      </c>
      <c r="M431" s="102">
        <v>23.0</v>
      </c>
      <c r="N431" s="170">
        <v>0.76</v>
      </c>
    </row>
    <row r="432">
      <c r="A432" s="102" t="s">
        <v>291</v>
      </c>
      <c r="B432" s="102" t="s">
        <v>303</v>
      </c>
      <c r="C432" s="102">
        <v>541.0</v>
      </c>
      <c r="D432" s="102" t="s">
        <v>1043</v>
      </c>
      <c r="E432" s="102" t="s">
        <v>33</v>
      </c>
      <c r="F432" s="169">
        <v>44274.0</v>
      </c>
      <c r="G432" s="169">
        <v>44720.0</v>
      </c>
      <c r="H432" s="169">
        <v>44720.0</v>
      </c>
      <c r="I432" s="169">
        <v>44720.0</v>
      </c>
      <c r="J432" s="170">
        <v>24.99</v>
      </c>
      <c r="K432" s="170">
        <v>16.24</v>
      </c>
      <c r="L432" s="170">
        <v>8.75</v>
      </c>
      <c r="M432" s="102">
        <v>1.0</v>
      </c>
      <c r="N432" s="170">
        <v>16.24</v>
      </c>
    </row>
    <row r="433">
      <c r="A433" s="102" t="s">
        <v>291</v>
      </c>
      <c r="B433" s="102" t="s">
        <v>304</v>
      </c>
      <c r="C433" s="102">
        <v>849.0</v>
      </c>
      <c r="D433" s="102" t="s">
        <v>1044</v>
      </c>
      <c r="E433" s="102" t="s">
        <v>33</v>
      </c>
      <c r="F433" s="169">
        <v>44281.0</v>
      </c>
      <c r="G433" s="169">
        <v>44398.0</v>
      </c>
      <c r="H433" s="169">
        <v>44398.0</v>
      </c>
      <c r="I433" s="169">
        <v>44398.0</v>
      </c>
      <c r="J433" s="170">
        <v>49.99</v>
      </c>
      <c r="K433" s="170">
        <v>29.99</v>
      </c>
      <c r="L433" s="170">
        <v>20.0</v>
      </c>
      <c r="M433" s="102">
        <v>2.0</v>
      </c>
      <c r="N433" s="170">
        <v>15.0</v>
      </c>
    </row>
    <row r="434">
      <c r="A434" s="102" t="s">
        <v>291</v>
      </c>
      <c r="B434" s="102"/>
      <c r="C434" s="102">
        <v>702.0</v>
      </c>
      <c r="D434" s="102" t="s">
        <v>1045</v>
      </c>
      <c r="E434" s="102" t="s">
        <v>33</v>
      </c>
      <c r="F434" s="169">
        <v>44334.0</v>
      </c>
      <c r="G434" s="169">
        <v>44640.0</v>
      </c>
      <c r="H434" s="169">
        <v>44706.0</v>
      </c>
      <c r="I434" s="169">
        <v>44710.0</v>
      </c>
      <c r="J434" s="170">
        <v>39.99</v>
      </c>
      <c r="K434" s="170">
        <v>11.99</v>
      </c>
      <c r="L434" s="170">
        <v>28.0</v>
      </c>
      <c r="M434" s="102">
        <v>21.0</v>
      </c>
      <c r="N434" s="170">
        <v>0.57</v>
      </c>
    </row>
    <row r="435">
      <c r="A435" s="102" t="s">
        <v>291</v>
      </c>
      <c r="B435" s="102" t="s">
        <v>294</v>
      </c>
      <c r="C435" s="102">
        <v>924.0</v>
      </c>
      <c r="D435" s="102" t="s">
        <v>1046</v>
      </c>
      <c r="E435" s="102" t="s">
        <v>33</v>
      </c>
      <c r="F435" s="169">
        <v>44678.0</v>
      </c>
      <c r="G435" s="169">
        <v>44776.0</v>
      </c>
      <c r="H435" s="169">
        <v>44824.0</v>
      </c>
      <c r="I435" s="169">
        <v>44824.0</v>
      </c>
      <c r="J435" s="170">
        <v>21.99</v>
      </c>
      <c r="K435" s="170">
        <v>14.73</v>
      </c>
      <c r="L435" s="170">
        <v>7.26</v>
      </c>
      <c r="M435" s="102">
        <v>2.0</v>
      </c>
      <c r="N435" s="170">
        <v>7.37</v>
      </c>
    </row>
    <row r="436">
      <c r="A436" s="102" t="s">
        <v>291</v>
      </c>
      <c r="B436" s="102" t="s">
        <v>301</v>
      </c>
      <c r="C436" s="102">
        <v>993.0</v>
      </c>
      <c r="D436" s="102" t="s">
        <v>1047</v>
      </c>
      <c r="E436" s="102" t="s">
        <v>666</v>
      </c>
      <c r="F436" s="169">
        <v>43340.0</v>
      </c>
      <c r="G436" s="169">
        <v>43475.0</v>
      </c>
      <c r="H436" s="169">
        <v>43542.0</v>
      </c>
      <c r="I436" s="169">
        <v>43542.0</v>
      </c>
      <c r="J436" s="170">
        <v>19.99</v>
      </c>
      <c r="K436" s="170">
        <v>19.99</v>
      </c>
      <c r="L436" s="170">
        <v>0.0</v>
      </c>
      <c r="M436" s="102">
        <v>1.0</v>
      </c>
      <c r="N436" s="170">
        <v>19.99</v>
      </c>
    </row>
    <row r="437">
      <c r="A437" s="102" t="s">
        <v>291</v>
      </c>
      <c r="B437" s="102"/>
      <c r="C437" s="102">
        <v>1058.0</v>
      </c>
      <c r="D437" s="102" t="s">
        <v>1048</v>
      </c>
      <c r="E437" s="102" t="s">
        <v>39</v>
      </c>
      <c r="F437" s="169">
        <v>44803.0</v>
      </c>
      <c r="G437" s="169">
        <v>44811.0</v>
      </c>
      <c r="H437" s="169">
        <v>44825.0</v>
      </c>
      <c r="I437" s="169">
        <v>44829.0</v>
      </c>
      <c r="J437" s="170">
        <v>39.99</v>
      </c>
      <c r="K437" s="170">
        <v>0.0</v>
      </c>
      <c r="L437" s="170">
        <v>39.99</v>
      </c>
      <c r="M437" s="102">
        <v>24.0</v>
      </c>
      <c r="N437" s="170">
        <v>0.0</v>
      </c>
    </row>
    <row r="438">
      <c r="A438" s="170" t="s">
        <v>291</v>
      </c>
      <c r="B438" s="102" t="s">
        <v>296</v>
      </c>
      <c r="C438" s="102">
        <v>1080.0</v>
      </c>
      <c r="D438" s="102" t="s">
        <v>1049</v>
      </c>
      <c r="E438" s="102" t="s">
        <v>39</v>
      </c>
      <c r="F438" s="169">
        <v>45687.0</v>
      </c>
      <c r="G438" s="169">
        <v>45800.0</v>
      </c>
      <c r="H438" s="169">
        <v>45809.0</v>
      </c>
      <c r="I438" s="169">
        <v>45811.0</v>
      </c>
      <c r="J438" s="171">
        <v>19.99</v>
      </c>
      <c r="K438" s="171">
        <v>13.99</v>
      </c>
      <c r="L438" s="171">
        <v>6.0</v>
      </c>
      <c r="M438" s="102">
        <v>12.0</v>
      </c>
      <c r="N438" s="171">
        <v>1.17</v>
      </c>
    </row>
    <row r="439">
      <c r="A439" s="101">
        <f t="shared" ref="A439:B439" si="38">COUNTA(A421:A438)</f>
        <v>18</v>
      </c>
      <c r="B439" s="101">
        <f t="shared" si="38"/>
        <v>16</v>
      </c>
      <c r="C439" s="101"/>
      <c r="D439" s="94"/>
      <c r="E439" s="172">
        <v>436.82</v>
      </c>
      <c r="F439" s="172">
        <v>222.32</v>
      </c>
      <c r="G439" s="172">
        <v>214.5</v>
      </c>
      <c r="H439" s="101">
        <v>213.0</v>
      </c>
      <c r="I439" s="172">
        <v>1.043755868544601</v>
      </c>
      <c r="J439" s="173">
        <f t="shared" ref="J439:M439" si="39">SUM(J421:J438)</f>
        <v>436.82</v>
      </c>
      <c r="K439" s="173">
        <f t="shared" si="39"/>
        <v>222.32</v>
      </c>
      <c r="L439" s="173">
        <f t="shared" si="39"/>
        <v>214.5</v>
      </c>
      <c r="M439" s="94">
        <f t="shared" si="39"/>
        <v>213</v>
      </c>
      <c r="N439" s="173">
        <f>K439/M439</f>
        <v>1.043755869</v>
      </c>
    </row>
    <row r="440">
      <c r="A440" s="25"/>
      <c r="B440" s="35"/>
      <c r="C440" s="35"/>
      <c r="D440" s="25"/>
      <c r="E440" s="25"/>
      <c r="F440" s="25"/>
      <c r="G440" s="25"/>
      <c r="H440" s="25"/>
      <c r="I440" s="25"/>
      <c r="J440" s="26"/>
      <c r="K440" s="26"/>
      <c r="L440" s="26"/>
      <c r="M440" s="25"/>
      <c r="N440" s="26"/>
    </row>
    <row r="441">
      <c r="A441" s="72" t="s">
        <v>308</v>
      </c>
      <c r="B441" s="72" t="s">
        <v>307</v>
      </c>
      <c r="C441" s="72">
        <v>189.0</v>
      </c>
      <c r="D441" s="72" t="s">
        <v>1050</v>
      </c>
      <c r="E441" s="72" t="s">
        <v>649</v>
      </c>
      <c r="F441" s="167">
        <v>41073.0</v>
      </c>
      <c r="G441" s="167">
        <v>44285.0</v>
      </c>
      <c r="H441" s="167">
        <v>44287.0</v>
      </c>
      <c r="I441" s="167">
        <v>44288.0</v>
      </c>
      <c r="J441" s="165">
        <v>9.99</v>
      </c>
      <c r="K441" s="165">
        <v>9.99</v>
      </c>
      <c r="L441" s="165">
        <v>0.0</v>
      </c>
      <c r="M441" s="72">
        <v>5.0</v>
      </c>
      <c r="N441" s="165">
        <v>2.0</v>
      </c>
    </row>
    <row r="442">
      <c r="A442" s="72" t="s">
        <v>308</v>
      </c>
      <c r="B442" s="72" t="s">
        <v>309</v>
      </c>
      <c r="C442" s="72">
        <v>544.0</v>
      </c>
      <c r="D442" s="72" t="s">
        <v>1051</v>
      </c>
      <c r="E442" s="72" t="s">
        <v>33</v>
      </c>
      <c r="F442" s="167">
        <v>44140.0</v>
      </c>
      <c r="G442" s="167">
        <v>44666.0</v>
      </c>
      <c r="H442" s="167">
        <v>44666.0</v>
      </c>
      <c r="I442" s="167">
        <v>44666.0</v>
      </c>
      <c r="J442" s="165">
        <v>19.99</v>
      </c>
      <c r="K442" s="165">
        <v>13.99</v>
      </c>
      <c r="L442" s="165">
        <v>6.0</v>
      </c>
      <c r="M442" s="72">
        <v>1.0</v>
      </c>
      <c r="N442" s="165">
        <v>13.99</v>
      </c>
    </row>
    <row r="443">
      <c r="A443" s="43">
        <f t="shared" ref="A443:B443" si="40">COUNTA(A441:A442)</f>
        <v>2</v>
      </c>
      <c r="B443" s="43">
        <f t="shared" si="40"/>
        <v>2</v>
      </c>
      <c r="C443" s="43"/>
      <c r="D443" s="44"/>
      <c r="E443" s="164">
        <v>29.98</v>
      </c>
      <c r="F443" s="164">
        <v>23.98</v>
      </c>
      <c r="G443" s="164">
        <v>6.0</v>
      </c>
      <c r="H443" s="43">
        <v>6.0</v>
      </c>
      <c r="I443" s="46">
        <v>3.9966666666666666</v>
      </c>
      <c r="J443" s="145">
        <f t="shared" ref="J443:M443" si="41">SUM(J441:J442)</f>
        <v>29.98</v>
      </c>
      <c r="K443" s="145">
        <f t="shared" si="41"/>
        <v>23.98</v>
      </c>
      <c r="L443" s="145">
        <f t="shared" si="41"/>
        <v>6</v>
      </c>
      <c r="M443" s="44">
        <f t="shared" si="41"/>
        <v>6</v>
      </c>
      <c r="N443" s="145">
        <f>K443/M443</f>
        <v>3.996666667</v>
      </c>
    </row>
    <row r="444">
      <c r="A444" s="64"/>
      <c r="B444" s="64"/>
      <c r="C444" s="64"/>
      <c r="D444" s="114"/>
      <c r="E444" s="114"/>
      <c r="F444" s="114"/>
      <c r="G444" s="114"/>
      <c r="H444" s="114"/>
      <c r="I444" s="114"/>
      <c r="J444" s="144"/>
      <c r="K444" s="144"/>
      <c r="L444" s="144"/>
      <c r="M444" s="114"/>
      <c r="N444" s="144"/>
    </row>
    <row r="445">
      <c r="A445" s="53" t="s">
        <v>311</v>
      </c>
      <c r="B445" s="53" t="s">
        <v>310</v>
      </c>
      <c r="C445" s="53">
        <v>1001.0</v>
      </c>
      <c r="D445" s="53" t="s">
        <v>1052</v>
      </c>
      <c r="E445" s="53" t="s">
        <v>666</v>
      </c>
      <c r="F445" s="160">
        <v>42656.0</v>
      </c>
      <c r="G445" s="160">
        <v>43472.0</v>
      </c>
      <c r="H445" s="160">
        <v>43472.0</v>
      </c>
      <c r="I445" s="160">
        <v>43472.0</v>
      </c>
      <c r="J445" s="76">
        <v>29.99</v>
      </c>
      <c r="K445" s="76">
        <v>10.99</v>
      </c>
      <c r="L445" s="76">
        <v>19.0</v>
      </c>
      <c r="M445" s="53">
        <v>1.0</v>
      </c>
      <c r="N445" s="76">
        <v>10.99</v>
      </c>
    </row>
    <row r="446">
      <c r="A446" s="49">
        <f t="shared" ref="A446:B446" si="42">COUNTA(A445)</f>
        <v>1</v>
      </c>
      <c r="B446" s="49">
        <f t="shared" si="42"/>
        <v>1</v>
      </c>
      <c r="C446" s="49"/>
      <c r="D446" s="79"/>
      <c r="E446" s="166">
        <v>29.99</v>
      </c>
      <c r="F446" s="166">
        <v>10.99</v>
      </c>
      <c r="G446" s="166">
        <v>19.0</v>
      </c>
      <c r="H446" s="49">
        <v>1.0</v>
      </c>
      <c r="I446" s="161">
        <v>10.99</v>
      </c>
      <c r="J446" s="52">
        <f t="shared" ref="J446:M446" si="43">SUM(J445)</f>
        <v>29.99</v>
      </c>
      <c r="K446" s="52">
        <f t="shared" si="43"/>
        <v>10.99</v>
      </c>
      <c r="L446" s="52">
        <f t="shared" si="43"/>
        <v>19</v>
      </c>
      <c r="M446" s="79">
        <f t="shared" si="43"/>
        <v>1</v>
      </c>
      <c r="N446" s="52">
        <f>K446/M446</f>
        <v>10.99</v>
      </c>
    </row>
    <row r="447">
      <c r="A447" s="49"/>
      <c r="B447" s="49"/>
      <c r="C447" s="49"/>
      <c r="D447" s="79"/>
      <c r="E447" s="79"/>
      <c r="F447" s="79"/>
      <c r="G447" s="79"/>
      <c r="H447" s="79"/>
      <c r="I447" s="79"/>
      <c r="J447" s="52"/>
      <c r="K447" s="52"/>
      <c r="L447" s="52"/>
      <c r="M447" s="79"/>
      <c r="N447" s="52"/>
    </row>
    <row r="448">
      <c r="A448" s="43" t="s">
        <v>313</v>
      </c>
      <c r="B448" s="43" t="s">
        <v>314</v>
      </c>
      <c r="C448" s="43">
        <v>553.0</v>
      </c>
      <c r="D448" s="43" t="s">
        <v>1053</v>
      </c>
      <c r="E448" s="43" t="s">
        <v>33</v>
      </c>
      <c r="F448" s="57">
        <v>43859.0</v>
      </c>
      <c r="G448" s="57">
        <v>45256.0</v>
      </c>
      <c r="H448" s="57">
        <v>45450.0</v>
      </c>
      <c r="I448" s="57">
        <v>45453.0</v>
      </c>
      <c r="J448" s="47">
        <v>13.99</v>
      </c>
      <c r="K448" s="47">
        <v>13.99</v>
      </c>
      <c r="L448" s="47">
        <v>0.0</v>
      </c>
      <c r="M448" s="43">
        <v>10.0</v>
      </c>
      <c r="N448" s="47">
        <v>1.4</v>
      </c>
    </row>
    <row r="449">
      <c r="A449" s="43" t="s">
        <v>313</v>
      </c>
      <c r="B449" s="43" t="s">
        <v>312</v>
      </c>
      <c r="C449" s="43">
        <v>800.0</v>
      </c>
      <c r="D449" s="43" t="s">
        <v>1054</v>
      </c>
      <c r="E449" s="43" t="s">
        <v>33</v>
      </c>
      <c r="F449" s="57">
        <v>44826.0</v>
      </c>
      <c r="G449" s="57">
        <v>44921.0</v>
      </c>
      <c r="H449" s="57">
        <v>44922.0</v>
      </c>
      <c r="I449" s="57">
        <v>44930.0</v>
      </c>
      <c r="J449" s="47">
        <v>24.99</v>
      </c>
      <c r="K449" s="47">
        <v>0.0</v>
      </c>
      <c r="L449" s="47">
        <v>24.99</v>
      </c>
      <c r="M449" s="43">
        <v>35.0</v>
      </c>
      <c r="N449" s="47">
        <v>0.0</v>
      </c>
    </row>
    <row r="450">
      <c r="A450" s="43" t="s">
        <v>313</v>
      </c>
      <c r="B450" s="43"/>
      <c r="C450" s="43">
        <v>554.0</v>
      </c>
      <c r="D450" s="43" t="s">
        <v>1055</v>
      </c>
      <c r="E450" s="43" t="s">
        <v>33</v>
      </c>
      <c r="F450" s="57">
        <v>45036.0</v>
      </c>
      <c r="G450" s="57">
        <v>45256.0</v>
      </c>
      <c r="H450" s="57">
        <v>45452.0</v>
      </c>
      <c r="I450" s="57">
        <v>45465.0</v>
      </c>
      <c r="J450" s="47">
        <v>14.99</v>
      </c>
      <c r="K450" s="47">
        <v>10.49</v>
      </c>
      <c r="L450" s="47">
        <v>4.5</v>
      </c>
      <c r="M450" s="43">
        <v>6.0</v>
      </c>
      <c r="N450" s="47">
        <v>1.75</v>
      </c>
    </row>
    <row r="451">
      <c r="A451" s="72">
        <f t="shared" ref="A451:B451" si="44">COUNTA(A448:A450)</f>
        <v>3</v>
      </c>
      <c r="B451" s="72">
        <f t="shared" si="44"/>
        <v>2</v>
      </c>
      <c r="C451" s="72"/>
      <c r="D451" s="39"/>
      <c r="E451" s="42">
        <v>53.97</v>
      </c>
      <c r="F451" s="42">
        <v>24.48</v>
      </c>
      <c r="G451" s="42">
        <v>29.49</v>
      </c>
      <c r="H451" s="39">
        <v>51.0</v>
      </c>
      <c r="I451" s="55">
        <v>0.48</v>
      </c>
      <c r="J451" s="71">
        <f t="shared" ref="J451:M451" si="45">SUM(J448:J450)</f>
        <v>53.97</v>
      </c>
      <c r="K451" s="71">
        <f t="shared" si="45"/>
        <v>24.48</v>
      </c>
      <c r="L451" s="71">
        <f t="shared" si="45"/>
        <v>29.49</v>
      </c>
      <c r="M451" s="39">
        <f t="shared" si="45"/>
        <v>51</v>
      </c>
      <c r="N451" s="71">
        <f>K451/M451</f>
        <v>0.48</v>
      </c>
    </row>
    <row r="452">
      <c r="A452" s="64"/>
      <c r="B452" s="64"/>
      <c r="C452" s="64"/>
      <c r="D452" s="114"/>
      <c r="E452" s="114"/>
      <c r="F452" s="114"/>
      <c r="G452" s="114"/>
      <c r="H452" s="114"/>
      <c r="I452" s="114"/>
      <c r="J452" s="144"/>
      <c r="K452" s="144"/>
      <c r="L452" s="144"/>
      <c r="M452" s="114"/>
      <c r="N452" s="144"/>
    </row>
    <row r="453">
      <c r="A453" s="49" t="s">
        <v>316</v>
      </c>
      <c r="B453" s="49" t="s">
        <v>315</v>
      </c>
      <c r="C453" s="49">
        <v>822.0</v>
      </c>
      <c r="D453" s="49" t="s">
        <v>1056</v>
      </c>
      <c r="E453" s="49" t="s">
        <v>33</v>
      </c>
      <c r="F453" s="162">
        <v>44890.0</v>
      </c>
      <c r="G453" s="162">
        <v>45176.0</v>
      </c>
      <c r="H453" s="162">
        <v>45257.0</v>
      </c>
      <c r="I453" s="162">
        <v>45257.0</v>
      </c>
      <c r="J453" s="78">
        <v>4.99</v>
      </c>
      <c r="K453" s="78">
        <v>0.0</v>
      </c>
      <c r="L453" s="78">
        <v>4.99</v>
      </c>
      <c r="M453" s="49">
        <v>3.0</v>
      </c>
      <c r="N453" s="78">
        <v>0.0</v>
      </c>
    </row>
    <row r="454">
      <c r="A454" s="53">
        <f t="shared" ref="A454:B454" si="46">COUNTA(A453)</f>
        <v>1</v>
      </c>
      <c r="B454" s="53">
        <f t="shared" si="46"/>
        <v>1</v>
      </c>
      <c r="C454" s="53"/>
      <c r="D454" s="75"/>
      <c r="E454" s="168">
        <v>4.99</v>
      </c>
      <c r="F454" s="168">
        <v>0.0</v>
      </c>
      <c r="G454" s="168">
        <v>4.99</v>
      </c>
      <c r="H454" s="53">
        <v>3.0</v>
      </c>
      <c r="I454" s="54">
        <v>0.0</v>
      </c>
      <c r="J454" s="163">
        <f t="shared" ref="J454:M454" si="47">SUM(J453)</f>
        <v>4.99</v>
      </c>
      <c r="K454" s="163">
        <f t="shared" si="47"/>
        <v>0</v>
      </c>
      <c r="L454" s="163">
        <f t="shared" si="47"/>
        <v>4.99</v>
      </c>
      <c r="M454" s="75">
        <f t="shared" si="47"/>
        <v>3</v>
      </c>
      <c r="N454" s="163">
        <f>K454/M454</f>
        <v>0</v>
      </c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</row>
    <row r="456">
      <c r="A456" s="174" t="s">
        <v>318</v>
      </c>
      <c r="B456" s="174" t="s">
        <v>320</v>
      </c>
      <c r="C456" s="174">
        <v>442.0</v>
      </c>
      <c r="D456" s="174" t="s">
        <v>1057</v>
      </c>
      <c r="E456" s="174" t="s">
        <v>671</v>
      </c>
      <c r="F456" s="175">
        <v>41913.0</v>
      </c>
      <c r="G456" s="175">
        <v>43937.0</v>
      </c>
      <c r="H456" s="175">
        <v>43937.0</v>
      </c>
      <c r="I456" s="175">
        <v>43937.0</v>
      </c>
      <c r="J456" s="176">
        <v>9.99</v>
      </c>
      <c r="K456" s="176">
        <v>2.99</v>
      </c>
      <c r="L456" s="176">
        <v>7.0</v>
      </c>
      <c r="M456" s="174">
        <v>1.0</v>
      </c>
      <c r="N456" s="176">
        <v>2.99</v>
      </c>
    </row>
    <row r="457">
      <c r="A457" s="174" t="s">
        <v>318</v>
      </c>
      <c r="B457" s="174" t="s">
        <v>322</v>
      </c>
      <c r="C457" s="174">
        <v>429.0</v>
      </c>
      <c r="D457" s="174" t="s">
        <v>1058</v>
      </c>
      <c r="E457" s="174" t="s">
        <v>671</v>
      </c>
      <c r="F457" s="175">
        <v>42459.0</v>
      </c>
      <c r="G457" s="175">
        <v>42766.0</v>
      </c>
      <c r="H457" s="175">
        <v>42766.0</v>
      </c>
      <c r="I457" s="175">
        <v>44945.0</v>
      </c>
      <c r="J457" s="176">
        <v>9.99</v>
      </c>
      <c r="K457" s="176">
        <v>6.99</v>
      </c>
      <c r="L457" s="176">
        <v>3.0</v>
      </c>
      <c r="M457" s="174">
        <v>1.0</v>
      </c>
      <c r="N457" s="176">
        <v>6.99</v>
      </c>
    </row>
    <row r="458">
      <c r="A458" s="174" t="s">
        <v>318</v>
      </c>
      <c r="B458" s="174"/>
      <c r="C458" s="174">
        <v>441.0</v>
      </c>
      <c r="D458" s="174" t="s">
        <v>1059</v>
      </c>
      <c r="E458" s="174" t="s">
        <v>671</v>
      </c>
      <c r="F458" s="175">
        <v>42789.0</v>
      </c>
      <c r="G458" s="175">
        <v>43942.0</v>
      </c>
      <c r="H458" s="175">
        <v>43942.0</v>
      </c>
      <c r="I458" s="175">
        <v>43942.0</v>
      </c>
      <c r="J458" s="176">
        <v>9.99</v>
      </c>
      <c r="K458" s="176">
        <v>2.99</v>
      </c>
      <c r="L458" s="176">
        <v>7.0</v>
      </c>
      <c r="M458" s="174">
        <v>1.0</v>
      </c>
      <c r="N458" s="176">
        <v>2.99</v>
      </c>
    </row>
    <row r="459">
      <c r="A459" s="174" t="s">
        <v>318</v>
      </c>
      <c r="B459" s="174" t="s">
        <v>323</v>
      </c>
      <c r="C459" s="174">
        <v>537.0</v>
      </c>
      <c r="D459" s="174" t="s">
        <v>1060</v>
      </c>
      <c r="E459" s="174" t="s">
        <v>33</v>
      </c>
      <c r="F459" s="175">
        <v>43391.0</v>
      </c>
      <c r="G459" s="175">
        <v>45256.0</v>
      </c>
      <c r="H459" s="175">
        <v>45296.0</v>
      </c>
      <c r="I459" s="175">
        <v>45303.0</v>
      </c>
      <c r="J459" s="176">
        <v>19.99</v>
      </c>
      <c r="K459" s="176">
        <v>3.99</v>
      </c>
      <c r="L459" s="176">
        <v>16.0</v>
      </c>
      <c r="M459" s="174">
        <v>8.0</v>
      </c>
      <c r="N459" s="176">
        <v>0.5</v>
      </c>
    </row>
    <row r="460">
      <c r="A460" s="174" t="s">
        <v>318</v>
      </c>
      <c r="B460" s="174" t="s">
        <v>319</v>
      </c>
      <c r="C460" s="174">
        <v>667.0</v>
      </c>
      <c r="D460" s="174" t="s">
        <v>1061</v>
      </c>
      <c r="E460" s="174" t="s">
        <v>33</v>
      </c>
      <c r="F460" s="175">
        <v>44469.0</v>
      </c>
      <c r="G460" s="175">
        <v>44839.0</v>
      </c>
      <c r="H460" s="175">
        <v>44881.0</v>
      </c>
      <c r="I460" s="175">
        <v>44888.0</v>
      </c>
      <c r="J460" s="176">
        <v>49.99</v>
      </c>
      <c r="K460" s="176">
        <v>0.0</v>
      </c>
      <c r="L460" s="176">
        <v>49.99</v>
      </c>
      <c r="M460" s="174">
        <v>29.0</v>
      </c>
      <c r="N460" s="176">
        <v>0.0</v>
      </c>
    </row>
    <row r="461">
      <c r="A461" s="174" t="s">
        <v>318</v>
      </c>
      <c r="B461" s="174"/>
      <c r="C461" s="174">
        <v>668.0</v>
      </c>
      <c r="D461" s="174" t="s">
        <v>1062</v>
      </c>
      <c r="E461" s="174" t="s">
        <v>33</v>
      </c>
      <c r="F461" s="175">
        <v>45218.0</v>
      </c>
      <c r="G461" s="175">
        <v>45602.0</v>
      </c>
      <c r="H461" s="175">
        <v>45602.0</v>
      </c>
      <c r="I461" s="175">
        <v>45626.0</v>
      </c>
      <c r="J461" s="177">
        <v>49.99</v>
      </c>
      <c r="K461" s="177">
        <v>0.0</v>
      </c>
      <c r="L461" s="176">
        <v>49.99</v>
      </c>
      <c r="M461" s="174">
        <v>25.0</v>
      </c>
      <c r="N461" s="176">
        <v>0.0</v>
      </c>
    </row>
    <row r="462">
      <c r="A462" s="174" t="s">
        <v>318</v>
      </c>
      <c r="B462" s="174" t="s">
        <v>321</v>
      </c>
      <c r="C462" s="174">
        <v>1048.0</v>
      </c>
      <c r="D462" s="174" t="s">
        <v>1063</v>
      </c>
      <c r="E462" s="174" t="s">
        <v>666</v>
      </c>
      <c r="F462" s="175">
        <v>42773.0</v>
      </c>
      <c r="G462" s="175">
        <v>43466.0</v>
      </c>
      <c r="H462" s="175">
        <v>43466.0</v>
      </c>
      <c r="I462" s="175">
        <v>43466.0</v>
      </c>
      <c r="J462" s="176">
        <v>14.99</v>
      </c>
      <c r="K462" s="176">
        <v>2.99</v>
      </c>
      <c r="L462" s="176">
        <v>12.0</v>
      </c>
      <c r="M462" s="174">
        <v>1.0</v>
      </c>
      <c r="N462" s="176">
        <v>2.99</v>
      </c>
    </row>
    <row r="463">
      <c r="A463" s="174" t="s">
        <v>318</v>
      </c>
      <c r="B463" s="174" t="s">
        <v>317</v>
      </c>
      <c r="C463" s="174">
        <v>1037.0</v>
      </c>
      <c r="D463" s="174" t="s">
        <v>1064</v>
      </c>
      <c r="E463" s="174" t="s">
        <v>666</v>
      </c>
      <c r="F463" s="175">
        <v>44518.0</v>
      </c>
      <c r="G463" s="175">
        <v>44555.0</v>
      </c>
      <c r="H463" s="175">
        <v>44571.0</v>
      </c>
      <c r="I463" s="175">
        <v>44678.0</v>
      </c>
      <c r="J463" s="176">
        <v>9.99</v>
      </c>
      <c r="K463" s="176">
        <v>6.99</v>
      </c>
      <c r="L463" s="176">
        <v>3.0</v>
      </c>
      <c r="M463" s="174">
        <v>9.0</v>
      </c>
      <c r="N463" s="176">
        <v>0.78</v>
      </c>
    </row>
    <row r="464">
      <c r="A464" s="178">
        <f t="shared" ref="A464:B464" si="48">COUNTA(A456:A463)</f>
        <v>8</v>
      </c>
      <c r="B464" s="178">
        <f t="shared" si="48"/>
        <v>6</v>
      </c>
      <c r="C464" s="178"/>
      <c r="D464" s="179"/>
      <c r="E464" s="180">
        <v>174.92</v>
      </c>
      <c r="F464" s="180">
        <v>26.94</v>
      </c>
      <c r="G464" s="180">
        <v>147.98</v>
      </c>
      <c r="H464" s="178">
        <v>75.0</v>
      </c>
      <c r="I464" s="180">
        <v>0.3592</v>
      </c>
      <c r="J464" s="181">
        <f t="shared" ref="J464:M464" si="49">SUM(J456:J463)</f>
        <v>174.92</v>
      </c>
      <c r="K464" s="181">
        <f t="shared" si="49"/>
        <v>26.94</v>
      </c>
      <c r="L464" s="181">
        <f t="shared" si="49"/>
        <v>147.98</v>
      </c>
      <c r="M464" s="179">
        <f t="shared" si="49"/>
        <v>75</v>
      </c>
      <c r="N464" s="181">
        <f>K464/M464</f>
        <v>0.3592</v>
      </c>
    </row>
    <row r="465">
      <c r="A465" s="64"/>
      <c r="B465" s="64"/>
      <c r="C465" s="64"/>
      <c r="D465" s="114"/>
      <c r="E465" s="114"/>
      <c r="F465" s="114"/>
      <c r="G465" s="114"/>
      <c r="H465" s="114"/>
      <c r="I465" s="114"/>
      <c r="J465" s="1"/>
      <c r="K465" s="1"/>
      <c r="L465" s="1"/>
      <c r="M465" s="1"/>
      <c r="N465" s="1"/>
    </row>
    <row r="466">
      <c r="A466" s="72" t="s">
        <v>325</v>
      </c>
      <c r="B466" s="72" t="s">
        <v>337</v>
      </c>
      <c r="C466" s="72">
        <v>29.0</v>
      </c>
      <c r="D466" s="72" t="s">
        <v>1065</v>
      </c>
      <c r="E466" s="72" t="s">
        <v>682</v>
      </c>
      <c r="F466" s="167">
        <v>34971.0</v>
      </c>
      <c r="G466" s="167">
        <v>43373.0</v>
      </c>
      <c r="H466" s="167">
        <v>45483.0</v>
      </c>
      <c r="I466" s="167">
        <v>45484.0</v>
      </c>
      <c r="J466" s="165">
        <v>4.99</v>
      </c>
      <c r="K466" s="165">
        <v>4.99</v>
      </c>
      <c r="L466" s="165">
        <v>0.0</v>
      </c>
      <c r="M466" s="72">
        <v>3.0</v>
      </c>
      <c r="N466" s="165">
        <v>1.66</v>
      </c>
    </row>
    <row r="467">
      <c r="A467" s="72" t="s">
        <v>325</v>
      </c>
      <c r="B467" s="72" t="s">
        <v>331</v>
      </c>
      <c r="C467" s="72">
        <v>60.0</v>
      </c>
      <c r="D467" s="72" t="s">
        <v>1066</v>
      </c>
      <c r="E467" s="72" t="s">
        <v>682</v>
      </c>
      <c r="F467" s="167">
        <v>35010.0</v>
      </c>
      <c r="G467" s="167">
        <v>41262.0</v>
      </c>
      <c r="H467" s="167">
        <v>41262.0</v>
      </c>
      <c r="I467" s="167">
        <v>41262.0</v>
      </c>
      <c r="J467" s="165">
        <v>4.99</v>
      </c>
      <c r="K467" s="165">
        <v>4.99</v>
      </c>
      <c r="L467" s="165">
        <v>0.0</v>
      </c>
      <c r="M467" s="72">
        <v>5.0</v>
      </c>
      <c r="N467" s="165">
        <v>1.0</v>
      </c>
    </row>
    <row r="468">
      <c r="A468" s="72" t="s">
        <v>325</v>
      </c>
      <c r="B468" s="72" t="s">
        <v>348</v>
      </c>
      <c r="C468" s="72">
        <v>5.0</v>
      </c>
      <c r="D468" s="72" t="s">
        <v>1067</v>
      </c>
      <c r="E468" s="72" t="s">
        <v>682</v>
      </c>
      <c r="F468" s="167">
        <v>35062.0</v>
      </c>
      <c r="G468" s="167">
        <v>43373.0</v>
      </c>
      <c r="H468" s="167">
        <v>43373.0</v>
      </c>
      <c r="I468" s="167">
        <v>43373.0</v>
      </c>
      <c r="J468" s="165">
        <v>4.99</v>
      </c>
      <c r="K468" s="165">
        <v>4.99</v>
      </c>
      <c r="L468" s="165">
        <v>0.0</v>
      </c>
      <c r="M468" s="72">
        <v>1.0</v>
      </c>
      <c r="N468" s="165">
        <v>4.99</v>
      </c>
    </row>
    <row r="469">
      <c r="A469" s="72" t="s">
        <v>325</v>
      </c>
      <c r="B469" s="72" t="s">
        <v>334</v>
      </c>
      <c r="C469" s="72">
        <v>54.0</v>
      </c>
      <c r="D469" s="72" t="s">
        <v>1068</v>
      </c>
      <c r="E469" s="72" t="s">
        <v>682</v>
      </c>
      <c r="F469" s="167">
        <v>35207.0</v>
      </c>
      <c r="G469" s="167">
        <v>43249.0</v>
      </c>
      <c r="H469" s="167">
        <v>43249.0</v>
      </c>
      <c r="I469" s="167">
        <v>43249.0</v>
      </c>
      <c r="J469" s="165">
        <v>3.33</v>
      </c>
      <c r="K469" s="165">
        <v>1.23</v>
      </c>
      <c r="L469" s="165">
        <v>2.1</v>
      </c>
      <c r="M469" s="72">
        <v>1.0</v>
      </c>
      <c r="N469" s="165">
        <v>1.23</v>
      </c>
    </row>
    <row r="470">
      <c r="A470" s="72" t="s">
        <v>325</v>
      </c>
      <c r="B470" s="72"/>
      <c r="C470" s="72">
        <v>61.0</v>
      </c>
      <c r="D470" s="72" t="s">
        <v>1069</v>
      </c>
      <c r="E470" s="72" t="s">
        <v>682</v>
      </c>
      <c r="F470" s="167">
        <v>35340.0</v>
      </c>
      <c r="G470" s="167">
        <v>41261.0</v>
      </c>
      <c r="H470" s="167">
        <v>41261.0</v>
      </c>
      <c r="I470" s="167">
        <v>41261.0</v>
      </c>
      <c r="J470" s="165">
        <v>4.99</v>
      </c>
      <c r="K470" s="165">
        <v>4.99</v>
      </c>
      <c r="L470" s="165">
        <v>0.0</v>
      </c>
      <c r="M470" s="72">
        <v>15.0</v>
      </c>
      <c r="N470" s="165">
        <v>0.33</v>
      </c>
    </row>
    <row r="471">
      <c r="A471" s="72" t="s">
        <v>325</v>
      </c>
      <c r="B471" s="72" t="s">
        <v>358</v>
      </c>
      <c r="C471" s="72">
        <v>37.0</v>
      </c>
      <c r="D471" s="72" t="s">
        <v>1070</v>
      </c>
      <c r="E471" s="72" t="s">
        <v>682</v>
      </c>
      <c r="F471" s="167">
        <v>35370.0</v>
      </c>
      <c r="G471" s="167">
        <v>43014.0</v>
      </c>
      <c r="H471" s="167">
        <v>43014.0</v>
      </c>
      <c r="I471" s="167">
        <v>43014.0</v>
      </c>
      <c r="J471" s="165">
        <v>4.99</v>
      </c>
      <c r="K471" s="165">
        <v>2.49</v>
      </c>
      <c r="L471" s="165">
        <v>2.5</v>
      </c>
      <c r="M471" s="72">
        <v>3.0</v>
      </c>
      <c r="N471" s="165">
        <v>0.83</v>
      </c>
    </row>
    <row r="472">
      <c r="A472" s="72" t="s">
        <v>325</v>
      </c>
      <c r="B472" s="72"/>
      <c r="C472" s="72">
        <v>55.0</v>
      </c>
      <c r="D472" s="72" t="s">
        <v>1071</v>
      </c>
      <c r="E472" s="72" t="s">
        <v>682</v>
      </c>
      <c r="F472" s="167">
        <v>35385.0</v>
      </c>
      <c r="G472" s="167">
        <v>43249.0</v>
      </c>
      <c r="H472" s="167">
        <v>43249.0</v>
      </c>
      <c r="I472" s="167">
        <v>43249.0</v>
      </c>
      <c r="J472" s="165">
        <v>3.33</v>
      </c>
      <c r="K472" s="165">
        <v>1.23</v>
      </c>
      <c r="L472" s="165">
        <v>2.1</v>
      </c>
      <c r="M472" s="72">
        <v>1.0</v>
      </c>
      <c r="N472" s="165">
        <v>1.23</v>
      </c>
    </row>
    <row r="473">
      <c r="A473" s="72" t="s">
        <v>325</v>
      </c>
      <c r="B473" s="72" t="s">
        <v>344</v>
      </c>
      <c r="C473" s="72">
        <v>57.0</v>
      </c>
      <c r="D473" s="72" t="s">
        <v>1072</v>
      </c>
      <c r="E473" s="72" t="s">
        <v>682</v>
      </c>
      <c r="F473" s="167">
        <v>35531.0</v>
      </c>
      <c r="G473" s="167">
        <v>44300.0</v>
      </c>
      <c r="H473" s="167">
        <v>44300.0</v>
      </c>
      <c r="I473" s="167">
        <v>44300.0</v>
      </c>
      <c r="J473" s="165">
        <v>4.99</v>
      </c>
      <c r="K473" s="165">
        <v>4.99</v>
      </c>
      <c r="L473" s="165">
        <v>0.0</v>
      </c>
      <c r="M473" s="72">
        <v>1.0</v>
      </c>
      <c r="N473" s="165">
        <v>4.99</v>
      </c>
    </row>
    <row r="474">
      <c r="A474" s="72" t="s">
        <v>325</v>
      </c>
      <c r="B474" s="72" t="s">
        <v>351</v>
      </c>
      <c r="C474" s="72">
        <v>40.0</v>
      </c>
      <c r="D474" s="72" t="s">
        <v>1073</v>
      </c>
      <c r="E474" s="72" t="s">
        <v>682</v>
      </c>
      <c r="F474" s="167">
        <v>35699.0</v>
      </c>
      <c r="G474" s="167">
        <v>42927.0</v>
      </c>
      <c r="H474" s="167">
        <v>42927.0</v>
      </c>
      <c r="I474" s="167">
        <v>45163.0</v>
      </c>
      <c r="J474" s="165">
        <v>14.99</v>
      </c>
      <c r="K474" s="165">
        <v>14.99</v>
      </c>
      <c r="L474" s="165">
        <v>0.0</v>
      </c>
      <c r="M474" s="72">
        <v>4.0</v>
      </c>
      <c r="N474" s="165">
        <v>3.75</v>
      </c>
    </row>
    <row r="475">
      <c r="A475" s="48" t="s">
        <v>325</v>
      </c>
      <c r="B475" s="48" t="s">
        <v>346</v>
      </c>
      <c r="C475" s="48">
        <v>1094.0</v>
      </c>
      <c r="D475" s="48" t="s">
        <v>1074</v>
      </c>
      <c r="E475" s="48" t="s">
        <v>682</v>
      </c>
      <c r="F475" s="167">
        <v>35719.0</v>
      </c>
      <c r="G475" s="167">
        <v>45949.0</v>
      </c>
      <c r="H475" s="167">
        <v>45949.0</v>
      </c>
      <c r="I475" s="167">
        <v>45949.0</v>
      </c>
      <c r="J475" s="42">
        <v>15.99</v>
      </c>
      <c r="K475" s="42">
        <v>7.99</v>
      </c>
      <c r="L475" s="42">
        <f>J475-K475</f>
        <v>8</v>
      </c>
      <c r="M475" s="48">
        <v>1.0</v>
      </c>
      <c r="N475" s="42">
        <f>K475/M475</f>
        <v>7.99</v>
      </c>
    </row>
    <row r="476">
      <c r="A476" s="72" t="s">
        <v>325</v>
      </c>
      <c r="B476" s="72"/>
      <c r="C476" s="72">
        <v>4.0</v>
      </c>
      <c r="D476" s="72" t="s">
        <v>1075</v>
      </c>
      <c r="E476" s="72" t="s">
        <v>682</v>
      </c>
      <c r="F476" s="167">
        <v>35735.0</v>
      </c>
      <c r="G476" s="167">
        <v>42279.0</v>
      </c>
      <c r="H476" s="167">
        <v>42279.0</v>
      </c>
      <c r="I476" s="167">
        <v>42279.0</v>
      </c>
      <c r="J476" s="165">
        <v>14.99</v>
      </c>
      <c r="K476" s="165">
        <v>4.5</v>
      </c>
      <c r="L476" s="165">
        <v>10.49</v>
      </c>
      <c r="M476" s="72">
        <v>1.0</v>
      </c>
      <c r="N476" s="165">
        <v>4.5</v>
      </c>
    </row>
    <row r="477">
      <c r="A477" s="72" t="s">
        <v>325</v>
      </c>
      <c r="B477" s="72" t="s">
        <v>365</v>
      </c>
      <c r="C477" s="72">
        <v>21.0</v>
      </c>
      <c r="D477" s="72" t="s">
        <v>1076</v>
      </c>
      <c r="E477" s="72" t="s">
        <v>682</v>
      </c>
      <c r="F477" s="167">
        <v>35751.0</v>
      </c>
      <c r="G477" s="167">
        <v>41572.0</v>
      </c>
      <c r="H477" s="167">
        <v>41572.0</v>
      </c>
      <c r="I477" s="167">
        <v>41586.0</v>
      </c>
      <c r="J477" s="165">
        <v>9.99</v>
      </c>
      <c r="K477" s="165">
        <v>4.99</v>
      </c>
      <c r="L477" s="165">
        <v>5.0</v>
      </c>
      <c r="M477" s="72">
        <v>40.0</v>
      </c>
      <c r="N477" s="165">
        <v>0.12</v>
      </c>
    </row>
    <row r="478">
      <c r="A478" s="72" t="s">
        <v>325</v>
      </c>
      <c r="B478" s="72"/>
      <c r="C478" s="72">
        <v>45.0</v>
      </c>
      <c r="D478" s="72" t="s">
        <v>1077</v>
      </c>
      <c r="E478" s="72" t="s">
        <v>682</v>
      </c>
      <c r="F478" s="167">
        <v>35774.0</v>
      </c>
      <c r="G478" s="167">
        <v>42665.0</v>
      </c>
      <c r="H478" s="167">
        <v>42665.0</v>
      </c>
      <c r="I478" s="167">
        <v>42665.0</v>
      </c>
      <c r="J478" s="165">
        <v>9.99</v>
      </c>
      <c r="K478" s="165">
        <v>3.99</v>
      </c>
      <c r="L478" s="165">
        <v>6.0</v>
      </c>
      <c r="M478" s="72">
        <v>1.0</v>
      </c>
      <c r="N478" s="165">
        <v>3.99</v>
      </c>
    </row>
    <row r="479">
      <c r="A479" s="72" t="s">
        <v>325</v>
      </c>
      <c r="B479" s="72"/>
      <c r="C479" s="72">
        <v>46.0</v>
      </c>
      <c r="D479" s="72" t="s">
        <v>1078</v>
      </c>
      <c r="E479" s="72" t="s">
        <v>682</v>
      </c>
      <c r="F479" s="167">
        <v>35914.0</v>
      </c>
      <c r="G479" s="167">
        <v>42875.0</v>
      </c>
      <c r="H479" s="167">
        <v>42875.0</v>
      </c>
      <c r="I479" s="167">
        <v>42875.0</v>
      </c>
      <c r="J479" s="165">
        <v>9.99</v>
      </c>
      <c r="K479" s="165">
        <v>3.99</v>
      </c>
      <c r="L479" s="165">
        <v>6.0</v>
      </c>
      <c r="M479" s="72">
        <v>1.0</v>
      </c>
      <c r="N479" s="165">
        <v>3.99</v>
      </c>
    </row>
    <row r="480">
      <c r="A480" s="72" t="s">
        <v>325</v>
      </c>
      <c r="B480" s="72"/>
      <c r="C480" s="72">
        <v>30.0</v>
      </c>
      <c r="D480" s="72" t="s">
        <v>1079</v>
      </c>
      <c r="E480" s="72" t="s">
        <v>682</v>
      </c>
      <c r="F480" s="167">
        <v>35951.0</v>
      </c>
      <c r="G480" s="167">
        <v>42279.0</v>
      </c>
      <c r="H480" s="167">
        <v>42279.0</v>
      </c>
      <c r="I480" s="167">
        <v>42279.0</v>
      </c>
      <c r="J480" s="165">
        <v>4.99</v>
      </c>
      <c r="K480" s="165">
        <v>2.5</v>
      </c>
      <c r="L480" s="165">
        <v>2.49</v>
      </c>
      <c r="M480" s="72">
        <v>4.0</v>
      </c>
      <c r="N480" s="165">
        <v>0.63</v>
      </c>
    </row>
    <row r="481">
      <c r="A481" s="72" t="s">
        <v>325</v>
      </c>
      <c r="B481" s="72"/>
      <c r="C481" s="72">
        <v>53.0</v>
      </c>
      <c r="D481" s="72" t="s">
        <v>1080</v>
      </c>
      <c r="E481" s="72" t="s">
        <v>682</v>
      </c>
      <c r="F481" s="167">
        <v>35977.0</v>
      </c>
      <c r="G481" s="167">
        <v>43249.0</v>
      </c>
      <c r="H481" s="167">
        <v>43249.0</v>
      </c>
      <c r="I481" s="167">
        <v>43249.0</v>
      </c>
      <c r="J481" s="165">
        <v>3.33</v>
      </c>
      <c r="K481" s="165">
        <v>1.23</v>
      </c>
      <c r="L481" s="165">
        <v>2.1</v>
      </c>
      <c r="M481" s="72">
        <v>1.0</v>
      </c>
      <c r="N481" s="165">
        <v>1.23</v>
      </c>
    </row>
    <row r="482">
      <c r="A482" s="72" t="s">
        <v>325</v>
      </c>
      <c r="B482" s="72" t="s">
        <v>371</v>
      </c>
      <c r="C482" s="72">
        <v>68.0</v>
      </c>
      <c r="D482" s="72" t="s">
        <v>1081</v>
      </c>
      <c r="E482" s="72" t="s">
        <v>682</v>
      </c>
      <c r="F482" s="167">
        <v>36035.0</v>
      </c>
      <c r="G482" s="167">
        <v>41568.0</v>
      </c>
      <c r="H482" s="167">
        <v>45655.0</v>
      </c>
      <c r="I482" s="167">
        <v>45662.0</v>
      </c>
      <c r="J482" s="165">
        <v>27.98</v>
      </c>
      <c r="K482" s="165">
        <v>4.99</v>
      </c>
      <c r="L482" s="165">
        <v>22.99</v>
      </c>
      <c r="M482" s="72">
        <v>18.0</v>
      </c>
      <c r="N482" s="165">
        <v>0.28</v>
      </c>
    </row>
    <row r="483">
      <c r="A483" s="39" t="s">
        <v>325</v>
      </c>
      <c r="B483" s="39"/>
      <c r="C483" s="39">
        <v>1095.0</v>
      </c>
      <c r="D483" s="39" t="s">
        <v>1082</v>
      </c>
      <c r="E483" s="39" t="s">
        <v>682</v>
      </c>
      <c r="F483" s="41">
        <v>36050.0</v>
      </c>
      <c r="G483" s="41">
        <v>45956.0</v>
      </c>
      <c r="H483" s="41">
        <v>45967.0</v>
      </c>
      <c r="I483" s="41">
        <v>45971.0</v>
      </c>
      <c r="J483" s="42">
        <v>9.99</v>
      </c>
      <c r="K483" s="42">
        <v>9.99</v>
      </c>
      <c r="L483" s="42">
        <v>0.0</v>
      </c>
      <c r="M483" s="39">
        <v>2.0</v>
      </c>
      <c r="N483" s="42">
        <v>4.995</v>
      </c>
    </row>
    <row r="484">
      <c r="A484" s="72" t="s">
        <v>325</v>
      </c>
      <c r="B484" s="72"/>
      <c r="C484" s="72">
        <v>34.0</v>
      </c>
      <c r="D484" s="72" t="s">
        <v>1083</v>
      </c>
      <c r="E484" s="72" t="s">
        <v>682</v>
      </c>
      <c r="F484" s="167">
        <v>36213.0</v>
      </c>
      <c r="G484" s="167">
        <v>41261.0</v>
      </c>
      <c r="H484" s="167">
        <v>41261.0</v>
      </c>
      <c r="I484" s="167">
        <v>41274.0</v>
      </c>
      <c r="J484" s="165">
        <v>9.99</v>
      </c>
      <c r="K484" s="165">
        <v>4.99</v>
      </c>
      <c r="L484" s="165">
        <v>5.0</v>
      </c>
      <c r="M484" s="72">
        <v>30.0</v>
      </c>
      <c r="N484" s="165">
        <v>0.17</v>
      </c>
    </row>
    <row r="485">
      <c r="A485" s="72" t="s">
        <v>325</v>
      </c>
      <c r="B485" s="72"/>
      <c r="C485" s="72">
        <v>56.0</v>
      </c>
      <c r="D485" s="72" t="s">
        <v>1084</v>
      </c>
      <c r="E485" s="72" t="s">
        <v>682</v>
      </c>
      <c r="F485" s="167">
        <v>36336.0</v>
      </c>
      <c r="G485" s="167">
        <v>43249.0</v>
      </c>
      <c r="H485" s="167">
        <v>43249.0</v>
      </c>
      <c r="I485" s="167">
        <v>43249.0</v>
      </c>
      <c r="J485" s="165">
        <v>3.33</v>
      </c>
      <c r="K485" s="165">
        <v>1.23</v>
      </c>
      <c r="L485" s="165">
        <v>2.1</v>
      </c>
      <c r="M485" s="72">
        <v>1.0</v>
      </c>
      <c r="N485" s="165">
        <v>1.23</v>
      </c>
    </row>
    <row r="486">
      <c r="A486" s="72" t="s">
        <v>325</v>
      </c>
      <c r="B486" s="72"/>
      <c r="C486" s="72">
        <v>49.0</v>
      </c>
      <c r="D486" s="72" t="s">
        <v>1085</v>
      </c>
      <c r="E486" s="72" t="s">
        <v>682</v>
      </c>
      <c r="F486" s="167">
        <v>36357.0</v>
      </c>
      <c r="G486" s="167">
        <v>42812.0</v>
      </c>
      <c r="H486" s="167">
        <v>42812.0</v>
      </c>
      <c r="I486" s="167">
        <v>42812.0</v>
      </c>
      <c r="J486" s="165">
        <v>6.99</v>
      </c>
      <c r="K486" s="165">
        <v>2.99</v>
      </c>
      <c r="L486" s="165">
        <v>4.0</v>
      </c>
      <c r="M486" s="72">
        <v>1.0</v>
      </c>
      <c r="N486" s="165">
        <v>2.99</v>
      </c>
    </row>
    <row r="487">
      <c r="A487" s="72" t="s">
        <v>325</v>
      </c>
      <c r="B487" s="72"/>
      <c r="C487" s="72">
        <v>73.0</v>
      </c>
      <c r="D487" s="72" t="s">
        <v>1086</v>
      </c>
      <c r="E487" s="72" t="s">
        <v>682</v>
      </c>
      <c r="F487" s="167">
        <v>36413.0</v>
      </c>
      <c r="G487" s="167">
        <v>43014.0</v>
      </c>
      <c r="H487" s="167">
        <v>43014.0</v>
      </c>
      <c r="I487" s="167">
        <v>43014.0</v>
      </c>
      <c r="J487" s="165">
        <v>4.99</v>
      </c>
      <c r="K487" s="165">
        <v>4.99</v>
      </c>
      <c r="L487" s="165">
        <v>0.0</v>
      </c>
      <c r="M487" s="72">
        <v>1.0</v>
      </c>
      <c r="N487" s="165">
        <v>4.99</v>
      </c>
    </row>
    <row r="488">
      <c r="A488" s="72" t="s">
        <v>325</v>
      </c>
      <c r="B488" s="72"/>
      <c r="C488" s="72">
        <v>22.0</v>
      </c>
      <c r="D488" s="72" t="s">
        <v>1087</v>
      </c>
      <c r="E488" s="72" t="s">
        <v>682</v>
      </c>
      <c r="F488" s="167">
        <v>36460.0</v>
      </c>
      <c r="G488" s="167">
        <v>42784.0</v>
      </c>
      <c r="H488" s="167">
        <v>42784.0</v>
      </c>
      <c r="I488" s="167">
        <v>42784.0</v>
      </c>
      <c r="J488" s="165">
        <v>9.99</v>
      </c>
      <c r="K488" s="165">
        <v>4.99</v>
      </c>
      <c r="L488" s="165">
        <v>5.0</v>
      </c>
      <c r="M488" s="72">
        <v>1.0</v>
      </c>
      <c r="N488" s="165">
        <v>4.99</v>
      </c>
    </row>
    <row r="489">
      <c r="A489" s="72" t="s">
        <v>325</v>
      </c>
      <c r="B489" s="72"/>
      <c r="C489" s="72">
        <v>47.0</v>
      </c>
      <c r="D489" s="72" t="s">
        <v>1088</v>
      </c>
      <c r="E489" s="72" t="s">
        <v>682</v>
      </c>
      <c r="F489" s="167">
        <v>36577.0</v>
      </c>
      <c r="G489" s="167">
        <v>42665.0</v>
      </c>
      <c r="H489" s="167">
        <v>42665.0</v>
      </c>
      <c r="I489" s="167">
        <v>42665.0</v>
      </c>
      <c r="J489" s="55">
        <v>9.99</v>
      </c>
      <c r="K489" s="55">
        <v>3.99</v>
      </c>
      <c r="L489" s="165">
        <v>6.0</v>
      </c>
      <c r="M489" s="72">
        <v>1.0</v>
      </c>
      <c r="N489" s="165">
        <v>3.99</v>
      </c>
    </row>
    <row r="490">
      <c r="A490" s="72" t="s">
        <v>325</v>
      </c>
      <c r="B490" s="72"/>
      <c r="C490" s="72">
        <v>69.0</v>
      </c>
      <c r="D490" s="72" t="s">
        <v>1089</v>
      </c>
      <c r="E490" s="72" t="s">
        <v>682</v>
      </c>
      <c r="F490" s="167">
        <v>36693.0</v>
      </c>
      <c r="G490" s="167">
        <v>43373.0</v>
      </c>
      <c r="H490" s="167">
        <v>45793.0</v>
      </c>
      <c r="I490" s="167">
        <v>45793.0</v>
      </c>
      <c r="J490" s="165">
        <v>7.99</v>
      </c>
      <c r="K490" s="165">
        <v>7.99</v>
      </c>
      <c r="L490" s="165">
        <v>0.0</v>
      </c>
      <c r="M490" s="72">
        <v>2.0</v>
      </c>
      <c r="N490" s="165">
        <v>4.0</v>
      </c>
    </row>
    <row r="491">
      <c r="A491" s="72" t="s">
        <v>325</v>
      </c>
      <c r="B491" s="72"/>
      <c r="C491" s="72">
        <v>2.0</v>
      </c>
      <c r="D491" s="72" t="s">
        <v>1090</v>
      </c>
      <c r="E491" s="72" t="s">
        <v>682</v>
      </c>
      <c r="F491" s="167">
        <v>36714.0</v>
      </c>
      <c r="G491" s="167">
        <v>43373.0</v>
      </c>
      <c r="H491" s="167">
        <v>43373.0</v>
      </c>
      <c r="I491" s="167">
        <v>43373.0</v>
      </c>
      <c r="J491" s="165">
        <v>4.99</v>
      </c>
      <c r="K491" s="165">
        <v>4.99</v>
      </c>
      <c r="L491" s="165">
        <v>0.0</v>
      </c>
      <c r="M491" s="72">
        <v>1.0</v>
      </c>
      <c r="N491" s="165">
        <v>4.99</v>
      </c>
    </row>
    <row r="492">
      <c r="A492" s="72" t="s">
        <v>325</v>
      </c>
      <c r="B492" s="72"/>
      <c r="C492" s="72">
        <v>58.0</v>
      </c>
      <c r="D492" s="72" t="s">
        <v>1091</v>
      </c>
      <c r="E492" s="72" t="s">
        <v>682</v>
      </c>
      <c r="F492" s="167">
        <v>36735.0</v>
      </c>
      <c r="G492" s="167">
        <v>44300.0</v>
      </c>
      <c r="H492" s="167">
        <v>44300.0</v>
      </c>
      <c r="I492" s="167">
        <v>44300.0</v>
      </c>
      <c r="J492" s="55">
        <v>4.99</v>
      </c>
      <c r="K492" s="55">
        <v>4.99</v>
      </c>
      <c r="L492" s="165">
        <v>0.0</v>
      </c>
      <c r="M492" s="72">
        <v>1.0</v>
      </c>
      <c r="N492" s="165">
        <v>4.99</v>
      </c>
    </row>
    <row r="493">
      <c r="A493" s="72" t="s">
        <v>325</v>
      </c>
      <c r="B493" s="72"/>
      <c r="C493" s="72">
        <v>74.0</v>
      </c>
      <c r="D493" s="72" t="s">
        <v>1092</v>
      </c>
      <c r="E493" s="72" t="s">
        <v>682</v>
      </c>
      <c r="F493" s="167">
        <v>36768.0</v>
      </c>
      <c r="G493" s="167">
        <v>43014.0</v>
      </c>
      <c r="H493" s="167">
        <v>43014.0</v>
      </c>
      <c r="I493" s="167">
        <v>43014.0</v>
      </c>
      <c r="J493" s="165">
        <v>4.99</v>
      </c>
      <c r="K493" s="165">
        <v>1.99</v>
      </c>
      <c r="L493" s="165">
        <v>3.0</v>
      </c>
      <c r="M493" s="72">
        <v>1.0</v>
      </c>
      <c r="N493" s="165">
        <v>1.99</v>
      </c>
    </row>
    <row r="494">
      <c r="A494" s="72" t="s">
        <v>325</v>
      </c>
      <c r="B494" s="72" t="s">
        <v>373</v>
      </c>
      <c r="C494" s="72">
        <v>76.0</v>
      </c>
      <c r="D494" s="72" t="s">
        <v>1093</v>
      </c>
      <c r="E494" s="72" t="s">
        <v>682</v>
      </c>
      <c r="F494" s="167">
        <v>36861.0</v>
      </c>
      <c r="G494" s="167">
        <v>40538.0</v>
      </c>
      <c r="H494" s="167">
        <v>40538.0</v>
      </c>
      <c r="I494" s="167">
        <v>40538.0</v>
      </c>
      <c r="J494" s="165">
        <v>9.99</v>
      </c>
      <c r="K494" s="165">
        <v>9.99</v>
      </c>
      <c r="L494" s="165">
        <v>0.0</v>
      </c>
      <c r="M494" s="72">
        <v>45.0</v>
      </c>
      <c r="N494" s="165">
        <v>0.22</v>
      </c>
    </row>
    <row r="495">
      <c r="A495" s="72" t="s">
        <v>325</v>
      </c>
      <c r="B495" s="72"/>
      <c r="C495" s="72">
        <v>23.0</v>
      </c>
      <c r="D495" s="72" t="s">
        <v>1094</v>
      </c>
      <c r="E495" s="72" t="s">
        <v>682</v>
      </c>
      <c r="F495" s="167">
        <v>36938.0</v>
      </c>
      <c r="G495" s="167">
        <v>42784.0</v>
      </c>
      <c r="H495" s="167">
        <v>42784.0</v>
      </c>
      <c r="I495" s="167">
        <v>42784.0</v>
      </c>
      <c r="J495" s="165">
        <v>9.99</v>
      </c>
      <c r="K495" s="165">
        <v>4.99</v>
      </c>
      <c r="L495" s="165">
        <v>5.0</v>
      </c>
      <c r="M495" s="72">
        <v>1.0</v>
      </c>
      <c r="N495" s="165">
        <v>4.99</v>
      </c>
    </row>
    <row r="496">
      <c r="A496" s="72" t="s">
        <v>325</v>
      </c>
      <c r="B496" s="72"/>
      <c r="C496" s="72">
        <v>19.0</v>
      </c>
      <c r="D496" s="72" t="s">
        <v>1095</v>
      </c>
      <c r="E496" s="72" t="s">
        <v>682</v>
      </c>
      <c r="F496" s="167">
        <v>37316.0</v>
      </c>
      <c r="G496" s="167">
        <v>42784.0</v>
      </c>
      <c r="H496" s="167">
        <v>42784.0</v>
      </c>
      <c r="I496" s="167">
        <v>42784.0</v>
      </c>
      <c r="J496" s="165">
        <v>9.99</v>
      </c>
      <c r="K496" s="165">
        <v>4.99</v>
      </c>
      <c r="L496" s="165">
        <v>5.0</v>
      </c>
      <c r="M496" s="72">
        <v>1.0</v>
      </c>
      <c r="N496" s="165">
        <v>4.99</v>
      </c>
    </row>
    <row r="497">
      <c r="A497" s="72" t="s">
        <v>325</v>
      </c>
      <c r="B497" s="72"/>
      <c r="C497" s="72">
        <v>20.0</v>
      </c>
      <c r="D497" s="72" t="s">
        <v>1096</v>
      </c>
      <c r="E497" s="72" t="s">
        <v>682</v>
      </c>
      <c r="F497" s="167">
        <v>37316.0</v>
      </c>
      <c r="G497" s="167">
        <v>42784.0</v>
      </c>
      <c r="H497" s="167">
        <v>42784.0</v>
      </c>
      <c r="I497" s="167">
        <v>42784.0</v>
      </c>
      <c r="J497" s="165">
        <v>9.99</v>
      </c>
      <c r="K497" s="165">
        <v>4.99</v>
      </c>
      <c r="L497" s="165">
        <v>5.0</v>
      </c>
      <c r="M497" s="72">
        <v>1.0</v>
      </c>
      <c r="N497" s="165">
        <v>4.99</v>
      </c>
    </row>
    <row r="498">
      <c r="A498" s="72" t="s">
        <v>325</v>
      </c>
      <c r="B498" s="72" t="s">
        <v>361</v>
      </c>
      <c r="C498" s="72">
        <v>83.0</v>
      </c>
      <c r="D498" s="72" t="s">
        <v>1097</v>
      </c>
      <c r="E498" s="72" t="s">
        <v>645</v>
      </c>
      <c r="F498" s="167">
        <v>37043.0</v>
      </c>
      <c r="G498" s="167">
        <v>43373.0</v>
      </c>
      <c r="H498" s="167">
        <v>43373.0</v>
      </c>
      <c r="I498" s="167">
        <v>43373.0</v>
      </c>
      <c r="J498" s="165">
        <v>2.25</v>
      </c>
      <c r="K498" s="165">
        <v>2.25</v>
      </c>
      <c r="L498" s="165">
        <v>0.0</v>
      </c>
      <c r="M498" s="72">
        <v>1.0</v>
      </c>
      <c r="N498" s="165">
        <v>2.25</v>
      </c>
    </row>
    <row r="499">
      <c r="A499" s="72" t="s">
        <v>325</v>
      </c>
      <c r="B499" s="72"/>
      <c r="C499" s="72">
        <v>130.0</v>
      </c>
      <c r="D499" s="72" t="s">
        <v>1098</v>
      </c>
      <c r="E499" s="72" t="s">
        <v>645</v>
      </c>
      <c r="F499" s="167">
        <v>37148.0</v>
      </c>
      <c r="G499" s="167">
        <v>45224.0</v>
      </c>
      <c r="H499" s="167">
        <v>45227.0</v>
      </c>
      <c r="I499" s="167">
        <v>45229.0</v>
      </c>
      <c r="J499" s="165">
        <v>14.99</v>
      </c>
      <c r="K499" s="165">
        <v>0.99</v>
      </c>
      <c r="L499" s="165">
        <v>14.0</v>
      </c>
      <c r="M499" s="72">
        <v>2.0</v>
      </c>
      <c r="N499" s="165">
        <v>0.5</v>
      </c>
    </row>
    <row r="500">
      <c r="A500" s="72" t="s">
        <v>325</v>
      </c>
      <c r="B500" s="72" t="s">
        <v>345</v>
      </c>
      <c r="C500" s="72">
        <v>84.0</v>
      </c>
      <c r="D500" s="72" t="s">
        <v>1099</v>
      </c>
      <c r="E500" s="72" t="s">
        <v>645</v>
      </c>
      <c r="F500" s="167">
        <v>37155.0</v>
      </c>
      <c r="G500" s="167">
        <v>42619.0</v>
      </c>
      <c r="H500" s="167">
        <v>42633.0</v>
      </c>
      <c r="I500" s="167">
        <v>45180.0</v>
      </c>
      <c r="J500" s="165">
        <v>14.99</v>
      </c>
      <c r="K500" s="165">
        <v>8.99</v>
      </c>
      <c r="L500" s="165">
        <v>6.0</v>
      </c>
      <c r="M500" s="72">
        <v>66.0</v>
      </c>
      <c r="N500" s="165">
        <v>0.14</v>
      </c>
    </row>
    <row r="501">
      <c r="A501" s="72" t="s">
        <v>325</v>
      </c>
      <c r="B501" s="72"/>
      <c r="C501" s="72">
        <v>110.0</v>
      </c>
      <c r="D501" s="72" t="s">
        <v>1100</v>
      </c>
      <c r="E501" s="72" t="s">
        <v>645</v>
      </c>
      <c r="F501" s="167">
        <v>37204.0</v>
      </c>
      <c r="G501" s="167">
        <v>44883.0</v>
      </c>
      <c r="H501" s="167">
        <v>44906.0</v>
      </c>
      <c r="I501" s="167">
        <v>44907.0</v>
      </c>
      <c r="J501" s="165">
        <v>24.99</v>
      </c>
      <c r="K501" s="165">
        <v>14.99</v>
      </c>
      <c r="L501" s="165">
        <v>10.0</v>
      </c>
      <c r="M501" s="72">
        <v>6.0</v>
      </c>
      <c r="N501" s="165">
        <v>2.5</v>
      </c>
    </row>
    <row r="502">
      <c r="A502" s="72" t="s">
        <v>325</v>
      </c>
      <c r="B502" s="72"/>
      <c r="C502" s="72">
        <v>133.0</v>
      </c>
      <c r="D502" s="72" t="s">
        <v>1101</v>
      </c>
      <c r="E502" s="72" t="s">
        <v>645</v>
      </c>
      <c r="F502" s="167">
        <v>37218.0</v>
      </c>
      <c r="G502" s="167">
        <v>44115.0</v>
      </c>
      <c r="H502" s="167">
        <v>44115.0</v>
      </c>
      <c r="I502" s="167">
        <v>44115.0</v>
      </c>
      <c r="J502" s="165">
        <v>11.0</v>
      </c>
      <c r="K502" s="165">
        <v>11.0</v>
      </c>
      <c r="L502" s="165">
        <v>0.0</v>
      </c>
      <c r="M502" s="72">
        <v>1.0</v>
      </c>
      <c r="N502" s="165">
        <v>11.0</v>
      </c>
    </row>
    <row r="503">
      <c r="A503" s="72" t="s">
        <v>325</v>
      </c>
      <c r="B503" s="72"/>
      <c r="C503" s="72">
        <v>89.0</v>
      </c>
      <c r="D503" s="72" t="s">
        <v>1102</v>
      </c>
      <c r="E503" s="72" t="s">
        <v>645</v>
      </c>
      <c r="F503" s="167">
        <v>37232.0</v>
      </c>
      <c r="G503" s="167">
        <v>43685.0</v>
      </c>
      <c r="H503" s="167">
        <v>44488.0</v>
      </c>
      <c r="I503" s="167">
        <v>44489.0</v>
      </c>
      <c r="J503" s="165">
        <v>7.33</v>
      </c>
      <c r="K503" s="165">
        <v>3.67</v>
      </c>
      <c r="L503" s="165">
        <v>3.66</v>
      </c>
      <c r="M503" s="72">
        <v>13.0</v>
      </c>
      <c r="N503" s="165">
        <v>0.28</v>
      </c>
    </row>
    <row r="504">
      <c r="A504" s="72" t="s">
        <v>325</v>
      </c>
      <c r="B504" s="72"/>
      <c r="C504" s="72">
        <v>115.0</v>
      </c>
      <c r="D504" s="72" t="s">
        <v>1103</v>
      </c>
      <c r="E504" s="72" t="s">
        <v>645</v>
      </c>
      <c r="F504" s="167">
        <v>37323.0</v>
      </c>
      <c r="G504" s="167">
        <v>42259.0</v>
      </c>
      <c r="H504" s="167">
        <v>42259.0</v>
      </c>
      <c r="I504" s="167">
        <v>42259.0</v>
      </c>
      <c r="J504" s="165">
        <v>23.99</v>
      </c>
      <c r="K504" s="165">
        <v>23.99</v>
      </c>
      <c r="L504" s="165">
        <v>0.0</v>
      </c>
      <c r="M504" s="72">
        <v>2.0</v>
      </c>
      <c r="N504" s="165">
        <v>12.0</v>
      </c>
    </row>
    <row r="505">
      <c r="A505" s="72" t="s">
        <v>325</v>
      </c>
      <c r="B505" s="72" t="s">
        <v>369</v>
      </c>
      <c r="C505" s="72">
        <v>102.0</v>
      </c>
      <c r="D505" s="72" t="s">
        <v>1104</v>
      </c>
      <c r="E505" s="72" t="s">
        <v>645</v>
      </c>
      <c r="F505" s="167">
        <v>37337.0</v>
      </c>
      <c r="G505" s="167">
        <v>44422.0</v>
      </c>
      <c r="H505" s="167">
        <v>44422.0</v>
      </c>
      <c r="I505" s="167">
        <v>44422.0</v>
      </c>
      <c r="J505" s="165">
        <v>10.0</v>
      </c>
      <c r="K505" s="165">
        <v>10.0</v>
      </c>
      <c r="L505" s="165">
        <v>0.0</v>
      </c>
      <c r="M505" s="72">
        <v>1.0</v>
      </c>
      <c r="N505" s="165">
        <v>10.0</v>
      </c>
    </row>
    <row r="506">
      <c r="A506" s="72" t="s">
        <v>325</v>
      </c>
      <c r="B506" s="72"/>
      <c r="C506" s="72">
        <v>118.0</v>
      </c>
      <c r="D506" s="72" t="s">
        <v>1105</v>
      </c>
      <c r="E506" s="72" t="s">
        <v>645</v>
      </c>
      <c r="F506" s="167">
        <v>37351.0</v>
      </c>
      <c r="G506" s="167">
        <v>42619.0</v>
      </c>
      <c r="H506" s="167">
        <v>42632.0</v>
      </c>
      <c r="I506" s="167">
        <v>45163.0</v>
      </c>
      <c r="J506" s="165">
        <v>9.99</v>
      </c>
      <c r="K506" s="165">
        <v>5.99</v>
      </c>
      <c r="L506" s="165">
        <v>4.0</v>
      </c>
      <c r="M506" s="72">
        <v>8.0</v>
      </c>
      <c r="N506" s="165">
        <v>0.75</v>
      </c>
    </row>
    <row r="507">
      <c r="A507" s="72" t="s">
        <v>325</v>
      </c>
      <c r="B507" s="72"/>
      <c r="C507" s="72">
        <v>94.0</v>
      </c>
      <c r="D507" s="72" t="s">
        <v>1106</v>
      </c>
      <c r="E507" s="72" t="s">
        <v>645</v>
      </c>
      <c r="F507" s="167">
        <v>37400.0</v>
      </c>
      <c r="G507" s="167">
        <v>43377.0</v>
      </c>
      <c r="H507" s="167">
        <v>43377.0</v>
      </c>
      <c r="I507" s="167">
        <v>43377.0</v>
      </c>
      <c r="J507" s="165">
        <v>15.0</v>
      </c>
      <c r="K507" s="165">
        <v>7.5</v>
      </c>
      <c r="L507" s="165">
        <v>7.5</v>
      </c>
      <c r="M507" s="72">
        <v>1.0</v>
      </c>
      <c r="N507" s="165">
        <v>7.5</v>
      </c>
    </row>
    <row r="508">
      <c r="A508" s="72" t="s">
        <v>325</v>
      </c>
      <c r="B508" s="72"/>
      <c r="C508" s="72">
        <v>108.0</v>
      </c>
      <c r="D508" s="72" t="s">
        <v>1107</v>
      </c>
      <c r="E508" s="72" t="s">
        <v>645</v>
      </c>
      <c r="F508" s="167">
        <v>37575.0</v>
      </c>
      <c r="G508" s="167">
        <v>43786.0</v>
      </c>
      <c r="H508" s="167">
        <v>43952.0</v>
      </c>
      <c r="I508" s="167">
        <v>43956.0</v>
      </c>
      <c r="J508" s="165">
        <v>9.25</v>
      </c>
      <c r="K508" s="165">
        <v>3.03</v>
      </c>
      <c r="L508" s="165">
        <v>6.22</v>
      </c>
      <c r="M508" s="72">
        <v>35.0</v>
      </c>
      <c r="N508" s="165">
        <v>0.09</v>
      </c>
    </row>
    <row r="509">
      <c r="A509" s="72" t="s">
        <v>325</v>
      </c>
      <c r="B509" s="72"/>
      <c r="C509" s="72">
        <v>77.0</v>
      </c>
      <c r="D509" s="72" t="s">
        <v>1108</v>
      </c>
      <c r="E509" s="72" t="s">
        <v>645</v>
      </c>
      <c r="F509" s="167">
        <v>37694.0</v>
      </c>
      <c r="G509" s="167">
        <v>43115.0</v>
      </c>
      <c r="H509" s="167">
        <v>43124.0</v>
      </c>
      <c r="I509" s="167">
        <v>43124.0</v>
      </c>
      <c r="J509" s="165">
        <v>9.99</v>
      </c>
      <c r="K509" s="165">
        <v>3.99</v>
      </c>
      <c r="L509" s="165">
        <v>6.0</v>
      </c>
      <c r="M509" s="72">
        <v>2.0</v>
      </c>
      <c r="N509" s="165">
        <v>2.0</v>
      </c>
    </row>
    <row r="510">
      <c r="A510" s="72" t="s">
        <v>325</v>
      </c>
      <c r="B510" s="72"/>
      <c r="C510" s="72">
        <v>90.0</v>
      </c>
      <c r="D510" s="72" t="s">
        <v>1109</v>
      </c>
      <c r="E510" s="72" t="s">
        <v>645</v>
      </c>
      <c r="F510" s="167">
        <v>37708.0</v>
      </c>
      <c r="G510" s="167">
        <v>43685.0</v>
      </c>
      <c r="H510" s="167">
        <v>44489.0</v>
      </c>
      <c r="I510" s="167">
        <v>44494.0</v>
      </c>
      <c r="J510" s="165">
        <v>7.33</v>
      </c>
      <c r="K510" s="165">
        <v>3.66</v>
      </c>
      <c r="L510" s="165">
        <v>3.67</v>
      </c>
      <c r="M510" s="72">
        <v>2.0</v>
      </c>
      <c r="N510" s="165">
        <v>1.83</v>
      </c>
    </row>
    <row r="511">
      <c r="A511" s="72" t="s">
        <v>325</v>
      </c>
      <c r="B511" s="72"/>
      <c r="C511" s="72">
        <v>134.0</v>
      </c>
      <c r="D511" s="72" t="s">
        <v>1110</v>
      </c>
      <c r="E511" s="72" t="s">
        <v>645</v>
      </c>
      <c r="F511" s="167">
        <v>37764.0</v>
      </c>
      <c r="G511" s="167">
        <v>44115.0</v>
      </c>
      <c r="H511" s="167">
        <v>44115.0</v>
      </c>
      <c r="I511" s="167">
        <v>44115.0</v>
      </c>
      <c r="J511" s="165">
        <v>11.0</v>
      </c>
      <c r="K511" s="165">
        <v>11.0</v>
      </c>
      <c r="L511" s="165">
        <v>0.0</v>
      </c>
      <c r="M511" s="72">
        <v>1.0</v>
      </c>
      <c r="N511" s="165">
        <v>11.0</v>
      </c>
    </row>
    <row r="512">
      <c r="A512" s="72" t="s">
        <v>325</v>
      </c>
      <c r="B512" s="72"/>
      <c r="C512" s="72">
        <v>85.0</v>
      </c>
      <c r="D512" s="72" t="s">
        <v>1111</v>
      </c>
      <c r="E512" s="72" t="s">
        <v>645</v>
      </c>
      <c r="F512" s="167">
        <v>37876.0</v>
      </c>
      <c r="G512" s="167">
        <v>42650.0</v>
      </c>
      <c r="H512" s="167">
        <v>45181.0</v>
      </c>
      <c r="I512" s="167">
        <v>45182.0</v>
      </c>
      <c r="J512" s="165">
        <v>14.99</v>
      </c>
      <c r="K512" s="165">
        <v>14.99</v>
      </c>
      <c r="L512" s="165">
        <v>0.0</v>
      </c>
      <c r="M512" s="72">
        <v>3.0</v>
      </c>
      <c r="N512" s="165">
        <v>5.0</v>
      </c>
    </row>
    <row r="513">
      <c r="A513" s="72" t="s">
        <v>325</v>
      </c>
      <c r="B513" s="72"/>
      <c r="C513" s="72">
        <v>138.0</v>
      </c>
      <c r="D513" s="72" t="s">
        <v>1112</v>
      </c>
      <c r="E513" s="72" t="s">
        <v>645</v>
      </c>
      <c r="F513" s="167">
        <v>38019.0</v>
      </c>
      <c r="G513" s="167">
        <v>41578.0</v>
      </c>
      <c r="H513" s="167">
        <v>41578.0</v>
      </c>
      <c r="I513" s="167">
        <v>41578.0</v>
      </c>
      <c r="J513" s="165">
        <v>9.99</v>
      </c>
      <c r="K513" s="165">
        <v>9.99</v>
      </c>
      <c r="L513" s="165">
        <v>0.0</v>
      </c>
      <c r="M513" s="72">
        <v>30.0</v>
      </c>
      <c r="N513" s="165">
        <v>0.33</v>
      </c>
    </row>
    <row r="514">
      <c r="A514" s="72" t="s">
        <v>325</v>
      </c>
      <c r="B514" s="72"/>
      <c r="C514" s="72">
        <v>95.0</v>
      </c>
      <c r="D514" s="72" t="s">
        <v>1113</v>
      </c>
      <c r="E514" s="72" t="s">
        <v>645</v>
      </c>
      <c r="F514" s="167">
        <v>38037.0</v>
      </c>
      <c r="G514" s="167">
        <v>43377.0</v>
      </c>
      <c r="H514" s="167">
        <v>43377.0</v>
      </c>
      <c r="I514" s="167">
        <v>43377.0</v>
      </c>
      <c r="J514" s="165">
        <v>14.99</v>
      </c>
      <c r="K514" s="165">
        <v>7.49</v>
      </c>
      <c r="L514" s="165">
        <v>7.5</v>
      </c>
      <c r="M514" s="72">
        <v>1.0</v>
      </c>
      <c r="N514" s="165">
        <v>7.49</v>
      </c>
    </row>
    <row r="515">
      <c r="A515" s="72" t="s">
        <v>325</v>
      </c>
      <c r="B515" s="72"/>
      <c r="C515" s="72">
        <v>116.0</v>
      </c>
      <c r="D515" s="72" t="s">
        <v>1114</v>
      </c>
      <c r="E515" s="72" t="s">
        <v>645</v>
      </c>
      <c r="F515" s="167">
        <v>38415.0</v>
      </c>
      <c r="G515" s="167">
        <v>42259.0</v>
      </c>
      <c r="H515" s="167">
        <v>42260.0</v>
      </c>
      <c r="I515" s="167">
        <v>42263.0</v>
      </c>
      <c r="J515" s="165">
        <v>22.99</v>
      </c>
      <c r="K515" s="165">
        <v>22.99</v>
      </c>
      <c r="L515" s="165">
        <v>0.0</v>
      </c>
      <c r="M515" s="72">
        <v>2.0</v>
      </c>
      <c r="N515" s="165">
        <v>11.5</v>
      </c>
    </row>
    <row r="516">
      <c r="A516" s="72" t="s">
        <v>325</v>
      </c>
      <c r="B516" s="72"/>
      <c r="C516" s="72">
        <v>91.0</v>
      </c>
      <c r="D516" s="72" t="s">
        <v>1115</v>
      </c>
      <c r="E516" s="72" t="s">
        <v>645</v>
      </c>
      <c r="F516" s="167">
        <v>38436.0</v>
      </c>
      <c r="G516" s="167">
        <v>43685.0</v>
      </c>
      <c r="H516" s="167">
        <v>44494.0</v>
      </c>
      <c r="I516" s="167">
        <v>44494.0</v>
      </c>
      <c r="J516" s="165">
        <v>7.33</v>
      </c>
      <c r="K516" s="165">
        <v>3.66</v>
      </c>
      <c r="L516" s="165">
        <v>3.67</v>
      </c>
      <c r="M516" s="72">
        <v>2.0</v>
      </c>
      <c r="N516" s="165">
        <v>1.83</v>
      </c>
    </row>
    <row r="517">
      <c r="A517" s="72" t="s">
        <v>325</v>
      </c>
      <c r="B517" s="72"/>
      <c r="C517" s="72">
        <v>131.0</v>
      </c>
      <c r="D517" s="72" t="s">
        <v>1116</v>
      </c>
      <c r="E517" s="72" t="s">
        <v>645</v>
      </c>
      <c r="F517" s="167">
        <v>38660.0</v>
      </c>
      <c r="G517" s="167">
        <v>43727.0</v>
      </c>
      <c r="H517" s="167">
        <v>43734.0</v>
      </c>
      <c r="I517" s="167">
        <v>43740.0</v>
      </c>
      <c r="J517" s="165">
        <v>19.99</v>
      </c>
      <c r="K517" s="165">
        <v>7.99</v>
      </c>
      <c r="L517" s="165">
        <v>12.0</v>
      </c>
      <c r="M517" s="72">
        <v>17.0</v>
      </c>
      <c r="N517" s="165">
        <v>0.47</v>
      </c>
    </row>
    <row r="518">
      <c r="A518" s="72" t="s">
        <v>325</v>
      </c>
      <c r="B518" s="72" t="s">
        <v>347</v>
      </c>
      <c r="C518" s="72">
        <v>101.0</v>
      </c>
      <c r="D518" s="72" t="s">
        <v>1117</v>
      </c>
      <c r="E518" s="72" t="s">
        <v>645</v>
      </c>
      <c r="F518" s="167">
        <v>38672.0</v>
      </c>
      <c r="G518" s="167">
        <v>43275.0</v>
      </c>
      <c r="H518" s="167">
        <v>43407.0</v>
      </c>
      <c r="I518" s="167">
        <v>43407.0</v>
      </c>
      <c r="J518" s="165">
        <v>14.99</v>
      </c>
      <c r="K518" s="165">
        <v>4.99</v>
      </c>
      <c r="L518" s="165">
        <v>10.0</v>
      </c>
      <c r="M518" s="72">
        <v>2.0</v>
      </c>
      <c r="N518" s="165">
        <v>2.5</v>
      </c>
    </row>
    <row r="519">
      <c r="A519" s="72" t="s">
        <v>325</v>
      </c>
      <c r="B519" s="72"/>
      <c r="C519" s="72">
        <v>132.0</v>
      </c>
      <c r="D519" s="72" t="s">
        <v>1118</v>
      </c>
      <c r="E519" s="72" t="s">
        <v>645</v>
      </c>
      <c r="F519" s="167">
        <v>38765.0</v>
      </c>
      <c r="G519" s="167">
        <v>44422.0</v>
      </c>
      <c r="H519" s="167">
        <v>44422.0</v>
      </c>
      <c r="I519" s="167">
        <v>44422.0</v>
      </c>
      <c r="J519" s="165">
        <v>9.99</v>
      </c>
      <c r="K519" s="165">
        <v>9.99</v>
      </c>
      <c r="L519" s="165">
        <v>0.0</v>
      </c>
      <c r="M519" s="72">
        <v>1.0</v>
      </c>
      <c r="N519" s="165">
        <v>9.99</v>
      </c>
    </row>
    <row r="520">
      <c r="A520" s="72" t="s">
        <v>325</v>
      </c>
      <c r="B520" s="72"/>
      <c r="C520" s="72">
        <v>109.0</v>
      </c>
      <c r="D520" s="72" t="s">
        <v>1119</v>
      </c>
      <c r="E520" s="72" t="s">
        <v>645</v>
      </c>
      <c r="F520" s="167">
        <v>38989.0</v>
      </c>
      <c r="G520" s="167">
        <v>43786.0</v>
      </c>
      <c r="H520" s="167">
        <v>43958.0</v>
      </c>
      <c r="I520" s="167">
        <v>43964.0</v>
      </c>
      <c r="J520" s="165">
        <v>9.25</v>
      </c>
      <c r="K520" s="165">
        <v>3.02</v>
      </c>
      <c r="L520" s="165">
        <v>6.23</v>
      </c>
      <c r="M520" s="72">
        <v>30.0</v>
      </c>
      <c r="N520" s="165">
        <v>0.1</v>
      </c>
    </row>
    <row r="521">
      <c r="A521" s="72" t="s">
        <v>325</v>
      </c>
      <c r="B521" s="72" t="s">
        <v>336</v>
      </c>
      <c r="C521" s="72">
        <v>117.0</v>
      </c>
      <c r="D521" s="72" t="s">
        <v>1120</v>
      </c>
      <c r="E521" s="72" t="s">
        <v>645</v>
      </c>
      <c r="F521" s="167">
        <v>39122.0</v>
      </c>
      <c r="G521" s="167">
        <v>41379.0</v>
      </c>
      <c r="H521" s="167">
        <v>41379.0</v>
      </c>
      <c r="I521" s="167">
        <v>44773.0</v>
      </c>
      <c r="J521" s="165">
        <v>19.99</v>
      </c>
      <c r="K521" s="165">
        <v>13.99</v>
      </c>
      <c r="L521" s="165">
        <v>6.0</v>
      </c>
      <c r="M521" s="72">
        <v>45.0</v>
      </c>
      <c r="N521" s="165">
        <v>0.31</v>
      </c>
    </row>
    <row r="522">
      <c r="A522" s="72" t="s">
        <v>325</v>
      </c>
      <c r="B522" s="72"/>
      <c r="C522" s="72">
        <v>153.0</v>
      </c>
      <c r="D522" s="72" t="s">
        <v>1121</v>
      </c>
      <c r="E522" s="72" t="s">
        <v>37</v>
      </c>
      <c r="F522" s="167">
        <v>38842.0</v>
      </c>
      <c r="G522" s="167">
        <v>42778.0</v>
      </c>
      <c r="H522" s="167">
        <v>42778.0</v>
      </c>
      <c r="I522" s="167">
        <v>42778.0</v>
      </c>
      <c r="J522" s="165">
        <v>7.99</v>
      </c>
      <c r="K522" s="165">
        <v>7.99</v>
      </c>
      <c r="L522" s="165">
        <v>0.0</v>
      </c>
      <c r="M522" s="72">
        <v>1.0</v>
      </c>
      <c r="N522" s="165">
        <v>7.99</v>
      </c>
    </row>
    <row r="523">
      <c r="A523" s="72" t="s">
        <v>325</v>
      </c>
      <c r="B523" s="72"/>
      <c r="C523" s="72">
        <v>173.0</v>
      </c>
      <c r="D523" s="72" t="s">
        <v>1122</v>
      </c>
      <c r="E523" s="72" t="s">
        <v>37</v>
      </c>
      <c r="F523" s="167">
        <v>38891.0</v>
      </c>
      <c r="G523" s="167">
        <v>42945.0</v>
      </c>
      <c r="H523" s="167">
        <v>42945.0</v>
      </c>
      <c r="I523" s="167">
        <v>45351.0</v>
      </c>
      <c r="J523" s="165">
        <v>14.99</v>
      </c>
      <c r="K523" s="165">
        <v>14.99</v>
      </c>
      <c r="L523" s="165">
        <v>0.0</v>
      </c>
      <c r="M523" s="72">
        <v>7.0</v>
      </c>
      <c r="N523" s="165">
        <v>2.14</v>
      </c>
    </row>
    <row r="524">
      <c r="A524" s="72" t="s">
        <v>325</v>
      </c>
      <c r="B524" s="72"/>
      <c r="C524" s="72">
        <v>178.0</v>
      </c>
      <c r="D524" s="72" t="s">
        <v>1123</v>
      </c>
      <c r="E524" s="72" t="s">
        <v>37</v>
      </c>
      <c r="F524" s="167">
        <v>38975.0</v>
      </c>
      <c r="G524" s="167">
        <v>44422.0</v>
      </c>
      <c r="H524" s="167">
        <v>44422.0</v>
      </c>
      <c r="I524" s="167">
        <v>44422.0</v>
      </c>
      <c r="J524" s="165">
        <v>19.99</v>
      </c>
      <c r="K524" s="165">
        <v>19.99</v>
      </c>
      <c r="L524" s="165">
        <v>0.0</v>
      </c>
      <c r="M524" s="72">
        <v>4.0</v>
      </c>
      <c r="N524" s="165">
        <v>5.0</v>
      </c>
    </row>
    <row r="525">
      <c r="A525" s="72" t="s">
        <v>325</v>
      </c>
      <c r="B525" s="72"/>
      <c r="C525" s="72">
        <v>156.0</v>
      </c>
      <c r="D525" s="72" t="s">
        <v>1124</v>
      </c>
      <c r="E525" s="72" t="s">
        <v>37</v>
      </c>
      <c r="F525" s="167">
        <v>39353.0</v>
      </c>
      <c r="G525" s="167">
        <v>43373.0</v>
      </c>
      <c r="H525" s="167">
        <v>43373.0</v>
      </c>
      <c r="I525" s="167">
        <v>43373.0</v>
      </c>
      <c r="J525" s="165">
        <v>2.24</v>
      </c>
      <c r="K525" s="165">
        <v>2.24</v>
      </c>
      <c r="L525" s="165">
        <v>0.0</v>
      </c>
      <c r="M525" s="72">
        <v>1.0</v>
      </c>
      <c r="N525" s="165">
        <v>2.24</v>
      </c>
    </row>
    <row r="526">
      <c r="A526" s="72" t="s">
        <v>325</v>
      </c>
      <c r="B526" s="72"/>
      <c r="C526" s="72">
        <v>160.0</v>
      </c>
      <c r="D526" s="72" t="s">
        <v>1125</v>
      </c>
      <c r="E526" s="72" t="s">
        <v>37</v>
      </c>
      <c r="F526" s="167">
        <v>39486.0</v>
      </c>
      <c r="G526" s="167">
        <v>42784.0</v>
      </c>
      <c r="H526" s="167">
        <v>42784.0</v>
      </c>
      <c r="I526" s="167">
        <v>42784.0</v>
      </c>
      <c r="J526" s="165">
        <v>9.99</v>
      </c>
      <c r="K526" s="165">
        <v>4.99</v>
      </c>
      <c r="L526" s="165">
        <v>5.0</v>
      </c>
      <c r="M526" s="72">
        <v>1.0</v>
      </c>
      <c r="N526" s="165">
        <v>4.99</v>
      </c>
    </row>
    <row r="527">
      <c r="A527" s="72" t="s">
        <v>325</v>
      </c>
      <c r="B527" s="72"/>
      <c r="C527" s="72">
        <v>161.0</v>
      </c>
      <c r="D527" s="72" t="s">
        <v>1126</v>
      </c>
      <c r="E527" s="72" t="s">
        <v>37</v>
      </c>
      <c r="F527" s="167">
        <v>39486.0</v>
      </c>
      <c r="G527" s="167">
        <v>42784.0</v>
      </c>
      <c r="H527" s="167">
        <v>42784.0</v>
      </c>
      <c r="I527" s="167">
        <v>42784.0</v>
      </c>
      <c r="J527" s="55">
        <v>9.99</v>
      </c>
      <c r="K527" s="55">
        <v>4.99</v>
      </c>
      <c r="L527" s="165">
        <v>5.0</v>
      </c>
      <c r="M527" s="72">
        <v>1.0</v>
      </c>
      <c r="N527" s="165">
        <v>4.99</v>
      </c>
    </row>
    <row r="528">
      <c r="A528" s="72" t="s">
        <v>325</v>
      </c>
      <c r="B528" s="72"/>
      <c r="C528" s="72">
        <v>155.0</v>
      </c>
      <c r="D528" s="72" t="s">
        <v>1127</v>
      </c>
      <c r="E528" s="72" t="s">
        <v>37</v>
      </c>
      <c r="F528" s="167">
        <v>39493.0</v>
      </c>
      <c r="G528" s="167">
        <v>42279.0</v>
      </c>
      <c r="H528" s="167">
        <v>42279.0</v>
      </c>
      <c r="I528" s="167">
        <v>42279.0</v>
      </c>
      <c r="J528" s="165">
        <v>14.99</v>
      </c>
      <c r="K528" s="165">
        <v>4.49</v>
      </c>
      <c r="L528" s="165">
        <v>10.5</v>
      </c>
      <c r="M528" s="72">
        <v>1.0</v>
      </c>
      <c r="N528" s="165">
        <v>4.49</v>
      </c>
    </row>
    <row r="529">
      <c r="A529" s="72" t="s">
        <v>325</v>
      </c>
      <c r="B529" s="72" t="s">
        <v>335</v>
      </c>
      <c r="C529" s="72">
        <v>159.0</v>
      </c>
      <c r="D529" s="72" t="s">
        <v>1128</v>
      </c>
      <c r="E529" s="72" t="s">
        <v>37</v>
      </c>
      <c r="F529" s="167">
        <v>39610.0</v>
      </c>
      <c r="G529" s="167">
        <v>43014.0</v>
      </c>
      <c r="H529" s="167">
        <v>43014.0</v>
      </c>
      <c r="I529" s="167">
        <v>43014.0</v>
      </c>
      <c r="J529" s="165">
        <v>7.99</v>
      </c>
      <c r="K529" s="165">
        <v>2.99</v>
      </c>
      <c r="L529" s="165">
        <v>5.0</v>
      </c>
      <c r="M529" s="72">
        <v>1.0</v>
      </c>
      <c r="N529" s="165">
        <v>2.99</v>
      </c>
    </row>
    <row r="530">
      <c r="A530" s="72" t="s">
        <v>325</v>
      </c>
      <c r="B530" s="72" t="s">
        <v>352</v>
      </c>
      <c r="C530" s="72">
        <v>175.0</v>
      </c>
      <c r="D530" s="72" t="s">
        <v>1129</v>
      </c>
      <c r="E530" s="72" t="s">
        <v>37</v>
      </c>
      <c r="F530" s="167">
        <v>39990.0</v>
      </c>
      <c r="G530" s="167">
        <v>43373.0</v>
      </c>
      <c r="H530" s="167">
        <v>43373.0</v>
      </c>
      <c r="I530" s="167">
        <v>43373.0</v>
      </c>
      <c r="J530" s="165">
        <v>9.99</v>
      </c>
      <c r="K530" s="165">
        <v>9.99</v>
      </c>
      <c r="L530" s="165">
        <v>0.0</v>
      </c>
      <c r="M530" s="72">
        <v>1.0</v>
      </c>
      <c r="N530" s="165">
        <v>9.99</v>
      </c>
    </row>
    <row r="531">
      <c r="A531" s="72" t="s">
        <v>325</v>
      </c>
      <c r="B531" s="72" t="s">
        <v>370</v>
      </c>
      <c r="C531" s="72">
        <v>158.0</v>
      </c>
      <c r="D531" s="72" t="s">
        <v>1130</v>
      </c>
      <c r="E531" s="72" t="s">
        <v>37</v>
      </c>
      <c r="F531" s="167">
        <v>40269.0</v>
      </c>
      <c r="G531" s="167">
        <v>42321.0</v>
      </c>
      <c r="H531" s="167">
        <v>42321.0</v>
      </c>
      <c r="I531" s="167">
        <v>42321.0</v>
      </c>
      <c r="J531" s="165">
        <v>14.99</v>
      </c>
      <c r="K531" s="165">
        <v>14.99</v>
      </c>
      <c r="L531" s="165">
        <v>0.0</v>
      </c>
      <c r="M531" s="72">
        <v>1.0</v>
      </c>
      <c r="N531" s="165">
        <v>14.99</v>
      </c>
    </row>
    <row r="532">
      <c r="A532" s="72" t="s">
        <v>325</v>
      </c>
      <c r="B532" s="72"/>
      <c r="C532" s="72">
        <v>174.0</v>
      </c>
      <c r="D532" s="72" t="s">
        <v>1131</v>
      </c>
      <c r="E532" s="72" t="s">
        <v>37</v>
      </c>
      <c r="F532" s="167">
        <v>40347.0</v>
      </c>
      <c r="G532" s="167">
        <v>44292.0</v>
      </c>
      <c r="H532" s="167">
        <v>44292.0</v>
      </c>
      <c r="I532" s="167">
        <v>44292.0</v>
      </c>
      <c r="J532" s="165">
        <v>8.0</v>
      </c>
      <c r="K532" s="165">
        <v>8.0</v>
      </c>
      <c r="L532" s="165">
        <v>0.0</v>
      </c>
      <c r="M532" s="72">
        <v>1.0</v>
      </c>
      <c r="N532" s="165">
        <v>8.0</v>
      </c>
    </row>
    <row r="533">
      <c r="A533" s="72" t="s">
        <v>325</v>
      </c>
      <c r="B533" s="72"/>
      <c r="C533" s="72">
        <v>169.0</v>
      </c>
      <c r="D533" s="72" t="s">
        <v>1132</v>
      </c>
      <c r="E533" s="72" t="s">
        <v>37</v>
      </c>
      <c r="F533" s="167">
        <v>40431.0</v>
      </c>
      <c r="G533" s="167">
        <v>43786.0</v>
      </c>
      <c r="H533" s="167">
        <v>43965.0</v>
      </c>
      <c r="I533" s="167">
        <v>43965.0</v>
      </c>
      <c r="J533" s="165">
        <v>9.24</v>
      </c>
      <c r="K533" s="165">
        <v>3.02</v>
      </c>
      <c r="L533" s="165">
        <v>6.22</v>
      </c>
      <c r="M533" s="72">
        <v>1.0</v>
      </c>
      <c r="N533" s="165">
        <v>3.02</v>
      </c>
    </row>
    <row r="534">
      <c r="A534" s="72" t="s">
        <v>325</v>
      </c>
      <c r="B534" s="72"/>
      <c r="C534" s="72">
        <v>163.0</v>
      </c>
      <c r="D534" s="72" t="s">
        <v>1133</v>
      </c>
      <c r="E534" s="72" t="s">
        <v>37</v>
      </c>
      <c r="F534" s="167">
        <v>40655.0</v>
      </c>
      <c r="G534" s="167">
        <v>42784.0</v>
      </c>
      <c r="H534" s="167">
        <v>42784.0</v>
      </c>
      <c r="I534" s="167">
        <v>42784.0</v>
      </c>
      <c r="J534" s="165">
        <v>14.99</v>
      </c>
      <c r="K534" s="165">
        <v>7.49</v>
      </c>
      <c r="L534" s="165">
        <v>7.5</v>
      </c>
      <c r="M534" s="72">
        <v>1.0</v>
      </c>
      <c r="N534" s="165">
        <v>7.49</v>
      </c>
    </row>
    <row r="535">
      <c r="A535" s="72" t="s">
        <v>325</v>
      </c>
      <c r="B535" s="72"/>
      <c r="C535" s="72">
        <v>162.0</v>
      </c>
      <c r="D535" s="72" t="s">
        <v>1134</v>
      </c>
      <c r="E535" s="72" t="s">
        <v>37</v>
      </c>
      <c r="F535" s="167">
        <v>41178.0</v>
      </c>
      <c r="G535" s="167">
        <v>42784.0</v>
      </c>
      <c r="H535" s="167">
        <v>42784.0</v>
      </c>
      <c r="I535" s="167">
        <v>42784.0</v>
      </c>
      <c r="J535" s="165">
        <v>9.99</v>
      </c>
      <c r="K535" s="165">
        <v>4.99</v>
      </c>
      <c r="L535" s="165">
        <v>5.0</v>
      </c>
      <c r="M535" s="72">
        <v>1.0</v>
      </c>
      <c r="N535" s="165">
        <v>4.99</v>
      </c>
    </row>
    <row r="536">
      <c r="A536" s="72" t="s">
        <v>325</v>
      </c>
      <c r="B536" s="72"/>
      <c r="C536" s="72">
        <v>418.0</v>
      </c>
      <c r="D536" s="72" t="s">
        <v>1135</v>
      </c>
      <c r="E536" s="72" t="s">
        <v>649</v>
      </c>
      <c r="F536" s="167">
        <v>39164.0</v>
      </c>
      <c r="G536" s="167">
        <v>44378.0</v>
      </c>
      <c r="H536" s="167">
        <v>44378.0</v>
      </c>
      <c r="I536" s="167">
        <v>44378.0</v>
      </c>
      <c r="J536" s="165">
        <v>29.99</v>
      </c>
      <c r="K536" s="165">
        <v>0.0</v>
      </c>
      <c r="L536" s="165">
        <v>29.99</v>
      </c>
      <c r="M536" s="72">
        <v>1.0</v>
      </c>
      <c r="N536" s="165">
        <v>0.0</v>
      </c>
    </row>
    <row r="537">
      <c r="A537" s="72" t="s">
        <v>325</v>
      </c>
      <c r="B537" s="72"/>
      <c r="C537" s="72">
        <v>226.0</v>
      </c>
      <c r="D537" s="72" t="s">
        <v>1136</v>
      </c>
      <c r="E537" s="72" t="s">
        <v>649</v>
      </c>
      <c r="F537" s="167">
        <v>39486.0</v>
      </c>
      <c r="G537" s="167">
        <v>43685.0</v>
      </c>
      <c r="H537" s="167">
        <v>43685.0</v>
      </c>
      <c r="I537" s="167">
        <v>43685.0</v>
      </c>
      <c r="J537" s="165">
        <v>22.99</v>
      </c>
      <c r="K537" s="165">
        <v>10.99</v>
      </c>
      <c r="L537" s="165">
        <v>12.0</v>
      </c>
      <c r="M537" s="72">
        <v>1.0</v>
      </c>
      <c r="N537" s="165">
        <v>10.99</v>
      </c>
    </row>
    <row r="538">
      <c r="A538" s="72" t="s">
        <v>325</v>
      </c>
      <c r="B538" s="72"/>
      <c r="C538" s="72">
        <v>297.0</v>
      </c>
      <c r="D538" s="72" t="s">
        <v>1137</v>
      </c>
      <c r="E538" s="72" t="s">
        <v>649</v>
      </c>
      <c r="F538" s="167">
        <v>39611.0</v>
      </c>
      <c r="G538" s="167">
        <v>44285.0</v>
      </c>
      <c r="H538" s="167">
        <v>44285.0</v>
      </c>
      <c r="I538" s="167">
        <v>44285.0</v>
      </c>
      <c r="J538" s="165">
        <v>14.99</v>
      </c>
      <c r="K538" s="165">
        <v>14.99</v>
      </c>
      <c r="L538" s="165">
        <v>0.0</v>
      </c>
      <c r="M538" s="72">
        <v>1.0</v>
      </c>
      <c r="N538" s="165">
        <v>14.99</v>
      </c>
    </row>
    <row r="539">
      <c r="A539" s="72" t="s">
        <v>325</v>
      </c>
      <c r="B539" s="72"/>
      <c r="C539" s="72">
        <v>358.0</v>
      </c>
      <c r="D539" s="72" t="s">
        <v>1138</v>
      </c>
      <c r="E539" s="72" t="s">
        <v>649</v>
      </c>
      <c r="F539" s="167">
        <v>39653.0</v>
      </c>
      <c r="G539" s="167">
        <v>44285.0</v>
      </c>
      <c r="H539" s="167">
        <v>44285.0</v>
      </c>
      <c r="I539" s="167">
        <v>44285.0</v>
      </c>
      <c r="J539" s="165">
        <v>12.99</v>
      </c>
      <c r="K539" s="165">
        <v>12.99</v>
      </c>
      <c r="L539" s="165">
        <v>0.0</v>
      </c>
      <c r="M539" s="72">
        <v>1.0</v>
      </c>
      <c r="N539" s="165">
        <v>12.99</v>
      </c>
    </row>
    <row r="540">
      <c r="A540" s="72" t="s">
        <v>325</v>
      </c>
      <c r="B540" s="72"/>
      <c r="C540" s="72">
        <v>339.0</v>
      </c>
      <c r="D540" s="72" t="s">
        <v>1139</v>
      </c>
      <c r="E540" s="72" t="s">
        <v>649</v>
      </c>
      <c r="F540" s="167">
        <v>39885.0</v>
      </c>
      <c r="G540" s="167">
        <v>44510.0</v>
      </c>
      <c r="H540" s="167">
        <v>45209.0</v>
      </c>
      <c r="I540" s="167">
        <v>45227.0</v>
      </c>
      <c r="J540" s="165">
        <v>19.99</v>
      </c>
      <c r="K540" s="165">
        <v>7.99</v>
      </c>
      <c r="L540" s="165">
        <v>12.0</v>
      </c>
      <c r="M540" s="72">
        <v>12.0</v>
      </c>
      <c r="N540" s="165">
        <v>0.67</v>
      </c>
    </row>
    <row r="541">
      <c r="A541" s="72" t="s">
        <v>325</v>
      </c>
      <c r="B541" s="72"/>
      <c r="C541" s="72">
        <v>412.0</v>
      </c>
      <c r="D541" s="72" t="s">
        <v>1140</v>
      </c>
      <c r="E541" s="72" t="s">
        <v>649</v>
      </c>
      <c r="F541" s="167">
        <v>39955.0</v>
      </c>
      <c r="G541" s="167">
        <v>44115.0</v>
      </c>
      <c r="H541" s="167">
        <v>44425.0</v>
      </c>
      <c r="I541" s="167">
        <v>44425.0</v>
      </c>
      <c r="J541" s="165">
        <v>19.99</v>
      </c>
      <c r="K541" s="165">
        <v>2.0</v>
      </c>
      <c r="L541" s="165">
        <v>17.99</v>
      </c>
      <c r="M541" s="72">
        <v>12.0</v>
      </c>
      <c r="N541" s="165">
        <v>0.17</v>
      </c>
    </row>
    <row r="542">
      <c r="A542" s="72" t="s">
        <v>325</v>
      </c>
      <c r="B542" s="72"/>
      <c r="C542" s="72">
        <v>325.0</v>
      </c>
      <c r="D542" s="72" t="s">
        <v>1141</v>
      </c>
      <c r="E542" s="72" t="s">
        <v>649</v>
      </c>
      <c r="F542" s="167">
        <v>40109.0</v>
      </c>
      <c r="G542" s="167">
        <v>40192.0</v>
      </c>
      <c r="H542" s="167">
        <v>40192.0</v>
      </c>
      <c r="I542" s="167">
        <v>44718.0</v>
      </c>
      <c r="J542" s="165">
        <v>19.99</v>
      </c>
      <c r="K542" s="165">
        <v>0.5</v>
      </c>
      <c r="L542" s="165">
        <v>19.49</v>
      </c>
      <c r="M542" s="72">
        <v>30.0</v>
      </c>
      <c r="N542" s="165">
        <v>0.02</v>
      </c>
    </row>
    <row r="543">
      <c r="A543" s="72" t="s">
        <v>325</v>
      </c>
      <c r="B543" s="72" t="s">
        <v>359</v>
      </c>
      <c r="C543" s="72">
        <v>322.0</v>
      </c>
      <c r="D543" s="72" t="s">
        <v>1142</v>
      </c>
      <c r="E543" s="72" t="s">
        <v>649</v>
      </c>
      <c r="F543" s="167">
        <v>40157.0</v>
      </c>
      <c r="G543" s="167">
        <v>42811.0</v>
      </c>
      <c r="H543" s="167">
        <v>42811.0</v>
      </c>
      <c r="I543" s="167">
        <v>42811.0</v>
      </c>
      <c r="J543" s="165">
        <v>11.99</v>
      </c>
      <c r="K543" s="165">
        <v>2.99</v>
      </c>
      <c r="L543" s="165">
        <v>9.0</v>
      </c>
      <c r="M543" s="72">
        <v>1.0</v>
      </c>
      <c r="N543" s="165">
        <v>2.99</v>
      </c>
    </row>
    <row r="544">
      <c r="A544" s="72" t="s">
        <v>325</v>
      </c>
      <c r="B544" s="72" t="s">
        <v>356</v>
      </c>
      <c r="C544" s="72">
        <v>193.0</v>
      </c>
      <c r="D544" s="72" t="s">
        <v>1143</v>
      </c>
      <c r="E544" s="72" t="s">
        <v>649</v>
      </c>
      <c r="F544" s="167">
        <v>40186.0</v>
      </c>
      <c r="G544" s="167">
        <v>44091.0</v>
      </c>
      <c r="H544" s="167">
        <v>45111.0</v>
      </c>
      <c r="I544" s="167">
        <v>45121.0</v>
      </c>
      <c r="J544" s="165">
        <v>14.99</v>
      </c>
      <c r="K544" s="165">
        <v>4.0</v>
      </c>
      <c r="L544" s="165">
        <v>10.99</v>
      </c>
      <c r="M544" s="72">
        <v>5.0</v>
      </c>
      <c r="N544" s="165">
        <v>0.8</v>
      </c>
    </row>
    <row r="545">
      <c r="A545" s="72" t="s">
        <v>325</v>
      </c>
      <c r="B545" s="72"/>
      <c r="C545" s="72">
        <v>248.0</v>
      </c>
      <c r="D545" s="72" t="s">
        <v>1144</v>
      </c>
      <c r="E545" s="72" t="s">
        <v>649</v>
      </c>
      <c r="F545" s="167">
        <v>40246.0</v>
      </c>
      <c r="G545" s="167">
        <v>41427.0</v>
      </c>
      <c r="H545" s="167">
        <v>41427.0</v>
      </c>
      <c r="I545" s="167">
        <v>41501.0</v>
      </c>
      <c r="J545" s="165">
        <v>19.99</v>
      </c>
      <c r="K545" s="165">
        <v>4.0</v>
      </c>
      <c r="L545" s="165">
        <v>15.99</v>
      </c>
      <c r="M545" s="72">
        <v>45.0</v>
      </c>
      <c r="N545" s="165">
        <v>0.09</v>
      </c>
    </row>
    <row r="546">
      <c r="A546" s="72" t="s">
        <v>325</v>
      </c>
      <c r="B546" s="72"/>
      <c r="C546" s="72">
        <v>283.0</v>
      </c>
      <c r="D546" s="72" t="s">
        <v>1145</v>
      </c>
      <c r="E546" s="72" t="s">
        <v>649</v>
      </c>
      <c r="F546" s="167">
        <v>40249.0</v>
      </c>
      <c r="G546" s="167">
        <v>44482.0</v>
      </c>
      <c r="H546" s="167">
        <v>44583.0</v>
      </c>
      <c r="I546" s="167">
        <v>45846.0</v>
      </c>
      <c r="J546" s="165">
        <v>13.33</v>
      </c>
      <c r="K546" s="165">
        <v>8.0</v>
      </c>
      <c r="L546" s="165">
        <v>5.33</v>
      </c>
      <c r="M546" s="72">
        <v>147.0</v>
      </c>
      <c r="N546" s="165">
        <v>0.05</v>
      </c>
    </row>
    <row r="547">
      <c r="A547" s="72" t="s">
        <v>325</v>
      </c>
      <c r="B547" s="72"/>
      <c r="C547" s="72">
        <v>255.0</v>
      </c>
      <c r="D547" s="72" t="s">
        <v>1146</v>
      </c>
      <c r="E547" s="72" t="s">
        <v>649</v>
      </c>
      <c r="F547" s="167">
        <v>40506.0</v>
      </c>
      <c r="G547" s="167">
        <v>40537.0</v>
      </c>
      <c r="H547" s="167">
        <v>40537.0</v>
      </c>
      <c r="I547" s="167">
        <v>44325.0</v>
      </c>
      <c r="J547" s="165">
        <v>29.99</v>
      </c>
      <c r="K547" s="165">
        <v>5.0</v>
      </c>
      <c r="L547" s="165">
        <v>24.99</v>
      </c>
      <c r="M547" s="72">
        <v>80.0</v>
      </c>
      <c r="N547" s="165">
        <v>0.06</v>
      </c>
    </row>
    <row r="548">
      <c r="A548" s="42" t="s">
        <v>325</v>
      </c>
      <c r="B548" s="48"/>
      <c r="C548" s="72">
        <v>284.0</v>
      </c>
      <c r="D548" s="165" t="s">
        <v>1147</v>
      </c>
      <c r="E548" s="72" t="s">
        <v>649</v>
      </c>
      <c r="F548" s="167">
        <v>40620.0</v>
      </c>
      <c r="G548" s="167">
        <v>44482.0</v>
      </c>
      <c r="H548" s="167">
        <v>44617.0</v>
      </c>
      <c r="I548" s="167">
        <v>45859.0</v>
      </c>
      <c r="J548" s="165">
        <v>13.33</v>
      </c>
      <c r="K548" s="165">
        <v>8.0</v>
      </c>
      <c r="L548" s="165">
        <v>5.33</v>
      </c>
      <c r="M548" s="72">
        <v>126.0</v>
      </c>
      <c r="N548" s="165">
        <v>0.06</v>
      </c>
    </row>
    <row r="549">
      <c r="A549" s="72" t="s">
        <v>325</v>
      </c>
      <c r="B549" s="72"/>
      <c r="C549" s="72">
        <v>373.0</v>
      </c>
      <c r="D549" s="72" t="s">
        <v>1148</v>
      </c>
      <c r="E549" s="72" t="s">
        <v>649</v>
      </c>
      <c r="F549" s="167">
        <v>40696.0</v>
      </c>
      <c r="G549" s="167">
        <v>40719.0</v>
      </c>
      <c r="H549" s="167">
        <v>40720.0</v>
      </c>
      <c r="I549" s="167">
        <v>44742.0</v>
      </c>
      <c r="J549" s="165">
        <v>4.49</v>
      </c>
      <c r="K549" s="165">
        <v>4.49</v>
      </c>
      <c r="L549" s="165">
        <v>0.0</v>
      </c>
      <c r="M549" s="72">
        <v>5.0</v>
      </c>
      <c r="N549" s="165">
        <v>0.9</v>
      </c>
    </row>
    <row r="550">
      <c r="A550" s="72" t="s">
        <v>325</v>
      </c>
      <c r="B550" s="72" t="s">
        <v>338</v>
      </c>
      <c r="C550" s="72">
        <v>215.0</v>
      </c>
      <c r="D550" s="72" t="s">
        <v>1149</v>
      </c>
      <c r="E550" s="72" t="s">
        <v>649</v>
      </c>
      <c r="F550" s="167">
        <v>40823.0</v>
      </c>
      <c r="G550" s="167">
        <v>43824.0</v>
      </c>
      <c r="H550" s="167">
        <v>43826.0</v>
      </c>
      <c r="I550" s="167">
        <v>43829.0</v>
      </c>
      <c r="J550" s="165">
        <v>39.99</v>
      </c>
      <c r="K550" s="165">
        <v>14.79</v>
      </c>
      <c r="L550" s="165">
        <v>25.2</v>
      </c>
      <c r="M550" s="72">
        <v>22.0</v>
      </c>
      <c r="N550" s="165">
        <v>0.67</v>
      </c>
    </row>
    <row r="551">
      <c r="A551" s="72" t="s">
        <v>325</v>
      </c>
      <c r="B551" s="72"/>
      <c r="C551" s="72">
        <v>390.0</v>
      </c>
      <c r="D551" s="72" t="s">
        <v>1150</v>
      </c>
      <c r="E551" s="72" t="s">
        <v>649</v>
      </c>
      <c r="F551" s="167">
        <v>40844.0</v>
      </c>
      <c r="G551" s="167">
        <v>44115.0</v>
      </c>
      <c r="H551" s="167">
        <v>44424.0</v>
      </c>
      <c r="I551" s="167">
        <v>44425.0</v>
      </c>
      <c r="J551" s="165">
        <v>19.99</v>
      </c>
      <c r="K551" s="165">
        <v>5.0</v>
      </c>
      <c r="L551" s="165">
        <v>14.99</v>
      </c>
      <c r="M551" s="72">
        <v>25.0</v>
      </c>
      <c r="N551" s="165">
        <v>0.2</v>
      </c>
    </row>
    <row r="552">
      <c r="A552" s="72" t="s">
        <v>325</v>
      </c>
      <c r="B552" s="72"/>
      <c r="C552" s="72">
        <v>365.0</v>
      </c>
      <c r="D552" s="72" t="s">
        <v>1151</v>
      </c>
      <c r="E552" s="72" t="s">
        <v>649</v>
      </c>
      <c r="F552" s="167">
        <v>40851.0</v>
      </c>
      <c r="G552" s="167">
        <v>44285.0</v>
      </c>
      <c r="H552" s="167">
        <v>45106.0</v>
      </c>
      <c r="I552" s="167">
        <v>45114.0</v>
      </c>
      <c r="J552" s="165">
        <v>14.99</v>
      </c>
      <c r="K552" s="165">
        <v>14.99</v>
      </c>
      <c r="L552" s="165">
        <v>0.0</v>
      </c>
      <c r="M552" s="72">
        <v>25.0</v>
      </c>
      <c r="N552" s="165">
        <v>0.6</v>
      </c>
    </row>
    <row r="553">
      <c r="A553" s="72" t="s">
        <v>325</v>
      </c>
      <c r="B553" s="72"/>
      <c r="C553" s="72">
        <v>217.0</v>
      </c>
      <c r="D553" s="72" t="s">
        <v>1152</v>
      </c>
      <c r="E553" s="72" t="s">
        <v>649</v>
      </c>
      <c r="F553" s="167">
        <v>40870.0</v>
      </c>
      <c r="G553" s="167">
        <v>44237.0</v>
      </c>
      <c r="H553" s="167">
        <v>45108.0</v>
      </c>
      <c r="I553" s="167">
        <v>45108.0</v>
      </c>
      <c r="J553" s="165">
        <v>7.99</v>
      </c>
      <c r="K553" s="165">
        <v>7.99</v>
      </c>
      <c r="L553" s="165">
        <v>0.0</v>
      </c>
      <c r="M553" s="72">
        <v>2.0</v>
      </c>
      <c r="N553" s="165">
        <v>4.0</v>
      </c>
    </row>
    <row r="554">
      <c r="A554" s="72" t="s">
        <v>325</v>
      </c>
      <c r="B554" s="72"/>
      <c r="C554" s="72">
        <v>364.0</v>
      </c>
      <c r="D554" s="72" t="s">
        <v>1153</v>
      </c>
      <c r="E554" s="72" t="s">
        <v>649</v>
      </c>
      <c r="F554" s="167">
        <v>40891.0</v>
      </c>
      <c r="G554" s="167">
        <v>44817.0</v>
      </c>
      <c r="H554" s="167">
        <v>44818.0</v>
      </c>
      <c r="I554" s="167">
        <v>44824.0</v>
      </c>
      <c r="J554" s="165">
        <v>11.25</v>
      </c>
      <c r="K554" s="165">
        <v>0.0</v>
      </c>
      <c r="L554" s="165">
        <v>11.25</v>
      </c>
      <c r="M554" s="72">
        <v>3.0</v>
      </c>
      <c r="N554" s="165">
        <v>0.0</v>
      </c>
    </row>
    <row r="555">
      <c r="A555" s="72" t="s">
        <v>325</v>
      </c>
      <c r="B555" s="7"/>
      <c r="C555" s="72">
        <v>393.0</v>
      </c>
      <c r="D555" s="72" t="s">
        <v>1154</v>
      </c>
      <c r="E555" s="72" t="s">
        <v>649</v>
      </c>
      <c r="F555" s="167">
        <v>40947.0</v>
      </c>
      <c r="G555" s="167">
        <v>41607.0</v>
      </c>
      <c r="H555" s="167">
        <v>41607.0</v>
      </c>
      <c r="I555" s="167">
        <v>44795.0</v>
      </c>
      <c r="J555" s="165">
        <v>9.99</v>
      </c>
      <c r="K555" s="165">
        <v>9.99</v>
      </c>
      <c r="L555" s="165">
        <v>0.0</v>
      </c>
      <c r="M555" s="72">
        <v>10.0</v>
      </c>
      <c r="N555" s="165">
        <v>1.0</v>
      </c>
    </row>
    <row r="556">
      <c r="A556" s="72" t="s">
        <v>325</v>
      </c>
      <c r="B556" s="72" t="s">
        <v>327</v>
      </c>
      <c r="C556" s="72">
        <v>293.0</v>
      </c>
      <c r="D556" s="72" t="s">
        <v>1155</v>
      </c>
      <c r="E556" s="72" t="s">
        <v>649</v>
      </c>
      <c r="F556" s="167">
        <v>40947.0</v>
      </c>
      <c r="G556" s="167">
        <v>44422.0</v>
      </c>
      <c r="H556" s="167">
        <v>44422.0</v>
      </c>
      <c r="I556" s="167">
        <v>44422.0</v>
      </c>
      <c r="J556" s="165">
        <v>7.99</v>
      </c>
      <c r="K556" s="165">
        <v>7.99</v>
      </c>
      <c r="L556" s="165">
        <v>0.0</v>
      </c>
      <c r="M556" s="72">
        <v>1.0</v>
      </c>
      <c r="N556" s="165">
        <v>7.99</v>
      </c>
    </row>
    <row r="557">
      <c r="A557" s="72" t="s">
        <v>325</v>
      </c>
      <c r="B557" s="72" t="s">
        <v>330</v>
      </c>
      <c r="C557" s="72">
        <v>210.0</v>
      </c>
      <c r="D557" s="72" t="s">
        <v>1156</v>
      </c>
      <c r="E557" s="72" t="s">
        <v>649</v>
      </c>
      <c r="F557" s="167">
        <v>40949.0</v>
      </c>
      <c r="G557" s="167">
        <v>41399.0</v>
      </c>
      <c r="H557" s="167">
        <v>41399.0</v>
      </c>
      <c r="I557" s="167">
        <v>44800.0</v>
      </c>
      <c r="J557" s="165">
        <v>79.98</v>
      </c>
      <c r="K557" s="165">
        <v>79.98</v>
      </c>
      <c r="L557" s="165">
        <v>0.0</v>
      </c>
      <c r="M557" s="72">
        <v>18.0</v>
      </c>
      <c r="N557" s="165">
        <v>4.44</v>
      </c>
    </row>
    <row r="558">
      <c r="A558" s="72" t="s">
        <v>325</v>
      </c>
      <c r="B558" s="72"/>
      <c r="C558" s="72">
        <v>372.0</v>
      </c>
      <c r="D558" s="72" t="s">
        <v>1157</v>
      </c>
      <c r="E558" s="72" t="s">
        <v>649</v>
      </c>
      <c r="F558" s="167">
        <v>40977.0</v>
      </c>
      <c r="G558" s="167">
        <v>42766.0</v>
      </c>
      <c r="H558" s="167">
        <v>43059.0</v>
      </c>
      <c r="I558" s="167">
        <v>45021.0</v>
      </c>
      <c r="J558" s="165">
        <v>24.99</v>
      </c>
      <c r="K558" s="165">
        <v>4.99</v>
      </c>
      <c r="L558" s="165">
        <v>20.0</v>
      </c>
      <c r="M558" s="72">
        <v>5.0</v>
      </c>
      <c r="N558" s="165">
        <v>1.0</v>
      </c>
    </row>
    <row r="559">
      <c r="A559" s="71" t="s">
        <v>325</v>
      </c>
      <c r="B559" s="48"/>
      <c r="C559" s="48">
        <v>425.0</v>
      </c>
      <c r="D559" s="39" t="s">
        <v>1158</v>
      </c>
      <c r="E559" s="39" t="s">
        <v>649</v>
      </c>
      <c r="F559" s="41">
        <v>40984.0</v>
      </c>
      <c r="G559" s="41">
        <v>44971.0</v>
      </c>
      <c r="H559" s="41">
        <v>45000.0</v>
      </c>
      <c r="I559" s="41">
        <v>45967.0</v>
      </c>
      <c r="J559" s="71">
        <v>19.99</v>
      </c>
      <c r="K559" s="71">
        <v>0.0</v>
      </c>
      <c r="L559" s="71">
        <v>19.99</v>
      </c>
      <c r="M559" s="48">
        <v>118.0</v>
      </c>
      <c r="N559" s="71">
        <v>0.0</v>
      </c>
    </row>
    <row r="560">
      <c r="A560" s="72" t="s">
        <v>325</v>
      </c>
      <c r="B560" s="72" t="s">
        <v>342</v>
      </c>
      <c r="C560" s="72">
        <v>290.0</v>
      </c>
      <c r="D560" s="72" t="s">
        <v>1159</v>
      </c>
      <c r="E560" s="72" t="s">
        <v>649</v>
      </c>
      <c r="F560" s="167">
        <v>41075.0</v>
      </c>
      <c r="G560" s="167">
        <v>41628.0</v>
      </c>
      <c r="H560" s="167">
        <v>41628.0</v>
      </c>
      <c r="I560" s="167">
        <v>44128.0</v>
      </c>
      <c r="J560" s="165">
        <v>19.99</v>
      </c>
      <c r="K560" s="165">
        <v>12.0</v>
      </c>
      <c r="L560" s="165">
        <v>7.99</v>
      </c>
      <c r="M560" s="72">
        <v>20.0</v>
      </c>
      <c r="N560" s="165">
        <v>0.6</v>
      </c>
    </row>
    <row r="561">
      <c r="A561" s="72" t="s">
        <v>325</v>
      </c>
      <c r="B561" s="72"/>
      <c r="C561" s="72">
        <v>379.0</v>
      </c>
      <c r="D561" s="72" t="s">
        <v>1160</v>
      </c>
      <c r="E561" s="72" t="s">
        <v>649</v>
      </c>
      <c r="F561" s="167">
        <v>41152.0</v>
      </c>
      <c r="G561" s="167">
        <v>42021.0</v>
      </c>
      <c r="H561" s="167">
        <v>45088.0</v>
      </c>
      <c r="I561" s="167">
        <v>45088.0</v>
      </c>
      <c r="J561" s="165">
        <v>15.0</v>
      </c>
      <c r="K561" s="165">
        <v>15.0</v>
      </c>
      <c r="L561" s="165">
        <v>0.0</v>
      </c>
      <c r="M561" s="72">
        <v>2.0</v>
      </c>
      <c r="N561" s="165">
        <v>7.5</v>
      </c>
    </row>
    <row r="562">
      <c r="A562" s="72" t="s">
        <v>325</v>
      </c>
      <c r="B562" s="72"/>
      <c r="C562" s="72">
        <v>269.0</v>
      </c>
      <c r="D562" s="72" t="s">
        <v>1161</v>
      </c>
      <c r="E562" s="72" t="s">
        <v>649</v>
      </c>
      <c r="F562" s="167">
        <v>41171.0</v>
      </c>
      <c r="G562" s="167">
        <v>43373.0</v>
      </c>
      <c r="H562" s="167">
        <v>43423.0</v>
      </c>
      <c r="I562" s="167">
        <v>45005.0</v>
      </c>
      <c r="J562" s="165">
        <v>7.99</v>
      </c>
      <c r="K562" s="165">
        <v>7.99</v>
      </c>
      <c r="L562" s="165">
        <v>0.0</v>
      </c>
      <c r="M562" s="72">
        <v>5.0</v>
      </c>
      <c r="N562" s="165">
        <v>1.6</v>
      </c>
    </row>
    <row r="563">
      <c r="A563" s="72" t="s">
        <v>325</v>
      </c>
      <c r="B563" s="72"/>
      <c r="C563" s="72">
        <v>406.0</v>
      </c>
      <c r="D563" s="72" t="s">
        <v>1162</v>
      </c>
      <c r="E563" s="72" t="s">
        <v>649</v>
      </c>
      <c r="F563" s="167">
        <v>41178.0</v>
      </c>
      <c r="G563" s="167">
        <v>41599.0</v>
      </c>
      <c r="H563" s="167">
        <v>41599.0</v>
      </c>
      <c r="I563" s="167">
        <v>44795.0</v>
      </c>
      <c r="J563" s="165">
        <v>12.99</v>
      </c>
      <c r="K563" s="165">
        <v>12.99</v>
      </c>
      <c r="L563" s="165">
        <v>0.0</v>
      </c>
      <c r="M563" s="72">
        <v>25.0</v>
      </c>
      <c r="N563" s="165">
        <v>0.52</v>
      </c>
    </row>
    <row r="564">
      <c r="A564" s="72" t="s">
        <v>325</v>
      </c>
      <c r="B564" s="72"/>
      <c r="C564" s="72">
        <v>219.0</v>
      </c>
      <c r="D564" s="72" t="s">
        <v>1163</v>
      </c>
      <c r="E564" s="72" t="s">
        <v>649</v>
      </c>
      <c r="F564" s="167">
        <v>41180.0</v>
      </c>
      <c r="G564" s="167">
        <v>41374.0</v>
      </c>
      <c r="H564" s="167">
        <v>41374.0</v>
      </c>
      <c r="I564" s="167">
        <v>43897.0</v>
      </c>
      <c r="J564" s="165">
        <v>59.98</v>
      </c>
      <c r="K564" s="165">
        <v>33.98</v>
      </c>
      <c r="L564" s="165">
        <v>26.0</v>
      </c>
      <c r="M564" s="72">
        <v>3.0</v>
      </c>
      <c r="N564" s="165">
        <v>11.33</v>
      </c>
    </row>
    <row r="565">
      <c r="A565" s="72" t="s">
        <v>325</v>
      </c>
      <c r="B565" s="72"/>
      <c r="C565" s="72">
        <v>340.0</v>
      </c>
      <c r="D565" s="72" t="s">
        <v>1164</v>
      </c>
      <c r="E565" s="72" t="s">
        <v>649</v>
      </c>
      <c r="F565" s="167">
        <v>41184.0</v>
      </c>
      <c r="G565" s="167">
        <v>44510.0</v>
      </c>
      <c r="H565" s="167">
        <v>45213.0</v>
      </c>
      <c r="I565" s="167">
        <v>45213.0</v>
      </c>
      <c r="J565" s="165">
        <v>19.99</v>
      </c>
      <c r="K565" s="165">
        <v>7.99</v>
      </c>
      <c r="L565" s="165">
        <v>12.0</v>
      </c>
      <c r="M565" s="72">
        <v>1.0</v>
      </c>
      <c r="N565" s="165">
        <v>7.99</v>
      </c>
    </row>
    <row r="566">
      <c r="A566" s="72" t="s">
        <v>325</v>
      </c>
      <c r="B566" s="72"/>
      <c r="C566" s="72">
        <v>315.0</v>
      </c>
      <c r="D566" s="72" t="s">
        <v>1165</v>
      </c>
      <c r="E566" s="72" t="s">
        <v>649</v>
      </c>
      <c r="F566" s="167">
        <v>41306.0</v>
      </c>
      <c r="G566" s="167">
        <v>45182.0</v>
      </c>
      <c r="H566" s="167">
        <v>45451.0</v>
      </c>
      <c r="I566" s="167">
        <v>45464.0</v>
      </c>
      <c r="J566" s="165">
        <v>49.99</v>
      </c>
      <c r="K566" s="165">
        <v>0.0</v>
      </c>
      <c r="L566" s="165">
        <v>49.99</v>
      </c>
      <c r="M566" s="72">
        <v>18.0</v>
      </c>
      <c r="N566" s="165">
        <v>0.0</v>
      </c>
    </row>
    <row r="567">
      <c r="A567" s="72" t="s">
        <v>325</v>
      </c>
      <c r="B567" s="72"/>
      <c r="C567" s="72">
        <v>341.0</v>
      </c>
      <c r="D567" s="72" t="s">
        <v>1166</v>
      </c>
      <c r="E567" s="72" t="s">
        <v>649</v>
      </c>
      <c r="F567" s="167">
        <v>41418.0</v>
      </c>
      <c r="G567" s="167">
        <v>43638.0</v>
      </c>
      <c r="H567" s="167">
        <v>43645.0</v>
      </c>
      <c r="I567" s="167">
        <v>43647.0</v>
      </c>
      <c r="J567" s="165">
        <v>19.99</v>
      </c>
      <c r="K567" s="165">
        <v>7.49</v>
      </c>
      <c r="L567" s="165">
        <v>12.5</v>
      </c>
      <c r="M567" s="72">
        <v>11.0</v>
      </c>
      <c r="N567" s="165">
        <v>0.68</v>
      </c>
    </row>
    <row r="568">
      <c r="A568" s="72" t="s">
        <v>325</v>
      </c>
      <c r="B568" s="72"/>
      <c r="C568" s="72">
        <v>381.0</v>
      </c>
      <c r="D568" s="72" t="s">
        <v>1167</v>
      </c>
      <c r="E568" s="72" t="s">
        <v>649</v>
      </c>
      <c r="F568" s="167">
        <v>41437.0</v>
      </c>
      <c r="G568" s="167">
        <v>41491.0</v>
      </c>
      <c r="H568" s="167">
        <v>41491.0</v>
      </c>
      <c r="I568" s="167">
        <v>41602.0</v>
      </c>
      <c r="J568" s="165">
        <v>0.0</v>
      </c>
      <c r="K568" s="165">
        <v>0.0</v>
      </c>
      <c r="L568" s="165">
        <v>0.0</v>
      </c>
      <c r="M568" s="72">
        <v>5.0</v>
      </c>
      <c r="N568" s="165">
        <v>0.0</v>
      </c>
    </row>
    <row r="569">
      <c r="A569" s="72" t="s">
        <v>325</v>
      </c>
      <c r="B569" s="72"/>
      <c r="C569" s="72">
        <v>380.0</v>
      </c>
      <c r="D569" s="72" t="s">
        <v>1168</v>
      </c>
      <c r="E569" s="72" t="s">
        <v>649</v>
      </c>
      <c r="F569" s="167">
        <v>41495.0</v>
      </c>
      <c r="G569" s="167">
        <v>42021.0</v>
      </c>
      <c r="H569" s="167">
        <v>42021.0</v>
      </c>
      <c r="I569" s="167">
        <v>42021.0</v>
      </c>
      <c r="J569" s="165">
        <v>14.99</v>
      </c>
      <c r="K569" s="165">
        <v>14.99</v>
      </c>
      <c r="L569" s="165">
        <v>0.0</v>
      </c>
      <c r="M569" s="72">
        <v>1.0</v>
      </c>
      <c r="N569" s="165">
        <v>14.99</v>
      </c>
    </row>
    <row r="570">
      <c r="A570" s="72" t="s">
        <v>325</v>
      </c>
      <c r="B570" s="72"/>
      <c r="C570" s="72">
        <v>274.0</v>
      </c>
      <c r="D570" s="72" t="s">
        <v>1169</v>
      </c>
      <c r="E570" s="72" t="s">
        <v>649</v>
      </c>
      <c r="F570" s="167">
        <v>41516.0</v>
      </c>
      <c r="G570" s="167">
        <v>42160.0</v>
      </c>
      <c r="H570" s="167">
        <v>42160.0</v>
      </c>
      <c r="I570" s="167">
        <v>44812.0</v>
      </c>
      <c r="J570" s="165">
        <v>29.99</v>
      </c>
      <c r="K570" s="165">
        <v>18.0</v>
      </c>
      <c r="L570" s="165">
        <v>11.99</v>
      </c>
      <c r="M570" s="72">
        <v>15.0</v>
      </c>
      <c r="N570" s="165">
        <v>1.2</v>
      </c>
    </row>
    <row r="571">
      <c r="A571" s="72" t="s">
        <v>325</v>
      </c>
      <c r="B571" s="72"/>
      <c r="C571" s="72">
        <v>275.0</v>
      </c>
      <c r="D571" s="72" t="s">
        <v>1170</v>
      </c>
      <c r="E571" s="72" t="s">
        <v>649</v>
      </c>
      <c r="F571" s="167">
        <v>41530.0</v>
      </c>
      <c r="G571" s="167">
        <v>43786.0</v>
      </c>
      <c r="H571" s="167">
        <v>43956.0</v>
      </c>
      <c r="I571" s="167">
        <v>43957.0</v>
      </c>
      <c r="J571" s="165">
        <v>9.25</v>
      </c>
      <c r="K571" s="165">
        <v>3.03</v>
      </c>
      <c r="L571" s="165">
        <v>6.22</v>
      </c>
      <c r="M571" s="72">
        <v>1.0</v>
      </c>
      <c r="N571" s="165">
        <v>3.03</v>
      </c>
    </row>
    <row r="572">
      <c r="A572" s="72" t="s">
        <v>325</v>
      </c>
      <c r="B572" s="72"/>
      <c r="C572" s="72">
        <v>216.0</v>
      </c>
      <c r="D572" s="72" t="s">
        <v>1171</v>
      </c>
      <c r="E572" s="72" t="s">
        <v>649</v>
      </c>
      <c r="F572" s="167">
        <v>41712.0</v>
      </c>
      <c r="G572" s="167">
        <v>43755.0</v>
      </c>
      <c r="H572" s="167">
        <v>43831.0</v>
      </c>
      <c r="I572" s="167">
        <v>43831.0</v>
      </c>
      <c r="J572" s="165">
        <v>19.99</v>
      </c>
      <c r="K572" s="165">
        <v>9.99</v>
      </c>
      <c r="L572" s="165">
        <v>10.0</v>
      </c>
      <c r="M572" s="72">
        <v>2.0</v>
      </c>
      <c r="N572" s="165">
        <v>5.0</v>
      </c>
    </row>
    <row r="573">
      <c r="A573" s="72" t="s">
        <v>325</v>
      </c>
      <c r="B573" s="72" t="s">
        <v>340</v>
      </c>
      <c r="C573" s="72">
        <v>319.0</v>
      </c>
      <c r="D573" s="72" t="s">
        <v>1172</v>
      </c>
      <c r="E573" s="72" t="s">
        <v>649</v>
      </c>
      <c r="F573" s="167">
        <v>41817.0</v>
      </c>
      <c r="G573" s="167">
        <v>43100.0</v>
      </c>
      <c r="H573" s="167">
        <v>43100.0</v>
      </c>
      <c r="I573" s="167">
        <v>43100.0</v>
      </c>
      <c r="J573" s="165">
        <v>79.98</v>
      </c>
      <c r="K573" s="165">
        <v>18.98</v>
      </c>
      <c r="L573" s="165">
        <v>61.0</v>
      </c>
      <c r="M573" s="72">
        <v>1.0</v>
      </c>
      <c r="N573" s="165">
        <v>18.98</v>
      </c>
    </row>
    <row r="574">
      <c r="A574" s="72" t="s">
        <v>325</v>
      </c>
      <c r="B574" s="72" t="s">
        <v>367</v>
      </c>
      <c r="C574" s="72">
        <v>389.0</v>
      </c>
      <c r="D574" s="72" t="s">
        <v>1173</v>
      </c>
      <c r="E574" s="72" t="s">
        <v>649</v>
      </c>
      <c r="F574" s="167">
        <v>41926.0</v>
      </c>
      <c r="G574" s="167">
        <v>42386.0</v>
      </c>
      <c r="H574" s="167">
        <v>42386.0</v>
      </c>
      <c r="I574" s="167">
        <v>42386.0</v>
      </c>
      <c r="J574" s="165">
        <v>19.99</v>
      </c>
      <c r="K574" s="165">
        <v>5.99</v>
      </c>
      <c r="L574" s="165">
        <v>14.0</v>
      </c>
      <c r="M574" s="72">
        <v>29.0</v>
      </c>
      <c r="N574" s="165">
        <v>0.21</v>
      </c>
    </row>
    <row r="575">
      <c r="A575" s="72" t="s">
        <v>325</v>
      </c>
      <c r="B575" s="72"/>
      <c r="C575" s="72">
        <v>342.0</v>
      </c>
      <c r="D575" s="72" t="s">
        <v>1174</v>
      </c>
      <c r="E575" s="72" t="s">
        <v>649</v>
      </c>
      <c r="F575" s="167">
        <v>42024.0</v>
      </c>
      <c r="G575" s="167">
        <v>43727.0</v>
      </c>
      <c r="H575" s="167">
        <v>43733.0</v>
      </c>
      <c r="I575" s="167">
        <v>43733.0</v>
      </c>
      <c r="J575" s="165">
        <v>19.99</v>
      </c>
      <c r="K575" s="165">
        <v>4.99</v>
      </c>
      <c r="L575" s="165">
        <v>15.0</v>
      </c>
      <c r="M575" s="72">
        <v>18.0</v>
      </c>
      <c r="N575" s="165">
        <v>0.28</v>
      </c>
    </row>
    <row r="576">
      <c r="A576" s="72" t="s">
        <v>325</v>
      </c>
      <c r="B576" s="72"/>
      <c r="C576" s="72">
        <v>343.0</v>
      </c>
      <c r="D576" s="72" t="s">
        <v>1175</v>
      </c>
      <c r="E576" s="72" t="s">
        <v>649</v>
      </c>
      <c r="F576" s="167">
        <v>42060.0</v>
      </c>
      <c r="G576" s="167">
        <v>43638.0</v>
      </c>
      <c r="H576" s="167">
        <v>43647.0</v>
      </c>
      <c r="I576" s="167">
        <v>43647.0</v>
      </c>
      <c r="J576" s="165">
        <v>19.99</v>
      </c>
      <c r="K576" s="165">
        <v>7.49</v>
      </c>
      <c r="L576" s="165">
        <v>12.5</v>
      </c>
      <c r="M576" s="72">
        <v>1.0</v>
      </c>
      <c r="N576" s="165">
        <v>7.49</v>
      </c>
    </row>
    <row r="577">
      <c r="A577" s="72" t="s">
        <v>325</v>
      </c>
      <c r="B577" s="72"/>
      <c r="C577" s="72">
        <v>298.0</v>
      </c>
      <c r="D577" s="72" t="s">
        <v>1176</v>
      </c>
      <c r="E577" s="72" t="s">
        <v>649</v>
      </c>
      <c r="F577" s="167">
        <v>42248.0</v>
      </c>
      <c r="G577" s="167">
        <v>44190.0</v>
      </c>
      <c r="H577" s="167">
        <v>44209.0</v>
      </c>
      <c r="I577" s="167">
        <v>44231.0</v>
      </c>
      <c r="J577" s="165">
        <v>29.99</v>
      </c>
      <c r="K577" s="165">
        <v>7.49</v>
      </c>
      <c r="L577" s="165">
        <v>22.5</v>
      </c>
      <c r="M577" s="72">
        <v>101.0</v>
      </c>
      <c r="N577" s="165">
        <v>0.07</v>
      </c>
    </row>
    <row r="578">
      <c r="A578" s="39" t="s">
        <v>325</v>
      </c>
      <c r="B578" s="39" t="s">
        <v>360</v>
      </c>
      <c r="C578" s="39">
        <v>285.0</v>
      </c>
      <c r="D578" s="39" t="s">
        <v>1177</v>
      </c>
      <c r="E578" s="39" t="s">
        <v>649</v>
      </c>
      <c r="F578" s="167">
        <v>42346.0</v>
      </c>
      <c r="G578" s="167">
        <v>44482.0</v>
      </c>
      <c r="H578" s="167">
        <v>44622.0</v>
      </c>
      <c r="I578" s="167">
        <v>45907.0</v>
      </c>
      <c r="J578" s="71">
        <v>13.33</v>
      </c>
      <c r="K578" s="71">
        <v>7.99</v>
      </c>
      <c r="L578" s="71">
        <f>J578-K578</f>
        <v>5.34</v>
      </c>
      <c r="M578" s="39">
        <v>274.0</v>
      </c>
      <c r="N578" s="71">
        <f>K578/M578</f>
        <v>0.02916058394</v>
      </c>
    </row>
    <row r="579">
      <c r="A579" s="72" t="s">
        <v>325</v>
      </c>
      <c r="B579" s="72"/>
      <c r="C579" s="72">
        <v>344.0</v>
      </c>
      <c r="D579" s="72" t="s">
        <v>1178</v>
      </c>
      <c r="E579" s="72" t="s">
        <v>649</v>
      </c>
      <c r="F579" s="167">
        <v>42388.0</v>
      </c>
      <c r="G579" s="167">
        <v>43727.0</v>
      </c>
      <c r="H579" s="167">
        <v>43775.0</v>
      </c>
      <c r="I579" s="167">
        <v>43775.0</v>
      </c>
      <c r="J579" s="165">
        <v>19.99</v>
      </c>
      <c r="K579" s="165">
        <v>4.99</v>
      </c>
      <c r="L579" s="165">
        <v>15.0</v>
      </c>
      <c r="M579" s="72">
        <v>19.0</v>
      </c>
      <c r="N579" s="165">
        <v>0.26</v>
      </c>
    </row>
    <row r="580">
      <c r="A580" s="72" t="s">
        <v>325</v>
      </c>
      <c r="B580" s="72" t="s">
        <v>368</v>
      </c>
      <c r="C580" s="72">
        <v>316.0</v>
      </c>
      <c r="D580" s="72" t="s">
        <v>1179</v>
      </c>
      <c r="E580" s="72" t="s">
        <v>649</v>
      </c>
      <c r="F580" s="167">
        <v>42467.0</v>
      </c>
      <c r="G580" s="167">
        <v>42754.0</v>
      </c>
      <c r="H580" s="167">
        <v>42771.0</v>
      </c>
      <c r="I580" s="167">
        <v>44092.0</v>
      </c>
      <c r="J580" s="165">
        <v>19.99</v>
      </c>
      <c r="K580" s="165">
        <v>14.99</v>
      </c>
      <c r="L580" s="165">
        <v>5.0</v>
      </c>
      <c r="M580" s="72">
        <v>4.0</v>
      </c>
      <c r="N580" s="165">
        <v>3.75</v>
      </c>
    </row>
    <row r="581">
      <c r="A581" s="72" t="s">
        <v>325</v>
      </c>
      <c r="B581" s="72"/>
      <c r="C581" s="72">
        <v>321.0</v>
      </c>
      <c r="D581" s="72" t="s">
        <v>1180</v>
      </c>
      <c r="E581" s="72" t="s">
        <v>649</v>
      </c>
      <c r="F581" s="167">
        <v>42829.0</v>
      </c>
      <c r="G581" s="167">
        <v>43091.0</v>
      </c>
      <c r="H581" s="167">
        <v>43091.0</v>
      </c>
      <c r="I581" s="167">
        <v>43091.0</v>
      </c>
      <c r="J581" s="165">
        <v>69.99</v>
      </c>
      <c r="K581" s="165">
        <v>34.99</v>
      </c>
      <c r="L581" s="165">
        <v>35.0</v>
      </c>
      <c r="M581" s="72">
        <v>1.0</v>
      </c>
      <c r="N581" s="165">
        <v>34.99</v>
      </c>
    </row>
    <row r="582">
      <c r="A582" s="72" t="s">
        <v>325</v>
      </c>
      <c r="B582" s="72" t="s">
        <v>362</v>
      </c>
      <c r="C582" s="72">
        <v>492.0</v>
      </c>
      <c r="D582" s="72" t="s">
        <v>1181</v>
      </c>
      <c r="E582" s="72" t="s">
        <v>671</v>
      </c>
      <c r="F582" s="167">
        <v>40954.0</v>
      </c>
      <c r="G582" s="167">
        <v>42036.0</v>
      </c>
      <c r="H582" s="167">
        <v>45040.0</v>
      </c>
      <c r="I582" s="167">
        <v>45040.0</v>
      </c>
      <c r="J582" s="165">
        <v>0.0</v>
      </c>
      <c r="K582" s="165">
        <v>0.0</v>
      </c>
      <c r="L582" s="165">
        <v>0.0</v>
      </c>
      <c r="M582" s="72">
        <v>5.0</v>
      </c>
      <c r="N582" s="165">
        <v>0.0</v>
      </c>
    </row>
    <row r="583">
      <c r="A583" s="72" t="s">
        <v>325</v>
      </c>
      <c r="B583" s="72"/>
      <c r="C583" s="72">
        <v>478.0</v>
      </c>
      <c r="D583" s="72" t="s">
        <v>1182</v>
      </c>
      <c r="E583" s="72" t="s">
        <v>671</v>
      </c>
      <c r="F583" s="167">
        <v>40961.0</v>
      </c>
      <c r="G583" s="167">
        <v>42187.0</v>
      </c>
      <c r="H583" s="167">
        <v>42187.0</v>
      </c>
      <c r="I583" s="167">
        <v>42187.0</v>
      </c>
      <c r="J583" s="165">
        <v>0.0</v>
      </c>
      <c r="K583" s="165">
        <v>0.0</v>
      </c>
      <c r="L583" s="165">
        <v>0.0</v>
      </c>
      <c r="M583" s="72">
        <v>1.0</v>
      </c>
      <c r="N583" s="165">
        <v>0.0</v>
      </c>
    </row>
    <row r="584">
      <c r="A584" s="72" t="s">
        <v>325</v>
      </c>
      <c r="B584" s="72"/>
      <c r="C584" s="72">
        <v>481.0</v>
      </c>
      <c r="D584" s="72" t="s">
        <v>1183</v>
      </c>
      <c r="E584" s="72" t="s">
        <v>671</v>
      </c>
      <c r="F584" s="167">
        <v>40961.0</v>
      </c>
      <c r="G584" s="167">
        <v>43373.0</v>
      </c>
      <c r="H584" s="167">
        <v>45040.0</v>
      </c>
      <c r="I584" s="167">
        <v>45047.0</v>
      </c>
      <c r="J584" s="165">
        <v>19.99</v>
      </c>
      <c r="K584" s="165">
        <v>19.99</v>
      </c>
      <c r="L584" s="165">
        <v>0.0</v>
      </c>
      <c r="M584" s="72">
        <v>5.0</v>
      </c>
      <c r="N584" s="165">
        <v>4.0</v>
      </c>
    </row>
    <row r="585">
      <c r="A585" s="72" t="s">
        <v>325</v>
      </c>
      <c r="B585" s="72"/>
      <c r="C585" s="72">
        <v>444.0</v>
      </c>
      <c r="D585" s="55" t="s">
        <v>1184</v>
      </c>
      <c r="E585" s="55" t="s">
        <v>671</v>
      </c>
      <c r="F585" s="167">
        <v>41075.0</v>
      </c>
      <c r="G585" s="167">
        <v>45545.0</v>
      </c>
      <c r="H585" s="167">
        <v>45545.0</v>
      </c>
      <c r="I585" s="167">
        <v>45545.0</v>
      </c>
      <c r="J585" s="165">
        <v>29.99</v>
      </c>
      <c r="K585" s="165">
        <v>14.99</v>
      </c>
      <c r="L585" s="165">
        <v>15.0</v>
      </c>
      <c r="M585" s="72">
        <v>1.0</v>
      </c>
      <c r="N585" s="165">
        <v>14.99</v>
      </c>
    </row>
    <row r="586">
      <c r="A586" s="72" t="s">
        <v>325</v>
      </c>
      <c r="B586" s="72" t="s">
        <v>364</v>
      </c>
      <c r="C586" s="72">
        <v>498.0</v>
      </c>
      <c r="D586" s="72" t="s">
        <v>1185</v>
      </c>
      <c r="E586" s="72" t="s">
        <v>671</v>
      </c>
      <c r="F586" s="167">
        <v>41236.0</v>
      </c>
      <c r="G586" s="167">
        <v>42187.0</v>
      </c>
      <c r="H586" s="167">
        <v>45059.0</v>
      </c>
      <c r="I586" s="167">
        <v>45059.0</v>
      </c>
      <c r="J586" s="165">
        <v>19.99</v>
      </c>
      <c r="K586" s="165">
        <v>19.99</v>
      </c>
      <c r="L586" s="165">
        <v>0.0</v>
      </c>
      <c r="M586" s="72">
        <v>10.0</v>
      </c>
      <c r="N586" s="165">
        <v>2.0</v>
      </c>
    </row>
    <row r="587">
      <c r="A587" s="72" t="s">
        <v>325</v>
      </c>
      <c r="B587" s="72"/>
      <c r="C587" s="72">
        <v>455.0</v>
      </c>
      <c r="D587" s="72" t="s">
        <v>1186</v>
      </c>
      <c r="E587" s="72" t="s">
        <v>671</v>
      </c>
      <c r="F587" s="167">
        <v>41429.0</v>
      </c>
      <c r="G587" s="167">
        <v>42187.0</v>
      </c>
      <c r="H587" s="167">
        <v>42193.0</v>
      </c>
      <c r="I587" s="167">
        <v>44945.0</v>
      </c>
      <c r="J587" s="165">
        <v>0.0</v>
      </c>
      <c r="K587" s="165">
        <v>0.0</v>
      </c>
      <c r="L587" s="165">
        <v>0.0</v>
      </c>
      <c r="M587" s="72">
        <v>5.0</v>
      </c>
      <c r="N587" s="165">
        <v>0.0</v>
      </c>
    </row>
    <row r="588">
      <c r="A588" s="72" t="s">
        <v>325</v>
      </c>
      <c r="B588" s="72" t="s">
        <v>324</v>
      </c>
      <c r="C588" s="72">
        <v>452.0</v>
      </c>
      <c r="D588" s="72" t="s">
        <v>1187</v>
      </c>
      <c r="E588" s="72" t="s">
        <v>671</v>
      </c>
      <c r="F588" s="167">
        <v>41745.0</v>
      </c>
      <c r="G588" s="167">
        <v>42187.0</v>
      </c>
      <c r="H588" s="167">
        <v>45044.0</v>
      </c>
      <c r="I588" s="167">
        <v>45057.0</v>
      </c>
      <c r="J588" s="55">
        <v>5.99</v>
      </c>
      <c r="K588" s="55">
        <v>5.99</v>
      </c>
      <c r="L588" s="165">
        <v>0.0</v>
      </c>
      <c r="M588" s="72">
        <v>25.0</v>
      </c>
      <c r="N588" s="165">
        <v>0.24</v>
      </c>
    </row>
    <row r="589">
      <c r="A589" s="72" t="s">
        <v>325</v>
      </c>
      <c r="B589" s="72" t="s">
        <v>350</v>
      </c>
      <c r="C589" s="72">
        <v>436.0</v>
      </c>
      <c r="D589" s="72" t="s">
        <v>1188</v>
      </c>
      <c r="E589" s="72" t="s">
        <v>671</v>
      </c>
      <c r="F589" s="167">
        <v>42514.0</v>
      </c>
      <c r="G589" s="167">
        <v>42766.0</v>
      </c>
      <c r="H589" s="167">
        <v>42767.0</v>
      </c>
      <c r="I589" s="167">
        <v>43099.0</v>
      </c>
      <c r="J589" s="55">
        <v>4.99</v>
      </c>
      <c r="K589" s="55">
        <v>1.99</v>
      </c>
      <c r="L589" s="165">
        <v>3.0</v>
      </c>
      <c r="M589" s="72">
        <v>7.0</v>
      </c>
      <c r="N589" s="165">
        <v>0.28</v>
      </c>
    </row>
    <row r="590">
      <c r="A590" s="72" t="s">
        <v>325</v>
      </c>
      <c r="B590" s="72" t="s">
        <v>372</v>
      </c>
      <c r="C590" s="72">
        <v>491.0</v>
      </c>
      <c r="D590" s="72" t="s">
        <v>1189</v>
      </c>
      <c r="E590" s="72" t="s">
        <v>671</v>
      </c>
      <c r="F590" s="167">
        <v>42613.0</v>
      </c>
      <c r="G590" s="167">
        <v>43373.0</v>
      </c>
      <c r="H590" s="167">
        <v>43373.0</v>
      </c>
      <c r="I590" s="167">
        <v>43373.0</v>
      </c>
      <c r="J590" s="55">
        <v>9.99</v>
      </c>
      <c r="K590" s="55">
        <v>9.99</v>
      </c>
      <c r="L590" s="165">
        <v>0.0</v>
      </c>
      <c r="M590" s="72">
        <v>5.0</v>
      </c>
      <c r="N590" s="165">
        <v>2.0</v>
      </c>
    </row>
    <row r="591">
      <c r="A591" s="72" t="s">
        <v>325</v>
      </c>
      <c r="B591" s="72"/>
      <c r="C591" s="72">
        <v>496.0</v>
      </c>
      <c r="D591" s="72" t="s">
        <v>1190</v>
      </c>
      <c r="E591" s="72" t="s">
        <v>671</v>
      </c>
      <c r="F591" s="167">
        <v>42671.0</v>
      </c>
      <c r="G591" s="167">
        <v>42840.0</v>
      </c>
      <c r="H591" s="167">
        <v>45064.0</v>
      </c>
      <c r="I591" s="167">
        <v>45070.0</v>
      </c>
      <c r="J591" s="165">
        <v>19.99</v>
      </c>
      <c r="K591" s="165">
        <v>9.99</v>
      </c>
      <c r="L591" s="165">
        <v>10.0</v>
      </c>
      <c r="M591" s="72">
        <v>10.0</v>
      </c>
      <c r="N591" s="165">
        <v>1.0</v>
      </c>
    </row>
    <row r="592">
      <c r="A592" s="72" t="s">
        <v>325</v>
      </c>
      <c r="B592" s="72" t="s">
        <v>328</v>
      </c>
      <c r="C592" s="72">
        <v>482.0</v>
      </c>
      <c r="D592" s="72" t="s">
        <v>1191</v>
      </c>
      <c r="E592" s="72" t="s">
        <v>671</v>
      </c>
      <c r="F592" s="167">
        <v>42776.0</v>
      </c>
      <c r="G592" s="167">
        <v>43668.0</v>
      </c>
      <c r="H592" s="167">
        <v>43673.0</v>
      </c>
      <c r="I592" s="167">
        <v>43674.0</v>
      </c>
      <c r="J592" s="165">
        <v>19.99</v>
      </c>
      <c r="K592" s="165">
        <v>4.99</v>
      </c>
      <c r="L592" s="165">
        <v>15.0</v>
      </c>
      <c r="M592" s="72">
        <v>4.0</v>
      </c>
      <c r="N592" s="165">
        <v>1.25</v>
      </c>
    </row>
    <row r="593">
      <c r="A593" s="72" t="s">
        <v>325</v>
      </c>
      <c r="B593" s="72"/>
      <c r="C593" s="72">
        <v>497.0</v>
      </c>
      <c r="D593" s="72" t="s">
        <v>1192</v>
      </c>
      <c r="E593" s="72" t="s">
        <v>671</v>
      </c>
      <c r="F593" s="167">
        <v>43035.0</v>
      </c>
      <c r="G593" s="167">
        <v>43992.0</v>
      </c>
      <c r="H593" s="167">
        <v>44001.0</v>
      </c>
      <c r="I593" s="167">
        <v>44001.0</v>
      </c>
      <c r="J593" s="165">
        <v>29.99</v>
      </c>
      <c r="K593" s="165">
        <v>14.99</v>
      </c>
      <c r="L593" s="165">
        <v>15.0</v>
      </c>
      <c r="M593" s="72">
        <v>2.0</v>
      </c>
      <c r="N593" s="165">
        <v>7.5</v>
      </c>
    </row>
    <row r="594">
      <c r="A594" s="72" t="s">
        <v>325</v>
      </c>
      <c r="B594" s="72" t="s">
        <v>355</v>
      </c>
      <c r="C594" s="72">
        <v>692.0</v>
      </c>
      <c r="D594" s="72" t="s">
        <v>1193</v>
      </c>
      <c r="E594" s="72" t="s">
        <v>33</v>
      </c>
      <c r="F594" s="167">
        <v>39955.0</v>
      </c>
      <c r="G594" s="167">
        <v>44883.0</v>
      </c>
      <c r="H594" s="167">
        <v>44906.0</v>
      </c>
      <c r="I594" s="167">
        <v>44907.0</v>
      </c>
      <c r="J594" s="165">
        <v>25.0</v>
      </c>
      <c r="K594" s="165">
        <v>15.0</v>
      </c>
      <c r="L594" s="165">
        <v>10.0</v>
      </c>
      <c r="M594" s="72">
        <v>6.0</v>
      </c>
      <c r="N594" s="165">
        <v>2.5</v>
      </c>
    </row>
    <row r="595">
      <c r="A595" s="72" t="s">
        <v>325</v>
      </c>
      <c r="B595" s="72"/>
      <c r="C595" s="72">
        <v>693.0</v>
      </c>
      <c r="D595" s="72" t="s">
        <v>1194</v>
      </c>
      <c r="E595" s="72" t="s">
        <v>33</v>
      </c>
      <c r="F595" s="167">
        <v>41607.0</v>
      </c>
      <c r="G595" s="167">
        <v>44581.0</v>
      </c>
      <c r="H595" s="167">
        <v>44590.0</v>
      </c>
      <c r="I595" s="167">
        <v>44899.0</v>
      </c>
      <c r="J595" s="165">
        <v>19.99</v>
      </c>
      <c r="K595" s="165">
        <v>7.99</v>
      </c>
      <c r="L595" s="165">
        <v>12.0</v>
      </c>
      <c r="M595" s="72">
        <v>45.0</v>
      </c>
      <c r="N595" s="165">
        <v>0.18</v>
      </c>
    </row>
    <row r="596">
      <c r="A596" s="72" t="s">
        <v>325</v>
      </c>
      <c r="B596" s="72"/>
      <c r="C596" s="72">
        <v>921.0</v>
      </c>
      <c r="D596" s="72" t="s">
        <v>1195</v>
      </c>
      <c r="E596" s="72" t="s">
        <v>33</v>
      </c>
      <c r="F596" s="167">
        <v>41607.0</v>
      </c>
      <c r="G596" s="167">
        <v>43469.0</v>
      </c>
      <c r="H596" s="167">
        <v>43481.0</v>
      </c>
      <c r="I596" s="167">
        <v>43483.0</v>
      </c>
      <c r="J596" s="165">
        <v>0.0</v>
      </c>
      <c r="K596" s="165">
        <v>0.0</v>
      </c>
      <c r="L596" s="165">
        <v>0.0</v>
      </c>
      <c r="M596" s="72">
        <v>1.0</v>
      </c>
      <c r="N596" s="165">
        <v>0.0</v>
      </c>
    </row>
    <row r="597">
      <c r="A597" s="72" t="s">
        <v>325</v>
      </c>
      <c r="B597" s="72"/>
      <c r="C597" s="72">
        <v>533.0</v>
      </c>
      <c r="D597" s="72" t="s">
        <v>1196</v>
      </c>
      <c r="E597" s="72" t="s">
        <v>33</v>
      </c>
      <c r="F597" s="167">
        <v>42089.0</v>
      </c>
      <c r="G597" s="167">
        <v>43623.0</v>
      </c>
      <c r="H597" s="167">
        <v>43627.0</v>
      </c>
      <c r="I597" s="167">
        <v>43672.0</v>
      </c>
      <c r="J597" s="165">
        <v>34.99</v>
      </c>
      <c r="K597" s="165">
        <v>18.24</v>
      </c>
      <c r="L597" s="165">
        <v>16.75</v>
      </c>
      <c r="M597" s="72">
        <v>38.0</v>
      </c>
      <c r="N597" s="165">
        <v>0.48</v>
      </c>
    </row>
    <row r="598">
      <c r="A598" s="72" t="s">
        <v>325</v>
      </c>
      <c r="B598" s="72" t="s">
        <v>339</v>
      </c>
      <c r="C598" s="72">
        <v>898.0</v>
      </c>
      <c r="D598" s="72" t="s">
        <v>1197</v>
      </c>
      <c r="E598" s="72" t="s">
        <v>33</v>
      </c>
      <c r="F598" s="167">
        <v>42206.0</v>
      </c>
      <c r="G598" s="167">
        <v>42811.0</v>
      </c>
      <c r="H598" s="167">
        <v>42816.0</v>
      </c>
      <c r="I598" s="167">
        <v>44412.0</v>
      </c>
      <c r="J598" s="165">
        <v>12.99</v>
      </c>
      <c r="K598" s="165">
        <v>3.49</v>
      </c>
      <c r="L598" s="165">
        <v>9.5</v>
      </c>
      <c r="M598" s="72">
        <v>14.0</v>
      </c>
      <c r="N598" s="165">
        <v>0.25</v>
      </c>
    </row>
    <row r="599">
      <c r="A599" s="72" t="s">
        <v>325</v>
      </c>
      <c r="B599" s="72"/>
      <c r="C599" s="72">
        <v>730.0</v>
      </c>
      <c r="D599" s="72" t="s">
        <v>1198</v>
      </c>
      <c r="E599" s="72" t="s">
        <v>33</v>
      </c>
      <c r="F599" s="167">
        <v>42241.0</v>
      </c>
      <c r="G599" s="167">
        <v>42619.0</v>
      </c>
      <c r="H599" s="167">
        <v>42799.0</v>
      </c>
      <c r="I599" s="167">
        <v>42799.0</v>
      </c>
      <c r="J599" s="165">
        <v>2.5</v>
      </c>
      <c r="K599" s="165">
        <v>1.33</v>
      </c>
      <c r="L599" s="165">
        <v>1.17</v>
      </c>
      <c r="M599" s="72">
        <v>3.0</v>
      </c>
      <c r="N599" s="165">
        <v>0.44</v>
      </c>
    </row>
    <row r="600">
      <c r="A600" s="72" t="s">
        <v>325</v>
      </c>
      <c r="B600" s="72"/>
      <c r="C600" s="72">
        <v>731.0</v>
      </c>
      <c r="D600" s="72" t="s">
        <v>1199</v>
      </c>
      <c r="E600" s="72" t="s">
        <v>33</v>
      </c>
      <c r="F600" s="167">
        <v>42241.0</v>
      </c>
      <c r="G600" s="167">
        <v>42619.0</v>
      </c>
      <c r="H600" s="167">
        <v>42799.0</v>
      </c>
      <c r="I600" s="167">
        <v>42799.0</v>
      </c>
      <c r="J600" s="165">
        <v>2.5</v>
      </c>
      <c r="K600" s="165">
        <v>1.33</v>
      </c>
      <c r="L600" s="165">
        <v>1.17</v>
      </c>
      <c r="M600" s="72">
        <v>2.0</v>
      </c>
      <c r="N600" s="165">
        <v>0.67</v>
      </c>
    </row>
    <row r="601">
      <c r="A601" s="72" t="s">
        <v>325</v>
      </c>
      <c r="B601" s="72"/>
      <c r="C601" s="72">
        <v>732.0</v>
      </c>
      <c r="D601" s="72" t="s">
        <v>1200</v>
      </c>
      <c r="E601" s="72" t="s">
        <v>33</v>
      </c>
      <c r="F601" s="167">
        <v>42241.0</v>
      </c>
      <c r="G601" s="167">
        <v>42619.0</v>
      </c>
      <c r="H601" s="167">
        <v>42799.0</v>
      </c>
      <c r="I601" s="167">
        <v>42799.0</v>
      </c>
      <c r="J601" s="165">
        <v>2.5</v>
      </c>
      <c r="K601" s="165">
        <v>1.33</v>
      </c>
      <c r="L601" s="165">
        <v>1.17</v>
      </c>
      <c r="M601" s="72">
        <v>1.0</v>
      </c>
      <c r="N601" s="165">
        <v>1.33</v>
      </c>
    </row>
    <row r="602">
      <c r="A602" s="72" t="s">
        <v>325</v>
      </c>
      <c r="B602" s="72"/>
      <c r="C602" s="72">
        <v>733.0</v>
      </c>
      <c r="D602" s="72" t="s">
        <v>1201</v>
      </c>
      <c r="E602" s="72" t="s">
        <v>33</v>
      </c>
      <c r="F602" s="167">
        <v>42241.0</v>
      </c>
      <c r="G602" s="167">
        <v>42619.0</v>
      </c>
      <c r="H602" s="167">
        <v>42799.0</v>
      </c>
      <c r="I602" s="167">
        <v>42799.0</v>
      </c>
      <c r="J602" s="165">
        <v>2.5</v>
      </c>
      <c r="K602" s="165">
        <v>1.33</v>
      </c>
      <c r="L602" s="165">
        <v>1.17</v>
      </c>
      <c r="M602" s="72">
        <v>1.0</v>
      </c>
      <c r="N602" s="165">
        <v>1.33</v>
      </c>
    </row>
    <row r="603">
      <c r="A603" s="72" t="s">
        <v>325</v>
      </c>
      <c r="B603" s="72"/>
      <c r="C603" s="72">
        <v>734.0</v>
      </c>
      <c r="D603" s="72" t="s">
        <v>1202</v>
      </c>
      <c r="E603" s="72" t="s">
        <v>33</v>
      </c>
      <c r="F603" s="167">
        <v>42241.0</v>
      </c>
      <c r="G603" s="167">
        <v>42619.0</v>
      </c>
      <c r="H603" s="167">
        <v>42799.0</v>
      </c>
      <c r="I603" s="167">
        <v>42799.0</v>
      </c>
      <c r="J603" s="165">
        <v>2.5</v>
      </c>
      <c r="K603" s="165">
        <v>1.33</v>
      </c>
      <c r="L603" s="165">
        <v>1.17</v>
      </c>
      <c r="M603" s="72">
        <v>1.0</v>
      </c>
      <c r="N603" s="165">
        <v>1.33</v>
      </c>
    </row>
    <row r="604">
      <c r="A604" s="72" t="s">
        <v>325</v>
      </c>
      <c r="B604" s="72"/>
      <c r="C604" s="72">
        <v>735.0</v>
      </c>
      <c r="D604" s="72" t="s">
        <v>1203</v>
      </c>
      <c r="E604" s="72" t="s">
        <v>33</v>
      </c>
      <c r="F604" s="167">
        <v>42241.0</v>
      </c>
      <c r="G604" s="167">
        <v>42619.0</v>
      </c>
      <c r="H604" s="167">
        <v>42799.0</v>
      </c>
      <c r="I604" s="167">
        <v>42799.0</v>
      </c>
      <c r="J604" s="165">
        <v>2.49</v>
      </c>
      <c r="K604" s="165">
        <v>1.34</v>
      </c>
      <c r="L604" s="165">
        <v>1.15</v>
      </c>
      <c r="M604" s="72">
        <v>1.0</v>
      </c>
      <c r="N604" s="165">
        <v>1.34</v>
      </c>
    </row>
    <row r="605">
      <c r="A605" s="72" t="s">
        <v>325</v>
      </c>
      <c r="B605" s="72" t="s">
        <v>363</v>
      </c>
      <c r="C605" s="72">
        <v>562.0</v>
      </c>
      <c r="D605" s="72" t="s">
        <v>1204</v>
      </c>
      <c r="E605" s="72" t="s">
        <v>33</v>
      </c>
      <c r="F605" s="167">
        <v>42388.0</v>
      </c>
      <c r="G605" s="167">
        <v>43069.0</v>
      </c>
      <c r="H605" s="167">
        <v>43069.0</v>
      </c>
      <c r="I605" s="167">
        <v>44999.0</v>
      </c>
      <c r="J605" s="165">
        <v>13.99</v>
      </c>
      <c r="K605" s="165">
        <v>4.99</v>
      </c>
      <c r="L605" s="165">
        <v>9.0</v>
      </c>
      <c r="M605" s="72">
        <v>3.0</v>
      </c>
      <c r="N605" s="165">
        <v>1.66</v>
      </c>
    </row>
    <row r="606">
      <c r="A606" s="72" t="s">
        <v>325</v>
      </c>
      <c r="B606" s="72"/>
      <c r="C606" s="72">
        <v>569.0</v>
      </c>
      <c r="D606" s="72" t="s">
        <v>1205</v>
      </c>
      <c r="E606" s="72" t="s">
        <v>33</v>
      </c>
      <c r="F606" s="167">
        <v>42472.0</v>
      </c>
      <c r="G606" s="167">
        <v>43633.0</v>
      </c>
      <c r="H606" s="167">
        <v>43633.0</v>
      </c>
      <c r="I606" s="167">
        <v>43633.0</v>
      </c>
      <c r="J606" s="165">
        <v>49.99</v>
      </c>
      <c r="K606" s="165">
        <v>11.99</v>
      </c>
      <c r="L606" s="165">
        <v>38.0</v>
      </c>
      <c r="M606" s="72">
        <v>1.0</v>
      </c>
      <c r="N606" s="165">
        <v>11.99</v>
      </c>
    </row>
    <row r="607">
      <c r="A607" s="72" t="s">
        <v>325</v>
      </c>
      <c r="B607" s="72"/>
      <c r="C607" s="72">
        <v>576.0</v>
      </c>
      <c r="D607" s="72" t="s">
        <v>1206</v>
      </c>
      <c r="E607" s="72" t="s">
        <v>33</v>
      </c>
      <c r="F607" s="167">
        <v>42626.0</v>
      </c>
      <c r="G607" s="167">
        <v>43907.0</v>
      </c>
      <c r="H607" s="167">
        <v>43907.0</v>
      </c>
      <c r="I607" s="167">
        <v>43908.0</v>
      </c>
      <c r="J607" s="165">
        <v>19.99</v>
      </c>
      <c r="K607" s="165">
        <v>4.99</v>
      </c>
      <c r="L607" s="165">
        <v>15.0</v>
      </c>
      <c r="M607" s="72">
        <v>5.0</v>
      </c>
      <c r="N607" s="165">
        <v>1.0</v>
      </c>
    </row>
    <row r="608">
      <c r="A608" s="72" t="s">
        <v>325</v>
      </c>
      <c r="B608" s="72"/>
      <c r="C608" s="72">
        <v>629.0</v>
      </c>
      <c r="D608" s="72" t="s">
        <v>1207</v>
      </c>
      <c r="E608" s="72" t="s">
        <v>33</v>
      </c>
      <c r="F608" s="167">
        <v>42703.0</v>
      </c>
      <c r="G608" s="167">
        <v>44334.0</v>
      </c>
      <c r="H608" s="167">
        <v>44334.0</v>
      </c>
      <c r="I608" s="167">
        <v>44334.0</v>
      </c>
      <c r="J608" s="165">
        <v>34.99</v>
      </c>
      <c r="K608" s="165">
        <v>0.0</v>
      </c>
      <c r="L608" s="165">
        <v>34.99</v>
      </c>
      <c r="M608" s="72">
        <v>1.0</v>
      </c>
      <c r="N608" s="165">
        <v>0.0</v>
      </c>
    </row>
    <row r="609">
      <c r="A609" s="72" t="s">
        <v>325</v>
      </c>
      <c r="B609" s="72"/>
      <c r="C609" s="72">
        <v>915.0</v>
      </c>
      <c r="D609" s="72" t="s">
        <v>1208</v>
      </c>
      <c r="E609" s="72" t="s">
        <v>33</v>
      </c>
      <c r="F609" s="167">
        <v>42710.0</v>
      </c>
      <c r="G609" s="167">
        <v>44389.0</v>
      </c>
      <c r="H609" s="167">
        <v>44389.0</v>
      </c>
      <c r="I609" s="167">
        <v>44389.0</v>
      </c>
      <c r="J609" s="165">
        <v>34.99</v>
      </c>
      <c r="K609" s="165">
        <v>0.0</v>
      </c>
      <c r="L609" s="165">
        <v>34.99</v>
      </c>
      <c r="M609" s="72">
        <v>1.0</v>
      </c>
      <c r="N609" s="165">
        <v>0.0</v>
      </c>
    </row>
    <row r="610">
      <c r="A610" s="72" t="s">
        <v>325</v>
      </c>
      <c r="B610" s="72" t="s">
        <v>332</v>
      </c>
      <c r="C610" s="72">
        <v>820.0</v>
      </c>
      <c r="D610" s="72" t="s">
        <v>1209</v>
      </c>
      <c r="E610" s="72" t="s">
        <v>33</v>
      </c>
      <c r="F610" s="167">
        <v>42724.0</v>
      </c>
      <c r="G610" s="167">
        <v>42724.0</v>
      </c>
      <c r="H610" s="167">
        <v>42724.0</v>
      </c>
      <c r="I610" s="167">
        <v>42724.0</v>
      </c>
      <c r="J610" s="165">
        <v>20.99</v>
      </c>
      <c r="K610" s="165">
        <v>9.99</v>
      </c>
      <c r="L610" s="165">
        <v>11.0</v>
      </c>
      <c r="M610" s="72">
        <v>1.0</v>
      </c>
      <c r="N610" s="165">
        <v>9.99</v>
      </c>
    </row>
    <row r="611">
      <c r="A611" s="72" t="s">
        <v>325</v>
      </c>
      <c r="B611" s="72"/>
      <c r="C611" s="72">
        <v>807.0</v>
      </c>
      <c r="D611" s="72" t="s">
        <v>1210</v>
      </c>
      <c r="E611" s="72" t="s">
        <v>33</v>
      </c>
      <c r="F611" s="167">
        <v>42759.0</v>
      </c>
      <c r="G611" s="167">
        <v>43466.0</v>
      </c>
      <c r="H611" s="167">
        <v>43469.0</v>
      </c>
      <c r="I611" s="167">
        <v>44499.0</v>
      </c>
      <c r="J611" s="165">
        <v>49.98</v>
      </c>
      <c r="K611" s="165">
        <v>26.98</v>
      </c>
      <c r="L611" s="165">
        <v>23.0</v>
      </c>
      <c r="M611" s="72">
        <v>16.0</v>
      </c>
      <c r="N611" s="165">
        <v>1.69</v>
      </c>
    </row>
    <row r="612">
      <c r="A612" s="72" t="s">
        <v>325</v>
      </c>
      <c r="B612" s="72"/>
      <c r="C612" s="72">
        <v>689.0</v>
      </c>
      <c r="D612" s="72" t="s">
        <v>1211</v>
      </c>
      <c r="E612" s="72" t="s">
        <v>33</v>
      </c>
      <c r="F612" s="167">
        <v>42759.0</v>
      </c>
      <c r="G612" s="167">
        <v>43786.0</v>
      </c>
      <c r="H612" s="167">
        <v>43786.0</v>
      </c>
      <c r="I612" s="167">
        <v>43786.0</v>
      </c>
      <c r="J612" s="165">
        <v>18.5</v>
      </c>
      <c r="K612" s="165">
        <v>6.05</v>
      </c>
      <c r="L612" s="165">
        <v>12.45</v>
      </c>
      <c r="M612" s="72">
        <v>1.0</v>
      </c>
      <c r="N612" s="165">
        <v>6.05</v>
      </c>
    </row>
    <row r="613">
      <c r="A613" s="72" t="s">
        <v>325</v>
      </c>
      <c r="B613" s="72"/>
      <c r="C613" s="72">
        <v>690.0</v>
      </c>
      <c r="D613" s="72" t="s">
        <v>1212</v>
      </c>
      <c r="E613" s="72" t="s">
        <v>33</v>
      </c>
      <c r="F613" s="167">
        <v>42759.0</v>
      </c>
      <c r="G613" s="167">
        <v>43786.0</v>
      </c>
      <c r="H613" s="167">
        <v>43786.0</v>
      </c>
      <c r="I613" s="167">
        <v>43786.0</v>
      </c>
      <c r="J613" s="165">
        <v>18.49</v>
      </c>
      <c r="K613" s="165">
        <v>6.05</v>
      </c>
      <c r="L613" s="165">
        <v>12.44</v>
      </c>
      <c r="M613" s="72">
        <v>1.0</v>
      </c>
      <c r="N613" s="165">
        <v>6.05</v>
      </c>
    </row>
    <row r="614">
      <c r="A614" s="182" t="s">
        <v>325</v>
      </c>
      <c r="B614" s="182"/>
      <c r="C614" s="182">
        <v>704.0</v>
      </c>
      <c r="D614" s="182" t="s">
        <v>1213</v>
      </c>
      <c r="E614" s="182" t="s">
        <v>33</v>
      </c>
      <c r="F614" s="183">
        <v>42759.0</v>
      </c>
      <c r="G614" s="183">
        <v>44474.0</v>
      </c>
      <c r="H614" s="183">
        <v>44501.0</v>
      </c>
      <c r="I614" s="183">
        <v>45582.0</v>
      </c>
      <c r="J614" s="184">
        <v>19.99</v>
      </c>
      <c r="K614" s="184">
        <v>8.99</v>
      </c>
      <c r="L614" s="165">
        <v>11.0</v>
      </c>
      <c r="M614" s="182">
        <v>198.0</v>
      </c>
      <c r="N614" s="165">
        <v>0.05</v>
      </c>
    </row>
    <row r="615">
      <c r="A615" s="182" t="s">
        <v>325</v>
      </c>
      <c r="B615" s="182"/>
      <c r="C615" s="182">
        <v>880.0</v>
      </c>
      <c r="D615" s="182" t="s">
        <v>1214</v>
      </c>
      <c r="E615" s="182" t="s">
        <v>33</v>
      </c>
      <c r="F615" s="183">
        <v>42843.0</v>
      </c>
      <c r="G615" s="183">
        <v>44203.0</v>
      </c>
      <c r="H615" s="183">
        <v>44203.0</v>
      </c>
      <c r="I615" s="183">
        <v>44203.0</v>
      </c>
      <c r="J615" s="184">
        <v>3.33</v>
      </c>
      <c r="K615" s="184">
        <v>1.0</v>
      </c>
      <c r="L615" s="165">
        <v>2.33</v>
      </c>
      <c r="M615" s="182">
        <v>1.0</v>
      </c>
      <c r="N615" s="165">
        <v>1.0</v>
      </c>
    </row>
    <row r="616">
      <c r="A616" s="182" t="s">
        <v>325</v>
      </c>
      <c r="B616" s="182"/>
      <c r="C616" s="182">
        <v>570.0</v>
      </c>
      <c r="D616" s="182" t="s">
        <v>1215</v>
      </c>
      <c r="E616" s="182" t="s">
        <v>33</v>
      </c>
      <c r="F616" s="183">
        <v>42843.0</v>
      </c>
      <c r="G616" s="183">
        <v>44203.0</v>
      </c>
      <c r="H616" s="183">
        <v>44203.0</v>
      </c>
      <c r="I616" s="183">
        <v>44203.0</v>
      </c>
      <c r="J616" s="184">
        <v>3.33</v>
      </c>
      <c r="K616" s="184">
        <v>0.99</v>
      </c>
      <c r="L616" s="165">
        <v>2.34</v>
      </c>
      <c r="M616" s="182">
        <v>1.0</v>
      </c>
      <c r="N616" s="165">
        <v>0.99</v>
      </c>
    </row>
    <row r="617">
      <c r="A617" s="182" t="s">
        <v>325</v>
      </c>
      <c r="B617" s="182"/>
      <c r="C617" s="182">
        <v>599.0</v>
      </c>
      <c r="D617" s="182" t="s">
        <v>1216</v>
      </c>
      <c r="E617" s="182" t="s">
        <v>33</v>
      </c>
      <c r="F617" s="183">
        <v>42843.0</v>
      </c>
      <c r="G617" s="183">
        <v>44203.0</v>
      </c>
      <c r="H617" s="183">
        <v>44203.0</v>
      </c>
      <c r="I617" s="183">
        <v>44203.0</v>
      </c>
      <c r="J617" s="184">
        <v>3.34</v>
      </c>
      <c r="K617" s="184">
        <v>1.0</v>
      </c>
      <c r="L617" s="165">
        <v>2.34</v>
      </c>
      <c r="M617" s="182">
        <v>1.0</v>
      </c>
      <c r="N617" s="165">
        <v>1.0</v>
      </c>
    </row>
    <row r="618">
      <c r="A618" s="182" t="s">
        <v>325</v>
      </c>
      <c r="B618" s="182"/>
      <c r="C618" s="182">
        <v>600.0</v>
      </c>
      <c r="D618" s="182" t="s">
        <v>1217</v>
      </c>
      <c r="E618" s="182" t="s">
        <v>33</v>
      </c>
      <c r="F618" s="183">
        <v>42843.0</v>
      </c>
      <c r="G618" s="183">
        <v>44203.0</v>
      </c>
      <c r="H618" s="183">
        <v>44203.0</v>
      </c>
      <c r="I618" s="183">
        <v>44203.0</v>
      </c>
      <c r="J618" s="184">
        <v>3.33</v>
      </c>
      <c r="K618" s="184">
        <v>0.5</v>
      </c>
      <c r="L618" s="165">
        <v>2.83</v>
      </c>
      <c r="M618" s="182">
        <v>1.0</v>
      </c>
      <c r="N618" s="165">
        <v>0.5</v>
      </c>
    </row>
    <row r="619">
      <c r="A619" s="182" t="s">
        <v>325</v>
      </c>
      <c r="B619" s="182"/>
      <c r="C619" s="182">
        <v>547.0</v>
      </c>
      <c r="D619" s="182" t="s">
        <v>1218</v>
      </c>
      <c r="E619" s="182" t="s">
        <v>33</v>
      </c>
      <c r="F619" s="183">
        <v>42843.0</v>
      </c>
      <c r="G619" s="183">
        <v>44203.0</v>
      </c>
      <c r="H619" s="183">
        <v>44203.0</v>
      </c>
      <c r="I619" s="183">
        <v>44203.0</v>
      </c>
      <c r="J619" s="184">
        <v>3.33</v>
      </c>
      <c r="K619" s="184">
        <v>1.0</v>
      </c>
      <c r="L619" s="165">
        <v>2.33</v>
      </c>
      <c r="M619" s="182">
        <v>1.0</v>
      </c>
      <c r="N619" s="165">
        <v>1.0</v>
      </c>
    </row>
    <row r="620">
      <c r="A620" s="182" t="s">
        <v>325</v>
      </c>
      <c r="B620" s="182"/>
      <c r="C620" s="182">
        <v>548.0</v>
      </c>
      <c r="D620" s="182" t="s">
        <v>1219</v>
      </c>
      <c r="E620" s="182" t="s">
        <v>33</v>
      </c>
      <c r="F620" s="183">
        <v>42843.0</v>
      </c>
      <c r="G620" s="183">
        <v>44203.0</v>
      </c>
      <c r="H620" s="183">
        <v>44203.0</v>
      </c>
      <c r="I620" s="183">
        <v>44203.0</v>
      </c>
      <c r="J620" s="184">
        <v>3.33</v>
      </c>
      <c r="K620" s="184">
        <v>0.5</v>
      </c>
      <c r="L620" s="165">
        <v>2.83</v>
      </c>
      <c r="M620" s="182">
        <v>1.0</v>
      </c>
      <c r="N620" s="165">
        <v>0.5</v>
      </c>
    </row>
    <row r="621">
      <c r="A621" s="182" t="s">
        <v>325</v>
      </c>
      <c r="B621" s="182"/>
      <c r="C621" s="182">
        <v>897.0</v>
      </c>
      <c r="D621" s="182" t="s">
        <v>1220</v>
      </c>
      <c r="E621" s="182" t="s">
        <v>33</v>
      </c>
      <c r="F621" s="183">
        <v>42888.0</v>
      </c>
      <c r="G621" s="183">
        <v>43410.0</v>
      </c>
      <c r="H621" s="183">
        <v>43412.0</v>
      </c>
      <c r="I621" s="183">
        <v>44387.0</v>
      </c>
      <c r="J621" s="184">
        <v>74.98</v>
      </c>
      <c r="K621" s="184">
        <v>29.98</v>
      </c>
      <c r="L621" s="165">
        <v>45.0</v>
      </c>
      <c r="M621" s="182">
        <v>2.0</v>
      </c>
      <c r="N621" s="165">
        <v>14.99</v>
      </c>
    </row>
    <row r="622">
      <c r="A622" s="182" t="s">
        <v>325</v>
      </c>
      <c r="B622" s="182"/>
      <c r="C622" s="182">
        <v>736.0</v>
      </c>
      <c r="D622" s="182" t="s">
        <v>1221</v>
      </c>
      <c r="E622" s="182" t="s">
        <v>33</v>
      </c>
      <c r="F622" s="183">
        <v>42955.0</v>
      </c>
      <c r="G622" s="183">
        <v>43091.0</v>
      </c>
      <c r="H622" s="183">
        <v>43135.0</v>
      </c>
      <c r="I622" s="183">
        <v>43144.0</v>
      </c>
      <c r="J622" s="184">
        <v>3.75</v>
      </c>
      <c r="K622" s="184">
        <v>2.0</v>
      </c>
      <c r="L622" s="165">
        <v>1.75</v>
      </c>
      <c r="M622" s="182">
        <v>3.0</v>
      </c>
      <c r="N622" s="165">
        <v>0.67</v>
      </c>
    </row>
    <row r="623">
      <c r="A623" s="182" t="s">
        <v>325</v>
      </c>
      <c r="B623" s="182"/>
      <c r="C623" s="182">
        <v>737.0</v>
      </c>
      <c r="D623" s="182" t="s">
        <v>1222</v>
      </c>
      <c r="E623" s="182" t="s">
        <v>33</v>
      </c>
      <c r="F623" s="183">
        <v>42955.0</v>
      </c>
      <c r="G623" s="183">
        <v>43091.0</v>
      </c>
      <c r="H623" s="183">
        <v>43135.0</v>
      </c>
      <c r="I623" s="183">
        <v>43144.0</v>
      </c>
      <c r="J623" s="184">
        <v>3.75</v>
      </c>
      <c r="K623" s="184">
        <v>2.0</v>
      </c>
      <c r="L623" s="165">
        <v>1.75</v>
      </c>
      <c r="M623" s="182">
        <v>2.0</v>
      </c>
      <c r="N623" s="165">
        <v>1.0</v>
      </c>
    </row>
    <row r="624">
      <c r="A624" s="182" t="s">
        <v>325</v>
      </c>
      <c r="B624" s="182"/>
      <c r="C624" s="182">
        <v>738.0</v>
      </c>
      <c r="D624" s="182" t="s">
        <v>1223</v>
      </c>
      <c r="E624" s="182" t="s">
        <v>33</v>
      </c>
      <c r="F624" s="183">
        <v>42955.0</v>
      </c>
      <c r="G624" s="183">
        <v>43091.0</v>
      </c>
      <c r="H624" s="183">
        <v>43135.0</v>
      </c>
      <c r="I624" s="183">
        <v>43144.0</v>
      </c>
      <c r="J624" s="184">
        <v>3.75</v>
      </c>
      <c r="K624" s="184">
        <v>2.0</v>
      </c>
      <c r="L624" s="165">
        <v>1.75</v>
      </c>
      <c r="M624" s="182">
        <v>2.0</v>
      </c>
      <c r="N624" s="165">
        <v>1.0</v>
      </c>
    </row>
    <row r="625">
      <c r="A625" s="182" t="s">
        <v>325</v>
      </c>
      <c r="B625" s="182"/>
      <c r="C625" s="182">
        <v>739.0</v>
      </c>
      <c r="D625" s="182" t="s">
        <v>1224</v>
      </c>
      <c r="E625" s="182" t="s">
        <v>33</v>
      </c>
      <c r="F625" s="183">
        <v>42955.0</v>
      </c>
      <c r="G625" s="183">
        <v>43091.0</v>
      </c>
      <c r="H625" s="183">
        <v>43135.0</v>
      </c>
      <c r="I625" s="183">
        <v>43144.0</v>
      </c>
      <c r="J625" s="184">
        <v>3.74</v>
      </c>
      <c r="K625" s="184">
        <v>1.99</v>
      </c>
      <c r="L625" s="165">
        <v>1.75</v>
      </c>
      <c r="M625" s="182">
        <v>2.0</v>
      </c>
      <c r="N625" s="165">
        <v>1.0</v>
      </c>
    </row>
    <row r="626">
      <c r="A626" s="72" t="s">
        <v>325</v>
      </c>
      <c r="B626" s="72"/>
      <c r="C626" s="72">
        <v>705.0</v>
      </c>
      <c r="D626" s="72" t="s">
        <v>1225</v>
      </c>
      <c r="E626" s="72" t="s">
        <v>33</v>
      </c>
      <c r="F626" s="167">
        <v>42976.0</v>
      </c>
      <c r="G626" s="167">
        <v>44474.0</v>
      </c>
      <c r="H626" s="167">
        <v>44571.0</v>
      </c>
      <c r="I626" s="167">
        <v>45601.0</v>
      </c>
      <c r="J626" s="165">
        <v>19.99</v>
      </c>
      <c r="K626" s="165">
        <v>7.99</v>
      </c>
      <c r="L626" s="165">
        <v>12.0</v>
      </c>
      <c r="M626" s="72">
        <v>119.0</v>
      </c>
      <c r="N626" s="165">
        <v>0.07</v>
      </c>
    </row>
    <row r="627">
      <c r="A627" s="72" t="s">
        <v>325</v>
      </c>
      <c r="B627" s="72"/>
      <c r="C627" s="72">
        <v>610.0</v>
      </c>
      <c r="D627" s="72" t="s">
        <v>1226</v>
      </c>
      <c r="E627" s="72" t="s">
        <v>33</v>
      </c>
      <c r="F627" s="167">
        <v>42977.0</v>
      </c>
      <c r="G627" s="167">
        <v>43124.0</v>
      </c>
      <c r="H627" s="167">
        <v>43125.0</v>
      </c>
      <c r="I627" s="167">
        <v>43415.0</v>
      </c>
      <c r="J627" s="165">
        <v>75.93</v>
      </c>
      <c r="K627" s="165">
        <v>55.93</v>
      </c>
      <c r="L627" s="165">
        <v>20.0</v>
      </c>
      <c r="M627" s="72">
        <v>33.0</v>
      </c>
      <c r="N627" s="165">
        <v>1.69</v>
      </c>
    </row>
    <row r="628">
      <c r="A628" s="72" t="s">
        <v>325</v>
      </c>
      <c r="B628" s="72"/>
      <c r="C628" s="72">
        <v>694.0</v>
      </c>
      <c r="D628" s="72" t="s">
        <v>1227</v>
      </c>
      <c r="E628" s="72" t="s">
        <v>33</v>
      </c>
      <c r="F628" s="167">
        <v>42984.0</v>
      </c>
      <c r="G628" s="167">
        <v>44581.0</v>
      </c>
      <c r="H628" s="167">
        <v>44899.0</v>
      </c>
      <c r="I628" s="167">
        <v>44903.0</v>
      </c>
      <c r="J628" s="165">
        <v>39.99</v>
      </c>
      <c r="K628" s="165">
        <v>13.99</v>
      </c>
      <c r="L628" s="165">
        <v>26.0</v>
      </c>
      <c r="M628" s="72">
        <v>20.0</v>
      </c>
      <c r="N628" s="165">
        <v>0.7</v>
      </c>
    </row>
    <row r="629">
      <c r="A629" s="72" t="s">
        <v>325</v>
      </c>
      <c r="B629" s="72"/>
      <c r="C629" s="72">
        <v>754.0</v>
      </c>
      <c r="D629" s="72" t="s">
        <v>1228</v>
      </c>
      <c r="E629" s="72" t="s">
        <v>33</v>
      </c>
      <c r="F629" s="167">
        <v>43126.0</v>
      </c>
      <c r="G629" s="167">
        <v>44334.0</v>
      </c>
      <c r="H629" s="167">
        <v>44669.0</v>
      </c>
      <c r="I629" s="167">
        <v>44672.0</v>
      </c>
      <c r="J629" s="165">
        <v>19.99</v>
      </c>
      <c r="K629" s="165">
        <v>0.0</v>
      </c>
      <c r="L629" s="165">
        <v>19.99</v>
      </c>
      <c r="M629" s="72">
        <v>2.0</v>
      </c>
      <c r="N629" s="165">
        <v>0.0</v>
      </c>
    </row>
    <row r="630">
      <c r="A630" s="72" t="s">
        <v>325</v>
      </c>
      <c r="B630" s="72"/>
      <c r="C630" s="72">
        <v>768.0</v>
      </c>
      <c r="D630" s="72" t="s">
        <v>1229</v>
      </c>
      <c r="E630" s="72" t="s">
        <v>33</v>
      </c>
      <c r="F630" s="167">
        <v>43182.0</v>
      </c>
      <c r="G630" s="167">
        <v>45177.0</v>
      </c>
      <c r="H630" s="167">
        <v>45177.0</v>
      </c>
      <c r="I630" s="167">
        <v>45177.0</v>
      </c>
      <c r="J630" s="165">
        <v>69.99</v>
      </c>
      <c r="K630" s="165">
        <v>0.0</v>
      </c>
      <c r="L630" s="165">
        <v>69.99</v>
      </c>
      <c r="M630" s="72">
        <v>1.0</v>
      </c>
      <c r="N630" s="165">
        <v>0.0</v>
      </c>
    </row>
    <row r="631">
      <c r="A631" s="72" t="s">
        <v>325</v>
      </c>
      <c r="B631" s="72"/>
      <c r="C631" s="72">
        <v>707.0</v>
      </c>
      <c r="D631" s="72" t="s">
        <v>1230</v>
      </c>
      <c r="E631" s="72" t="s">
        <v>33</v>
      </c>
      <c r="F631" s="167">
        <v>43207.0</v>
      </c>
      <c r="G631" s="167">
        <v>44474.0</v>
      </c>
      <c r="H631" s="167">
        <v>44656.0</v>
      </c>
      <c r="I631" s="167">
        <v>44662.0</v>
      </c>
      <c r="J631" s="165">
        <v>19.99</v>
      </c>
      <c r="K631" s="165">
        <v>8.99</v>
      </c>
      <c r="L631" s="165">
        <v>11.0</v>
      </c>
      <c r="M631" s="72">
        <v>42.0</v>
      </c>
      <c r="N631" s="165">
        <v>0.21</v>
      </c>
    </row>
    <row r="632">
      <c r="A632" s="72" t="s">
        <v>325</v>
      </c>
      <c r="B632" s="72"/>
      <c r="C632" s="72">
        <v>863.0</v>
      </c>
      <c r="D632" s="72" t="s">
        <v>1231</v>
      </c>
      <c r="E632" s="72" t="s">
        <v>33</v>
      </c>
      <c r="F632" s="167">
        <v>43249.0</v>
      </c>
      <c r="G632" s="167">
        <v>43249.0</v>
      </c>
      <c r="H632" s="167">
        <v>43249.0</v>
      </c>
      <c r="I632" s="167">
        <v>43249.0</v>
      </c>
      <c r="J632" s="165">
        <v>3.34</v>
      </c>
      <c r="K632" s="165">
        <v>1.24</v>
      </c>
      <c r="L632" s="165">
        <v>2.1</v>
      </c>
      <c r="M632" s="72">
        <v>1.0</v>
      </c>
      <c r="N632" s="165">
        <v>1.24</v>
      </c>
    </row>
    <row r="633">
      <c r="A633" s="72" t="s">
        <v>325</v>
      </c>
      <c r="B633" s="72"/>
      <c r="C633" s="72">
        <v>864.0</v>
      </c>
      <c r="D633" s="72" t="s">
        <v>1232</v>
      </c>
      <c r="E633" s="72" t="s">
        <v>33</v>
      </c>
      <c r="F633" s="167">
        <v>43249.0</v>
      </c>
      <c r="G633" s="167">
        <v>43249.0</v>
      </c>
      <c r="H633" s="167">
        <v>43249.0</v>
      </c>
      <c r="I633" s="167">
        <v>43249.0</v>
      </c>
      <c r="J633" s="165">
        <v>3.34</v>
      </c>
      <c r="K633" s="165">
        <v>1.24</v>
      </c>
      <c r="L633" s="165">
        <v>2.1</v>
      </c>
      <c r="M633" s="72">
        <v>1.0</v>
      </c>
      <c r="N633" s="165">
        <v>1.24</v>
      </c>
    </row>
    <row r="634">
      <c r="A634" s="72" t="s">
        <v>325</v>
      </c>
      <c r="B634" s="72"/>
      <c r="C634" s="72">
        <v>865.0</v>
      </c>
      <c r="D634" s="72" t="s">
        <v>1233</v>
      </c>
      <c r="E634" s="72" t="s">
        <v>33</v>
      </c>
      <c r="F634" s="167">
        <v>43249.0</v>
      </c>
      <c r="G634" s="167">
        <v>43249.0</v>
      </c>
      <c r="H634" s="167">
        <v>43249.0</v>
      </c>
      <c r="I634" s="167">
        <v>43249.0</v>
      </c>
      <c r="J634" s="165">
        <v>3.34</v>
      </c>
      <c r="K634" s="165">
        <v>1.24</v>
      </c>
      <c r="L634" s="165">
        <v>2.1</v>
      </c>
      <c r="M634" s="72">
        <v>1.0</v>
      </c>
      <c r="N634" s="165">
        <v>1.24</v>
      </c>
    </row>
    <row r="635">
      <c r="A635" s="72" t="s">
        <v>325</v>
      </c>
      <c r="B635" s="72"/>
      <c r="C635" s="72">
        <v>866.0</v>
      </c>
      <c r="D635" s="72" t="s">
        <v>1234</v>
      </c>
      <c r="E635" s="72" t="s">
        <v>33</v>
      </c>
      <c r="F635" s="167">
        <v>43249.0</v>
      </c>
      <c r="G635" s="167">
        <v>43249.0</v>
      </c>
      <c r="H635" s="167">
        <v>43249.0</v>
      </c>
      <c r="I635" s="167">
        <v>43249.0</v>
      </c>
      <c r="J635" s="165">
        <v>3.33</v>
      </c>
      <c r="K635" s="165">
        <v>1.23</v>
      </c>
      <c r="L635" s="165">
        <v>2.1</v>
      </c>
      <c r="M635" s="72">
        <v>1.0</v>
      </c>
      <c r="N635" s="165">
        <v>1.23</v>
      </c>
    </row>
    <row r="636">
      <c r="A636" s="72" t="s">
        <v>325</v>
      </c>
      <c r="B636" s="72"/>
      <c r="C636" s="72">
        <v>867.0</v>
      </c>
      <c r="D636" s="72" t="s">
        <v>1235</v>
      </c>
      <c r="E636" s="72" t="s">
        <v>33</v>
      </c>
      <c r="F636" s="167">
        <v>43249.0</v>
      </c>
      <c r="G636" s="167">
        <v>43249.0</v>
      </c>
      <c r="H636" s="167">
        <v>43249.0</v>
      </c>
      <c r="I636" s="167">
        <v>43249.0</v>
      </c>
      <c r="J636" s="165">
        <v>3.33</v>
      </c>
      <c r="K636" s="165">
        <v>1.23</v>
      </c>
      <c r="L636" s="165">
        <v>2.1</v>
      </c>
      <c r="M636" s="72">
        <v>1.0</v>
      </c>
      <c r="N636" s="165">
        <v>1.23</v>
      </c>
    </row>
    <row r="637">
      <c r="A637" s="72" t="s">
        <v>325</v>
      </c>
      <c r="B637" s="72"/>
      <c r="C637" s="72">
        <v>868.0</v>
      </c>
      <c r="D637" s="72" t="s">
        <v>1236</v>
      </c>
      <c r="E637" s="72" t="s">
        <v>33</v>
      </c>
      <c r="F637" s="167">
        <v>43249.0</v>
      </c>
      <c r="G637" s="167">
        <v>43249.0</v>
      </c>
      <c r="H637" s="167">
        <v>43249.0</v>
      </c>
      <c r="I637" s="167">
        <v>43249.0</v>
      </c>
      <c r="J637" s="165">
        <v>3.33</v>
      </c>
      <c r="K637" s="165">
        <v>1.23</v>
      </c>
      <c r="L637" s="165">
        <v>2.1</v>
      </c>
      <c r="M637" s="72">
        <v>1.0</v>
      </c>
      <c r="N637" s="165">
        <v>1.23</v>
      </c>
    </row>
    <row r="638">
      <c r="A638" s="72" t="s">
        <v>325</v>
      </c>
      <c r="B638" s="72"/>
      <c r="C638" s="72">
        <v>869.0</v>
      </c>
      <c r="D638" s="72" t="s">
        <v>1237</v>
      </c>
      <c r="E638" s="72" t="s">
        <v>33</v>
      </c>
      <c r="F638" s="167">
        <v>43249.0</v>
      </c>
      <c r="G638" s="167">
        <v>43249.0</v>
      </c>
      <c r="H638" s="167">
        <v>43249.0</v>
      </c>
      <c r="I638" s="167">
        <v>43249.0</v>
      </c>
      <c r="J638" s="165">
        <v>3.33</v>
      </c>
      <c r="K638" s="165">
        <v>1.23</v>
      </c>
      <c r="L638" s="165">
        <v>2.1</v>
      </c>
      <c r="M638" s="72">
        <v>1.0</v>
      </c>
      <c r="N638" s="165">
        <v>1.23</v>
      </c>
    </row>
    <row r="639">
      <c r="A639" s="72" t="s">
        <v>325</v>
      </c>
      <c r="B639" s="72"/>
      <c r="C639" s="72">
        <v>870.0</v>
      </c>
      <c r="D639" s="72" t="s">
        <v>1238</v>
      </c>
      <c r="E639" s="72" t="s">
        <v>33</v>
      </c>
      <c r="F639" s="167">
        <v>43249.0</v>
      </c>
      <c r="G639" s="167">
        <v>43249.0</v>
      </c>
      <c r="H639" s="167">
        <v>43249.0</v>
      </c>
      <c r="I639" s="167">
        <v>43249.0</v>
      </c>
      <c r="J639" s="165">
        <v>3.33</v>
      </c>
      <c r="K639" s="165">
        <v>1.23</v>
      </c>
      <c r="L639" s="165">
        <v>2.1</v>
      </c>
      <c r="M639" s="72">
        <v>1.0</v>
      </c>
      <c r="N639" s="165">
        <v>1.23</v>
      </c>
    </row>
    <row r="640">
      <c r="A640" s="72" t="s">
        <v>325</v>
      </c>
      <c r="B640" s="72"/>
      <c r="C640" s="72">
        <v>740.0</v>
      </c>
      <c r="D640" s="72" t="s">
        <v>1239</v>
      </c>
      <c r="E640" s="72" t="s">
        <v>33</v>
      </c>
      <c r="F640" s="167">
        <v>43305.0</v>
      </c>
      <c r="G640" s="167">
        <v>43668.0</v>
      </c>
      <c r="H640" s="167">
        <v>43668.0</v>
      </c>
      <c r="I640" s="167">
        <v>43668.0</v>
      </c>
      <c r="J640" s="55">
        <v>5.0</v>
      </c>
      <c r="K640" s="55">
        <v>3.0</v>
      </c>
      <c r="L640" s="165">
        <v>2.0</v>
      </c>
      <c r="M640" s="72">
        <v>1.0</v>
      </c>
      <c r="N640" s="165">
        <v>3.0</v>
      </c>
    </row>
    <row r="641">
      <c r="A641" s="72" t="s">
        <v>325</v>
      </c>
      <c r="B641" s="72"/>
      <c r="C641" s="72">
        <v>741.0</v>
      </c>
      <c r="D641" s="72" t="s">
        <v>1240</v>
      </c>
      <c r="E641" s="72" t="s">
        <v>33</v>
      </c>
      <c r="F641" s="167">
        <v>43305.0</v>
      </c>
      <c r="G641" s="167">
        <v>43668.0</v>
      </c>
      <c r="H641" s="167">
        <v>43668.0</v>
      </c>
      <c r="I641" s="167">
        <v>43668.0</v>
      </c>
      <c r="J641" s="165">
        <v>5.0</v>
      </c>
      <c r="K641" s="165">
        <v>3.0</v>
      </c>
      <c r="L641" s="165">
        <v>2.0</v>
      </c>
      <c r="M641" s="72">
        <v>1.0</v>
      </c>
      <c r="N641" s="165">
        <v>3.0</v>
      </c>
    </row>
    <row r="642">
      <c r="A642" s="72" t="s">
        <v>325</v>
      </c>
      <c r="B642" s="72"/>
      <c r="C642" s="72">
        <v>742.0</v>
      </c>
      <c r="D642" s="72" t="s">
        <v>1241</v>
      </c>
      <c r="E642" s="72" t="s">
        <v>33</v>
      </c>
      <c r="F642" s="167">
        <v>43305.0</v>
      </c>
      <c r="G642" s="167">
        <v>43668.0</v>
      </c>
      <c r="H642" s="167">
        <v>43668.0</v>
      </c>
      <c r="I642" s="167">
        <v>43668.0</v>
      </c>
      <c r="J642" s="165">
        <v>5.0</v>
      </c>
      <c r="K642" s="165">
        <v>3.0</v>
      </c>
      <c r="L642" s="165">
        <v>2.0</v>
      </c>
      <c r="M642" s="72">
        <v>1.0</v>
      </c>
      <c r="N642" s="165">
        <v>3.0</v>
      </c>
    </row>
    <row r="643">
      <c r="A643" s="72" t="s">
        <v>325</v>
      </c>
      <c r="B643" s="72"/>
      <c r="C643" s="72">
        <v>743.0</v>
      </c>
      <c r="D643" s="72" t="s">
        <v>1242</v>
      </c>
      <c r="E643" s="72" t="s">
        <v>33</v>
      </c>
      <c r="F643" s="167">
        <v>43305.0</v>
      </c>
      <c r="G643" s="167">
        <v>43668.0</v>
      </c>
      <c r="H643" s="167">
        <v>43668.0</v>
      </c>
      <c r="I643" s="167">
        <v>43668.0</v>
      </c>
      <c r="J643" s="165">
        <v>4.99</v>
      </c>
      <c r="K643" s="165">
        <v>2.99</v>
      </c>
      <c r="L643" s="165">
        <v>2.0</v>
      </c>
      <c r="M643" s="72">
        <v>1.0</v>
      </c>
      <c r="N643" s="165">
        <v>2.99</v>
      </c>
    </row>
    <row r="644">
      <c r="A644" s="72" t="s">
        <v>325</v>
      </c>
      <c r="B644" s="72"/>
      <c r="C644" s="72">
        <v>744.0</v>
      </c>
      <c r="D644" s="72" t="s">
        <v>1243</v>
      </c>
      <c r="E644" s="72" t="s">
        <v>33</v>
      </c>
      <c r="F644" s="167">
        <v>43305.0</v>
      </c>
      <c r="G644" s="167">
        <v>43668.0</v>
      </c>
      <c r="H644" s="167">
        <v>43668.0</v>
      </c>
      <c r="I644" s="167">
        <v>43668.0</v>
      </c>
      <c r="J644" s="55">
        <v>5.0</v>
      </c>
      <c r="K644" s="55">
        <v>3.0</v>
      </c>
      <c r="L644" s="165">
        <v>2.0</v>
      </c>
      <c r="M644" s="72">
        <v>1.0</v>
      </c>
      <c r="N644" s="165">
        <v>3.0</v>
      </c>
    </row>
    <row r="645">
      <c r="A645" s="72" t="s">
        <v>325</v>
      </c>
      <c r="B645" s="72"/>
      <c r="C645" s="72">
        <v>745.0</v>
      </c>
      <c r="D645" s="72" t="s">
        <v>1244</v>
      </c>
      <c r="E645" s="72" t="s">
        <v>33</v>
      </c>
      <c r="F645" s="167">
        <v>43305.0</v>
      </c>
      <c r="G645" s="167">
        <v>43668.0</v>
      </c>
      <c r="H645" s="167">
        <v>43668.0</v>
      </c>
      <c r="I645" s="167">
        <v>43668.0</v>
      </c>
      <c r="J645" s="165">
        <v>5.0</v>
      </c>
      <c r="K645" s="165">
        <v>3.0</v>
      </c>
      <c r="L645" s="165">
        <v>2.0</v>
      </c>
      <c r="M645" s="72">
        <v>1.0</v>
      </c>
      <c r="N645" s="165">
        <v>3.0</v>
      </c>
    </row>
    <row r="646">
      <c r="A646" s="72" t="s">
        <v>325</v>
      </c>
      <c r="B646" s="72"/>
      <c r="C646" s="72">
        <v>746.0</v>
      </c>
      <c r="D646" s="72" t="s">
        <v>1245</v>
      </c>
      <c r="E646" s="72" t="s">
        <v>33</v>
      </c>
      <c r="F646" s="167">
        <v>43305.0</v>
      </c>
      <c r="G646" s="167">
        <v>43668.0</v>
      </c>
      <c r="H646" s="167">
        <v>43668.0</v>
      </c>
      <c r="I646" s="167">
        <v>43668.0</v>
      </c>
      <c r="J646" s="165">
        <v>5.0</v>
      </c>
      <c r="K646" s="165">
        <v>3.0</v>
      </c>
      <c r="L646" s="165">
        <v>2.0</v>
      </c>
      <c r="M646" s="72">
        <v>1.0</v>
      </c>
      <c r="N646" s="165">
        <v>3.0</v>
      </c>
    </row>
    <row r="647">
      <c r="A647" s="72" t="s">
        <v>325</v>
      </c>
      <c r="B647" s="72"/>
      <c r="C647" s="72">
        <v>747.0</v>
      </c>
      <c r="D647" s="72" t="s">
        <v>1246</v>
      </c>
      <c r="E647" s="72" t="s">
        <v>33</v>
      </c>
      <c r="F647" s="167">
        <v>43305.0</v>
      </c>
      <c r="G647" s="167">
        <v>43668.0</v>
      </c>
      <c r="H647" s="167">
        <v>43668.0</v>
      </c>
      <c r="I647" s="167">
        <v>43668.0</v>
      </c>
      <c r="J647" s="165">
        <v>4.99</v>
      </c>
      <c r="K647" s="165">
        <v>2.99</v>
      </c>
      <c r="L647" s="165">
        <v>2.0</v>
      </c>
      <c r="M647" s="72">
        <v>1.0</v>
      </c>
      <c r="N647" s="165">
        <v>2.99</v>
      </c>
    </row>
    <row r="648">
      <c r="A648" s="185" t="s">
        <v>325</v>
      </c>
      <c r="B648" s="186"/>
      <c r="C648" s="187">
        <v>1096.0</v>
      </c>
      <c r="D648" s="186" t="s">
        <v>1247</v>
      </c>
      <c r="E648" s="186" t="s">
        <v>33</v>
      </c>
      <c r="F648" s="188">
        <v>43333.0</v>
      </c>
      <c r="G648" s="188">
        <v>45999.0</v>
      </c>
      <c r="H648" s="188">
        <v>45999.0</v>
      </c>
      <c r="I648" s="188">
        <v>45999.0</v>
      </c>
      <c r="J648" s="185">
        <v>17.5</v>
      </c>
      <c r="K648" s="185">
        <v>2.62</v>
      </c>
      <c r="L648" s="185">
        <f t="shared" ref="L648:L649" si="50">J648-K648</f>
        <v>14.88</v>
      </c>
      <c r="M648" s="189">
        <v>1.0</v>
      </c>
      <c r="N648" s="185">
        <f t="shared" ref="N648:N649" si="51">K648/M648</f>
        <v>2.62</v>
      </c>
    </row>
    <row r="649">
      <c r="A649" s="190" t="s">
        <v>325</v>
      </c>
      <c r="B649" s="191"/>
      <c r="C649" s="192">
        <v>1097.0</v>
      </c>
      <c r="D649" s="191" t="s">
        <v>1248</v>
      </c>
      <c r="E649" s="191" t="s">
        <v>33</v>
      </c>
      <c r="F649" s="193">
        <v>43333.0</v>
      </c>
      <c r="G649" s="193">
        <v>45999.0</v>
      </c>
      <c r="H649" s="193">
        <v>45999.0</v>
      </c>
      <c r="I649" s="193">
        <v>45999.0</v>
      </c>
      <c r="J649" s="190">
        <v>17.49</v>
      </c>
      <c r="K649" s="190">
        <v>2.62</v>
      </c>
      <c r="L649" s="190">
        <f t="shared" si="50"/>
        <v>14.87</v>
      </c>
      <c r="M649" s="194">
        <v>1.0</v>
      </c>
      <c r="N649" s="190">
        <f t="shared" si="51"/>
        <v>2.62</v>
      </c>
    </row>
    <row r="650">
      <c r="A650" s="72" t="s">
        <v>325</v>
      </c>
      <c r="B650" s="72"/>
      <c r="C650" s="72">
        <v>706.0</v>
      </c>
      <c r="D650" s="72" t="s">
        <v>1249</v>
      </c>
      <c r="E650" s="72" t="s">
        <v>33</v>
      </c>
      <c r="F650" s="167">
        <v>43340.0</v>
      </c>
      <c r="G650" s="167">
        <v>44474.0</v>
      </c>
      <c r="H650" s="167">
        <v>44576.0</v>
      </c>
      <c r="I650" s="167">
        <v>45616.0</v>
      </c>
      <c r="J650" s="165">
        <v>19.99</v>
      </c>
      <c r="K650" s="165">
        <v>6.99</v>
      </c>
      <c r="L650" s="165">
        <v>13.0</v>
      </c>
      <c r="M650" s="72">
        <v>174.0</v>
      </c>
      <c r="N650" s="165">
        <v>0.04</v>
      </c>
    </row>
    <row r="651">
      <c r="A651" s="72" t="s">
        <v>325</v>
      </c>
      <c r="B651" s="72"/>
      <c r="C651" s="72">
        <v>847.0</v>
      </c>
      <c r="D651" s="72" t="s">
        <v>1250</v>
      </c>
      <c r="E651" s="72" t="s">
        <v>33</v>
      </c>
      <c r="F651" s="167">
        <v>43392.0</v>
      </c>
      <c r="G651" s="167">
        <v>43392.0</v>
      </c>
      <c r="H651" s="167">
        <v>43392.0</v>
      </c>
      <c r="I651" s="167">
        <v>43392.0</v>
      </c>
      <c r="J651" s="165">
        <v>99.99</v>
      </c>
      <c r="K651" s="165">
        <v>99.99</v>
      </c>
      <c r="L651" s="165">
        <v>0.0</v>
      </c>
      <c r="M651" s="72">
        <v>1.0</v>
      </c>
      <c r="N651" s="165">
        <v>99.99</v>
      </c>
    </row>
    <row r="652">
      <c r="A652" s="72" t="s">
        <v>325</v>
      </c>
      <c r="B652" s="72" t="s">
        <v>349</v>
      </c>
      <c r="C652" s="72">
        <v>903.0</v>
      </c>
      <c r="D652" s="55" t="s">
        <v>1251</v>
      </c>
      <c r="E652" s="55" t="s">
        <v>33</v>
      </c>
      <c r="F652" s="167">
        <v>43413.0</v>
      </c>
      <c r="G652" s="167">
        <v>43475.0</v>
      </c>
      <c r="H652" s="167">
        <v>43476.0</v>
      </c>
      <c r="I652" s="167">
        <v>44528.0</v>
      </c>
      <c r="J652" s="55">
        <v>39.99</v>
      </c>
      <c r="K652" s="55">
        <v>39.99</v>
      </c>
      <c r="L652" s="165">
        <v>0.0</v>
      </c>
      <c r="M652" s="72">
        <v>14.0</v>
      </c>
      <c r="N652" s="165">
        <v>2.86</v>
      </c>
    </row>
    <row r="653">
      <c r="A653" s="72" t="s">
        <v>325</v>
      </c>
      <c r="B653" s="72"/>
      <c r="C653" s="72">
        <v>808.0</v>
      </c>
      <c r="D653" s="72" t="s">
        <v>1252</v>
      </c>
      <c r="E653" s="72" t="s">
        <v>33</v>
      </c>
      <c r="F653" s="167">
        <v>43490.0</v>
      </c>
      <c r="G653" s="167">
        <v>43490.0</v>
      </c>
      <c r="H653" s="167">
        <v>43491.0</v>
      </c>
      <c r="I653" s="167">
        <v>43505.0</v>
      </c>
      <c r="J653" s="165">
        <v>59.99</v>
      </c>
      <c r="K653" s="165">
        <v>59.99</v>
      </c>
      <c r="L653" s="165">
        <v>0.0</v>
      </c>
      <c r="M653" s="72">
        <v>34.0</v>
      </c>
      <c r="N653" s="165">
        <v>1.76</v>
      </c>
    </row>
    <row r="654">
      <c r="A654" s="72" t="s">
        <v>325</v>
      </c>
      <c r="B654" s="72"/>
      <c r="C654" s="72">
        <v>691.0</v>
      </c>
      <c r="D654" s="72" t="s">
        <v>1253</v>
      </c>
      <c r="E654" s="72" t="s">
        <v>33</v>
      </c>
      <c r="F654" s="167">
        <v>43494.0</v>
      </c>
      <c r="G654" s="167">
        <v>43786.0</v>
      </c>
      <c r="H654" s="167">
        <v>43965.0</v>
      </c>
      <c r="I654" s="167">
        <v>43973.0</v>
      </c>
      <c r="J654" s="165">
        <v>35.99</v>
      </c>
      <c r="K654" s="165">
        <v>12.09</v>
      </c>
      <c r="L654" s="165">
        <v>23.9</v>
      </c>
      <c r="M654" s="72">
        <v>31.0</v>
      </c>
      <c r="N654" s="165">
        <v>0.39</v>
      </c>
    </row>
    <row r="655">
      <c r="A655" s="72" t="s">
        <v>325</v>
      </c>
      <c r="B655" s="72"/>
      <c r="C655" s="72">
        <v>585.0</v>
      </c>
      <c r="D655" s="72" t="s">
        <v>1254</v>
      </c>
      <c r="E655" s="72" t="s">
        <v>33</v>
      </c>
      <c r="F655" s="167">
        <v>43532.0</v>
      </c>
      <c r="G655" s="167">
        <v>43685.0</v>
      </c>
      <c r="H655" s="167">
        <v>43688.0</v>
      </c>
      <c r="I655" s="167">
        <v>43688.0</v>
      </c>
      <c r="J655" s="165">
        <v>49.99</v>
      </c>
      <c r="K655" s="165">
        <v>44.99</v>
      </c>
      <c r="L655" s="165">
        <v>5.0</v>
      </c>
      <c r="M655" s="72">
        <v>1.0</v>
      </c>
      <c r="N655" s="165">
        <v>44.99</v>
      </c>
    </row>
    <row r="656">
      <c r="A656" s="72" t="s">
        <v>325</v>
      </c>
      <c r="B656" s="72"/>
      <c r="C656" s="72">
        <v>830.0</v>
      </c>
      <c r="D656" s="72" t="s">
        <v>1255</v>
      </c>
      <c r="E656" s="72" t="s">
        <v>33</v>
      </c>
      <c r="F656" s="167">
        <v>43546.0</v>
      </c>
      <c r="G656" s="167">
        <v>43824.0</v>
      </c>
      <c r="H656" s="167">
        <v>44267.0</v>
      </c>
      <c r="I656" s="167">
        <v>44267.0</v>
      </c>
      <c r="J656" s="165">
        <v>69.99</v>
      </c>
      <c r="K656" s="165">
        <v>45.49</v>
      </c>
      <c r="L656" s="165">
        <v>24.5</v>
      </c>
      <c r="M656" s="72">
        <v>5.0</v>
      </c>
      <c r="N656" s="165">
        <v>9.1</v>
      </c>
    </row>
    <row r="657">
      <c r="A657" s="39" t="s">
        <v>325</v>
      </c>
      <c r="B657" s="39"/>
      <c r="C657" s="72">
        <v>680.0</v>
      </c>
      <c r="D657" s="72" t="s">
        <v>1256</v>
      </c>
      <c r="E657" s="72" t="s">
        <v>33</v>
      </c>
      <c r="F657" s="167">
        <v>43641.0</v>
      </c>
      <c r="G657" s="167">
        <v>44983.0</v>
      </c>
      <c r="H657" s="167">
        <v>45371.0</v>
      </c>
      <c r="I657" s="167">
        <v>45768.0</v>
      </c>
      <c r="J657" s="165">
        <v>39.99</v>
      </c>
      <c r="K657" s="165">
        <v>15.97</v>
      </c>
      <c r="L657" s="165">
        <v>24.02</v>
      </c>
      <c r="M657" s="72">
        <v>150.0</v>
      </c>
      <c r="N657" s="165">
        <v>0.11</v>
      </c>
    </row>
    <row r="658">
      <c r="A658" s="72" t="s">
        <v>325</v>
      </c>
      <c r="B658" s="72"/>
      <c r="C658" s="72">
        <v>552.0</v>
      </c>
      <c r="D658" s="72" t="s">
        <v>1257</v>
      </c>
      <c r="E658" s="72" t="s">
        <v>33</v>
      </c>
      <c r="F658" s="167">
        <v>43735.0</v>
      </c>
      <c r="G658" s="167">
        <v>44992.0</v>
      </c>
      <c r="H658" s="167">
        <v>44992.0</v>
      </c>
      <c r="I658" s="167">
        <v>44992.0</v>
      </c>
      <c r="J658" s="165">
        <v>69.99</v>
      </c>
      <c r="K658" s="165">
        <v>0.0</v>
      </c>
      <c r="L658" s="165">
        <v>69.99</v>
      </c>
      <c r="M658" s="72">
        <v>1.0</v>
      </c>
      <c r="N658" s="165">
        <v>0.0</v>
      </c>
    </row>
    <row r="659">
      <c r="A659" s="72" t="s">
        <v>325</v>
      </c>
      <c r="B659" s="72"/>
      <c r="C659" s="72">
        <v>875.0</v>
      </c>
      <c r="D659" s="72" t="s">
        <v>1258</v>
      </c>
      <c r="E659" s="72" t="s">
        <v>33</v>
      </c>
      <c r="F659" s="167">
        <v>43767.0</v>
      </c>
      <c r="G659" s="167">
        <v>44377.0</v>
      </c>
      <c r="H659" s="167">
        <v>44377.0</v>
      </c>
      <c r="I659" s="167">
        <v>44465.0</v>
      </c>
      <c r="J659" s="165">
        <v>39.99</v>
      </c>
      <c r="K659" s="165">
        <v>19.99</v>
      </c>
      <c r="L659" s="165">
        <v>20.0</v>
      </c>
      <c r="M659" s="72">
        <v>6.0</v>
      </c>
      <c r="N659" s="165">
        <v>3.33</v>
      </c>
    </row>
    <row r="660">
      <c r="A660" s="72" t="s">
        <v>325</v>
      </c>
      <c r="B660" s="72"/>
      <c r="C660" s="72">
        <v>771.0</v>
      </c>
      <c r="D660" s="55" t="s">
        <v>1259</v>
      </c>
      <c r="E660" s="55" t="s">
        <v>33</v>
      </c>
      <c r="F660" s="167">
        <v>43903.0</v>
      </c>
      <c r="G660" s="167">
        <v>44867.0</v>
      </c>
      <c r="H660" s="167">
        <v>44867.0</v>
      </c>
      <c r="I660" s="167">
        <v>44867.0</v>
      </c>
      <c r="J660" s="165">
        <v>59.99</v>
      </c>
      <c r="K660" s="165">
        <v>0.0</v>
      </c>
      <c r="L660" s="165">
        <v>59.99</v>
      </c>
      <c r="M660" s="72">
        <v>1.0</v>
      </c>
      <c r="N660" s="165">
        <v>0.0</v>
      </c>
    </row>
    <row r="661">
      <c r="A661" s="72" t="s">
        <v>325</v>
      </c>
      <c r="B661" s="72" t="s">
        <v>329</v>
      </c>
      <c r="C661" s="72">
        <v>649.0</v>
      </c>
      <c r="D661" s="72" t="s">
        <v>1260</v>
      </c>
      <c r="E661" s="72" t="s">
        <v>33</v>
      </c>
      <c r="F661" s="167">
        <v>43917.0</v>
      </c>
      <c r="G661" s="167">
        <v>44811.0</v>
      </c>
      <c r="H661" s="167">
        <v>44811.0</v>
      </c>
      <c r="I661" s="167">
        <v>44811.0</v>
      </c>
      <c r="J661" s="55">
        <v>19.99</v>
      </c>
      <c r="K661" s="55">
        <v>0.0</v>
      </c>
      <c r="L661" s="165">
        <v>19.99</v>
      </c>
      <c r="M661" s="72">
        <v>1.0</v>
      </c>
      <c r="N661" s="165">
        <v>0.0</v>
      </c>
    </row>
    <row r="662">
      <c r="A662" s="72" t="s">
        <v>325</v>
      </c>
      <c r="B662" s="72"/>
      <c r="C662" s="72">
        <v>809.0</v>
      </c>
      <c r="D662" s="72" t="s">
        <v>1261</v>
      </c>
      <c r="E662" s="72" t="s">
        <v>33</v>
      </c>
      <c r="F662" s="167">
        <v>43924.0</v>
      </c>
      <c r="G662" s="167">
        <v>44469.0</v>
      </c>
      <c r="H662" s="167">
        <v>44470.0</v>
      </c>
      <c r="I662" s="167">
        <v>44471.0</v>
      </c>
      <c r="J662" s="165">
        <v>59.99</v>
      </c>
      <c r="K662" s="165">
        <v>19.79</v>
      </c>
      <c r="L662" s="165">
        <v>40.2</v>
      </c>
      <c r="M662" s="72">
        <v>20.0</v>
      </c>
      <c r="N662" s="165">
        <v>0.99</v>
      </c>
    </row>
    <row r="663">
      <c r="A663" s="72" t="s">
        <v>325</v>
      </c>
      <c r="B663" s="72"/>
      <c r="C663" s="72">
        <v>810.0</v>
      </c>
      <c r="D663" s="72" t="s">
        <v>1262</v>
      </c>
      <c r="E663" s="72" t="s">
        <v>33</v>
      </c>
      <c r="F663" s="167">
        <v>43924.0</v>
      </c>
      <c r="G663" s="167">
        <v>44469.0</v>
      </c>
      <c r="H663" s="167">
        <v>44469.0</v>
      </c>
      <c r="I663" s="167">
        <v>44469.0</v>
      </c>
      <c r="J663" s="165">
        <v>0.0</v>
      </c>
      <c r="K663" s="165">
        <v>0.0</v>
      </c>
      <c r="L663" s="165">
        <v>0.0</v>
      </c>
      <c r="M663" s="72">
        <v>1.0</v>
      </c>
      <c r="N663" s="165">
        <v>0.0</v>
      </c>
    </row>
    <row r="664">
      <c r="A664" s="72" t="s">
        <v>325</v>
      </c>
      <c r="B664" s="72"/>
      <c r="C664" s="72">
        <v>630.0</v>
      </c>
      <c r="D664" s="72" t="s">
        <v>1263</v>
      </c>
      <c r="E664" s="72" t="s">
        <v>33</v>
      </c>
      <c r="F664" s="167">
        <v>43931.0</v>
      </c>
      <c r="G664" s="167">
        <v>44776.0</v>
      </c>
      <c r="H664" s="167">
        <v>44830.0</v>
      </c>
      <c r="I664" s="167">
        <v>44835.0</v>
      </c>
      <c r="J664" s="165">
        <v>79.99</v>
      </c>
      <c r="K664" s="165">
        <v>45.59</v>
      </c>
      <c r="L664" s="165">
        <v>34.4</v>
      </c>
      <c r="M664" s="72">
        <v>38.0</v>
      </c>
      <c r="N664" s="165">
        <v>1.2</v>
      </c>
    </row>
    <row r="665">
      <c r="A665" s="72" t="s">
        <v>325</v>
      </c>
      <c r="B665" s="72" t="s">
        <v>343</v>
      </c>
      <c r="C665" s="72">
        <v>684.0</v>
      </c>
      <c r="D665" s="72" t="s">
        <v>1264</v>
      </c>
      <c r="E665" s="72" t="s">
        <v>33</v>
      </c>
      <c r="F665" s="167">
        <v>44068.0</v>
      </c>
      <c r="G665" s="167">
        <v>44623.0</v>
      </c>
      <c r="H665" s="167">
        <v>44639.0</v>
      </c>
      <c r="I665" s="167">
        <v>44641.0</v>
      </c>
      <c r="J665" s="165">
        <v>39.99</v>
      </c>
      <c r="K665" s="165">
        <v>14.79</v>
      </c>
      <c r="L665" s="165">
        <v>25.2</v>
      </c>
      <c r="M665" s="72">
        <v>11.0</v>
      </c>
      <c r="N665" s="165">
        <v>1.34</v>
      </c>
    </row>
    <row r="666">
      <c r="A666" s="39" t="s">
        <v>325</v>
      </c>
      <c r="B666" s="39" t="s">
        <v>366</v>
      </c>
      <c r="C666" s="72">
        <v>542.0</v>
      </c>
      <c r="D666" s="72" t="s">
        <v>1265</v>
      </c>
      <c r="E666" s="72" t="s">
        <v>33</v>
      </c>
      <c r="F666" s="167">
        <v>44071.0</v>
      </c>
      <c r="G666" s="167">
        <v>44539.0</v>
      </c>
      <c r="H666" s="167">
        <v>45749.0</v>
      </c>
      <c r="I666" s="167">
        <v>45749.0</v>
      </c>
      <c r="J666" s="165">
        <v>59.99</v>
      </c>
      <c r="K666" s="165">
        <v>19.79</v>
      </c>
      <c r="L666" s="165">
        <v>40.2</v>
      </c>
      <c r="M666" s="72">
        <v>2.0</v>
      </c>
      <c r="N666" s="55">
        <v>9.9</v>
      </c>
    </row>
    <row r="667">
      <c r="A667" s="72" t="s">
        <v>325</v>
      </c>
      <c r="B667" s="72" t="s">
        <v>333</v>
      </c>
      <c r="C667" s="72">
        <v>595.0</v>
      </c>
      <c r="D667" s="72" t="s">
        <v>1266</v>
      </c>
      <c r="E667" s="72" t="s">
        <v>33</v>
      </c>
      <c r="F667" s="167">
        <v>44078.0</v>
      </c>
      <c r="G667" s="167">
        <v>45518.0</v>
      </c>
      <c r="H667" s="167">
        <v>45518.0</v>
      </c>
      <c r="I667" s="167">
        <v>45518.0</v>
      </c>
      <c r="J667" s="165">
        <v>49.99</v>
      </c>
      <c r="K667" s="165">
        <v>4.99</v>
      </c>
      <c r="L667" s="165">
        <v>45.0</v>
      </c>
      <c r="M667" s="72">
        <v>1.0</v>
      </c>
      <c r="N667" s="165">
        <v>4.99</v>
      </c>
    </row>
    <row r="668">
      <c r="A668" s="72" t="s">
        <v>325</v>
      </c>
      <c r="B668" s="72"/>
      <c r="C668" s="72">
        <v>980.0</v>
      </c>
      <c r="D668" s="72" t="s">
        <v>1267</v>
      </c>
      <c r="E668" s="72" t="s">
        <v>33</v>
      </c>
      <c r="F668" s="167">
        <v>44118.0</v>
      </c>
      <c r="G668" s="167">
        <v>44923.0</v>
      </c>
      <c r="H668" s="167">
        <v>44923.0</v>
      </c>
      <c r="I668" s="167">
        <v>44923.0</v>
      </c>
      <c r="J668" s="165">
        <v>25.0</v>
      </c>
      <c r="K668" s="165">
        <v>11.25</v>
      </c>
      <c r="L668" s="165">
        <v>13.75</v>
      </c>
      <c r="M668" s="72">
        <v>1.0</v>
      </c>
      <c r="N668" s="165">
        <v>11.25</v>
      </c>
    </row>
    <row r="669">
      <c r="A669" s="72" t="s">
        <v>325</v>
      </c>
      <c r="B669" s="72"/>
      <c r="C669" s="72">
        <v>981.0</v>
      </c>
      <c r="D669" s="72" t="s">
        <v>1268</v>
      </c>
      <c r="E669" s="72" t="s">
        <v>33</v>
      </c>
      <c r="F669" s="167">
        <v>44118.0</v>
      </c>
      <c r="G669" s="167">
        <v>44923.0</v>
      </c>
      <c r="H669" s="167">
        <v>44923.0</v>
      </c>
      <c r="I669" s="167">
        <v>44923.0</v>
      </c>
      <c r="J669" s="165">
        <v>24.99</v>
      </c>
      <c r="K669" s="165">
        <v>11.24</v>
      </c>
      <c r="L669" s="165">
        <v>13.75</v>
      </c>
      <c r="M669" s="72">
        <v>1.0</v>
      </c>
      <c r="N669" s="165">
        <v>11.24</v>
      </c>
    </row>
    <row r="670">
      <c r="A670" s="72" t="s">
        <v>325</v>
      </c>
      <c r="B670" s="72"/>
      <c r="C670" s="72">
        <v>708.0</v>
      </c>
      <c r="D670" s="72" t="s">
        <v>1269</v>
      </c>
      <c r="E670" s="72" t="s">
        <v>33</v>
      </c>
      <c r="F670" s="167">
        <v>44145.0</v>
      </c>
      <c r="G670" s="167">
        <v>44356.0</v>
      </c>
      <c r="H670" s="167">
        <v>44359.0</v>
      </c>
      <c r="I670" s="167">
        <v>44370.0</v>
      </c>
      <c r="J670" s="165">
        <v>99.98</v>
      </c>
      <c r="K670" s="165">
        <v>56.98</v>
      </c>
      <c r="L670" s="165">
        <v>43.0</v>
      </c>
      <c r="M670" s="72">
        <v>130.0</v>
      </c>
      <c r="N670" s="165">
        <v>0.44</v>
      </c>
    </row>
    <row r="671">
      <c r="A671" s="72" t="s">
        <v>325</v>
      </c>
      <c r="B671" s="72"/>
      <c r="C671" s="72">
        <v>685.0</v>
      </c>
      <c r="D671" s="72" t="s">
        <v>1270</v>
      </c>
      <c r="E671" s="72" t="s">
        <v>33</v>
      </c>
      <c r="F671" s="167">
        <v>44155.0</v>
      </c>
      <c r="G671" s="167">
        <v>44237.0</v>
      </c>
      <c r="H671" s="167">
        <v>44248.0</v>
      </c>
      <c r="I671" s="167">
        <v>44249.0</v>
      </c>
      <c r="J671" s="165">
        <v>29.99</v>
      </c>
      <c r="K671" s="165">
        <v>20.99</v>
      </c>
      <c r="L671" s="165">
        <v>9.0</v>
      </c>
      <c r="M671" s="72">
        <v>7.0</v>
      </c>
      <c r="N671" s="165">
        <v>3.0</v>
      </c>
    </row>
    <row r="672">
      <c r="A672" s="72" t="s">
        <v>325</v>
      </c>
      <c r="B672" s="72" t="s">
        <v>354</v>
      </c>
      <c r="C672" s="72">
        <v>791.0</v>
      </c>
      <c r="D672" s="72" t="s">
        <v>1271</v>
      </c>
      <c r="E672" s="72" t="s">
        <v>33</v>
      </c>
      <c r="F672" s="167">
        <v>44250.0</v>
      </c>
      <c r="G672" s="167">
        <v>44565.0</v>
      </c>
      <c r="H672" s="167">
        <v>44565.0</v>
      </c>
      <c r="I672" s="167">
        <v>44565.0</v>
      </c>
      <c r="J672" s="165">
        <v>59.99</v>
      </c>
      <c r="K672" s="165">
        <v>0.0</v>
      </c>
      <c r="L672" s="165">
        <v>59.99</v>
      </c>
      <c r="M672" s="72">
        <v>1.0</v>
      </c>
      <c r="N672" s="165">
        <v>0.0</v>
      </c>
    </row>
    <row r="673">
      <c r="A673" s="72" t="s">
        <v>325</v>
      </c>
      <c r="B673" s="72"/>
      <c r="C673" s="72">
        <v>811.0</v>
      </c>
      <c r="D673" s="72" t="s">
        <v>1272</v>
      </c>
      <c r="E673" s="72" t="s">
        <v>33</v>
      </c>
      <c r="F673" s="167">
        <v>44323.0</v>
      </c>
      <c r="G673" s="167">
        <v>44489.0</v>
      </c>
      <c r="H673" s="167">
        <v>44490.0</v>
      </c>
      <c r="I673" s="167">
        <v>44492.0</v>
      </c>
      <c r="J673" s="165">
        <v>69.99</v>
      </c>
      <c r="K673" s="165">
        <v>39.89</v>
      </c>
      <c r="L673" s="165">
        <v>30.1</v>
      </c>
      <c r="M673" s="72">
        <v>15.0</v>
      </c>
      <c r="N673" s="165">
        <v>2.66</v>
      </c>
    </row>
    <row r="674">
      <c r="A674" s="72" t="s">
        <v>325</v>
      </c>
      <c r="B674" s="72" t="s">
        <v>326</v>
      </c>
      <c r="C674" s="72">
        <v>606.0</v>
      </c>
      <c r="D674" s="72" t="s">
        <v>1273</v>
      </c>
      <c r="E674" s="72" t="s">
        <v>33</v>
      </c>
      <c r="F674" s="167">
        <v>44397.0</v>
      </c>
      <c r="G674" s="167">
        <v>45511.0</v>
      </c>
      <c r="H674" s="167">
        <v>45511.0</v>
      </c>
      <c r="I674" s="167">
        <v>45511.0</v>
      </c>
      <c r="J674" s="165">
        <v>29.99</v>
      </c>
      <c r="K674" s="165">
        <v>0.0</v>
      </c>
      <c r="L674" s="165">
        <v>29.99</v>
      </c>
      <c r="M674" s="72">
        <v>1.0</v>
      </c>
      <c r="N674" s="165">
        <v>0.0</v>
      </c>
    </row>
    <row r="675">
      <c r="A675" s="72" t="s">
        <v>325</v>
      </c>
      <c r="B675" s="72"/>
      <c r="C675" s="72">
        <v>846.0</v>
      </c>
      <c r="D675" s="72" t="s">
        <v>1274</v>
      </c>
      <c r="E675" s="72" t="s">
        <v>33</v>
      </c>
      <c r="F675" s="167">
        <v>44446.0</v>
      </c>
      <c r="G675" s="167">
        <v>45720.0</v>
      </c>
      <c r="H675" s="167">
        <v>45720.0</v>
      </c>
      <c r="I675" s="167">
        <v>45720.0</v>
      </c>
      <c r="J675" s="165">
        <v>39.99</v>
      </c>
      <c r="K675" s="165">
        <v>0.0</v>
      </c>
      <c r="L675" s="165">
        <v>39.99</v>
      </c>
      <c r="M675" s="72">
        <v>1.0</v>
      </c>
      <c r="N675" s="165">
        <v>0.0</v>
      </c>
    </row>
    <row r="676">
      <c r="A676" s="39" t="s">
        <v>325</v>
      </c>
      <c r="B676" s="39"/>
      <c r="C676" s="72">
        <v>717.0</v>
      </c>
      <c r="D676" s="72" t="s">
        <v>1275</v>
      </c>
      <c r="E676" s="72" t="s">
        <v>33</v>
      </c>
      <c r="F676" s="167">
        <v>44463.0</v>
      </c>
      <c r="G676" s="167">
        <v>45262.0</v>
      </c>
      <c r="H676" s="167">
        <v>45413.0</v>
      </c>
      <c r="I676" s="167">
        <v>45771.0</v>
      </c>
      <c r="J676" s="165">
        <v>89.99</v>
      </c>
      <c r="K676" s="165">
        <v>22.49</v>
      </c>
      <c r="L676" s="165">
        <v>67.5</v>
      </c>
      <c r="M676" s="72">
        <v>57.0</v>
      </c>
      <c r="N676" s="165">
        <v>0.39</v>
      </c>
    </row>
    <row r="677">
      <c r="A677" s="72" t="s">
        <v>325</v>
      </c>
      <c r="B677" s="72"/>
      <c r="C677" s="72">
        <v>579.0</v>
      </c>
      <c r="D677" s="72" t="s">
        <v>1276</v>
      </c>
      <c r="E677" s="72" t="s">
        <v>33</v>
      </c>
      <c r="F677" s="167">
        <v>44525.0</v>
      </c>
      <c r="G677" s="167">
        <v>44623.0</v>
      </c>
      <c r="H677" s="167">
        <v>44629.0</v>
      </c>
      <c r="I677" s="167">
        <v>44629.0</v>
      </c>
      <c r="J677" s="165">
        <v>16.99</v>
      </c>
      <c r="K677" s="165">
        <v>13.59</v>
      </c>
      <c r="L677" s="165">
        <v>3.4</v>
      </c>
      <c r="M677" s="72">
        <v>2.0</v>
      </c>
      <c r="N677" s="165">
        <v>6.8</v>
      </c>
    </row>
    <row r="678">
      <c r="A678" s="72" t="s">
        <v>325</v>
      </c>
      <c r="B678" s="72" t="s">
        <v>341</v>
      </c>
      <c r="C678" s="72">
        <v>604.0</v>
      </c>
      <c r="D678" s="72" t="s">
        <v>1277</v>
      </c>
      <c r="E678" s="72" t="s">
        <v>33</v>
      </c>
      <c r="F678" s="167">
        <v>44617.0</v>
      </c>
      <c r="G678" s="167">
        <v>45491.0</v>
      </c>
      <c r="H678" s="167">
        <v>45491.0</v>
      </c>
      <c r="I678" s="167">
        <v>45491.0</v>
      </c>
      <c r="J678" s="165">
        <v>59.99</v>
      </c>
      <c r="K678" s="165">
        <v>41.99</v>
      </c>
      <c r="L678" s="165">
        <v>18.0</v>
      </c>
      <c r="M678" s="72">
        <v>1.0</v>
      </c>
      <c r="N678" s="165">
        <v>41.99</v>
      </c>
    </row>
    <row r="679">
      <c r="A679" s="182" t="s">
        <v>325</v>
      </c>
      <c r="B679" s="182"/>
      <c r="C679" s="182">
        <v>842.0</v>
      </c>
      <c r="D679" s="182" t="s">
        <v>1278</v>
      </c>
      <c r="E679" s="182" t="s">
        <v>33</v>
      </c>
      <c r="F679" s="183">
        <v>44735.0</v>
      </c>
      <c r="G679" s="183">
        <v>44817.0</v>
      </c>
      <c r="H679" s="183">
        <v>44818.0</v>
      </c>
      <c r="I679" s="183">
        <v>44824.0</v>
      </c>
      <c r="J679" s="184">
        <v>11.25</v>
      </c>
      <c r="K679" s="184">
        <v>0.0</v>
      </c>
      <c r="L679" s="165">
        <v>11.25</v>
      </c>
      <c r="M679" s="182">
        <v>3.0</v>
      </c>
      <c r="N679" s="165">
        <v>0.0</v>
      </c>
    </row>
    <row r="680">
      <c r="A680" s="72" t="s">
        <v>325</v>
      </c>
      <c r="B680" s="72"/>
      <c r="C680" s="72">
        <v>843.0</v>
      </c>
      <c r="D680" s="72" t="s">
        <v>1279</v>
      </c>
      <c r="E680" s="72" t="s">
        <v>33</v>
      </c>
      <c r="F680" s="167">
        <v>44735.0</v>
      </c>
      <c r="G680" s="167">
        <v>44817.0</v>
      </c>
      <c r="H680" s="167">
        <v>44818.0</v>
      </c>
      <c r="I680" s="167">
        <v>44824.0</v>
      </c>
      <c r="J680" s="165">
        <v>11.25</v>
      </c>
      <c r="K680" s="165">
        <v>0.0</v>
      </c>
      <c r="L680" s="165">
        <v>11.25</v>
      </c>
      <c r="M680" s="72">
        <v>3.0</v>
      </c>
      <c r="N680" s="165">
        <v>0.0</v>
      </c>
    </row>
    <row r="681">
      <c r="A681" s="72" t="s">
        <v>325</v>
      </c>
      <c r="B681" s="72"/>
      <c r="C681" s="72">
        <v>844.0</v>
      </c>
      <c r="D681" s="72" t="s">
        <v>1280</v>
      </c>
      <c r="E681" s="72" t="s">
        <v>33</v>
      </c>
      <c r="F681" s="167">
        <v>44735.0</v>
      </c>
      <c r="G681" s="167">
        <v>44817.0</v>
      </c>
      <c r="H681" s="167">
        <v>44818.0</v>
      </c>
      <c r="I681" s="167">
        <v>44824.0</v>
      </c>
      <c r="J681" s="165">
        <v>11.24</v>
      </c>
      <c r="K681" s="165">
        <v>0.0</v>
      </c>
      <c r="L681" s="165">
        <v>11.24</v>
      </c>
      <c r="M681" s="72">
        <v>3.0</v>
      </c>
      <c r="N681" s="165">
        <v>0.0</v>
      </c>
    </row>
    <row r="682">
      <c r="A682" s="72" t="s">
        <v>325</v>
      </c>
      <c r="B682" s="72"/>
      <c r="C682" s="72">
        <v>788.0</v>
      </c>
      <c r="D682" s="72" t="s">
        <v>1281</v>
      </c>
      <c r="E682" s="72" t="s">
        <v>33</v>
      </c>
      <c r="F682" s="167">
        <v>44798.0</v>
      </c>
      <c r="G682" s="167">
        <v>45692.0</v>
      </c>
      <c r="H682" s="167">
        <v>45692.0</v>
      </c>
      <c r="I682" s="167">
        <v>45692.0</v>
      </c>
      <c r="J682" s="165">
        <v>39.99</v>
      </c>
      <c r="K682" s="165">
        <v>0.0</v>
      </c>
      <c r="L682" s="165">
        <v>39.99</v>
      </c>
      <c r="M682" s="72">
        <v>1.0</v>
      </c>
      <c r="N682" s="165">
        <v>0.0</v>
      </c>
    </row>
    <row r="683">
      <c r="A683" s="72" t="s">
        <v>325</v>
      </c>
      <c r="B683" s="72" t="s">
        <v>353</v>
      </c>
      <c r="C683" s="72">
        <v>884.0</v>
      </c>
      <c r="D683" s="72" t="s">
        <v>1282</v>
      </c>
      <c r="E683" s="72" t="s">
        <v>33</v>
      </c>
      <c r="F683" s="167">
        <v>44803.0</v>
      </c>
      <c r="G683" s="167">
        <v>45720.0</v>
      </c>
      <c r="H683" s="167">
        <v>45720.0</v>
      </c>
      <c r="I683" s="167">
        <v>45720.0</v>
      </c>
      <c r="J683" s="165">
        <v>3.08</v>
      </c>
      <c r="K683" s="165">
        <v>0.0</v>
      </c>
      <c r="L683" s="165">
        <v>3.08</v>
      </c>
      <c r="M683" s="72">
        <v>1.0</v>
      </c>
      <c r="N683" s="165">
        <v>0.0</v>
      </c>
    </row>
    <row r="684">
      <c r="A684" s="72" t="s">
        <v>325</v>
      </c>
      <c r="B684" s="72"/>
      <c r="C684" s="72">
        <v>885.0</v>
      </c>
      <c r="D684" s="72" t="s">
        <v>1283</v>
      </c>
      <c r="E684" s="72" t="s">
        <v>33</v>
      </c>
      <c r="F684" s="167">
        <v>44803.0</v>
      </c>
      <c r="G684" s="167">
        <v>45720.0</v>
      </c>
      <c r="H684" s="167">
        <v>45720.0</v>
      </c>
      <c r="I684" s="167">
        <v>45720.0</v>
      </c>
      <c r="J684" s="165">
        <v>3.08</v>
      </c>
      <c r="K684" s="165">
        <v>0.0</v>
      </c>
      <c r="L684" s="165">
        <v>3.08</v>
      </c>
      <c r="M684" s="72">
        <v>1.0</v>
      </c>
      <c r="N684" s="165">
        <v>0.0</v>
      </c>
    </row>
    <row r="685">
      <c r="A685" s="72" t="s">
        <v>325</v>
      </c>
      <c r="B685" s="72"/>
      <c r="C685" s="72">
        <v>886.0</v>
      </c>
      <c r="D685" s="72" t="s">
        <v>1284</v>
      </c>
      <c r="E685" s="72" t="s">
        <v>33</v>
      </c>
      <c r="F685" s="167">
        <v>44803.0</v>
      </c>
      <c r="G685" s="167">
        <v>45720.0</v>
      </c>
      <c r="H685" s="167">
        <v>45720.0</v>
      </c>
      <c r="I685" s="167">
        <v>45720.0</v>
      </c>
      <c r="J685" s="165">
        <v>3.08</v>
      </c>
      <c r="K685" s="165">
        <v>0.0</v>
      </c>
      <c r="L685" s="165">
        <v>3.08</v>
      </c>
      <c r="M685" s="72">
        <v>1.0</v>
      </c>
      <c r="N685" s="165">
        <v>0.0</v>
      </c>
    </row>
    <row r="686">
      <c r="A686" s="72" t="s">
        <v>325</v>
      </c>
      <c r="B686" s="72"/>
      <c r="C686" s="72">
        <v>887.0</v>
      </c>
      <c r="D686" s="72" t="s">
        <v>1285</v>
      </c>
      <c r="E686" s="72" t="s">
        <v>33</v>
      </c>
      <c r="F686" s="167">
        <v>44803.0</v>
      </c>
      <c r="G686" s="167">
        <v>45720.0</v>
      </c>
      <c r="H686" s="167">
        <v>45720.0</v>
      </c>
      <c r="I686" s="167">
        <v>45720.0</v>
      </c>
      <c r="J686" s="165">
        <v>3.08</v>
      </c>
      <c r="K686" s="165">
        <v>0.0</v>
      </c>
      <c r="L686" s="165">
        <v>3.08</v>
      </c>
      <c r="M686" s="72">
        <v>1.0</v>
      </c>
      <c r="N686" s="165">
        <v>0.0</v>
      </c>
    </row>
    <row r="687">
      <c r="A687" s="72" t="s">
        <v>325</v>
      </c>
      <c r="B687" s="72"/>
      <c r="C687" s="72">
        <v>888.0</v>
      </c>
      <c r="D687" s="72" t="s">
        <v>1286</v>
      </c>
      <c r="E687" s="72" t="s">
        <v>33</v>
      </c>
      <c r="F687" s="167">
        <v>44803.0</v>
      </c>
      <c r="G687" s="167">
        <v>45720.0</v>
      </c>
      <c r="H687" s="167">
        <v>45720.0</v>
      </c>
      <c r="I687" s="167">
        <v>45720.0</v>
      </c>
      <c r="J687" s="165">
        <v>3.08</v>
      </c>
      <c r="K687" s="165">
        <v>0.0</v>
      </c>
      <c r="L687" s="165">
        <v>3.08</v>
      </c>
      <c r="M687" s="72">
        <v>1.0</v>
      </c>
      <c r="N687" s="165">
        <v>0.0</v>
      </c>
    </row>
    <row r="688">
      <c r="A688" s="72" t="s">
        <v>325</v>
      </c>
      <c r="B688" s="72"/>
      <c r="C688" s="72">
        <v>889.0</v>
      </c>
      <c r="D688" s="72" t="s">
        <v>1287</v>
      </c>
      <c r="E688" s="72" t="s">
        <v>33</v>
      </c>
      <c r="F688" s="167">
        <v>44803.0</v>
      </c>
      <c r="G688" s="167">
        <v>45720.0</v>
      </c>
      <c r="H688" s="167">
        <v>45720.0</v>
      </c>
      <c r="I688" s="167">
        <v>45720.0</v>
      </c>
      <c r="J688" s="165">
        <v>3.08</v>
      </c>
      <c r="K688" s="165">
        <v>0.0</v>
      </c>
      <c r="L688" s="165">
        <v>3.08</v>
      </c>
      <c r="M688" s="72">
        <v>1.0</v>
      </c>
      <c r="N688" s="165">
        <v>0.0</v>
      </c>
    </row>
    <row r="689">
      <c r="A689" s="72" t="s">
        <v>325</v>
      </c>
      <c r="B689" s="72"/>
      <c r="C689" s="72">
        <v>890.0</v>
      </c>
      <c r="D689" s="72" t="s">
        <v>1288</v>
      </c>
      <c r="E689" s="72" t="s">
        <v>33</v>
      </c>
      <c r="F689" s="167">
        <v>44803.0</v>
      </c>
      <c r="G689" s="167">
        <v>45720.0</v>
      </c>
      <c r="H689" s="167">
        <v>45720.0</v>
      </c>
      <c r="I689" s="167">
        <v>45720.0</v>
      </c>
      <c r="J689" s="165">
        <v>3.08</v>
      </c>
      <c r="K689" s="165">
        <v>0.0</v>
      </c>
      <c r="L689" s="165">
        <v>3.08</v>
      </c>
      <c r="M689" s="72">
        <v>1.0</v>
      </c>
      <c r="N689" s="165">
        <v>0.0</v>
      </c>
    </row>
    <row r="690">
      <c r="A690" s="72" t="s">
        <v>325</v>
      </c>
      <c r="B690" s="72"/>
      <c r="C690" s="72">
        <v>891.0</v>
      </c>
      <c r="D690" s="72" t="s">
        <v>1289</v>
      </c>
      <c r="E690" s="72" t="s">
        <v>33</v>
      </c>
      <c r="F690" s="167">
        <v>44803.0</v>
      </c>
      <c r="G690" s="167">
        <v>45720.0</v>
      </c>
      <c r="H690" s="167">
        <v>45720.0</v>
      </c>
      <c r="I690" s="167">
        <v>45720.0</v>
      </c>
      <c r="J690" s="165">
        <v>3.08</v>
      </c>
      <c r="K690" s="165">
        <v>0.0</v>
      </c>
      <c r="L690" s="165">
        <v>3.08</v>
      </c>
      <c r="M690" s="72">
        <v>1.0</v>
      </c>
      <c r="N690" s="165">
        <v>0.0</v>
      </c>
    </row>
    <row r="691">
      <c r="A691" s="72" t="s">
        <v>325</v>
      </c>
      <c r="B691" s="72"/>
      <c r="C691" s="72">
        <v>892.0</v>
      </c>
      <c r="D691" s="72" t="s">
        <v>1290</v>
      </c>
      <c r="E691" s="72" t="s">
        <v>33</v>
      </c>
      <c r="F691" s="167">
        <v>44803.0</v>
      </c>
      <c r="G691" s="167">
        <v>45720.0</v>
      </c>
      <c r="H691" s="167">
        <v>45720.0</v>
      </c>
      <c r="I691" s="167">
        <v>45720.0</v>
      </c>
      <c r="J691" s="165">
        <v>3.07</v>
      </c>
      <c r="K691" s="165">
        <v>0.0</v>
      </c>
      <c r="L691" s="165">
        <v>3.07</v>
      </c>
      <c r="M691" s="72">
        <v>1.0</v>
      </c>
      <c r="N691" s="165">
        <v>0.0</v>
      </c>
    </row>
    <row r="692">
      <c r="A692" s="72" t="s">
        <v>325</v>
      </c>
      <c r="B692" s="72"/>
      <c r="C692" s="72">
        <v>893.0</v>
      </c>
      <c r="D692" s="72" t="s">
        <v>1291</v>
      </c>
      <c r="E692" s="72" t="s">
        <v>33</v>
      </c>
      <c r="F692" s="167">
        <v>44803.0</v>
      </c>
      <c r="G692" s="167">
        <v>45720.0</v>
      </c>
      <c r="H692" s="167">
        <v>45720.0</v>
      </c>
      <c r="I692" s="167">
        <v>45720.0</v>
      </c>
      <c r="J692" s="165">
        <v>3.07</v>
      </c>
      <c r="K692" s="165">
        <v>0.0</v>
      </c>
      <c r="L692" s="165">
        <v>3.07</v>
      </c>
      <c r="M692" s="72">
        <v>1.0</v>
      </c>
      <c r="N692" s="165">
        <v>0.0</v>
      </c>
    </row>
    <row r="693">
      <c r="A693" s="72" t="s">
        <v>325</v>
      </c>
      <c r="B693" s="72"/>
      <c r="C693" s="72">
        <v>894.0</v>
      </c>
      <c r="D693" s="72" t="s">
        <v>1292</v>
      </c>
      <c r="E693" s="72" t="s">
        <v>33</v>
      </c>
      <c r="F693" s="167">
        <v>44803.0</v>
      </c>
      <c r="G693" s="167">
        <v>45720.0</v>
      </c>
      <c r="H693" s="167">
        <v>45720.0</v>
      </c>
      <c r="I693" s="167">
        <v>45720.0</v>
      </c>
      <c r="J693" s="165">
        <v>3.07</v>
      </c>
      <c r="K693" s="165">
        <v>0.0</v>
      </c>
      <c r="L693" s="165">
        <v>3.07</v>
      </c>
      <c r="M693" s="72">
        <v>1.0</v>
      </c>
      <c r="N693" s="165">
        <v>0.0</v>
      </c>
    </row>
    <row r="694">
      <c r="A694" s="72" t="s">
        <v>325</v>
      </c>
      <c r="B694" s="72"/>
      <c r="C694" s="72">
        <v>895.0</v>
      </c>
      <c r="D694" s="72" t="s">
        <v>1293</v>
      </c>
      <c r="E694" s="72" t="s">
        <v>33</v>
      </c>
      <c r="F694" s="167">
        <v>44803.0</v>
      </c>
      <c r="G694" s="167">
        <v>45720.0</v>
      </c>
      <c r="H694" s="167">
        <v>45720.0</v>
      </c>
      <c r="I694" s="167">
        <v>45720.0</v>
      </c>
      <c r="J694" s="165">
        <v>3.07</v>
      </c>
      <c r="K694" s="165">
        <v>0.0</v>
      </c>
      <c r="L694" s="165">
        <v>3.07</v>
      </c>
      <c r="M694" s="72">
        <v>1.0</v>
      </c>
      <c r="N694" s="165">
        <v>0.0</v>
      </c>
    </row>
    <row r="695">
      <c r="A695" s="72" t="s">
        <v>325</v>
      </c>
      <c r="B695" s="72"/>
      <c r="C695" s="72">
        <v>896.0</v>
      </c>
      <c r="D695" s="72" t="s">
        <v>1294</v>
      </c>
      <c r="E695" s="72" t="s">
        <v>33</v>
      </c>
      <c r="F695" s="167">
        <v>44803.0</v>
      </c>
      <c r="G695" s="167">
        <v>45720.0</v>
      </c>
      <c r="H695" s="167">
        <v>45720.0</v>
      </c>
      <c r="I695" s="167">
        <v>45720.0</v>
      </c>
      <c r="J695" s="165">
        <v>3.07</v>
      </c>
      <c r="K695" s="165">
        <v>0.0</v>
      </c>
      <c r="L695" s="165">
        <v>3.07</v>
      </c>
      <c r="M695" s="72">
        <v>1.0</v>
      </c>
      <c r="N695" s="165">
        <v>0.0</v>
      </c>
    </row>
    <row r="696">
      <c r="A696" s="72" t="s">
        <v>325</v>
      </c>
      <c r="B696" s="72"/>
      <c r="C696" s="72">
        <v>812.0</v>
      </c>
      <c r="D696" s="72" t="s">
        <v>1295</v>
      </c>
      <c r="E696" s="72" t="s">
        <v>33</v>
      </c>
      <c r="F696" s="167">
        <v>44862.0</v>
      </c>
      <c r="G696" s="167">
        <v>44489.0</v>
      </c>
      <c r="H696" s="167">
        <v>44489.0</v>
      </c>
      <c r="I696" s="167">
        <v>44489.0</v>
      </c>
      <c r="J696" s="165">
        <v>0.0</v>
      </c>
      <c r="K696" s="165">
        <v>0.0</v>
      </c>
      <c r="L696" s="165">
        <v>0.0</v>
      </c>
      <c r="M696" s="72">
        <v>1.0</v>
      </c>
      <c r="N696" s="165">
        <v>0.0</v>
      </c>
    </row>
    <row r="697">
      <c r="A697" s="39" t="s">
        <v>325</v>
      </c>
      <c r="B697" s="39"/>
      <c r="C697" s="39">
        <v>709.0</v>
      </c>
      <c r="D697" s="39" t="s">
        <v>1296</v>
      </c>
      <c r="E697" s="39" t="s">
        <v>33</v>
      </c>
      <c r="F697" s="41">
        <v>44978.0</v>
      </c>
      <c r="G697" s="41">
        <v>45176.0</v>
      </c>
      <c r="H697" s="41">
        <v>45242.0</v>
      </c>
      <c r="I697" s="41">
        <v>45982.0</v>
      </c>
      <c r="J697" s="71">
        <v>59.99</v>
      </c>
      <c r="K697" s="71">
        <v>0.0</v>
      </c>
      <c r="L697" s="71">
        <v>59.99</v>
      </c>
      <c r="M697" s="39">
        <v>99.0</v>
      </c>
      <c r="N697" s="71">
        <v>0.0</v>
      </c>
    </row>
    <row r="698">
      <c r="A698" s="72" t="s">
        <v>325</v>
      </c>
      <c r="B698" s="72"/>
      <c r="C698" s="72">
        <v>813.0</v>
      </c>
      <c r="D698" s="72" t="s">
        <v>1297</v>
      </c>
      <c r="E698" s="72" t="s">
        <v>33</v>
      </c>
      <c r="F698" s="167">
        <v>45009.0</v>
      </c>
      <c r="G698" s="167">
        <v>45195.0</v>
      </c>
      <c r="H698" s="167">
        <v>45199.0</v>
      </c>
      <c r="I698" s="167">
        <v>45209.0</v>
      </c>
      <c r="J698" s="165">
        <v>69.99</v>
      </c>
      <c r="K698" s="165">
        <v>39.89</v>
      </c>
      <c r="L698" s="165">
        <v>30.1</v>
      </c>
      <c r="M698" s="72">
        <v>23.0</v>
      </c>
      <c r="N698" s="165">
        <v>1.73</v>
      </c>
    </row>
    <row r="699">
      <c r="A699" s="72" t="s">
        <v>325</v>
      </c>
      <c r="B699" s="72"/>
      <c r="C699" s="72">
        <v>710.0</v>
      </c>
      <c r="D699" s="72" t="s">
        <v>1298</v>
      </c>
      <c r="E699" s="72" t="s">
        <v>33</v>
      </c>
      <c r="F699" s="167">
        <v>45239.0</v>
      </c>
      <c r="G699" s="167">
        <v>45285.0</v>
      </c>
      <c r="H699" s="167">
        <v>45289.0</v>
      </c>
      <c r="I699" s="167">
        <v>45296.0</v>
      </c>
      <c r="J699" s="165">
        <v>54.99</v>
      </c>
      <c r="K699" s="165">
        <v>0.0</v>
      </c>
      <c r="L699" s="165">
        <v>54.99</v>
      </c>
      <c r="M699" s="72">
        <v>47.0</v>
      </c>
      <c r="N699" s="165">
        <v>0.0</v>
      </c>
    </row>
    <row r="700">
      <c r="A700" s="72" t="s">
        <v>325</v>
      </c>
      <c r="B700" s="72"/>
      <c r="C700" s="72">
        <v>711.0</v>
      </c>
      <c r="D700" s="72" t="s">
        <v>1299</v>
      </c>
      <c r="E700" s="72" t="s">
        <v>33</v>
      </c>
      <c r="F700" s="167">
        <v>45317.0</v>
      </c>
      <c r="G700" s="167">
        <v>45285.0</v>
      </c>
      <c r="H700" s="167">
        <v>45317.0</v>
      </c>
      <c r="I700" s="167">
        <v>45338.0</v>
      </c>
      <c r="J700" s="165">
        <v>69.99</v>
      </c>
      <c r="K700" s="165">
        <v>46.23</v>
      </c>
      <c r="L700" s="165">
        <v>23.76</v>
      </c>
      <c r="M700" s="72">
        <v>154.0</v>
      </c>
      <c r="N700" s="165">
        <v>0.3</v>
      </c>
    </row>
    <row r="701">
      <c r="A701" s="72" t="s">
        <v>325</v>
      </c>
      <c r="B701" s="72"/>
      <c r="C701" s="72">
        <v>1038.0</v>
      </c>
      <c r="D701" s="72" t="s">
        <v>1300</v>
      </c>
      <c r="E701" s="72" t="s">
        <v>666</v>
      </c>
      <c r="F701" s="167">
        <v>42656.0</v>
      </c>
      <c r="G701" s="167">
        <v>43462.0</v>
      </c>
      <c r="H701" s="167">
        <v>43469.0</v>
      </c>
      <c r="I701" s="167">
        <v>43483.0</v>
      </c>
      <c r="J701" s="165">
        <v>0.0</v>
      </c>
      <c r="K701" s="165">
        <v>0.0</v>
      </c>
      <c r="L701" s="165">
        <v>0.0</v>
      </c>
      <c r="M701" s="72">
        <v>1.0</v>
      </c>
      <c r="N701" s="165">
        <v>0.0</v>
      </c>
    </row>
    <row r="702">
      <c r="A702" s="72" t="s">
        <v>325</v>
      </c>
      <c r="B702" s="72"/>
      <c r="C702" s="72">
        <v>1002.0</v>
      </c>
      <c r="D702" s="72" t="s">
        <v>1301</v>
      </c>
      <c r="E702" s="72" t="s">
        <v>666</v>
      </c>
      <c r="F702" s="167">
        <v>42977.0</v>
      </c>
      <c r="G702" s="167">
        <v>43912.0</v>
      </c>
      <c r="H702" s="167">
        <v>43973.0</v>
      </c>
      <c r="I702" s="167">
        <v>43973.0</v>
      </c>
      <c r="J702" s="165">
        <v>29.99</v>
      </c>
      <c r="K702" s="165">
        <v>14.99</v>
      </c>
      <c r="L702" s="165">
        <v>15.0</v>
      </c>
      <c r="M702" s="72">
        <v>1.0</v>
      </c>
      <c r="N702" s="165">
        <v>14.99</v>
      </c>
    </row>
    <row r="703">
      <c r="A703" s="72" t="s">
        <v>325</v>
      </c>
      <c r="B703" s="72"/>
      <c r="C703" s="72">
        <v>997.0</v>
      </c>
      <c r="D703" s="72" t="s">
        <v>1302</v>
      </c>
      <c r="E703" s="72" t="s">
        <v>666</v>
      </c>
      <c r="F703" s="167">
        <v>43291.0</v>
      </c>
      <c r="G703" s="167">
        <v>43475.0</v>
      </c>
      <c r="H703" s="167">
        <v>43542.0</v>
      </c>
      <c r="I703" s="167">
        <v>43542.0</v>
      </c>
      <c r="J703" s="165">
        <v>14.99</v>
      </c>
      <c r="K703" s="165">
        <v>14.99</v>
      </c>
      <c r="L703" s="165">
        <v>0.0</v>
      </c>
      <c r="M703" s="72">
        <v>1.0</v>
      </c>
      <c r="N703" s="165">
        <v>14.99</v>
      </c>
    </row>
    <row r="704">
      <c r="A704" s="72" t="s">
        <v>325</v>
      </c>
      <c r="B704" s="72"/>
      <c r="C704" s="72">
        <v>987.0</v>
      </c>
      <c r="D704" s="72" t="s">
        <v>1303</v>
      </c>
      <c r="E704" s="72" t="s">
        <v>666</v>
      </c>
      <c r="F704" s="167">
        <v>43375.0</v>
      </c>
      <c r="G704" s="167">
        <v>43477.0</v>
      </c>
      <c r="H704" s="167">
        <v>43477.0</v>
      </c>
      <c r="I704" s="167">
        <v>44236.0</v>
      </c>
      <c r="J704" s="165">
        <v>39.99</v>
      </c>
      <c r="K704" s="165">
        <v>4.79</v>
      </c>
      <c r="L704" s="165">
        <v>35.2</v>
      </c>
      <c r="M704" s="72">
        <v>15.0</v>
      </c>
      <c r="N704" s="165">
        <v>0.32</v>
      </c>
    </row>
    <row r="705">
      <c r="A705" s="72" t="s">
        <v>325</v>
      </c>
      <c r="B705" s="72"/>
      <c r="C705" s="72">
        <v>1015.0</v>
      </c>
      <c r="D705" s="72" t="s">
        <v>1304</v>
      </c>
      <c r="E705" s="72" t="s">
        <v>666</v>
      </c>
      <c r="F705" s="167">
        <v>43488.0</v>
      </c>
      <c r="G705" s="167">
        <v>44502.0</v>
      </c>
      <c r="H705" s="167">
        <v>44502.0</v>
      </c>
      <c r="I705" s="167">
        <v>44502.0</v>
      </c>
      <c r="J705" s="165">
        <v>0.0</v>
      </c>
      <c r="K705" s="165">
        <v>0.0</v>
      </c>
      <c r="L705" s="165">
        <v>0.0</v>
      </c>
      <c r="M705" s="72">
        <v>1.0</v>
      </c>
      <c r="N705" s="165">
        <v>0.0</v>
      </c>
    </row>
    <row r="706">
      <c r="A706" s="72" t="s">
        <v>325</v>
      </c>
      <c r="B706" s="72"/>
      <c r="C706" s="72">
        <v>1054.0</v>
      </c>
      <c r="D706" s="72" t="s">
        <v>1305</v>
      </c>
      <c r="E706" s="72" t="s">
        <v>39</v>
      </c>
      <c r="F706" s="167">
        <v>44147.0</v>
      </c>
      <c r="G706" s="167">
        <v>44332.0</v>
      </c>
      <c r="H706" s="167">
        <v>44332.0</v>
      </c>
      <c r="I706" s="167">
        <v>44333.0</v>
      </c>
      <c r="J706" s="165">
        <v>0.0</v>
      </c>
      <c r="K706" s="165">
        <v>0.0</v>
      </c>
      <c r="L706" s="165">
        <v>0.0</v>
      </c>
      <c r="M706" s="72">
        <v>7.0</v>
      </c>
      <c r="N706" s="165">
        <v>0.0</v>
      </c>
    </row>
    <row r="707">
      <c r="A707" s="72" t="s">
        <v>325</v>
      </c>
      <c r="B707" s="72"/>
      <c r="C707" s="72">
        <v>1061.0</v>
      </c>
      <c r="D707" s="72" t="s">
        <v>1306</v>
      </c>
      <c r="E707" s="72" t="s">
        <v>39</v>
      </c>
      <c r="F707" s="167">
        <v>44645.0</v>
      </c>
      <c r="G707" s="167">
        <v>44708.0</v>
      </c>
      <c r="H707" s="167">
        <v>44710.0</v>
      </c>
      <c r="I707" s="167">
        <v>44719.0</v>
      </c>
      <c r="J707" s="165">
        <v>69.99</v>
      </c>
      <c r="K707" s="165">
        <v>34.99</v>
      </c>
      <c r="L707" s="165">
        <v>35.0</v>
      </c>
      <c r="M707" s="72">
        <v>49.0</v>
      </c>
      <c r="N707" s="165">
        <v>0.71</v>
      </c>
    </row>
    <row r="708">
      <c r="A708" s="39" t="s">
        <v>325</v>
      </c>
      <c r="B708" s="39"/>
      <c r="C708" s="72">
        <v>1081.0</v>
      </c>
      <c r="D708" s="72" t="s">
        <v>1307</v>
      </c>
      <c r="E708" s="72" t="s">
        <v>39</v>
      </c>
      <c r="F708" s="167">
        <v>45316.0</v>
      </c>
      <c r="G708" s="167">
        <v>45602.0</v>
      </c>
      <c r="H708" s="167">
        <v>45740.0</v>
      </c>
      <c r="I708" s="167">
        <v>45753.0</v>
      </c>
      <c r="J708" s="55">
        <v>79.99</v>
      </c>
      <c r="K708" s="55">
        <v>39.99</v>
      </c>
      <c r="L708" s="55">
        <v>40.0</v>
      </c>
      <c r="M708" s="72">
        <v>14.0</v>
      </c>
      <c r="N708" s="165">
        <v>2.86</v>
      </c>
    </row>
    <row r="709">
      <c r="A709" s="72" t="s">
        <v>325</v>
      </c>
      <c r="B709" s="72"/>
      <c r="C709" s="72">
        <v>1059.0</v>
      </c>
      <c r="D709" s="72" t="s">
        <v>1308</v>
      </c>
      <c r="E709" s="72" t="s">
        <v>39</v>
      </c>
      <c r="F709" s="167">
        <v>45351.0</v>
      </c>
      <c r="G709" s="167">
        <v>45542.0</v>
      </c>
      <c r="H709" s="167">
        <v>45546.0</v>
      </c>
      <c r="I709" s="167">
        <v>45568.0</v>
      </c>
      <c r="J709" s="165">
        <v>79.99</v>
      </c>
      <c r="K709" s="165">
        <v>0.0</v>
      </c>
      <c r="L709" s="165">
        <v>79.99</v>
      </c>
      <c r="M709" s="72">
        <v>89.0</v>
      </c>
      <c r="N709" s="165">
        <v>0.0</v>
      </c>
    </row>
    <row r="710">
      <c r="A710" s="42" t="s">
        <v>325</v>
      </c>
      <c r="B710" s="48"/>
      <c r="C710" s="72">
        <v>1055.0</v>
      </c>
      <c r="D710" s="165" t="s">
        <v>1309</v>
      </c>
      <c r="E710" s="72" t="s">
        <v>39</v>
      </c>
      <c r="F710" s="167">
        <v>45541.0</v>
      </c>
      <c r="G710" s="167">
        <v>45506.0</v>
      </c>
      <c r="H710" s="167">
        <v>45541.0</v>
      </c>
      <c r="I710" s="167">
        <v>45852.0</v>
      </c>
      <c r="J710" s="55">
        <v>69.99</v>
      </c>
      <c r="K710" s="55">
        <v>0.0</v>
      </c>
      <c r="L710" s="165">
        <v>69.99</v>
      </c>
      <c r="M710" s="182">
        <v>21.0</v>
      </c>
      <c r="N710" s="165">
        <v>0.0</v>
      </c>
    </row>
    <row r="711">
      <c r="A711" s="72" t="s">
        <v>325</v>
      </c>
      <c r="B711" s="72" t="s">
        <v>357</v>
      </c>
      <c r="C711" s="72">
        <v>1070.0</v>
      </c>
      <c r="D711" s="72" t="s">
        <v>1310</v>
      </c>
      <c r="E711" s="72" t="s">
        <v>39</v>
      </c>
      <c r="F711" s="167">
        <v>45560.0</v>
      </c>
      <c r="G711" s="167">
        <v>45586.0</v>
      </c>
      <c r="H711" s="167">
        <v>45586.0</v>
      </c>
      <c r="I711" s="167">
        <v>45820.0</v>
      </c>
      <c r="J711" s="55">
        <v>28.99</v>
      </c>
      <c r="K711" s="55">
        <v>28.99</v>
      </c>
      <c r="L711" s="165">
        <v>0.0</v>
      </c>
      <c r="M711" s="72">
        <v>22.0</v>
      </c>
      <c r="N711" s="165">
        <v>1.32</v>
      </c>
    </row>
    <row r="712">
      <c r="A712" s="72" t="s">
        <v>325</v>
      </c>
      <c r="B712" s="72"/>
      <c r="C712" s="72">
        <v>1066.0</v>
      </c>
      <c r="D712" s="72" t="s">
        <v>1311</v>
      </c>
      <c r="E712" s="72" t="s">
        <v>39</v>
      </c>
      <c r="F712" s="167">
        <v>45709.0</v>
      </c>
      <c r="G712" s="167">
        <v>45651.0</v>
      </c>
      <c r="H712" s="167">
        <v>45709.0</v>
      </c>
      <c r="I712" s="167">
        <v>45718.0</v>
      </c>
      <c r="J712" s="55">
        <v>59.99</v>
      </c>
      <c r="K712" s="55">
        <v>0.0</v>
      </c>
      <c r="L712" s="165">
        <v>59.99</v>
      </c>
      <c r="M712" s="72">
        <v>56.0</v>
      </c>
      <c r="N712" s="165">
        <v>0.0</v>
      </c>
    </row>
    <row r="713">
      <c r="A713" s="43">
        <f t="shared" ref="A713:B713" si="52">COUNTA(A466:A712)</f>
        <v>247</v>
      </c>
      <c r="B713" s="43">
        <f t="shared" si="52"/>
        <v>49</v>
      </c>
      <c r="C713" s="43"/>
      <c r="D713" s="44"/>
      <c r="E713" s="47">
        <v>5092.13</v>
      </c>
      <c r="F713" s="47">
        <v>2259.79</v>
      </c>
      <c r="G713" s="47">
        <v>2832.34</v>
      </c>
      <c r="H713" s="43">
        <v>3747.0</v>
      </c>
      <c r="I713" s="46">
        <v>0.6</v>
      </c>
      <c r="J713" s="145">
        <f t="shared" ref="J713:M713" si="53">SUM(J466:J712)</f>
        <v>5092.13</v>
      </c>
      <c r="K713" s="145">
        <f t="shared" si="53"/>
        <v>2259.79</v>
      </c>
      <c r="L713" s="145">
        <f t="shared" si="53"/>
        <v>2832.34</v>
      </c>
      <c r="M713" s="44">
        <f t="shared" si="53"/>
        <v>3747</v>
      </c>
      <c r="N713" s="145">
        <f>K713/M713</f>
        <v>0.6030931412</v>
      </c>
    </row>
    <row r="714">
      <c r="A714" s="1"/>
      <c r="B714" s="1"/>
      <c r="C714" s="1"/>
      <c r="D714" s="64"/>
      <c r="E714" s="114"/>
      <c r="F714" s="114"/>
      <c r="G714" s="114"/>
      <c r="H714" s="114"/>
      <c r="I714" s="114"/>
      <c r="J714" s="63"/>
      <c r="K714" s="63"/>
      <c r="L714" s="63"/>
      <c r="M714" s="64"/>
      <c r="N714" s="7"/>
    </row>
    <row r="715">
      <c r="A715" s="49" t="s">
        <v>375</v>
      </c>
      <c r="B715" s="49" t="s">
        <v>374</v>
      </c>
      <c r="C715" s="49">
        <v>474.0</v>
      </c>
      <c r="D715" s="49" t="s">
        <v>1312</v>
      </c>
      <c r="E715" s="49" t="s">
        <v>671</v>
      </c>
      <c r="F715" s="162">
        <v>42318.0</v>
      </c>
      <c r="G715" s="162">
        <v>42875.0</v>
      </c>
      <c r="H715" s="162">
        <v>45062.0</v>
      </c>
      <c r="I715" s="162">
        <v>45069.0</v>
      </c>
      <c r="J715" s="78">
        <v>49.98</v>
      </c>
      <c r="K715" s="78">
        <v>12.98</v>
      </c>
      <c r="L715" s="78">
        <v>37.0</v>
      </c>
      <c r="M715" s="49">
        <v>20.0</v>
      </c>
      <c r="N715" s="78">
        <v>0.65</v>
      </c>
    </row>
    <row r="716">
      <c r="A716" s="49" t="s">
        <v>375</v>
      </c>
      <c r="B716" s="49" t="s">
        <v>376</v>
      </c>
      <c r="C716" s="49">
        <v>840.0</v>
      </c>
      <c r="D716" s="49" t="s">
        <v>1313</v>
      </c>
      <c r="E716" s="49" t="s">
        <v>33</v>
      </c>
      <c r="F716" s="162">
        <v>44490.0</v>
      </c>
      <c r="G716" s="162">
        <v>45385.0</v>
      </c>
      <c r="H716" s="162">
        <v>45385.0</v>
      </c>
      <c r="I716" s="162">
        <v>45385.0</v>
      </c>
      <c r="J716" s="78">
        <v>16.99</v>
      </c>
      <c r="K716" s="78">
        <v>0.0</v>
      </c>
      <c r="L716" s="78">
        <v>16.99</v>
      </c>
      <c r="M716" s="49">
        <v>1.0</v>
      </c>
      <c r="N716" s="78">
        <v>0.0</v>
      </c>
    </row>
    <row r="717">
      <c r="A717" s="53">
        <f t="shared" ref="A717:B717" si="54">COUNTA(A715:A716)</f>
        <v>2</v>
      </c>
      <c r="B717" s="53">
        <f t="shared" si="54"/>
        <v>2</v>
      </c>
      <c r="C717" s="53"/>
      <c r="D717" s="75"/>
      <c r="E717" s="168">
        <v>66.97</v>
      </c>
      <c r="F717" s="168">
        <v>12.98</v>
      </c>
      <c r="G717" s="168">
        <v>53.99</v>
      </c>
      <c r="H717" s="53">
        <v>21.0</v>
      </c>
      <c r="I717" s="54">
        <v>0.6180952380952381</v>
      </c>
      <c r="J717" s="163">
        <f t="shared" ref="J717:M717" si="55">SUM(J715:J716)</f>
        <v>66.97</v>
      </c>
      <c r="K717" s="163">
        <f t="shared" si="55"/>
        <v>12.98</v>
      </c>
      <c r="L717" s="163">
        <f t="shared" si="55"/>
        <v>53.99</v>
      </c>
      <c r="M717" s="75">
        <f t="shared" si="55"/>
        <v>21</v>
      </c>
      <c r="N717" s="163">
        <f>K717/M717</f>
        <v>0.6180952381</v>
      </c>
    </row>
    <row r="718">
      <c r="A718" s="49"/>
      <c r="B718" s="49"/>
      <c r="C718" s="49"/>
      <c r="D718" s="79"/>
      <c r="E718" s="79"/>
      <c r="F718" s="79"/>
      <c r="G718" s="79"/>
      <c r="H718" s="79"/>
      <c r="I718" s="79"/>
      <c r="J718" s="52"/>
      <c r="K718" s="52"/>
      <c r="L718" s="52"/>
      <c r="M718" s="79"/>
      <c r="N718" s="52"/>
    </row>
    <row r="719">
      <c r="A719" s="134" t="s">
        <v>378</v>
      </c>
      <c r="B719" s="134" t="s">
        <v>377</v>
      </c>
      <c r="C719" s="134">
        <v>670.0</v>
      </c>
      <c r="D719" s="134" t="s">
        <v>1314</v>
      </c>
      <c r="E719" s="134" t="s">
        <v>33</v>
      </c>
      <c r="F719" s="135">
        <v>42864.0</v>
      </c>
      <c r="G719" s="135">
        <v>42954.0</v>
      </c>
      <c r="H719" s="135">
        <v>42959.0</v>
      </c>
      <c r="I719" s="135">
        <v>44433.0</v>
      </c>
      <c r="J719" s="136">
        <v>14.99</v>
      </c>
      <c r="K719" s="136">
        <v>9.99</v>
      </c>
      <c r="L719" s="136">
        <v>5.0</v>
      </c>
      <c r="M719" s="134">
        <v>8.0</v>
      </c>
      <c r="N719" s="136">
        <v>1.25</v>
      </c>
    </row>
    <row r="720">
      <c r="A720" s="137">
        <f t="shared" ref="A720:B720" si="56">COUNTA(A719)</f>
        <v>1</v>
      </c>
      <c r="B720" s="137">
        <f t="shared" si="56"/>
        <v>1</v>
      </c>
      <c r="C720" s="137"/>
      <c r="D720" s="137"/>
      <c r="E720" s="139">
        <v>14.99</v>
      </c>
      <c r="F720" s="139">
        <v>9.99</v>
      </c>
      <c r="G720" s="139">
        <v>5.0</v>
      </c>
      <c r="H720" s="137">
        <v>8.0</v>
      </c>
      <c r="I720" s="139">
        <v>1.24875</v>
      </c>
      <c r="J720" s="140">
        <f t="shared" ref="J720:M720" si="57">SUM(J719)</f>
        <v>14.99</v>
      </c>
      <c r="K720" s="140">
        <f t="shared" si="57"/>
        <v>9.99</v>
      </c>
      <c r="L720" s="140">
        <f t="shared" si="57"/>
        <v>5</v>
      </c>
      <c r="M720" s="141">
        <f t="shared" si="57"/>
        <v>8</v>
      </c>
      <c r="N720" s="140">
        <f>K720/M720</f>
        <v>1.24875</v>
      </c>
    </row>
    <row r="721">
      <c r="A721" s="142"/>
      <c r="B721" s="142"/>
      <c r="C721" s="142"/>
      <c r="D721" s="142"/>
      <c r="E721" s="112"/>
      <c r="F721" s="112"/>
      <c r="G721" s="112"/>
      <c r="H721" s="112"/>
      <c r="I721" s="112"/>
      <c r="J721" s="143"/>
      <c r="K721" s="143"/>
      <c r="L721" s="143"/>
      <c r="M721" s="112"/>
      <c r="N721" s="143"/>
    </row>
    <row r="722">
      <c r="A722" s="72" t="s">
        <v>380</v>
      </c>
      <c r="B722" s="195" t="s">
        <v>379</v>
      </c>
      <c r="C722" s="72">
        <v>839.0</v>
      </c>
      <c r="D722" s="72" t="s">
        <v>1315</v>
      </c>
      <c r="E722" s="72" t="s">
        <v>33</v>
      </c>
      <c r="F722" s="167">
        <v>44258.0</v>
      </c>
      <c r="G722" s="167">
        <v>44351.0</v>
      </c>
      <c r="H722" s="167">
        <v>44351.0</v>
      </c>
      <c r="I722" s="167">
        <v>44354.0</v>
      </c>
      <c r="J722" s="165">
        <v>9.99</v>
      </c>
      <c r="K722" s="165">
        <v>6.99</v>
      </c>
      <c r="L722" s="165">
        <v>3.0</v>
      </c>
      <c r="M722" s="72">
        <v>3.0</v>
      </c>
      <c r="N722" s="165">
        <v>2.33</v>
      </c>
    </row>
    <row r="723">
      <c r="A723" s="43">
        <f t="shared" ref="A723:B723" si="58">COUNTA(A722)</f>
        <v>1</v>
      </c>
      <c r="B723" s="43">
        <f t="shared" si="58"/>
        <v>1</v>
      </c>
      <c r="C723" s="43"/>
      <c r="D723" s="44"/>
      <c r="E723" s="164">
        <v>9.99</v>
      </c>
      <c r="F723" s="164">
        <v>6.99</v>
      </c>
      <c r="G723" s="164">
        <v>3.0</v>
      </c>
      <c r="H723" s="43">
        <v>3.0</v>
      </c>
      <c r="I723" s="46">
        <v>2.33</v>
      </c>
      <c r="J723" s="145">
        <f t="shared" ref="J723:M723" si="59">SUM(J722)</f>
        <v>9.99</v>
      </c>
      <c r="K723" s="145">
        <f t="shared" si="59"/>
        <v>6.99</v>
      </c>
      <c r="L723" s="145">
        <f t="shared" si="59"/>
        <v>3</v>
      </c>
      <c r="M723" s="44">
        <f t="shared" si="59"/>
        <v>3</v>
      </c>
      <c r="N723" s="145">
        <f>K723/M723</f>
        <v>2.33</v>
      </c>
    </row>
    <row r="724">
      <c r="A724" s="64"/>
      <c r="B724" s="64"/>
      <c r="C724" s="64"/>
      <c r="D724" s="114"/>
      <c r="E724" s="64"/>
      <c r="F724" s="64"/>
      <c r="G724" s="64"/>
      <c r="H724" s="64"/>
      <c r="I724" s="64"/>
      <c r="J724" s="144"/>
      <c r="K724" s="144"/>
      <c r="L724" s="144"/>
      <c r="M724" s="114"/>
      <c r="N724" s="144"/>
    </row>
    <row r="725">
      <c r="A725" s="117" t="s">
        <v>382</v>
      </c>
      <c r="B725" s="117" t="s">
        <v>381</v>
      </c>
      <c r="C725" s="117">
        <v>687.0</v>
      </c>
      <c r="D725" s="117" t="s">
        <v>1316</v>
      </c>
      <c r="E725" s="117" t="s">
        <v>33</v>
      </c>
      <c r="F725" s="118">
        <v>43116.0</v>
      </c>
      <c r="G725" s="118">
        <v>43548.0</v>
      </c>
      <c r="H725" s="118">
        <v>43548.0</v>
      </c>
      <c r="I725" s="118">
        <v>43548.0</v>
      </c>
      <c r="J725" s="119">
        <v>39.99</v>
      </c>
      <c r="K725" s="119">
        <v>19.99</v>
      </c>
      <c r="L725" s="119">
        <v>20.0</v>
      </c>
      <c r="M725" s="117">
        <v>2.0</v>
      </c>
      <c r="N725" s="119">
        <v>10.0</v>
      </c>
    </row>
    <row r="726">
      <c r="A726" s="196">
        <f t="shared" ref="A726:B726" si="60">COUNTA(A725)</f>
        <v>1</v>
      </c>
      <c r="B726" s="196">
        <f t="shared" si="60"/>
        <v>1</v>
      </c>
      <c r="C726" s="196"/>
      <c r="D726" s="196"/>
      <c r="E726" s="197">
        <v>39.99</v>
      </c>
      <c r="F726" s="197">
        <v>19.99</v>
      </c>
      <c r="G726" s="197">
        <v>20.0</v>
      </c>
      <c r="H726" s="196">
        <v>2.0</v>
      </c>
      <c r="I726" s="198">
        <v>9.995</v>
      </c>
      <c r="J726" s="199">
        <f t="shared" ref="J726:M726" si="61">SUM(J725)</f>
        <v>39.99</v>
      </c>
      <c r="K726" s="199">
        <f t="shared" si="61"/>
        <v>19.99</v>
      </c>
      <c r="L726" s="199">
        <f t="shared" si="61"/>
        <v>20</v>
      </c>
      <c r="M726" s="200">
        <f t="shared" si="61"/>
        <v>2</v>
      </c>
      <c r="N726" s="199">
        <f>K726/M726</f>
        <v>9.995</v>
      </c>
    </row>
    <row r="727">
      <c r="A727" s="73"/>
      <c r="B727" s="68"/>
      <c r="C727" s="68"/>
      <c r="D727" s="68"/>
      <c r="E727" s="68"/>
      <c r="F727" s="68"/>
      <c r="G727" s="68"/>
      <c r="H727" s="68"/>
      <c r="I727" s="68"/>
      <c r="J727" s="151"/>
      <c r="K727" s="151"/>
      <c r="L727" s="151"/>
      <c r="M727" s="73"/>
      <c r="N727" s="151"/>
    </row>
    <row r="728">
      <c r="A728" s="201" t="s">
        <v>384</v>
      </c>
      <c r="B728" s="201" t="s">
        <v>385</v>
      </c>
      <c r="C728" s="201">
        <v>107.0</v>
      </c>
      <c r="D728" s="201" t="s">
        <v>1317</v>
      </c>
      <c r="E728" s="201" t="s">
        <v>645</v>
      </c>
      <c r="F728" s="202">
        <v>38317.0</v>
      </c>
      <c r="G728" s="202">
        <v>44292.0</v>
      </c>
      <c r="H728" s="202">
        <v>44292.0</v>
      </c>
      <c r="I728" s="202">
        <v>44292.0</v>
      </c>
      <c r="J728" s="203">
        <v>12.99</v>
      </c>
      <c r="K728" s="203">
        <v>12.99</v>
      </c>
      <c r="L728" s="203">
        <v>0.0</v>
      </c>
      <c r="M728" s="201">
        <v>2.0</v>
      </c>
      <c r="N728" s="203">
        <v>6.5</v>
      </c>
    </row>
    <row r="729">
      <c r="A729" s="201" t="s">
        <v>384</v>
      </c>
      <c r="B729" s="201" t="s">
        <v>387</v>
      </c>
      <c r="C729" s="201">
        <v>180.0</v>
      </c>
      <c r="D729" s="201" t="s">
        <v>1318</v>
      </c>
      <c r="E729" s="201" t="s">
        <v>649</v>
      </c>
      <c r="F729" s="202">
        <v>41770.0</v>
      </c>
      <c r="G729" s="202">
        <v>45048.0</v>
      </c>
      <c r="H729" s="202">
        <v>45048.0</v>
      </c>
      <c r="I729" s="202">
        <v>45048.0</v>
      </c>
      <c r="J729" s="203">
        <v>14.99</v>
      </c>
      <c r="K729" s="203">
        <v>1.49</v>
      </c>
      <c r="L729" s="203">
        <v>13.5</v>
      </c>
      <c r="M729" s="201">
        <v>1.0</v>
      </c>
      <c r="N729" s="203">
        <v>1.49</v>
      </c>
    </row>
    <row r="730">
      <c r="A730" s="201" t="s">
        <v>384</v>
      </c>
      <c r="B730" s="201" t="s">
        <v>383</v>
      </c>
      <c r="C730" s="201">
        <v>446.0</v>
      </c>
      <c r="D730" s="201" t="s">
        <v>1319</v>
      </c>
      <c r="E730" s="201" t="s">
        <v>671</v>
      </c>
      <c r="F730" s="202">
        <v>41689.0</v>
      </c>
      <c r="G730" s="202">
        <v>42832.0</v>
      </c>
      <c r="H730" s="202">
        <v>45054.0</v>
      </c>
      <c r="I730" s="202">
        <v>45054.0</v>
      </c>
      <c r="J730" s="203">
        <v>2.49</v>
      </c>
      <c r="K730" s="203">
        <v>2.49</v>
      </c>
      <c r="L730" s="203">
        <v>0.0</v>
      </c>
      <c r="M730" s="201">
        <v>5.0</v>
      </c>
      <c r="N730" s="203">
        <v>0.5</v>
      </c>
    </row>
    <row r="731">
      <c r="A731" s="201" t="s">
        <v>384</v>
      </c>
      <c r="B731" s="201" t="s">
        <v>388</v>
      </c>
      <c r="C731" s="201">
        <v>528.0</v>
      </c>
      <c r="D731" s="201" t="s">
        <v>1320</v>
      </c>
      <c r="E731" s="201" t="s">
        <v>33</v>
      </c>
      <c r="F731" s="202">
        <v>42255.0</v>
      </c>
      <c r="G731" s="202">
        <v>42939.0</v>
      </c>
      <c r="H731" s="202">
        <v>42939.0</v>
      </c>
      <c r="I731" s="202">
        <v>42939.0</v>
      </c>
      <c r="J731" s="203">
        <v>12.99</v>
      </c>
      <c r="K731" s="203">
        <v>3.99</v>
      </c>
      <c r="L731" s="203">
        <v>9.0</v>
      </c>
      <c r="M731" s="201">
        <v>1.0</v>
      </c>
      <c r="N731" s="203">
        <v>3.99</v>
      </c>
    </row>
    <row r="732">
      <c r="A732" s="201" t="s">
        <v>384</v>
      </c>
      <c r="B732" s="201" t="s">
        <v>390</v>
      </c>
      <c r="C732" s="201">
        <v>942.0</v>
      </c>
      <c r="D732" s="201" t="s">
        <v>1321</v>
      </c>
      <c r="E732" s="201" t="s">
        <v>33</v>
      </c>
      <c r="F732" s="202">
        <v>42584.0</v>
      </c>
      <c r="G732" s="202">
        <v>42754.0</v>
      </c>
      <c r="H732" s="202">
        <v>42757.0</v>
      </c>
      <c r="I732" s="202">
        <v>44664.0</v>
      </c>
      <c r="J732" s="203">
        <v>14.99</v>
      </c>
      <c r="K732" s="203">
        <v>5.99</v>
      </c>
      <c r="L732" s="203">
        <v>9.0</v>
      </c>
      <c r="M732" s="201">
        <v>2.0</v>
      </c>
      <c r="N732" s="203">
        <v>3.0</v>
      </c>
    </row>
    <row r="733">
      <c r="A733" s="201" t="s">
        <v>384</v>
      </c>
      <c r="B733" s="201"/>
      <c r="C733" s="201">
        <v>665.0</v>
      </c>
      <c r="D733" s="201" t="s">
        <v>1322</v>
      </c>
      <c r="E733" s="201" t="s">
        <v>33</v>
      </c>
      <c r="F733" s="202">
        <v>42795.0</v>
      </c>
      <c r="G733" s="202">
        <v>42870.0</v>
      </c>
      <c r="H733" s="202">
        <v>42870.0</v>
      </c>
      <c r="I733" s="202">
        <v>44943.0</v>
      </c>
      <c r="J733" s="203">
        <v>34.98</v>
      </c>
      <c r="K733" s="203">
        <v>27.98</v>
      </c>
      <c r="L733" s="203">
        <v>7.0</v>
      </c>
      <c r="M733" s="201">
        <v>100.0</v>
      </c>
      <c r="N733" s="203">
        <v>0.28</v>
      </c>
    </row>
    <row r="734">
      <c r="A734" s="204" t="s">
        <v>384</v>
      </c>
      <c r="B734" s="204"/>
      <c r="C734" s="201">
        <v>581.0</v>
      </c>
      <c r="D734" s="201" t="s">
        <v>1323</v>
      </c>
      <c r="E734" s="201" t="s">
        <v>33</v>
      </c>
      <c r="F734" s="202">
        <v>44068.0</v>
      </c>
      <c r="G734" s="202">
        <v>45048.0</v>
      </c>
      <c r="H734" s="202">
        <v>45737.0</v>
      </c>
      <c r="I734" s="202">
        <v>45753.0</v>
      </c>
      <c r="J734" s="203">
        <v>21.99</v>
      </c>
      <c r="K734" s="203">
        <v>0.0</v>
      </c>
      <c r="L734" s="203">
        <v>21.99</v>
      </c>
      <c r="M734" s="201">
        <v>19.0</v>
      </c>
      <c r="N734" s="203">
        <v>0.0</v>
      </c>
    </row>
    <row r="735">
      <c r="A735" s="201" t="s">
        <v>384</v>
      </c>
      <c r="B735" s="201"/>
      <c r="C735" s="201">
        <v>666.0</v>
      </c>
      <c r="D735" s="201" t="s">
        <v>1324</v>
      </c>
      <c r="E735" s="201" t="s">
        <v>33</v>
      </c>
      <c r="F735" s="202">
        <v>44610.0</v>
      </c>
      <c r="G735" s="202">
        <v>44923.0</v>
      </c>
      <c r="H735" s="202">
        <v>44946.0</v>
      </c>
      <c r="I735" s="202">
        <v>45630.0</v>
      </c>
      <c r="J735" s="203">
        <v>79.99</v>
      </c>
      <c r="K735" s="203">
        <v>49.59</v>
      </c>
      <c r="L735" s="203">
        <v>30.4</v>
      </c>
      <c r="M735" s="201">
        <v>67.0</v>
      </c>
      <c r="N735" s="203">
        <v>0.74</v>
      </c>
    </row>
    <row r="736">
      <c r="A736" s="201" t="s">
        <v>384</v>
      </c>
      <c r="B736" s="201" t="s">
        <v>389</v>
      </c>
      <c r="C736" s="201">
        <v>986.0</v>
      </c>
      <c r="D736" s="201" t="s">
        <v>1325</v>
      </c>
      <c r="E736" s="201" t="s">
        <v>666</v>
      </c>
      <c r="F736" s="202">
        <v>42710.0</v>
      </c>
      <c r="G736" s="202">
        <v>44516.0</v>
      </c>
      <c r="H736" s="202">
        <v>44860.0</v>
      </c>
      <c r="I736" s="202">
        <v>44860.0</v>
      </c>
      <c r="J736" s="203">
        <v>44.99</v>
      </c>
      <c r="K736" s="203">
        <v>11.24</v>
      </c>
      <c r="L736" s="203">
        <v>33.75</v>
      </c>
      <c r="M736" s="201">
        <v>1.0</v>
      </c>
      <c r="N736" s="203">
        <v>11.24</v>
      </c>
    </row>
    <row r="737">
      <c r="A737" s="201" t="s">
        <v>384</v>
      </c>
      <c r="B737" s="201" t="s">
        <v>386</v>
      </c>
      <c r="C737" s="201">
        <v>1041.0</v>
      </c>
      <c r="D737" s="201" t="s">
        <v>1326</v>
      </c>
      <c r="E737" s="201" t="s">
        <v>666</v>
      </c>
      <c r="F737" s="202">
        <v>43333.0</v>
      </c>
      <c r="G737" s="202">
        <v>43804.0</v>
      </c>
      <c r="H737" s="202">
        <v>43804.0</v>
      </c>
      <c r="I737" s="202">
        <v>43804.0</v>
      </c>
      <c r="J737" s="203">
        <v>19.99</v>
      </c>
      <c r="K737" s="203">
        <v>8.99</v>
      </c>
      <c r="L737" s="203">
        <v>11.0</v>
      </c>
      <c r="M737" s="201">
        <v>1.0</v>
      </c>
      <c r="N737" s="203">
        <v>8.99</v>
      </c>
    </row>
    <row r="738">
      <c r="A738" s="201" t="s">
        <v>384</v>
      </c>
      <c r="B738" s="201"/>
      <c r="C738" s="201">
        <v>1042.0</v>
      </c>
      <c r="D738" s="201" t="s">
        <v>1327</v>
      </c>
      <c r="E738" s="201" t="s">
        <v>666</v>
      </c>
      <c r="F738" s="202">
        <v>44434.0</v>
      </c>
      <c r="G738" s="202">
        <v>44517.0</v>
      </c>
      <c r="H738" s="202">
        <v>44630.0</v>
      </c>
      <c r="I738" s="202">
        <v>44678.0</v>
      </c>
      <c r="J738" s="203">
        <v>19.99</v>
      </c>
      <c r="K738" s="203">
        <v>12.99</v>
      </c>
      <c r="L738" s="203">
        <v>7.0</v>
      </c>
      <c r="M738" s="201">
        <v>1.0</v>
      </c>
      <c r="N738" s="203">
        <v>12.99</v>
      </c>
    </row>
    <row r="739">
      <c r="A739" s="205">
        <f t="shared" ref="A739:B739" si="62">COUNTA(A728:A738)</f>
        <v>11</v>
      </c>
      <c r="B739" s="205">
        <f t="shared" si="62"/>
        <v>7</v>
      </c>
      <c r="C739" s="205"/>
      <c r="D739" s="206"/>
      <c r="E739" s="207">
        <v>280.38</v>
      </c>
      <c r="F739" s="207">
        <v>137.74</v>
      </c>
      <c r="G739" s="207">
        <v>142.64</v>
      </c>
      <c r="H739" s="205">
        <v>200.0</v>
      </c>
      <c r="I739" s="208">
        <v>0.6887000000000001</v>
      </c>
      <c r="J739" s="209">
        <f t="shared" ref="J739:M739" si="63">SUM(J728:J738)</f>
        <v>280.38</v>
      </c>
      <c r="K739" s="209">
        <f t="shared" si="63"/>
        <v>137.74</v>
      </c>
      <c r="L739" s="209">
        <f t="shared" si="63"/>
        <v>142.64</v>
      </c>
      <c r="M739" s="206">
        <f t="shared" si="63"/>
        <v>200</v>
      </c>
      <c r="N739" s="209">
        <f>K739/M739</f>
        <v>0.6887</v>
      </c>
    </row>
    <row r="740">
      <c r="A740" s="210"/>
      <c r="B740" s="210"/>
      <c r="C740" s="210"/>
      <c r="D740" s="211"/>
      <c r="E740" s="211"/>
      <c r="F740" s="211"/>
      <c r="G740" s="211"/>
      <c r="H740" s="211"/>
      <c r="I740" s="211"/>
      <c r="J740" s="1"/>
      <c r="K740" s="1"/>
      <c r="L740" s="1"/>
      <c r="M740" s="1"/>
      <c r="N740" s="1"/>
    </row>
    <row r="741">
      <c r="A741" s="102" t="s">
        <v>392</v>
      </c>
      <c r="B741" s="102" t="s">
        <v>391</v>
      </c>
      <c r="C741" s="102">
        <v>1050.0</v>
      </c>
      <c r="D741" s="102" t="s">
        <v>1328</v>
      </c>
      <c r="E741" s="102" t="s">
        <v>666</v>
      </c>
      <c r="F741" s="169">
        <v>44588.0</v>
      </c>
      <c r="G741" s="169">
        <v>44678.0</v>
      </c>
      <c r="H741" s="169">
        <v>44678.0</v>
      </c>
      <c r="I741" s="169">
        <v>44678.0</v>
      </c>
      <c r="J741" s="170">
        <v>39.99</v>
      </c>
      <c r="K741" s="170">
        <v>19.99</v>
      </c>
      <c r="L741" s="170">
        <v>20.0</v>
      </c>
      <c r="M741" s="102">
        <v>1.0</v>
      </c>
      <c r="N741" s="170">
        <v>19.99</v>
      </c>
    </row>
    <row r="742">
      <c r="A742" s="35">
        <f t="shared" ref="A742:B742" si="64">COUNTA(A741)</f>
        <v>1</v>
      </c>
      <c r="B742" s="35">
        <f t="shared" si="64"/>
        <v>1</v>
      </c>
      <c r="C742" s="35"/>
      <c r="D742" s="25"/>
      <c r="E742" s="24">
        <v>39.99</v>
      </c>
      <c r="F742" s="24">
        <v>19.99</v>
      </c>
      <c r="G742" s="24">
        <v>20.0</v>
      </c>
      <c r="H742" s="35">
        <v>1.0</v>
      </c>
      <c r="I742" s="59">
        <v>19.99</v>
      </c>
      <c r="J742" s="26">
        <f t="shared" ref="J742:M742" si="65">SUM(J741)</f>
        <v>39.99</v>
      </c>
      <c r="K742" s="26">
        <f t="shared" si="65"/>
        <v>19.99</v>
      </c>
      <c r="L742" s="26">
        <f t="shared" si="65"/>
        <v>20</v>
      </c>
      <c r="M742" s="25">
        <f t="shared" si="65"/>
        <v>1</v>
      </c>
      <c r="N742" s="26">
        <f>K742/M742</f>
        <v>19.99</v>
      </c>
    </row>
    <row r="743">
      <c r="A743" s="35"/>
      <c r="B743" s="35"/>
      <c r="C743" s="35"/>
      <c r="D743" s="25"/>
      <c r="E743" s="25"/>
      <c r="F743" s="25"/>
      <c r="G743" s="25"/>
      <c r="H743" s="25"/>
      <c r="I743" s="25"/>
      <c r="J743" s="26"/>
      <c r="K743" s="26"/>
      <c r="L743" s="26"/>
      <c r="M743" s="25"/>
      <c r="N743" s="26"/>
    </row>
    <row r="744">
      <c r="A744" s="72" t="s">
        <v>394</v>
      </c>
      <c r="B744" s="72" t="s">
        <v>393</v>
      </c>
      <c r="C744" s="72">
        <v>876.0</v>
      </c>
      <c r="D744" s="72" t="s">
        <v>1329</v>
      </c>
      <c r="E744" s="72" t="s">
        <v>33</v>
      </c>
      <c r="F744" s="167">
        <v>43625.0</v>
      </c>
      <c r="G744" s="167">
        <v>44431.0</v>
      </c>
      <c r="H744" s="167">
        <v>44436.0</v>
      </c>
      <c r="I744" s="167">
        <v>44446.0</v>
      </c>
      <c r="J744" s="165">
        <v>19.99</v>
      </c>
      <c r="K744" s="165">
        <v>11.99</v>
      </c>
      <c r="L744" s="165">
        <v>8.0</v>
      </c>
      <c r="M744" s="72">
        <v>8.0</v>
      </c>
      <c r="N744" s="165">
        <v>1.5</v>
      </c>
    </row>
    <row r="745">
      <c r="A745" s="212" t="s">
        <v>394</v>
      </c>
      <c r="B745" s="72"/>
      <c r="C745" s="72">
        <v>1071.0</v>
      </c>
      <c r="D745" s="72" t="s">
        <v>1330</v>
      </c>
      <c r="E745" s="72" t="s">
        <v>39</v>
      </c>
      <c r="F745" s="167">
        <v>45568.0</v>
      </c>
      <c r="G745" s="167">
        <v>45602.0</v>
      </c>
      <c r="H745" s="167">
        <v>45604.0</v>
      </c>
      <c r="I745" s="167">
        <v>45623.0</v>
      </c>
      <c r="J745" s="55">
        <v>34.99</v>
      </c>
      <c r="K745" s="55">
        <v>23.44</v>
      </c>
      <c r="L745" s="165">
        <v>11.55</v>
      </c>
      <c r="M745" s="72">
        <v>34.0</v>
      </c>
      <c r="N745" s="165">
        <v>0.69</v>
      </c>
    </row>
    <row r="746">
      <c r="A746" s="43">
        <f>COUNTA(A744:A745)</f>
        <v>2</v>
      </c>
      <c r="B746" s="43">
        <f>COUNTA(B744)</f>
        <v>1</v>
      </c>
      <c r="C746" s="43"/>
      <c r="D746" s="44"/>
      <c r="E746" s="46">
        <v>54.98</v>
      </c>
      <c r="F746" s="46">
        <v>35.43</v>
      </c>
      <c r="G746" s="46">
        <v>19.55</v>
      </c>
      <c r="H746" s="43">
        <v>42.0</v>
      </c>
      <c r="I746" s="46">
        <v>0.8435714285714285</v>
      </c>
      <c r="J746" s="145">
        <f t="shared" ref="J746:M746" si="66">SUM(J744:J745)</f>
        <v>54.98</v>
      </c>
      <c r="K746" s="145">
        <f t="shared" si="66"/>
        <v>35.43</v>
      </c>
      <c r="L746" s="145">
        <f t="shared" si="66"/>
        <v>19.55</v>
      </c>
      <c r="M746" s="44">
        <f t="shared" si="66"/>
        <v>42</v>
      </c>
      <c r="N746" s="145">
        <f>K746/M746</f>
        <v>0.8435714286</v>
      </c>
    </row>
    <row r="747">
      <c r="A747" s="64"/>
      <c r="B747" s="64"/>
      <c r="C747" s="64"/>
      <c r="D747" s="114"/>
      <c r="E747" s="114"/>
      <c r="F747" s="114"/>
      <c r="G747" s="114"/>
      <c r="H747" s="114"/>
      <c r="I747" s="114"/>
      <c r="J747" s="1"/>
      <c r="K747" s="1"/>
      <c r="L747" s="1"/>
      <c r="M747" s="1"/>
      <c r="N747" s="1"/>
    </row>
    <row r="748">
      <c r="A748" s="43" t="s">
        <v>396</v>
      </c>
      <c r="B748" s="43" t="s">
        <v>395</v>
      </c>
      <c r="C748" s="43">
        <v>723.0</v>
      </c>
      <c r="D748" s="43" t="s">
        <v>1331</v>
      </c>
      <c r="E748" s="43" t="s">
        <v>33</v>
      </c>
      <c r="F748" s="57">
        <v>42654.0</v>
      </c>
      <c r="G748" s="57">
        <v>42951.0</v>
      </c>
      <c r="H748" s="57">
        <v>42998.0</v>
      </c>
      <c r="I748" s="57">
        <v>44385.0</v>
      </c>
      <c r="J748" s="47">
        <v>9.99</v>
      </c>
      <c r="K748" s="47">
        <v>4.99</v>
      </c>
      <c r="L748" s="47">
        <v>5.0</v>
      </c>
      <c r="M748" s="43">
        <v>10.0</v>
      </c>
      <c r="N748" s="47">
        <v>0.5</v>
      </c>
    </row>
    <row r="749">
      <c r="A749" s="43" t="s">
        <v>396</v>
      </c>
      <c r="B749" s="43"/>
      <c r="C749" s="43">
        <v>914.0</v>
      </c>
      <c r="D749" s="43" t="s">
        <v>1332</v>
      </c>
      <c r="E749" s="43" t="s">
        <v>33</v>
      </c>
      <c r="F749" s="57">
        <v>45561.0</v>
      </c>
      <c r="G749" s="57">
        <v>45651.0</v>
      </c>
      <c r="H749" s="57">
        <v>45694.0</v>
      </c>
      <c r="I749" s="57">
        <v>45697.0</v>
      </c>
      <c r="J749" s="46">
        <v>19.99</v>
      </c>
      <c r="K749" s="46">
        <v>0.0</v>
      </c>
      <c r="L749" s="47">
        <v>19.99</v>
      </c>
      <c r="M749" s="43">
        <v>13.0</v>
      </c>
      <c r="N749" s="47">
        <v>0.0</v>
      </c>
    </row>
    <row r="750">
      <c r="A750" s="53">
        <f t="shared" ref="A750:B750" si="67">COUNTA(A748:A749)</f>
        <v>2</v>
      </c>
      <c r="B750" s="53">
        <f t="shared" si="67"/>
        <v>1</v>
      </c>
      <c r="C750" s="53"/>
      <c r="D750" s="75"/>
      <c r="E750" s="76">
        <v>29.98</v>
      </c>
      <c r="F750" s="76">
        <v>4.99</v>
      </c>
      <c r="G750" s="76">
        <v>24.99</v>
      </c>
      <c r="H750" s="53">
        <v>23.0</v>
      </c>
      <c r="I750" s="54">
        <v>0.21695652173913044</v>
      </c>
      <c r="J750" s="163">
        <f t="shared" ref="J750:M750" si="68">SUM(J748:J749)</f>
        <v>29.98</v>
      </c>
      <c r="K750" s="163">
        <f t="shared" si="68"/>
        <v>4.99</v>
      </c>
      <c r="L750" s="163">
        <f t="shared" si="68"/>
        <v>24.99</v>
      </c>
      <c r="M750" s="75">
        <f t="shared" si="68"/>
        <v>23</v>
      </c>
      <c r="N750" s="163">
        <f>K750/M750</f>
        <v>0.2169565217</v>
      </c>
    </row>
    <row r="751">
      <c r="A751" s="49"/>
      <c r="B751" s="49"/>
      <c r="C751" s="49"/>
      <c r="D751" s="79"/>
      <c r="E751" s="79"/>
      <c r="F751" s="79"/>
      <c r="G751" s="79"/>
      <c r="H751" s="79"/>
      <c r="I751" s="79"/>
      <c r="J751" s="78"/>
      <c r="K751" s="78"/>
      <c r="L751" s="78"/>
      <c r="M751" s="49"/>
      <c r="N751" s="78"/>
    </row>
    <row r="752">
      <c r="A752" s="43" t="s">
        <v>398</v>
      </c>
      <c r="B752" s="43" t="s">
        <v>397</v>
      </c>
      <c r="C752" s="43">
        <v>824.0</v>
      </c>
      <c r="D752" s="43" t="s">
        <v>1333</v>
      </c>
      <c r="E752" s="43" t="s">
        <v>33</v>
      </c>
      <c r="F752" s="57">
        <v>42752.0</v>
      </c>
      <c r="G752" s="57">
        <v>43519.0</v>
      </c>
      <c r="H752" s="57">
        <v>43520.0</v>
      </c>
      <c r="I752" s="57">
        <v>43520.0</v>
      </c>
      <c r="J752" s="47">
        <v>19.99</v>
      </c>
      <c r="K752" s="47">
        <v>3.99</v>
      </c>
      <c r="L752" s="47">
        <v>16.0</v>
      </c>
      <c r="M752" s="43">
        <v>3.0</v>
      </c>
      <c r="N752" s="47">
        <v>1.33</v>
      </c>
    </row>
    <row r="753">
      <c r="A753" s="44" t="s">
        <v>398</v>
      </c>
      <c r="B753" s="44"/>
      <c r="C753" s="44">
        <v>716.0</v>
      </c>
      <c r="D753" s="44" t="s">
        <v>1334</v>
      </c>
      <c r="E753" s="44" t="s">
        <v>33</v>
      </c>
      <c r="F753" s="57">
        <v>45562.0</v>
      </c>
      <c r="G753" s="57">
        <v>45878.0</v>
      </c>
      <c r="H753" s="57">
        <v>45919.0</v>
      </c>
      <c r="I753" s="57">
        <v>45921.0</v>
      </c>
      <c r="J753" s="164">
        <v>49.99</v>
      </c>
      <c r="K753" s="164">
        <v>17.49</v>
      </c>
      <c r="L753" s="164">
        <f>J753-K753</f>
        <v>32.5</v>
      </c>
      <c r="M753" s="44">
        <v>14.0</v>
      </c>
      <c r="N753" s="164">
        <f t="shared" ref="N753:N754" si="71">K753/M753</f>
        <v>1.249285714</v>
      </c>
    </row>
    <row r="754">
      <c r="A754" s="72">
        <f t="shared" ref="A754:B754" si="69">COUNTA(A752:A753)</f>
        <v>2</v>
      </c>
      <c r="B754" s="72">
        <f t="shared" si="69"/>
        <v>1</v>
      </c>
      <c r="C754" s="72"/>
      <c r="D754" s="72"/>
      <c r="E754" s="165">
        <v>69.98</v>
      </c>
      <c r="F754" s="165">
        <v>21.48</v>
      </c>
      <c r="G754" s="165">
        <v>48.5</v>
      </c>
      <c r="H754" s="72">
        <v>17.0</v>
      </c>
      <c r="I754" s="55">
        <v>1.263529411764706</v>
      </c>
      <c r="J754" s="71">
        <f t="shared" ref="J754:M754" si="70">SUM(J752:J753)</f>
        <v>69.98</v>
      </c>
      <c r="K754" s="71">
        <f t="shared" si="70"/>
        <v>21.48</v>
      </c>
      <c r="L754" s="71">
        <f t="shared" si="70"/>
        <v>48.5</v>
      </c>
      <c r="M754" s="39">
        <f t="shared" si="70"/>
        <v>17</v>
      </c>
      <c r="N754" s="71">
        <f t="shared" si="71"/>
        <v>1.263529412</v>
      </c>
    </row>
    <row r="755">
      <c r="A755" s="64"/>
      <c r="B755" s="64"/>
      <c r="C755" s="64"/>
      <c r="D755" s="64"/>
      <c r="E755" s="114"/>
      <c r="F755" s="114"/>
      <c r="G755" s="114"/>
      <c r="H755" s="114"/>
      <c r="I755" s="114"/>
      <c r="J755" s="7"/>
      <c r="K755" s="7"/>
      <c r="L755" s="7"/>
      <c r="M755" s="7"/>
      <c r="N755" s="7"/>
    </row>
    <row r="756">
      <c r="A756" s="39" t="s">
        <v>400</v>
      </c>
      <c r="B756" s="39" t="s">
        <v>411</v>
      </c>
      <c r="C756" s="72">
        <v>218.0</v>
      </c>
      <c r="D756" s="72" t="s">
        <v>1335</v>
      </c>
      <c r="E756" s="72" t="s">
        <v>649</v>
      </c>
      <c r="F756" s="167">
        <v>40795.0</v>
      </c>
      <c r="G756" s="167">
        <v>45734.0</v>
      </c>
      <c r="H756" s="167">
        <v>45742.0</v>
      </c>
      <c r="I756" s="167">
        <v>45751.0</v>
      </c>
      <c r="J756" s="55">
        <v>19.99</v>
      </c>
      <c r="K756" s="55">
        <v>2.99</v>
      </c>
      <c r="L756" s="55">
        <v>17.0</v>
      </c>
      <c r="M756" s="72">
        <v>23.0</v>
      </c>
      <c r="N756" s="55">
        <v>0.13</v>
      </c>
    </row>
    <row r="757">
      <c r="A757" s="72" t="s">
        <v>400</v>
      </c>
      <c r="B757" s="72" t="s">
        <v>399</v>
      </c>
      <c r="C757" s="72">
        <v>223.0</v>
      </c>
      <c r="D757" s="72" t="s">
        <v>1336</v>
      </c>
      <c r="E757" s="72" t="s">
        <v>649</v>
      </c>
      <c r="F757" s="167">
        <v>41493.0</v>
      </c>
      <c r="G757" s="167">
        <v>42187.0</v>
      </c>
      <c r="H757" s="167">
        <v>42187.0</v>
      </c>
      <c r="I757" s="167">
        <v>42187.0</v>
      </c>
      <c r="J757" s="165">
        <v>0.0</v>
      </c>
      <c r="K757" s="165">
        <v>0.0</v>
      </c>
      <c r="L757" s="55">
        <v>0.0</v>
      </c>
      <c r="M757" s="72">
        <v>1.0</v>
      </c>
      <c r="N757" s="55">
        <v>0.0</v>
      </c>
    </row>
    <row r="758">
      <c r="A758" s="72" t="s">
        <v>400</v>
      </c>
      <c r="B758" s="72" t="s">
        <v>401</v>
      </c>
      <c r="C758" s="72">
        <v>929.0</v>
      </c>
      <c r="D758" s="72" t="s">
        <v>1337</v>
      </c>
      <c r="E758" s="72" t="s">
        <v>33</v>
      </c>
      <c r="F758" s="167">
        <v>42143.0</v>
      </c>
      <c r="G758" s="167">
        <v>43564.0</v>
      </c>
      <c r="H758" s="167">
        <v>43835.0</v>
      </c>
      <c r="I758" s="167">
        <v>43835.0</v>
      </c>
      <c r="J758" s="165">
        <v>74.98</v>
      </c>
      <c r="K758" s="165">
        <v>24.98</v>
      </c>
      <c r="L758" s="55">
        <v>50.0</v>
      </c>
      <c r="M758" s="72">
        <v>10.0</v>
      </c>
      <c r="N758" s="55">
        <v>2.5</v>
      </c>
    </row>
    <row r="759">
      <c r="A759" s="72" t="s">
        <v>400</v>
      </c>
      <c r="B759" s="72" t="s">
        <v>406</v>
      </c>
      <c r="C759" s="72">
        <v>703.0</v>
      </c>
      <c r="D759" s="72" t="s">
        <v>1338</v>
      </c>
      <c r="E759" s="72" t="s">
        <v>33</v>
      </c>
      <c r="F759" s="167">
        <v>42640.0</v>
      </c>
      <c r="G759" s="167">
        <v>42950.0</v>
      </c>
      <c r="H759" s="167">
        <v>43059.0</v>
      </c>
      <c r="I759" s="167">
        <v>44917.0</v>
      </c>
      <c r="J759" s="165">
        <v>9.99</v>
      </c>
      <c r="K759" s="165">
        <v>5.99</v>
      </c>
      <c r="L759" s="55">
        <v>4.0</v>
      </c>
      <c r="M759" s="72">
        <v>5.0</v>
      </c>
      <c r="N759" s="55">
        <v>1.2</v>
      </c>
    </row>
    <row r="760">
      <c r="A760" s="72" t="s">
        <v>400</v>
      </c>
      <c r="B760" s="72" t="s">
        <v>408</v>
      </c>
      <c r="C760" s="72">
        <v>527.0</v>
      </c>
      <c r="D760" s="72" t="s">
        <v>1339</v>
      </c>
      <c r="E760" s="72" t="s">
        <v>33</v>
      </c>
      <c r="F760" s="167">
        <v>42824.0</v>
      </c>
      <c r="G760" s="167">
        <v>44431.0</v>
      </c>
      <c r="H760" s="167">
        <v>44566.0</v>
      </c>
      <c r="I760" s="167">
        <v>44569.0</v>
      </c>
      <c r="J760" s="165">
        <v>14.99</v>
      </c>
      <c r="K760" s="165">
        <v>1.49</v>
      </c>
      <c r="L760" s="55">
        <v>13.5</v>
      </c>
      <c r="M760" s="72">
        <v>20.0</v>
      </c>
      <c r="N760" s="55">
        <v>0.07</v>
      </c>
    </row>
    <row r="761">
      <c r="A761" s="72" t="s">
        <v>400</v>
      </c>
      <c r="B761" s="72" t="s">
        <v>412</v>
      </c>
      <c r="C761" s="72">
        <v>900.0</v>
      </c>
      <c r="D761" s="72" t="s">
        <v>1340</v>
      </c>
      <c r="E761" s="72" t="s">
        <v>33</v>
      </c>
      <c r="F761" s="167">
        <v>43784.0</v>
      </c>
      <c r="G761" s="167">
        <v>44455.0</v>
      </c>
      <c r="H761" s="167">
        <v>44455.0</v>
      </c>
      <c r="I761" s="167">
        <v>44455.0</v>
      </c>
      <c r="J761" s="165">
        <v>44.99</v>
      </c>
      <c r="K761" s="165">
        <v>26.99</v>
      </c>
      <c r="L761" s="55">
        <v>18.0</v>
      </c>
      <c r="M761" s="72">
        <v>1.0</v>
      </c>
      <c r="N761" s="55">
        <v>26.99</v>
      </c>
    </row>
    <row r="762">
      <c r="A762" s="72" t="s">
        <v>400</v>
      </c>
      <c r="B762" s="72" t="s">
        <v>409</v>
      </c>
      <c r="C762" s="72">
        <v>500.0</v>
      </c>
      <c r="D762" s="72" t="s">
        <v>1341</v>
      </c>
      <c r="E762" s="72" t="s">
        <v>33</v>
      </c>
      <c r="F762" s="167">
        <v>43896.0</v>
      </c>
      <c r="G762" s="167">
        <v>44915.0</v>
      </c>
      <c r="H762" s="167">
        <v>44933.0</v>
      </c>
      <c r="I762" s="167">
        <v>44936.0</v>
      </c>
      <c r="J762" s="165">
        <v>9.99</v>
      </c>
      <c r="K762" s="165">
        <v>0.0</v>
      </c>
      <c r="L762" s="55">
        <v>9.99</v>
      </c>
      <c r="M762" s="72">
        <v>3.0</v>
      </c>
      <c r="N762" s="55">
        <v>0.0</v>
      </c>
    </row>
    <row r="763">
      <c r="A763" s="72" t="s">
        <v>400</v>
      </c>
      <c r="B763" s="72" t="s">
        <v>407</v>
      </c>
      <c r="C763" s="72">
        <v>835.0</v>
      </c>
      <c r="D763" s="72" t="s">
        <v>1342</v>
      </c>
      <c r="E763" s="72" t="s">
        <v>33</v>
      </c>
      <c r="F763" s="167">
        <v>44070.0</v>
      </c>
      <c r="G763" s="167">
        <v>44398.0</v>
      </c>
      <c r="H763" s="167">
        <v>44445.0</v>
      </c>
      <c r="I763" s="167">
        <v>44448.0</v>
      </c>
      <c r="J763" s="55">
        <v>19.99</v>
      </c>
      <c r="K763" s="55">
        <v>4.99</v>
      </c>
      <c r="L763" s="55">
        <v>15.0</v>
      </c>
      <c r="M763" s="72">
        <v>11.0</v>
      </c>
      <c r="N763" s="55">
        <v>0.45</v>
      </c>
    </row>
    <row r="764">
      <c r="A764" s="72" t="s">
        <v>400</v>
      </c>
      <c r="B764" s="72"/>
      <c r="C764" s="72">
        <v>565.0</v>
      </c>
      <c r="D764" s="72" t="s">
        <v>1343</v>
      </c>
      <c r="E764" s="72" t="s">
        <v>33</v>
      </c>
      <c r="F764" s="167">
        <v>44175.0</v>
      </c>
      <c r="G764" s="167">
        <v>44607.0</v>
      </c>
      <c r="H764" s="167">
        <v>44609.0</v>
      </c>
      <c r="I764" s="167">
        <v>44652.0</v>
      </c>
      <c r="J764" s="165">
        <v>49.99</v>
      </c>
      <c r="K764" s="165">
        <v>33.49</v>
      </c>
      <c r="L764" s="55">
        <v>16.5</v>
      </c>
      <c r="M764" s="72">
        <v>83.0</v>
      </c>
      <c r="N764" s="55">
        <v>0.4</v>
      </c>
    </row>
    <row r="765">
      <c r="A765" s="72" t="s">
        <v>400</v>
      </c>
      <c r="B765" s="72" t="s">
        <v>404</v>
      </c>
      <c r="C765" s="72">
        <v>823.0</v>
      </c>
      <c r="D765" s="72" t="s">
        <v>1344</v>
      </c>
      <c r="E765" s="72" t="s">
        <v>33</v>
      </c>
      <c r="F765" s="167">
        <v>44439.0</v>
      </c>
      <c r="G765" s="167">
        <v>44708.0</v>
      </c>
      <c r="H765" s="167">
        <v>44817.0</v>
      </c>
      <c r="I765" s="167">
        <v>45451.0</v>
      </c>
      <c r="J765" s="165">
        <v>29.99</v>
      </c>
      <c r="K765" s="165">
        <v>14.99</v>
      </c>
      <c r="L765" s="55">
        <v>15.0</v>
      </c>
      <c r="M765" s="72">
        <v>24.0</v>
      </c>
      <c r="N765" s="55">
        <v>0.62</v>
      </c>
    </row>
    <row r="766">
      <c r="A766" s="72" t="s">
        <v>400</v>
      </c>
      <c r="B766" s="72" t="s">
        <v>403</v>
      </c>
      <c r="C766" s="72">
        <v>905.0</v>
      </c>
      <c r="D766" s="72" t="s">
        <v>1345</v>
      </c>
      <c r="E766" s="72" t="s">
        <v>33</v>
      </c>
      <c r="F766" s="167">
        <v>44455.0</v>
      </c>
      <c r="G766" s="167">
        <v>45176.0</v>
      </c>
      <c r="H766" s="167">
        <v>45176.0</v>
      </c>
      <c r="I766" s="167">
        <v>45176.0</v>
      </c>
      <c r="J766" s="165">
        <v>19.99</v>
      </c>
      <c r="K766" s="165">
        <v>0.0</v>
      </c>
      <c r="L766" s="55">
        <v>19.99</v>
      </c>
      <c r="M766" s="72">
        <v>1.0</v>
      </c>
      <c r="N766" s="55">
        <v>0.0</v>
      </c>
    </row>
    <row r="767">
      <c r="A767" s="72" t="s">
        <v>400</v>
      </c>
      <c r="B767" s="72" t="s">
        <v>402</v>
      </c>
      <c r="C767" s="72">
        <v>939.0</v>
      </c>
      <c r="D767" s="72" t="s">
        <v>1346</v>
      </c>
      <c r="E767" s="72" t="s">
        <v>33</v>
      </c>
      <c r="F767" s="167">
        <v>44686.0</v>
      </c>
      <c r="G767" s="167">
        <v>45083.0</v>
      </c>
      <c r="H767" s="167">
        <v>45083.0</v>
      </c>
      <c r="I767" s="167">
        <v>45083.0</v>
      </c>
      <c r="J767" s="165">
        <v>19.99</v>
      </c>
      <c r="K767" s="165">
        <v>0.0</v>
      </c>
      <c r="L767" s="55">
        <v>19.99</v>
      </c>
      <c r="M767" s="72">
        <v>1.0</v>
      </c>
      <c r="N767" s="55">
        <v>0.0</v>
      </c>
    </row>
    <row r="768">
      <c r="A768" s="72" t="s">
        <v>400</v>
      </c>
      <c r="B768" s="72" t="s">
        <v>413</v>
      </c>
      <c r="C768" s="72">
        <v>962.0</v>
      </c>
      <c r="D768" s="72" t="s">
        <v>1347</v>
      </c>
      <c r="E768" s="72" t="s">
        <v>33</v>
      </c>
      <c r="F768" s="167">
        <v>44833.0</v>
      </c>
      <c r="G768" s="167">
        <v>45482.0</v>
      </c>
      <c r="H768" s="167">
        <v>45484.0</v>
      </c>
      <c r="I768" s="167">
        <v>45484.0</v>
      </c>
      <c r="J768" s="165">
        <v>24.99</v>
      </c>
      <c r="K768" s="165">
        <v>9.9</v>
      </c>
      <c r="L768" s="55">
        <v>15.09</v>
      </c>
      <c r="M768" s="72">
        <v>2.0</v>
      </c>
      <c r="N768" s="55">
        <v>4.95</v>
      </c>
    </row>
    <row r="769">
      <c r="A769" s="72" t="s">
        <v>400</v>
      </c>
      <c r="B769" s="72" t="s">
        <v>405</v>
      </c>
      <c r="C769" s="72">
        <v>756.0</v>
      </c>
      <c r="D769" s="72" t="s">
        <v>1348</v>
      </c>
      <c r="E769" s="72" t="s">
        <v>33</v>
      </c>
      <c r="F769" s="167">
        <v>44861.0</v>
      </c>
      <c r="G769" s="167">
        <v>45542.0</v>
      </c>
      <c r="H769" s="167">
        <v>45549.0</v>
      </c>
      <c r="I769" s="167">
        <v>45549.0</v>
      </c>
      <c r="J769" s="165">
        <v>19.99</v>
      </c>
      <c r="K769" s="165">
        <v>0.0</v>
      </c>
      <c r="L769" s="55">
        <v>19.99</v>
      </c>
      <c r="M769" s="72">
        <v>2.0</v>
      </c>
      <c r="N769" s="55">
        <v>0.0</v>
      </c>
    </row>
    <row r="770">
      <c r="A770" s="72" t="s">
        <v>400</v>
      </c>
      <c r="B770" s="72" t="s">
        <v>410</v>
      </c>
      <c r="C770" s="72">
        <v>1034.0</v>
      </c>
      <c r="D770" s="72" t="s">
        <v>1349</v>
      </c>
      <c r="E770" s="72" t="s">
        <v>666</v>
      </c>
      <c r="F770" s="167">
        <v>42935.0</v>
      </c>
      <c r="G770" s="167">
        <v>43472.0</v>
      </c>
      <c r="H770" s="167">
        <v>43543.0</v>
      </c>
      <c r="I770" s="167">
        <v>43543.0</v>
      </c>
      <c r="J770" s="165">
        <v>24.99</v>
      </c>
      <c r="K770" s="165">
        <v>14.99</v>
      </c>
      <c r="L770" s="55">
        <v>10.0</v>
      </c>
      <c r="M770" s="72">
        <v>1.0</v>
      </c>
      <c r="N770" s="55">
        <v>14.99</v>
      </c>
    </row>
    <row r="771">
      <c r="A771" s="72" t="s">
        <v>400</v>
      </c>
      <c r="B771" s="72" t="s">
        <v>414</v>
      </c>
      <c r="C771" s="72">
        <v>1008.0</v>
      </c>
      <c r="D771" s="72" t="s">
        <v>1350</v>
      </c>
      <c r="E771" s="72" t="s">
        <v>666</v>
      </c>
      <c r="F771" s="167">
        <v>44693.0</v>
      </c>
      <c r="G771" s="167">
        <v>45048.0</v>
      </c>
      <c r="H771" s="167">
        <v>45048.0</v>
      </c>
      <c r="I771" s="167">
        <v>45048.0</v>
      </c>
      <c r="J771" s="165">
        <v>19.99</v>
      </c>
      <c r="K771" s="165">
        <v>12.99</v>
      </c>
      <c r="L771" s="55">
        <v>7.0</v>
      </c>
      <c r="M771" s="72">
        <v>1.0</v>
      </c>
      <c r="N771" s="55">
        <v>12.99</v>
      </c>
    </row>
    <row r="772">
      <c r="A772" s="72" t="s">
        <v>400</v>
      </c>
      <c r="B772" s="72"/>
      <c r="C772" s="72">
        <v>1075.0</v>
      </c>
      <c r="D772" s="72" t="s">
        <v>1351</v>
      </c>
      <c r="E772" s="72" t="s">
        <v>39</v>
      </c>
      <c r="F772" s="167">
        <v>45232.0</v>
      </c>
      <c r="G772" s="167">
        <v>45337.0</v>
      </c>
      <c r="H772" s="167">
        <v>45350.0</v>
      </c>
      <c r="I772" s="167">
        <v>45354.0</v>
      </c>
      <c r="J772" s="55">
        <v>59.99</v>
      </c>
      <c r="K772" s="55">
        <v>15.99</v>
      </c>
      <c r="L772" s="55">
        <v>44.0</v>
      </c>
      <c r="M772" s="72">
        <v>17.0</v>
      </c>
      <c r="N772" s="55">
        <v>0.94</v>
      </c>
    </row>
    <row r="773">
      <c r="A773" s="43">
        <f t="shared" ref="A773:B773" si="72">COUNTA(A756:A772)</f>
        <v>17</v>
      </c>
      <c r="B773" s="43">
        <f t="shared" si="72"/>
        <v>15</v>
      </c>
      <c r="C773" s="43"/>
      <c r="D773" s="44"/>
      <c r="E773" s="46">
        <v>464.83</v>
      </c>
      <c r="F773" s="46">
        <v>169.78</v>
      </c>
      <c r="G773" s="46">
        <v>295.05</v>
      </c>
      <c r="H773" s="43">
        <v>206.0</v>
      </c>
      <c r="I773" s="46">
        <v>0.8241747572815534</v>
      </c>
      <c r="J773" s="145">
        <f t="shared" ref="J773:M773" si="73">SUM(J756:J772)</f>
        <v>464.83</v>
      </c>
      <c r="K773" s="145">
        <f t="shared" si="73"/>
        <v>169.78</v>
      </c>
      <c r="L773" s="145">
        <f t="shared" si="73"/>
        <v>295.05</v>
      </c>
      <c r="M773" s="44">
        <f t="shared" si="73"/>
        <v>206</v>
      </c>
      <c r="N773" s="145">
        <f>K773/M773</f>
        <v>0.8241747573</v>
      </c>
    </row>
    <row r="774">
      <c r="A774" s="64"/>
      <c r="B774" s="64"/>
      <c r="C774" s="64"/>
      <c r="D774" s="114"/>
      <c r="E774" s="114"/>
      <c r="F774" s="114"/>
      <c r="G774" s="114"/>
      <c r="H774" s="114"/>
      <c r="I774" s="114"/>
      <c r="J774" s="144"/>
      <c r="K774" s="144"/>
      <c r="L774" s="144"/>
      <c r="M774" s="114"/>
      <c r="N774" s="144"/>
    </row>
    <row r="775">
      <c r="A775" s="213" t="s">
        <v>416</v>
      </c>
      <c r="B775" s="213" t="s">
        <v>417</v>
      </c>
      <c r="C775" s="213">
        <v>804.0</v>
      </c>
      <c r="D775" s="213" t="s">
        <v>1352</v>
      </c>
      <c r="E775" s="213" t="s">
        <v>33</v>
      </c>
      <c r="F775" s="214">
        <v>42752.0</v>
      </c>
      <c r="G775" s="214">
        <v>42859.0</v>
      </c>
      <c r="H775" s="214">
        <v>45641.0</v>
      </c>
      <c r="I775" s="214">
        <v>45641.0</v>
      </c>
      <c r="J775" s="215">
        <v>8.99</v>
      </c>
      <c r="K775" s="215">
        <v>3.99</v>
      </c>
      <c r="L775" s="215">
        <v>5.0</v>
      </c>
      <c r="M775" s="213">
        <v>3.0</v>
      </c>
      <c r="N775" s="215">
        <v>1.33</v>
      </c>
    </row>
    <row r="776">
      <c r="A776" s="213" t="s">
        <v>416</v>
      </c>
      <c r="B776" s="213" t="s">
        <v>415</v>
      </c>
      <c r="C776" s="213">
        <v>1067.0</v>
      </c>
      <c r="D776" s="213" t="s">
        <v>1353</v>
      </c>
      <c r="E776" s="213" t="s">
        <v>39</v>
      </c>
      <c r="F776" s="214">
        <v>45230.0</v>
      </c>
      <c r="G776" s="214">
        <v>45725.0</v>
      </c>
      <c r="H776" s="214">
        <v>45812.0</v>
      </c>
      <c r="I776" s="214">
        <v>45812.0</v>
      </c>
      <c r="J776" s="216">
        <v>19.99</v>
      </c>
      <c r="K776" s="216">
        <v>11.99</v>
      </c>
      <c r="L776" s="216">
        <v>8.0</v>
      </c>
      <c r="M776" s="213">
        <v>2.0</v>
      </c>
      <c r="N776" s="216">
        <v>6.0</v>
      </c>
    </row>
    <row r="777">
      <c r="A777" s="217">
        <f t="shared" ref="A777:B777" si="74">COUNTA(A775:A776)</f>
        <v>2</v>
      </c>
      <c r="B777" s="217">
        <f t="shared" si="74"/>
        <v>2</v>
      </c>
      <c r="C777" s="217"/>
      <c r="D777" s="218"/>
      <c r="E777" s="219">
        <v>28.98</v>
      </c>
      <c r="F777" s="219">
        <v>15.98</v>
      </c>
      <c r="G777" s="219">
        <v>13.0</v>
      </c>
      <c r="H777" s="217">
        <v>5.0</v>
      </c>
      <c r="I777" s="219">
        <v>3.196</v>
      </c>
      <c r="J777" s="220">
        <f t="shared" ref="J777:M777" si="75">SUM(J775:J776)</f>
        <v>28.98</v>
      </c>
      <c r="K777" s="220">
        <f t="shared" si="75"/>
        <v>15.98</v>
      </c>
      <c r="L777" s="220">
        <f t="shared" si="75"/>
        <v>13</v>
      </c>
      <c r="M777" s="218">
        <f t="shared" si="75"/>
        <v>5</v>
      </c>
      <c r="N777" s="220">
        <f>K777/M777</f>
        <v>3.196</v>
      </c>
    </row>
    <row r="778">
      <c r="A778" s="217"/>
      <c r="B778" s="217"/>
      <c r="C778" s="217"/>
      <c r="D778" s="218"/>
      <c r="E778" s="218"/>
      <c r="F778" s="218"/>
      <c r="G778" s="218"/>
      <c r="H778" s="218"/>
      <c r="I778" s="218"/>
      <c r="J778" s="220"/>
      <c r="K778" s="220"/>
      <c r="L778" s="220"/>
      <c r="M778" s="218"/>
      <c r="N778" s="220"/>
    </row>
    <row r="779">
      <c r="A779" s="221" t="s">
        <v>419</v>
      </c>
      <c r="B779" s="221" t="s">
        <v>418</v>
      </c>
      <c r="C779" s="221">
        <v>605.0</v>
      </c>
      <c r="D779" s="221" t="s">
        <v>1354</v>
      </c>
      <c r="E779" s="221" t="s">
        <v>33</v>
      </c>
      <c r="F779" s="222">
        <v>44166.0</v>
      </c>
      <c r="G779" s="222">
        <v>44967.0</v>
      </c>
      <c r="H779" s="222">
        <v>45718.0</v>
      </c>
      <c r="I779" s="222">
        <v>45989.0</v>
      </c>
      <c r="J779" s="223">
        <v>64.98</v>
      </c>
      <c r="K779" s="223">
        <v>19.23</v>
      </c>
      <c r="L779" s="223">
        <v>45.75</v>
      </c>
      <c r="M779" s="221">
        <v>126.0</v>
      </c>
      <c r="N779" s="223">
        <v>0.15261904761904763</v>
      </c>
    </row>
    <row r="780">
      <c r="A780" s="224" t="s">
        <v>419</v>
      </c>
      <c r="B780" s="224" t="s">
        <v>420</v>
      </c>
      <c r="C780" s="224">
        <v>910.0</v>
      </c>
      <c r="D780" s="224" t="s">
        <v>1355</v>
      </c>
      <c r="E780" s="224" t="s">
        <v>33</v>
      </c>
      <c r="F780" s="225">
        <v>44294.0</v>
      </c>
      <c r="G780" s="225">
        <v>44398.0</v>
      </c>
      <c r="H780" s="225">
        <v>44852.0</v>
      </c>
      <c r="I780" s="225">
        <v>44854.0</v>
      </c>
      <c r="J780" s="226">
        <v>12.99</v>
      </c>
      <c r="K780" s="226">
        <v>9.74</v>
      </c>
      <c r="L780" s="226">
        <v>3.25</v>
      </c>
      <c r="M780" s="224">
        <v>12.0</v>
      </c>
      <c r="N780" s="226">
        <v>0.81</v>
      </c>
    </row>
    <row r="781">
      <c r="A781" s="224" t="s">
        <v>419</v>
      </c>
      <c r="B781" s="224"/>
      <c r="C781" s="224">
        <v>911.0</v>
      </c>
      <c r="D781" s="224" t="s">
        <v>1356</v>
      </c>
      <c r="E781" s="224" t="s">
        <v>33</v>
      </c>
      <c r="F781" s="225">
        <v>44301.0</v>
      </c>
      <c r="G781" s="225">
        <v>44854.0</v>
      </c>
      <c r="H781" s="225">
        <v>44854.0</v>
      </c>
      <c r="I781" s="225">
        <v>44858.0</v>
      </c>
      <c r="J781" s="226">
        <v>12.99</v>
      </c>
      <c r="K781" s="226">
        <v>12.99</v>
      </c>
      <c r="L781" s="226">
        <v>0.0</v>
      </c>
      <c r="M781" s="224">
        <v>15.0</v>
      </c>
      <c r="N781" s="226">
        <v>0.87</v>
      </c>
    </row>
    <row r="782">
      <c r="A782" s="142">
        <f t="shared" ref="A782:B782" si="76">COUNTA(A779:A781)</f>
        <v>3</v>
      </c>
      <c r="B782" s="142">
        <f t="shared" si="76"/>
        <v>2</v>
      </c>
      <c r="C782" s="142"/>
      <c r="D782" s="142"/>
      <c r="E782" s="227">
        <v>90.96</v>
      </c>
      <c r="F782" s="227">
        <v>41.96</v>
      </c>
      <c r="G782" s="227">
        <v>49.0</v>
      </c>
      <c r="H782" s="142">
        <v>153.0</v>
      </c>
      <c r="I782" s="228">
        <v>0.27</v>
      </c>
      <c r="J782" s="143">
        <f t="shared" ref="J782:M782" si="77">SUM(J779:J781)</f>
        <v>90.96</v>
      </c>
      <c r="K782" s="143">
        <f t="shared" si="77"/>
        <v>41.96</v>
      </c>
      <c r="L782" s="143">
        <f t="shared" si="77"/>
        <v>49</v>
      </c>
      <c r="M782" s="112">
        <f t="shared" si="77"/>
        <v>153</v>
      </c>
      <c r="N782" s="143">
        <f>K782/M782</f>
        <v>0.274248366</v>
      </c>
    </row>
    <row r="783">
      <c r="A783" s="142"/>
      <c r="B783" s="142"/>
      <c r="C783" s="142"/>
      <c r="D783" s="142"/>
      <c r="E783" s="142"/>
      <c r="F783" s="142"/>
      <c r="G783" s="142"/>
      <c r="H783" s="142"/>
      <c r="I783" s="142"/>
      <c r="J783" s="7"/>
      <c r="K783" s="7"/>
      <c r="L783" s="7"/>
      <c r="M783" s="7"/>
      <c r="N783" s="7"/>
    </row>
    <row r="784">
      <c r="A784" s="49" t="s">
        <v>422</v>
      </c>
      <c r="B784" s="229" t="s">
        <v>426</v>
      </c>
      <c r="C784" s="230">
        <v>494.0</v>
      </c>
      <c r="D784" s="49" t="s">
        <v>1357</v>
      </c>
      <c r="E784" s="49" t="s">
        <v>671</v>
      </c>
      <c r="F784" s="162">
        <v>44397.0</v>
      </c>
      <c r="G784" s="162">
        <v>45730.0</v>
      </c>
      <c r="H784" s="162">
        <v>45730.0</v>
      </c>
      <c r="I784" s="162">
        <v>45730.0</v>
      </c>
      <c r="J784" s="161">
        <v>9.99</v>
      </c>
      <c r="K784" s="161">
        <v>3.99</v>
      </c>
      <c r="L784" s="161">
        <v>6.0</v>
      </c>
      <c r="M784" s="230">
        <v>1.0</v>
      </c>
      <c r="N784" s="231">
        <v>3.99</v>
      </c>
    </row>
    <row r="785">
      <c r="A785" s="49" t="s">
        <v>422</v>
      </c>
      <c r="B785" s="49" t="s">
        <v>423</v>
      </c>
      <c r="C785" s="49">
        <v>795.0</v>
      </c>
      <c r="D785" s="49" t="s">
        <v>1358</v>
      </c>
      <c r="E785" s="49" t="s">
        <v>33</v>
      </c>
      <c r="F785" s="162">
        <v>43643.0</v>
      </c>
      <c r="G785" s="162">
        <v>44431.0</v>
      </c>
      <c r="H785" s="162">
        <v>44438.0</v>
      </c>
      <c r="I785" s="162">
        <v>44438.0</v>
      </c>
      <c r="J785" s="78">
        <v>9.99</v>
      </c>
      <c r="K785" s="78">
        <v>4.99</v>
      </c>
      <c r="L785" s="161">
        <v>5.0</v>
      </c>
      <c r="M785" s="49">
        <v>1.0</v>
      </c>
      <c r="N785" s="231">
        <v>4.99</v>
      </c>
    </row>
    <row r="786">
      <c r="A786" s="49" t="s">
        <v>422</v>
      </c>
      <c r="B786" s="49" t="s">
        <v>424</v>
      </c>
      <c r="C786" s="49">
        <v>784.0</v>
      </c>
      <c r="D786" s="49" t="s">
        <v>1359</v>
      </c>
      <c r="E786" s="49" t="s">
        <v>33</v>
      </c>
      <c r="F786" s="162">
        <v>43649.0</v>
      </c>
      <c r="G786" s="162">
        <v>44351.0</v>
      </c>
      <c r="H786" s="162">
        <v>44539.0</v>
      </c>
      <c r="I786" s="162">
        <v>44544.0</v>
      </c>
      <c r="J786" s="78">
        <v>6.99</v>
      </c>
      <c r="K786" s="78">
        <v>2.79</v>
      </c>
      <c r="L786" s="161">
        <v>4.2</v>
      </c>
      <c r="M786" s="49">
        <v>2.0</v>
      </c>
      <c r="N786" s="231">
        <v>1.4</v>
      </c>
    </row>
    <row r="787">
      <c r="A787" s="49" t="s">
        <v>422</v>
      </c>
      <c r="B787" s="49" t="s">
        <v>427</v>
      </c>
      <c r="C787" s="49">
        <v>672.0</v>
      </c>
      <c r="D787" s="49" t="s">
        <v>1360</v>
      </c>
      <c r="E787" s="49" t="s">
        <v>33</v>
      </c>
      <c r="F787" s="162">
        <v>43986.0</v>
      </c>
      <c r="G787" s="162">
        <v>44351.0</v>
      </c>
      <c r="H787" s="162">
        <v>44673.0</v>
      </c>
      <c r="I787" s="162">
        <v>44673.0</v>
      </c>
      <c r="J787" s="78">
        <v>7.99</v>
      </c>
      <c r="K787" s="78">
        <v>5.59</v>
      </c>
      <c r="L787" s="161">
        <v>2.4</v>
      </c>
      <c r="M787" s="49">
        <v>5.0</v>
      </c>
      <c r="N787" s="231">
        <v>1.12</v>
      </c>
    </row>
    <row r="788">
      <c r="A788" s="49" t="s">
        <v>422</v>
      </c>
      <c r="B788" s="232" t="s">
        <v>425</v>
      </c>
      <c r="C788" s="49">
        <v>964.0</v>
      </c>
      <c r="D788" s="49" t="s">
        <v>1361</v>
      </c>
      <c r="E788" s="49" t="s">
        <v>33</v>
      </c>
      <c r="F788" s="162">
        <v>44019.0</v>
      </c>
      <c r="G788" s="162">
        <v>44431.0</v>
      </c>
      <c r="H788" s="162">
        <v>45471.0</v>
      </c>
      <c r="I788" s="162">
        <v>45471.0</v>
      </c>
      <c r="J788" s="78">
        <v>14.99</v>
      </c>
      <c r="K788" s="78">
        <v>9.74</v>
      </c>
      <c r="L788" s="161">
        <v>5.25</v>
      </c>
      <c r="M788" s="49">
        <v>2.0</v>
      </c>
      <c r="N788" s="231">
        <v>4.87</v>
      </c>
    </row>
    <row r="789">
      <c r="A789" s="49" t="s">
        <v>422</v>
      </c>
      <c r="B789" s="49" t="s">
        <v>421</v>
      </c>
      <c r="C789" s="49">
        <v>779.0</v>
      </c>
      <c r="D789" s="49" t="s">
        <v>1362</v>
      </c>
      <c r="E789" s="49" t="s">
        <v>33</v>
      </c>
      <c r="F789" s="162">
        <v>44281.0</v>
      </c>
      <c r="G789" s="162">
        <v>44335.0</v>
      </c>
      <c r="H789" s="162">
        <v>44335.0</v>
      </c>
      <c r="I789" s="162">
        <v>44335.0</v>
      </c>
      <c r="J789" s="78">
        <v>4.99</v>
      </c>
      <c r="K789" s="78">
        <v>3.49</v>
      </c>
      <c r="L789" s="161">
        <v>1.5</v>
      </c>
      <c r="M789" s="49">
        <v>2.0</v>
      </c>
      <c r="N789" s="231">
        <v>1.75</v>
      </c>
    </row>
    <row r="790">
      <c r="A790" s="49" t="s">
        <v>422</v>
      </c>
      <c r="B790" s="49" t="s">
        <v>428</v>
      </c>
      <c r="C790" s="49">
        <v>760.0</v>
      </c>
      <c r="D790" s="49" t="s">
        <v>1363</v>
      </c>
      <c r="E790" s="49" t="s">
        <v>33</v>
      </c>
      <c r="F790" s="162">
        <v>44623.0</v>
      </c>
      <c r="G790" s="162">
        <v>45176.0</v>
      </c>
      <c r="H790" s="162">
        <v>45176.0</v>
      </c>
      <c r="I790" s="162">
        <v>45176.0</v>
      </c>
      <c r="J790" s="78">
        <v>6.99</v>
      </c>
      <c r="K790" s="78">
        <v>0.0</v>
      </c>
      <c r="L790" s="161">
        <v>6.99</v>
      </c>
      <c r="M790" s="49">
        <v>1.0</v>
      </c>
      <c r="N790" s="231">
        <v>0.0</v>
      </c>
    </row>
    <row r="791">
      <c r="A791" s="53">
        <f t="shared" ref="A791:B791" si="78">COUNTA(A784:A790)</f>
        <v>7</v>
      </c>
      <c r="B791" s="53">
        <f t="shared" si="78"/>
        <v>7</v>
      </c>
      <c r="C791" s="53"/>
      <c r="D791" s="75"/>
      <c r="E791" s="54">
        <v>61.93</v>
      </c>
      <c r="F791" s="54">
        <v>30.59</v>
      </c>
      <c r="G791" s="54">
        <v>31.34</v>
      </c>
      <c r="H791" s="53">
        <v>14.0</v>
      </c>
      <c r="I791" s="54">
        <v>2.185</v>
      </c>
      <c r="J791" s="163">
        <f t="shared" ref="J791:M791" si="79">SUM(J784:J790)</f>
        <v>61.93</v>
      </c>
      <c r="K791" s="163">
        <f t="shared" si="79"/>
        <v>30.59</v>
      </c>
      <c r="L791" s="163">
        <f t="shared" si="79"/>
        <v>31.34</v>
      </c>
      <c r="M791" s="75">
        <f t="shared" si="79"/>
        <v>14</v>
      </c>
      <c r="N791" s="163">
        <f>K791/M791</f>
        <v>2.185</v>
      </c>
    </row>
    <row r="792">
      <c r="A792" s="49"/>
      <c r="B792" s="49"/>
      <c r="C792" s="49"/>
      <c r="D792" s="79"/>
      <c r="E792" s="49"/>
      <c r="F792" s="49"/>
      <c r="G792" s="49"/>
      <c r="H792" s="49"/>
      <c r="I792" s="49"/>
      <c r="J792" s="52"/>
      <c r="K792" s="52"/>
      <c r="L792" s="52"/>
      <c r="M792" s="79"/>
      <c r="N792" s="52"/>
    </row>
    <row r="793">
      <c r="A793" s="233" t="s">
        <v>430</v>
      </c>
      <c r="B793" s="233" t="s">
        <v>432</v>
      </c>
      <c r="C793" s="233">
        <v>98.0</v>
      </c>
      <c r="D793" s="233" t="s">
        <v>1364</v>
      </c>
      <c r="E793" s="233" t="s">
        <v>645</v>
      </c>
      <c r="F793" s="234">
        <v>37190.0</v>
      </c>
      <c r="G793" s="234">
        <v>42619.0</v>
      </c>
      <c r="H793" s="234">
        <v>42624.0</v>
      </c>
      <c r="I793" s="234">
        <v>43935.0</v>
      </c>
      <c r="J793" s="235">
        <v>10.99</v>
      </c>
      <c r="K793" s="235">
        <v>5.99</v>
      </c>
      <c r="L793" s="235">
        <v>5.0</v>
      </c>
      <c r="M793" s="233">
        <v>55.0</v>
      </c>
      <c r="N793" s="235">
        <v>0.11</v>
      </c>
    </row>
    <row r="794">
      <c r="A794" s="233" t="s">
        <v>430</v>
      </c>
      <c r="B794" s="233"/>
      <c r="C794" s="233">
        <v>99.0</v>
      </c>
      <c r="D794" s="233" t="s">
        <v>1365</v>
      </c>
      <c r="E794" s="233" t="s">
        <v>645</v>
      </c>
      <c r="F794" s="234">
        <v>37568.0</v>
      </c>
      <c r="G794" s="234">
        <v>42619.0</v>
      </c>
      <c r="H794" s="234">
        <v>43935.0</v>
      </c>
      <c r="I794" s="234">
        <v>45694.0</v>
      </c>
      <c r="J794" s="235">
        <v>12.0</v>
      </c>
      <c r="K794" s="235">
        <v>7.0</v>
      </c>
      <c r="L794" s="235">
        <v>5.0</v>
      </c>
      <c r="M794" s="233">
        <v>60.0</v>
      </c>
      <c r="N794" s="235">
        <v>0.12</v>
      </c>
    </row>
    <row r="795">
      <c r="A795" s="233" t="s">
        <v>430</v>
      </c>
      <c r="B795" s="233"/>
      <c r="C795" s="233">
        <v>113.0</v>
      </c>
      <c r="D795" s="233" t="s">
        <v>1366</v>
      </c>
      <c r="E795" s="233" t="s">
        <v>645</v>
      </c>
      <c r="F795" s="234">
        <v>37946.0</v>
      </c>
      <c r="G795" s="234">
        <v>42950.0</v>
      </c>
      <c r="H795" s="234">
        <v>44471.0</v>
      </c>
      <c r="I795" s="234">
        <v>44475.0</v>
      </c>
      <c r="J795" s="235">
        <v>13.99</v>
      </c>
      <c r="K795" s="235">
        <v>5.99</v>
      </c>
      <c r="L795" s="235">
        <v>8.0</v>
      </c>
      <c r="M795" s="233">
        <v>25.0</v>
      </c>
      <c r="N795" s="235">
        <v>0.24</v>
      </c>
    </row>
    <row r="796">
      <c r="A796" s="233" t="s">
        <v>430</v>
      </c>
      <c r="B796" s="233"/>
      <c r="C796" s="233">
        <v>100.0</v>
      </c>
      <c r="D796" s="233" t="s">
        <v>1367</v>
      </c>
      <c r="E796" s="233" t="s">
        <v>645</v>
      </c>
      <c r="F796" s="234">
        <v>38289.0</v>
      </c>
      <c r="G796" s="234">
        <v>42619.0</v>
      </c>
      <c r="H796" s="234">
        <v>42917.0</v>
      </c>
      <c r="I796" s="234">
        <v>44324.0</v>
      </c>
      <c r="J796" s="235">
        <v>12.0</v>
      </c>
      <c r="K796" s="235">
        <v>7.0</v>
      </c>
      <c r="L796" s="235">
        <v>5.0</v>
      </c>
      <c r="M796" s="233">
        <v>110.0</v>
      </c>
      <c r="N796" s="235">
        <v>0.06</v>
      </c>
    </row>
    <row r="797">
      <c r="A797" s="233" t="s">
        <v>430</v>
      </c>
      <c r="B797" s="233"/>
      <c r="C797" s="233">
        <v>256.0</v>
      </c>
      <c r="D797" s="233" t="s">
        <v>1368</v>
      </c>
      <c r="E797" s="233" t="s">
        <v>649</v>
      </c>
      <c r="F797" s="234">
        <v>39567.0</v>
      </c>
      <c r="G797" s="234">
        <v>40342.0</v>
      </c>
      <c r="H797" s="234">
        <v>40342.0</v>
      </c>
      <c r="I797" s="234">
        <v>45468.0</v>
      </c>
      <c r="J797" s="235">
        <v>59.99</v>
      </c>
      <c r="K797" s="235">
        <v>59.99</v>
      </c>
      <c r="L797" s="235">
        <v>0.0</v>
      </c>
      <c r="M797" s="233">
        <v>60.0</v>
      </c>
      <c r="N797" s="235">
        <v>1.0</v>
      </c>
    </row>
    <row r="798">
      <c r="A798" s="233" t="s">
        <v>430</v>
      </c>
      <c r="B798" s="233"/>
      <c r="C798" s="233">
        <v>257.0</v>
      </c>
      <c r="D798" s="233" t="s">
        <v>1369</v>
      </c>
      <c r="E798" s="233" t="s">
        <v>649</v>
      </c>
      <c r="F798" s="234">
        <v>41534.0</v>
      </c>
      <c r="G798" s="234">
        <v>41551.0</v>
      </c>
      <c r="H798" s="234">
        <v>41551.0</v>
      </c>
      <c r="I798" s="234">
        <v>44672.0</v>
      </c>
      <c r="J798" s="235">
        <v>109.98</v>
      </c>
      <c r="K798" s="235">
        <v>34.98</v>
      </c>
      <c r="L798" s="235">
        <v>75.0</v>
      </c>
      <c r="M798" s="233">
        <v>170.0</v>
      </c>
      <c r="N798" s="235">
        <v>0.21</v>
      </c>
    </row>
    <row r="799">
      <c r="A799" s="233" t="s">
        <v>430</v>
      </c>
      <c r="B799" s="233" t="s">
        <v>431</v>
      </c>
      <c r="C799" s="233">
        <v>837.0</v>
      </c>
      <c r="D799" s="233" t="s">
        <v>1370</v>
      </c>
      <c r="E799" s="233" t="s">
        <v>33</v>
      </c>
      <c r="F799" s="234">
        <v>42824.0</v>
      </c>
      <c r="G799" s="234">
        <v>42951.0</v>
      </c>
      <c r="H799" s="234">
        <v>43080.0</v>
      </c>
      <c r="I799" s="234">
        <v>43324.0</v>
      </c>
      <c r="J799" s="235">
        <v>8.99</v>
      </c>
      <c r="K799" s="235">
        <v>5.49</v>
      </c>
      <c r="L799" s="235">
        <v>3.5</v>
      </c>
      <c r="M799" s="233">
        <v>5.0</v>
      </c>
      <c r="N799" s="235">
        <v>1.1</v>
      </c>
    </row>
    <row r="800">
      <c r="A800" s="233" t="s">
        <v>430</v>
      </c>
      <c r="B800" s="233" t="s">
        <v>429</v>
      </c>
      <c r="C800" s="233">
        <v>573.0</v>
      </c>
      <c r="D800" s="233" t="s">
        <v>1371</v>
      </c>
      <c r="E800" s="233" t="s">
        <v>33</v>
      </c>
      <c r="F800" s="234">
        <v>43830.0</v>
      </c>
      <c r="G800" s="234">
        <v>44431.0</v>
      </c>
      <c r="H800" s="234">
        <v>44433.0</v>
      </c>
      <c r="I800" s="234">
        <v>44440.0</v>
      </c>
      <c r="J800" s="235">
        <v>14.99</v>
      </c>
      <c r="K800" s="235">
        <v>2.99</v>
      </c>
      <c r="L800" s="235">
        <v>12.0</v>
      </c>
      <c r="M800" s="233">
        <v>50.0</v>
      </c>
      <c r="N800" s="235">
        <v>0.06</v>
      </c>
    </row>
    <row r="801">
      <c r="A801" s="233" t="s">
        <v>430</v>
      </c>
      <c r="B801" s="233" t="s">
        <v>434</v>
      </c>
      <c r="C801" s="233">
        <v>1051.0</v>
      </c>
      <c r="D801" s="233" t="s">
        <v>1372</v>
      </c>
      <c r="E801" s="233" t="s">
        <v>666</v>
      </c>
      <c r="F801" s="234">
        <v>44358.0</v>
      </c>
      <c r="G801" s="234">
        <v>44383.0</v>
      </c>
      <c r="H801" s="234">
        <v>44383.0</v>
      </c>
      <c r="I801" s="234">
        <v>44383.0</v>
      </c>
      <c r="J801" s="235">
        <v>0.0</v>
      </c>
      <c r="K801" s="235">
        <v>0.0</v>
      </c>
      <c r="L801" s="235">
        <v>0.0</v>
      </c>
      <c r="M801" s="233">
        <v>1.0</v>
      </c>
      <c r="N801" s="235">
        <v>0.0</v>
      </c>
    </row>
    <row r="802">
      <c r="A802" s="236" t="s">
        <v>430</v>
      </c>
      <c r="B802" s="236" t="s">
        <v>433</v>
      </c>
      <c r="C802" s="236">
        <v>1085.0</v>
      </c>
      <c r="D802" s="236" t="s">
        <v>1373</v>
      </c>
      <c r="E802" s="236" t="s">
        <v>39</v>
      </c>
      <c r="F802" s="234">
        <v>45125.0</v>
      </c>
      <c r="G802" s="234">
        <v>45902.0</v>
      </c>
      <c r="H802" s="234">
        <v>45907.0</v>
      </c>
      <c r="I802" s="234">
        <v>45911.0</v>
      </c>
      <c r="J802" s="237">
        <v>24.99</v>
      </c>
      <c r="K802" s="237">
        <v>0.0</v>
      </c>
      <c r="L802" s="237">
        <f>J802-K802</f>
        <v>24.99</v>
      </c>
      <c r="M802" s="236">
        <v>13.0</v>
      </c>
      <c r="N802" s="237">
        <f t="shared" ref="N802:N803" si="82">K802/M802</f>
        <v>0</v>
      </c>
    </row>
    <row r="803">
      <c r="A803" s="238">
        <f t="shared" ref="A803:B803" si="80">COUNTA(A793:A802)</f>
        <v>10</v>
      </c>
      <c r="B803" s="238">
        <f t="shared" si="80"/>
        <v>5</v>
      </c>
      <c r="C803" s="238"/>
      <c r="D803" s="239"/>
      <c r="E803" s="240">
        <v>267.92</v>
      </c>
      <c r="F803" s="240">
        <v>129.43</v>
      </c>
      <c r="G803" s="240">
        <v>138.49</v>
      </c>
      <c r="H803" s="238">
        <v>549.0</v>
      </c>
      <c r="I803" s="241">
        <v>0.23575591985428052</v>
      </c>
      <c r="J803" s="242">
        <f t="shared" ref="J803:M803" si="81">SUM(J793:J802)</f>
        <v>267.92</v>
      </c>
      <c r="K803" s="242">
        <f t="shared" si="81"/>
        <v>129.43</v>
      </c>
      <c r="L803" s="242">
        <f t="shared" si="81"/>
        <v>138.49</v>
      </c>
      <c r="M803" s="239">
        <f t="shared" si="81"/>
        <v>549</v>
      </c>
      <c r="N803" s="242">
        <f t="shared" si="82"/>
        <v>0.2357559199</v>
      </c>
    </row>
    <row r="804">
      <c r="A804" s="35"/>
      <c r="B804" s="35"/>
      <c r="C804" s="35"/>
      <c r="D804" s="25"/>
      <c r="E804" s="25"/>
      <c r="F804" s="25"/>
      <c r="G804" s="25"/>
      <c r="H804" s="25"/>
      <c r="I804" s="25"/>
      <c r="J804" s="7"/>
      <c r="K804" s="7"/>
      <c r="L804" s="7"/>
      <c r="M804" s="7"/>
      <c r="N804" s="7"/>
    </row>
    <row r="805">
      <c r="A805" s="43" t="s">
        <v>436</v>
      </c>
      <c r="B805" s="43" t="s">
        <v>437</v>
      </c>
      <c r="C805" s="43">
        <v>463.0</v>
      </c>
      <c r="D805" s="43" t="s">
        <v>1374</v>
      </c>
      <c r="E805" s="43" t="s">
        <v>671</v>
      </c>
      <c r="F805" s="57">
        <v>42486.0</v>
      </c>
      <c r="G805" s="57">
        <v>42619.0</v>
      </c>
      <c r="H805" s="57">
        <v>44049.0</v>
      </c>
      <c r="I805" s="57">
        <v>44049.0</v>
      </c>
      <c r="J805" s="47">
        <v>12.99</v>
      </c>
      <c r="K805" s="47">
        <v>12.99</v>
      </c>
      <c r="L805" s="47">
        <v>0.0</v>
      </c>
      <c r="M805" s="43">
        <v>3.0</v>
      </c>
      <c r="N805" s="47">
        <v>4.33</v>
      </c>
    </row>
    <row r="806">
      <c r="A806" s="44" t="s">
        <v>436</v>
      </c>
      <c r="B806" s="44" t="s">
        <v>435</v>
      </c>
      <c r="C806" s="44">
        <v>661.0</v>
      </c>
      <c r="D806" s="44" t="s">
        <v>1375</v>
      </c>
      <c r="E806" s="44" t="s">
        <v>33</v>
      </c>
      <c r="F806" s="57">
        <v>42198.0</v>
      </c>
      <c r="G806" s="57">
        <v>45256.0</v>
      </c>
      <c r="H806" s="57">
        <v>45911.0</v>
      </c>
      <c r="I806" s="57">
        <v>45916.0</v>
      </c>
      <c r="J806" s="145">
        <v>14.99</v>
      </c>
      <c r="K806" s="145">
        <v>1.49</v>
      </c>
      <c r="L806" s="145">
        <f>J806-K806</f>
        <v>13.5</v>
      </c>
      <c r="M806" s="44">
        <v>33.0</v>
      </c>
      <c r="N806" s="145">
        <f>K806/M806</f>
        <v>0.04515151515</v>
      </c>
    </row>
    <row r="807">
      <c r="A807" s="43" t="s">
        <v>436</v>
      </c>
      <c r="B807" s="43"/>
      <c r="C807" s="43">
        <v>662.0</v>
      </c>
      <c r="D807" s="43" t="s">
        <v>1376</v>
      </c>
      <c r="E807" s="43" t="s">
        <v>33</v>
      </c>
      <c r="F807" s="57">
        <v>42780.0</v>
      </c>
      <c r="G807" s="57">
        <v>45256.0</v>
      </c>
      <c r="H807" s="57">
        <v>45256.0</v>
      </c>
      <c r="I807" s="57">
        <v>45256.0</v>
      </c>
      <c r="J807" s="47">
        <v>14.99</v>
      </c>
      <c r="K807" s="47">
        <v>1.49</v>
      </c>
      <c r="L807" s="47">
        <v>13.5</v>
      </c>
      <c r="M807" s="43">
        <v>1.0</v>
      </c>
      <c r="N807" s="47">
        <v>1.49</v>
      </c>
    </row>
    <row r="808">
      <c r="A808" s="43" t="s">
        <v>436</v>
      </c>
      <c r="B808" s="43"/>
      <c r="C808" s="43">
        <v>663.0</v>
      </c>
      <c r="D808" s="43" t="s">
        <v>1377</v>
      </c>
      <c r="E808" s="43" t="s">
        <v>33</v>
      </c>
      <c r="F808" s="57">
        <v>43006.0</v>
      </c>
      <c r="G808" s="57">
        <v>45256.0</v>
      </c>
      <c r="H808" s="57">
        <v>45256.0</v>
      </c>
      <c r="I808" s="57">
        <v>45256.0</v>
      </c>
      <c r="J808" s="47">
        <v>14.99</v>
      </c>
      <c r="K808" s="47">
        <v>1.49</v>
      </c>
      <c r="L808" s="47">
        <v>13.5</v>
      </c>
      <c r="M808" s="43">
        <v>1.0</v>
      </c>
      <c r="N808" s="47">
        <v>1.49</v>
      </c>
    </row>
    <row r="809">
      <c r="A809" s="72">
        <f t="shared" ref="A809:B809" si="83">COUNTA(A805:A808)</f>
        <v>4</v>
      </c>
      <c r="B809" s="72">
        <f t="shared" si="83"/>
        <v>2</v>
      </c>
      <c r="C809" s="72"/>
      <c r="D809" s="39"/>
      <c r="E809" s="165">
        <v>57.96</v>
      </c>
      <c r="F809" s="165">
        <v>17.46</v>
      </c>
      <c r="G809" s="165">
        <v>40.5</v>
      </c>
      <c r="H809" s="72">
        <v>38.0</v>
      </c>
      <c r="I809" s="55">
        <v>0.4594736842105263</v>
      </c>
      <c r="J809" s="71">
        <f t="shared" ref="J809:M809" si="84">SUM(J805:J808)</f>
        <v>57.96</v>
      </c>
      <c r="K809" s="71">
        <f t="shared" si="84"/>
        <v>17.46</v>
      </c>
      <c r="L809" s="71">
        <f t="shared" si="84"/>
        <v>40.5</v>
      </c>
      <c r="M809" s="39">
        <f t="shared" si="84"/>
        <v>38</v>
      </c>
      <c r="N809" s="71">
        <f>K809/M809</f>
        <v>0.4594736842</v>
      </c>
    </row>
    <row r="810">
      <c r="A810" s="64"/>
      <c r="B810" s="64"/>
      <c r="C810" s="64"/>
      <c r="D810" s="114"/>
      <c r="E810" s="114"/>
      <c r="F810" s="114"/>
      <c r="G810" s="114"/>
      <c r="H810" s="114"/>
      <c r="I810" s="114"/>
      <c r="J810" s="7"/>
      <c r="K810" s="7"/>
      <c r="L810" s="7"/>
      <c r="M810" s="7"/>
      <c r="N810" s="7"/>
    </row>
    <row r="811">
      <c r="A811" s="49" t="s">
        <v>439</v>
      </c>
      <c r="B811" s="49" t="s">
        <v>438</v>
      </c>
      <c r="C811" s="49">
        <v>765.0</v>
      </c>
      <c r="D811" s="49" t="s">
        <v>1378</v>
      </c>
      <c r="E811" s="49" t="s">
        <v>33</v>
      </c>
      <c r="F811" s="162">
        <v>42955.0</v>
      </c>
      <c r="G811" s="162">
        <v>44708.0</v>
      </c>
      <c r="H811" s="162">
        <v>44708.0</v>
      </c>
      <c r="I811" s="162">
        <v>44708.0</v>
      </c>
      <c r="J811" s="78">
        <v>9.99</v>
      </c>
      <c r="K811" s="78">
        <v>4.99</v>
      </c>
      <c r="L811" s="78">
        <v>5.0</v>
      </c>
      <c r="M811" s="49">
        <v>1.0</v>
      </c>
      <c r="N811" s="78">
        <v>4.99</v>
      </c>
    </row>
    <row r="812">
      <c r="A812" s="53">
        <f t="shared" ref="A812:B812" si="85">COUNTA(A811)</f>
        <v>1</v>
      </c>
      <c r="B812" s="53">
        <f t="shared" si="85"/>
        <v>1</v>
      </c>
      <c r="C812" s="53"/>
      <c r="D812" s="75"/>
      <c r="E812" s="168">
        <v>9.99</v>
      </c>
      <c r="F812" s="168">
        <v>4.99</v>
      </c>
      <c r="G812" s="168">
        <v>5.0</v>
      </c>
      <c r="H812" s="53">
        <v>1.0</v>
      </c>
      <c r="I812" s="54">
        <v>4.99</v>
      </c>
      <c r="J812" s="163">
        <f t="shared" ref="J812:M812" si="86">SUM(J811)</f>
        <v>9.99</v>
      </c>
      <c r="K812" s="163">
        <f t="shared" si="86"/>
        <v>4.99</v>
      </c>
      <c r="L812" s="163">
        <f t="shared" si="86"/>
        <v>5</v>
      </c>
      <c r="M812" s="75">
        <f t="shared" si="86"/>
        <v>1</v>
      </c>
      <c r="N812" s="163">
        <f>K812/M812</f>
        <v>4.99</v>
      </c>
    </row>
    <row r="813">
      <c r="A813" s="49"/>
      <c r="B813" s="49"/>
      <c r="C813" s="49"/>
      <c r="D813" s="79"/>
      <c r="E813" s="79"/>
      <c r="F813" s="79"/>
      <c r="G813" s="79"/>
      <c r="H813" s="79"/>
      <c r="I813" s="79"/>
      <c r="J813" s="52"/>
      <c r="K813" s="52"/>
      <c r="L813" s="52"/>
      <c r="M813" s="79"/>
      <c r="N813" s="52"/>
    </row>
    <row r="814">
      <c r="A814" s="104" t="s">
        <v>441</v>
      </c>
      <c r="B814" s="104" t="s">
        <v>440</v>
      </c>
      <c r="C814" s="104">
        <v>536.0</v>
      </c>
      <c r="D814" s="104" t="s">
        <v>1379</v>
      </c>
      <c r="E814" s="104" t="s">
        <v>33</v>
      </c>
      <c r="F814" s="105">
        <v>42430.0</v>
      </c>
      <c r="G814" s="105">
        <v>42750.0</v>
      </c>
      <c r="H814" s="105">
        <v>42753.0</v>
      </c>
      <c r="I814" s="105">
        <v>44009.0</v>
      </c>
      <c r="J814" s="106">
        <v>14.99</v>
      </c>
      <c r="K814" s="106">
        <v>4.99</v>
      </c>
      <c r="L814" s="106">
        <v>10.0</v>
      </c>
      <c r="M814" s="104">
        <v>18.0</v>
      </c>
      <c r="N814" s="106">
        <v>0.28</v>
      </c>
    </row>
    <row r="815">
      <c r="A815" s="243" t="s">
        <v>441</v>
      </c>
      <c r="B815" s="243"/>
      <c r="C815" s="243">
        <v>1092.0</v>
      </c>
      <c r="D815" s="243" t="s">
        <v>1380</v>
      </c>
      <c r="E815" s="243" t="s">
        <v>39</v>
      </c>
      <c r="F815" s="105">
        <v>45839.0</v>
      </c>
      <c r="G815" s="105">
        <v>45920.0</v>
      </c>
      <c r="H815" s="105">
        <v>45921.0</v>
      </c>
      <c r="I815" s="105">
        <v>45921.0</v>
      </c>
      <c r="J815" s="244">
        <v>19.99</v>
      </c>
      <c r="K815" s="244">
        <v>0.0</v>
      </c>
      <c r="L815" s="244">
        <f>J815-K815</f>
        <v>19.99</v>
      </c>
      <c r="M815" s="243">
        <v>2.0</v>
      </c>
      <c r="N815" s="244">
        <f t="shared" ref="N815:N816" si="89">K815/M815</f>
        <v>0</v>
      </c>
    </row>
    <row r="816">
      <c r="A816" s="108">
        <f t="shared" ref="A816:B816" si="87">COUNTA(A814:A815)</f>
        <v>2</v>
      </c>
      <c r="B816" s="108">
        <f t="shared" si="87"/>
        <v>1</v>
      </c>
      <c r="C816" s="108"/>
      <c r="D816" s="109"/>
      <c r="E816" s="245">
        <v>34.98</v>
      </c>
      <c r="F816" s="245">
        <v>4.99</v>
      </c>
      <c r="G816" s="245">
        <v>29.99</v>
      </c>
      <c r="H816" s="108">
        <v>20.0</v>
      </c>
      <c r="I816" s="110">
        <v>0.2495</v>
      </c>
      <c r="J816" s="111">
        <f t="shared" ref="J816:M816" si="88">SUM(J814:J815)</f>
        <v>34.98</v>
      </c>
      <c r="K816" s="111">
        <f t="shared" si="88"/>
        <v>4.99</v>
      </c>
      <c r="L816" s="111">
        <f t="shared" si="88"/>
        <v>29.99</v>
      </c>
      <c r="M816" s="109">
        <f t="shared" si="88"/>
        <v>20</v>
      </c>
      <c r="N816" s="111">
        <f t="shared" si="89"/>
        <v>0.2495</v>
      </c>
    </row>
    <row r="817">
      <c r="A817" s="142"/>
      <c r="B817" s="142"/>
      <c r="C817" s="142"/>
      <c r="D817" s="112"/>
      <c r="E817" s="112"/>
      <c r="F817" s="112"/>
      <c r="G817" s="112"/>
      <c r="H817" s="112"/>
      <c r="I817" s="112"/>
      <c r="J817" s="7"/>
      <c r="K817" s="7"/>
      <c r="L817" s="7"/>
      <c r="M817" s="7"/>
      <c r="N817" s="7"/>
    </row>
    <row r="818">
      <c r="A818" s="246" t="s">
        <v>443</v>
      </c>
      <c r="B818" s="246" t="s">
        <v>451</v>
      </c>
      <c r="C818" s="246">
        <v>467.0</v>
      </c>
      <c r="D818" s="246" t="s">
        <v>1381</v>
      </c>
      <c r="E818" s="246" t="s">
        <v>671</v>
      </c>
      <c r="F818" s="247">
        <v>42572.0</v>
      </c>
      <c r="G818" s="247">
        <v>42832.0</v>
      </c>
      <c r="H818" s="247">
        <v>42834.0</v>
      </c>
      <c r="I818" s="247">
        <v>44613.0</v>
      </c>
      <c r="J818" s="248">
        <v>4.99</v>
      </c>
      <c r="K818" s="248">
        <v>1.99</v>
      </c>
      <c r="L818" s="248">
        <v>3.0</v>
      </c>
      <c r="M818" s="246">
        <v>15.0</v>
      </c>
      <c r="N818" s="248">
        <v>0.13</v>
      </c>
    </row>
    <row r="819">
      <c r="A819" s="246" t="s">
        <v>443</v>
      </c>
      <c r="B819" s="246" t="s">
        <v>450</v>
      </c>
      <c r="C819" s="246">
        <v>483.0</v>
      </c>
      <c r="D819" s="246" t="s">
        <v>1382</v>
      </c>
      <c r="E819" s="246" t="s">
        <v>671</v>
      </c>
      <c r="F819" s="247">
        <v>43018.0</v>
      </c>
      <c r="G819" s="247">
        <v>44335.0</v>
      </c>
      <c r="H819" s="247">
        <v>44335.0</v>
      </c>
      <c r="I819" s="247">
        <v>44466.0</v>
      </c>
      <c r="J819" s="248">
        <v>7.99</v>
      </c>
      <c r="K819" s="248">
        <v>5.99</v>
      </c>
      <c r="L819" s="248">
        <v>2.0</v>
      </c>
      <c r="M819" s="246">
        <v>2.0</v>
      </c>
      <c r="N819" s="248">
        <v>3.0</v>
      </c>
    </row>
    <row r="820">
      <c r="A820" s="246" t="s">
        <v>443</v>
      </c>
      <c r="B820" s="246" t="s">
        <v>442</v>
      </c>
      <c r="C820" s="246">
        <v>655.0</v>
      </c>
      <c r="D820" s="246" t="s">
        <v>1383</v>
      </c>
      <c r="E820" s="246" t="s">
        <v>33</v>
      </c>
      <c r="F820" s="247">
        <v>42545.0</v>
      </c>
      <c r="G820" s="247">
        <v>42925.0</v>
      </c>
      <c r="H820" s="247">
        <v>43047.0</v>
      </c>
      <c r="I820" s="247">
        <v>45235.0</v>
      </c>
      <c r="J820" s="248">
        <v>19.99</v>
      </c>
      <c r="K820" s="248">
        <v>3.99</v>
      </c>
      <c r="L820" s="248">
        <v>16.0</v>
      </c>
      <c r="M820" s="246">
        <v>4.0</v>
      </c>
      <c r="N820" s="248">
        <v>1.0</v>
      </c>
    </row>
    <row r="821">
      <c r="A821" s="246" t="s">
        <v>443</v>
      </c>
      <c r="B821" s="246" t="s">
        <v>447</v>
      </c>
      <c r="C821" s="246">
        <v>531.0</v>
      </c>
      <c r="D821" s="246" t="s">
        <v>1384</v>
      </c>
      <c r="E821" s="246" t="s">
        <v>33</v>
      </c>
      <c r="F821" s="247">
        <v>43783.0</v>
      </c>
      <c r="G821" s="247">
        <v>44708.0</v>
      </c>
      <c r="H821" s="247">
        <v>44708.0</v>
      </c>
      <c r="I821" s="247">
        <v>44708.0</v>
      </c>
      <c r="J821" s="248">
        <v>39.99</v>
      </c>
      <c r="K821" s="248">
        <v>7.99</v>
      </c>
      <c r="L821" s="248">
        <v>32.0</v>
      </c>
      <c r="M821" s="246">
        <v>1.0</v>
      </c>
      <c r="N821" s="248">
        <v>7.99</v>
      </c>
    </row>
    <row r="822">
      <c r="A822" s="246" t="s">
        <v>443</v>
      </c>
      <c r="B822" s="246" t="s">
        <v>448</v>
      </c>
      <c r="C822" s="246">
        <v>597.0</v>
      </c>
      <c r="D822" s="246" t="s">
        <v>1385</v>
      </c>
      <c r="E822" s="246" t="s">
        <v>33</v>
      </c>
      <c r="F822" s="247">
        <v>43822.0</v>
      </c>
      <c r="G822" s="247">
        <v>43824.0</v>
      </c>
      <c r="H822" s="247">
        <v>44836.0</v>
      </c>
      <c r="I822" s="247">
        <v>44839.0</v>
      </c>
      <c r="J822" s="248">
        <v>5.99</v>
      </c>
      <c r="K822" s="248">
        <v>5.99</v>
      </c>
      <c r="L822" s="248">
        <v>0.0</v>
      </c>
      <c r="M822" s="246">
        <v>5.0</v>
      </c>
      <c r="N822" s="248">
        <v>1.2</v>
      </c>
    </row>
    <row r="823">
      <c r="A823" s="246" t="s">
        <v>443</v>
      </c>
      <c r="B823" s="246" t="s">
        <v>453</v>
      </c>
      <c r="C823" s="246">
        <v>874.0</v>
      </c>
      <c r="D823" s="246" t="s">
        <v>1386</v>
      </c>
      <c r="E823" s="246" t="s">
        <v>33</v>
      </c>
      <c r="F823" s="247">
        <v>43857.0</v>
      </c>
      <c r="G823" s="247">
        <v>44384.0</v>
      </c>
      <c r="H823" s="247">
        <v>44393.0</v>
      </c>
      <c r="I823" s="247">
        <v>44393.0</v>
      </c>
      <c r="J823" s="248">
        <v>19.99</v>
      </c>
      <c r="K823" s="248">
        <v>5.99</v>
      </c>
      <c r="L823" s="248">
        <v>14.0</v>
      </c>
      <c r="M823" s="246">
        <v>1.0</v>
      </c>
      <c r="N823" s="248">
        <v>5.99</v>
      </c>
    </row>
    <row r="824">
      <c r="A824" s="246" t="s">
        <v>443</v>
      </c>
      <c r="B824" s="246"/>
      <c r="C824" s="246">
        <v>555.0</v>
      </c>
      <c r="D824" s="246" t="s">
        <v>1387</v>
      </c>
      <c r="E824" s="246" t="s">
        <v>33</v>
      </c>
      <c r="F824" s="247">
        <v>43970.0</v>
      </c>
      <c r="G824" s="247">
        <v>44351.0</v>
      </c>
      <c r="H824" s="247">
        <v>44351.0</v>
      </c>
      <c r="I824" s="247">
        <v>44351.0</v>
      </c>
      <c r="J824" s="248">
        <v>4.99</v>
      </c>
      <c r="K824" s="248">
        <v>3.24</v>
      </c>
      <c r="L824" s="248">
        <v>1.75</v>
      </c>
      <c r="M824" s="246">
        <v>1.0</v>
      </c>
      <c r="N824" s="248">
        <v>3.24</v>
      </c>
    </row>
    <row r="825">
      <c r="A825" s="246" t="s">
        <v>443</v>
      </c>
      <c r="B825" s="246" t="s">
        <v>444</v>
      </c>
      <c r="C825" s="246">
        <v>755.0</v>
      </c>
      <c r="D825" s="246" t="s">
        <v>1388</v>
      </c>
      <c r="E825" s="246" t="s">
        <v>33</v>
      </c>
      <c r="F825" s="247">
        <v>44118.0</v>
      </c>
      <c r="G825" s="247">
        <v>45176.0</v>
      </c>
      <c r="H825" s="247">
        <v>45225.0</v>
      </c>
      <c r="I825" s="247">
        <v>45228.0</v>
      </c>
      <c r="J825" s="248">
        <v>15.99</v>
      </c>
      <c r="K825" s="248">
        <v>0.0</v>
      </c>
      <c r="L825" s="248">
        <v>15.99</v>
      </c>
      <c r="M825" s="246">
        <v>5.0</v>
      </c>
      <c r="N825" s="248">
        <v>0.0</v>
      </c>
    </row>
    <row r="826">
      <c r="A826" s="246" t="s">
        <v>443</v>
      </c>
      <c r="B826" s="246" t="s">
        <v>446</v>
      </c>
      <c r="C826" s="246">
        <v>611.0</v>
      </c>
      <c r="D826" s="246" t="s">
        <v>1389</v>
      </c>
      <c r="E826" s="246" t="s">
        <v>33</v>
      </c>
      <c r="F826" s="247">
        <v>44280.0</v>
      </c>
      <c r="G826" s="247">
        <v>44351.0</v>
      </c>
      <c r="H826" s="247">
        <v>44371.0</v>
      </c>
      <c r="I826" s="247">
        <v>44371.0</v>
      </c>
      <c r="J826" s="248">
        <v>12.99</v>
      </c>
      <c r="K826" s="248">
        <v>9.09</v>
      </c>
      <c r="L826" s="248">
        <v>3.9</v>
      </c>
      <c r="M826" s="246">
        <v>1.0</v>
      </c>
      <c r="N826" s="248">
        <v>9.09</v>
      </c>
    </row>
    <row r="827">
      <c r="A827" s="246" t="s">
        <v>443</v>
      </c>
      <c r="B827" s="246" t="s">
        <v>445</v>
      </c>
      <c r="C827" s="246">
        <v>607.0</v>
      </c>
      <c r="D827" s="246" t="s">
        <v>1390</v>
      </c>
      <c r="E827" s="246" t="s">
        <v>33</v>
      </c>
      <c r="F827" s="247">
        <v>44761.0</v>
      </c>
      <c r="G827" s="247">
        <v>45111.0</v>
      </c>
      <c r="H827" s="247">
        <v>45111.0</v>
      </c>
      <c r="I827" s="247">
        <v>45111.0</v>
      </c>
      <c r="J827" s="248">
        <v>29.99</v>
      </c>
      <c r="K827" s="248">
        <v>0.0</v>
      </c>
      <c r="L827" s="248">
        <v>29.99</v>
      </c>
      <c r="M827" s="246">
        <v>1.0</v>
      </c>
      <c r="N827" s="248">
        <v>0.0</v>
      </c>
    </row>
    <row r="828">
      <c r="A828" s="246" t="s">
        <v>443</v>
      </c>
      <c r="B828" s="246" t="s">
        <v>452</v>
      </c>
      <c r="C828" s="246">
        <v>994.0</v>
      </c>
      <c r="D828" s="246" t="s">
        <v>1391</v>
      </c>
      <c r="E828" s="246" t="s">
        <v>666</v>
      </c>
      <c r="F828" s="247">
        <v>43229.0</v>
      </c>
      <c r="G828" s="247">
        <v>43472.0</v>
      </c>
      <c r="H828" s="247">
        <v>43472.0</v>
      </c>
      <c r="I828" s="247">
        <v>43472.0</v>
      </c>
      <c r="J828" s="248">
        <v>19.99</v>
      </c>
      <c r="K828" s="248">
        <v>6.99</v>
      </c>
      <c r="L828" s="248">
        <v>13.0</v>
      </c>
      <c r="M828" s="246">
        <v>1.0</v>
      </c>
      <c r="N828" s="248">
        <v>6.99</v>
      </c>
    </row>
    <row r="829">
      <c r="A829" s="246" t="s">
        <v>443</v>
      </c>
      <c r="B829" s="246" t="s">
        <v>449</v>
      </c>
      <c r="C829" s="246">
        <v>1005.0</v>
      </c>
      <c r="D829" s="246" t="s">
        <v>1392</v>
      </c>
      <c r="E829" s="246" t="s">
        <v>666</v>
      </c>
      <c r="F829" s="247">
        <v>43725.0</v>
      </c>
      <c r="G829" s="247">
        <v>43804.0</v>
      </c>
      <c r="H829" s="247">
        <v>43810.0</v>
      </c>
      <c r="I829" s="247">
        <v>43810.0</v>
      </c>
      <c r="J829" s="248">
        <v>19.99</v>
      </c>
      <c r="K829" s="248">
        <v>19.99</v>
      </c>
      <c r="L829" s="248">
        <v>0.0</v>
      </c>
      <c r="M829" s="246">
        <v>2.0</v>
      </c>
      <c r="N829" s="248">
        <v>10.0</v>
      </c>
    </row>
    <row r="830">
      <c r="A830" s="249">
        <f t="shared" ref="A830:B830" si="90">COUNTA(A818:A829)</f>
        <v>12</v>
      </c>
      <c r="B830" s="249">
        <f t="shared" si="90"/>
        <v>11</v>
      </c>
      <c r="C830" s="249"/>
      <c r="D830" s="250"/>
      <c r="E830" s="251">
        <v>202.88</v>
      </c>
      <c r="F830" s="251">
        <v>71.25</v>
      </c>
      <c r="G830" s="251">
        <v>131.63</v>
      </c>
      <c r="H830" s="250">
        <v>39.0</v>
      </c>
      <c r="I830" s="252">
        <v>1.8269230769230769</v>
      </c>
      <c r="J830" s="253">
        <f t="shared" ref="J830:M830" si="91">SUM(J818:J829)</f>
        <v>202.88</v>
      </c>
      <c r="K830" s="253">
        <f t="shared" si="91"/>
        <v>71.25</v>
      </c>
      <c r="L830" s="253">
        <f t="shared" si="91"/>
        <v>131.63</v>
      </c>
      <c r="M830" s="250">
        <f t="shared" si="91"/>
        <v>39</v>
      </c>
      <c r="N830" s="253">
        <f>K830/M830</f>
        <v>1.826923077</v>
      </c>
    </row>
    <row r="831">
      <c r="A831" s="131"/>
      <c r="B831" s="131"/>
      <c r="C831" s="131"/>
      <c r="D831" s="132"/>
      <c r="E831" s="132"/>
      <c r="F831" s="132"/>
      <c r="G831" s="132"/>
      <c r="H831" s="132"/>
      <c r="I831" s="132"/>
      <c r="J831" s="133"/>
      <c r="K831" s="133"/>
      <c r="L831" s="133"/>
      <c r="M831" s="132"/>
      <c r="N831" s="133"/>
    </row>
    <row r="832">
      <c r="A832" s="152" t="s">
        <v>455</v>
      </c>
      <c r="B832" s="152" t="s">
        <v>465</v>
      </c>
      <c r="C832" s="152">
        <v>31.0</v>
      </c>
      <c r="D832" s="152" t="s">
        <v>1393</v>
      </c>
      <c r="E832" s="152" t="s">
        <v>682</v>
      </c>
      <c r="F832" s="153">
        <v>35986.0</v>
      </c>
      <c r="G832" s="153">
        <v>40794.0</v>
      </c>
      <c r="H832" s="153">
        <v>40794.0</v>
      </c>
      <c r="I832" s="153">
        <v>40794.0</v>
      </c>
      <c r="J832" s="154">
        <v>4.99</v>
      </c>
      <c r="K832" s="154">
        <v>4.99</v>
      </c>
      <c r="L832" s="154">
        <v>0.0</v>
      </c>
      <c r="M832" s="152">
        <v>3.0</v>
      </c>
      <c r="N832" s="154">
        <v>1.66</v>
      </c>
    </row>
    <row r="833">
      <c r="A833" s="152" t="s">
        <v>455</v>
      </c>
      <c r="B833" s="152" t="s">
        <v>476</v>
      </c>
      <c r="C833" s="152">
        <v>387.0</v>
      </c>
      <c r="D833" s="152" t="s">
        <v>1394</v>
      </c>
      <c r="E833" s="152" t="s">
        <v>649</v>
      </c>
      <c r="F833" s="153">
        <v>39283.0</v>
      </c>
      <c r="G833" s="153">
        <v>44091.0</v>
      </c>
      <c r="H833" s="153">
        <v>44091.0</v>
      </c>
      <c r="I833" s="153">
        <v>44091.0</v>
      </c>
      <c r="J833" s="154">
        <v>29.99</v>
      </c>
      <c r="K833" s="154">
        <v>3.0</v>
      </c>
      <c r="L833" s="154">
        <v>26.99</v>
      </c>
      <c r="M833" s="152">
        <v>1.0</v>
      </c>
      <c r="N833" s="154">
        <v>3.0</v>
      </c>
    </row>
    <row r="834">
      <c r="A834" s="152" t="s">
        <v>455</v>
      </c>
      <c r="B834" s="152" t="s">
        <v>460</v>
      </c>
      <c r="C834" s="152">
        <v>192.0</v>
      </c>
      <c r="D834" s="152" t="s">
        <v>1395</v>
      </c>
      <c r="E834" s="152" t="s">
        <v>649</v>
      </c>
      <c r="F834" s="153">
        <v>40844.0</v>
      </c>
      <c r="G834" s="153">
        <v>44422.0</v>
      </c>
      <c r="H834" s="153">
        <v>44422.0</v>
      </c>
      <c r="I834" s="153">
        <v>44422.0</v>
      </c>
      <c r="J834" s="254">
        <v>19.99</v>
      </c>
      <c r="K834" s="254">
        <v>0.0</v>
      </c>
      <c r="L834" s="154">
        <v>19.99</v>
      </c>
      <c r="M834" s="152">
        <v>1.0</v>
      </c>
      <c r="N834" s="154">
        <v>0.0</v>
      </c>
    </row>
    <row r="835">
      <c r="A835" s="152" t="s">
        <v>455</v>
      </c>
      <c r="B835" s="152" t="s">
        <v>473</v>
      </c>
      <c r="C835" s="152">
        <v>320.0</v>
      </c>
      <c r="D835" s="152" t="s">
        <v>1396</v>
      </c>
      <c r="E835" s="152" t="s">
        <v>649</v>
      </c>
      <c r="F835" s="153">
        <v>40849.0</v>
      </c>
      <c r="G835" s="153">
        <v>41461.0</v>
      </c>
      <c r="H835" s="153">
        <v>41461.0</v>
      </c>
      <c r="I835" s="153">
        <v>44781.0</v>
      </c>
      <c r="J835" s="154">
        <v>16.99</v>
      </c>
      <c r="K835" s="154">
        <v>12.99</v>
      </c>
      <c r="L835" s="154">
        <v>4.0</v>
      </c>
      <c r="M835" s="152">
        <v>2.0</v>
      </c>
      <c r="N835" s="154">
        <v>6.5</v>
      </c>
    </row>
    <row r="836">
      <c r="A836" s="152" t="s">
        <v>455</v>
      </c>
      <c r="B836" s="152"/>
      <c r="C836" s="152">
        <v>377.0</v>
      </c>
      <c r="D836" s="152" t="s">
        <v>1397</v>
      </c>
      <c r="E836" s="152" t="s">
        <v>649</v>
      </c>
      <c r="F836" s="153">
        <v>40963.0</v>
      </c>
      <c r="G836" s="153">
        <v>41693.0</v>
      </c>
      <c r="H836" s="153">
        <v>41693.0</v>
      </c>
      <c r="I836" s="153">
        <v>44796.0</v>
      </c>
      <c r="J836" s="154">
        <v>19.99</v>
      </c>
      <c r="K836" s="154">
        <v>1.0</v>
      </c>
      <c r="L836" s="154">
        <v>18.99</v>
      </c>
      <c r="M836" s="152">
        <v>15.0</v>
      </c>
      <c r="N836" s="154">
        <v>0.07</v>
      </c>
    </row>
    <row r="837">
      <c r="A837" s="152" t="s">
        <v>455</v>
      </c>
      <c r="B837" s="152" t="s">
        <v>458</v>
      </c>
      <c r="C837" s="152">
        <v>262.0</v>
      </c>
      <c r="D837" s="152" t="s">
        <v>1398</v>
      </c>
      <c r="E837" s="152" t="s">
        <v>649</v>
      </c>
      <c r="F837" s="153">
        <v>41451.0</v>
      </c>
      <c r="G837" s="153">
        <v>41748.0</v>
      </c>
      <c r="H837" s="153">
        <v>41748.0</v>
      </c>
      <c r="I837" s="153">
        <v>44869.0</v>
      </c>
      <c r="J837" s="154">
        <v>9.99</v>
      </c>
      <c r="K837" s="154">
        <v>9.99</v>
      </c>
      <c r="L837" s="154">
        <v>0.0</v>
      </c>
      <c r="M837" s="152">
        <v>8.0</v>
      </c>
      <c r="N837" s="154">
        <v>1.25</v>
      </c>
    </row>
    <row r="838">
      <c r="A838" s="152" t="s">
        <v>455</v>
      </c>
      <c r="B838" s="152"/>
      <c r="C838" s="152">
        <v>205.0</v>
      </c>
      <c r="D838" s="152" t="s">
        <v>1399</v>
      </c>
      <c r="E838" s="152" t="s">
        <v>649</v>
      </c>
      <c r="F838" s="153">
        <v>41520.0</v>
      </c>
      <c r="G838" s="153">
        <v>44314.0</v>
      </c>
      <c r="H838" s="153">
        <v>44314.0</v>
      </c>
      <c r="I838" s="153">
        <v>44314.0</v>
      </c>
      <c r="J838" s="154">
        <v>19.99</v>
      </c>
      <c r="K838" s="154">
        <v>4.99</v>
      </c>
      <c r="L838" s="154">
        <v>15.0</v>
      </c>
      <c r="M838" s="152">
        <v>1.0</v>
      </c>
      <c r="N838" s="154">
        <v>4.99</v>
      </c>
    </row>
    <row r="839">
      <c r="A839" s="152" t="s">
        <v>455</v>
      </c>
      <c r="B839" s="152" t="s">
        <v>471</v>
      </c>
      <c r="C839" s="152">
        <v>300.0</v>
      </c>
      <c r="D839" s="152" t="s">
        <v>1400</v>
      </c>
      <c r="E839" s="152" t="s">
        <v>649</v>
      </c>
      <c r="F839" s="153">
        <v>41626.0</v>
      </c>
      <c r="G839" s="153">
        <v>45427.0</v>
      </c>
      <c r="H839" s="153">
        <v>45427.0</v>
      </c>
      <c r="I839" s="153">
        <v>45427.0</v>
      </c>
      <c r="J839" s="154">
        <v>18.99</v>
      </c>
      <c r="K839" s="154">
        <v>8.46</v>
      </c>
      <c r="L839" s="154">
        <v>10.53</v>
      </c>
      <c r="M839" s="152">
        <v>1.0</v>
      </c>
      <c r="N839" s="154">
        <v>8.46</v>
      </c>
    </row>
    <row r="840">
      <c r="A840" s="152" t="s">
        <v>455</v>
      </c>
      <c r="B840" s="152" t="s">
        <v>470</v>
      </c>
      <c r="C840" s="152">
        <v>422.0</v>
      </c>
      <c r="D840" s="152" t="s">
        <v>1401</v>
      </c>
      <c r="E840" s="152" t="s">
        <v>649</v>
      </c>
      <c r="F840" s="153">
        <v>41779.0</v>
      </c>
      <c r="G840" s="153">
        <v>45058.0</v>
      </c>
      <c r="H840" s="153">
        <v>45058.0</v>
      </c>
      <c r="I840" s="153">
        <v>45058.0</v>
      </c>
      <c r="J840" s="154">
        <v>19.99</v>
      </c>
      <c r="K840" s="154">
        <v>3.5</v>
      </c>
      <c r="L840" s="154">
        <v>16.49</v>
      </c>
      <c r="M840" s="152">
        <v>1.0</v>
      </c>
      <c r="N840" s="154">
        <v>3.5</v>
      </c>
    </row>
    <row r="841">
      <c r="A841" s="152" t="s">
        <v>455</v>
      </c>
      <c r="B841" s="152"/>
      <c r="C841" s="152">
        <v>263.0</v>
      </c>
      <c r="D841" s="152" t="s">
        <v>1402</v>
      </c>
      <c r="E841" s="152" t="s">
        <v>649</v>
      </c>
      <c r="F841" s="153">
        <v>42073.0</v>
      </c>
      <c r="G841" s="153">
        <v>42750.0</v>
      </c>
      <c r="H841" s="153">
        <v>44430.0</v>
      </c>
      <c r="I841" s="153">
        <v>44430.0</v>
      </c>
      <c r="J841" s="154">
        <v>14.99</v>
      </c>
      <c r="K841" s="154">
        <v>3.59</v>
      </c>
      <c r="L841" s="154">
        <v>11.4</v>
      </c>
      <c r="M841" s="152">
        <v>2.0</v>
      </c>
      <c r="N841" s="154">
        <v>1.8</v>
      </c>
    </row>
    <row r="842">
      <c r="A842" s="152" t="s">
        <v>455</v>
      </c>
      <c r="B842" s="152" t="s">
        <v>456</v>
      </c>
      <c r="C842" s="152">
        <v>253.0</v>
      </c>
      <c r="D842" s="152" t="s">
        <v>1403</v>
      </c>
      <c r="E842" s="152" t="s">
        <v>649</v>
      </c>
      <c r="F842" s="153">
        <v>42228.0</v>
      </c>
      <c r="G842" s="153">
        <v>42650.0</v>
      </c>
      <c r="H842" s="153">
        <v>42655.0</v>
      </c>
      <c r="I842" s="153">
        <v>44037.0</v>
      </c>
      <c r="J842" s="154">
        <v>31.95</v>
      </c>
      <c r="K842" s="154">
        <v>18.55</v>
      </c>
      <c r="L842" s="154">
        <v>13.4</v>
      </c>
      <c r="M842" s="152">
        <v>20.0</v>
      </c>
      <c r="N842" s="154">
        <v>0.93</v>
      </c>
    </row>
    <row r="843">
      <c r="A843" s="152" t="s">
        <v>455</v>
      </c>
      <c r="B843" s="152" t="s">
        <v>467</v>
      </c>
      <c r="C843" s="152">
        <v>469.0</v>
      </c>
      <c r="D843" s="152" t="s">
        <v>1404</v>
      </c>
      <c r="E843" s="152" t="s">
        <v>671</v>
      </c>
      <c r="F843" s="153">
        <v>41717.0</v>
      </c>
      <c r="G843" s="153">
        <v>42750.0</v>
      </c>
      <c r="H843" s="153">
        <v>42753.0</v>
      </c>
      <c r="I843" s="153">
        <v>44585.0</v>
      </c>
      <c r="J843" s="154">
        <v>8.99</v>
      </c>
      <c r="K843" s="154">
        <v>1.99</v>
      </c>
      <c r="L843" s="154">
        <v>7.0</v>
      </c>
      <c r="M843" s="152">
        <v>10.0</v>
      </c>
      <c r="N843" s="154">
        <v>0.2</v>
      </c>
    </row>
    <row r="844">
      <c r="A844" s="152" t="s">
        <v>455</v>
      </c>
      <c r="B844" s="152"/>
      <c r="C844" s="152">
        <v>470.0</v>
      </c>
      <c r="D844" s="152" t="s">
        <v>1405</v>
      </c>
      <c r="E844" s="152" t="s">
        <v>671</v>
      </c>
      <c r="F844" s="153">
        <v>42529.0</v>
      </c>
      <c r="G844" s="153">
        <v>42754.0</v>
      </c>
      <c r="H844" s="153">
        <v>43004.0</v>
      </c>
      <c r="I844" s="153">
        <v>45183.0</v>
      </c>
      <c r="J844" s="154">
        <v>14.99</v>
      </c>
      <c r="K844" s="154">
        <v>9.99</v>
      </c>
      <c r="L844" s="154">
        <v>5.0</v>
      </c>
      <c r="M844" s="152">
        <v>9.0</v>
      </c>
      <c r="N844" s="154">
        <v>1.11</v>
      </c>
    </row>
    <row r="845">
      <c r="A845" s="152" t="s">
        <v>455</v>
      </c>
      <c r="B845" s="152"/>
      <c r="C845" s="152">
        <v>471.0</v>
      </c>
      <c r="D845" s="152" t="s">
        <v>1406</v>
      </c>
      <c r="E845" s="152" t="s">
        <v>671</v>
      </c>
      <c r="F845" s="153">
        <v>43005.0</v>
      </c>
      <c r="G845" s="153">
        <v>44567.0</v>
      </c>
      <c r="H845" s="153">
        <v>44569.0</v>
      </c>
      <c r="I845" s="153">
        <v>44576.0</v>
      </c>
      <c r="J845" s="154">
        <v>19.99</v>
      </c>
      <c r="K845" s="154">
        <v>4.99</v>
      </c>
      <c r="L845" s="154">
        <v>15.0</v>
      </c>
      <c r="M845" s="152">
        <v>4.0</v>
      </c>
      <c r="N845" s="154">
        <v>1.25</v>
      </c>
    </row>
    <row r="846">
      <c r="A846" s="152" t="s">
        <v>455</v>
      </c>
      <c r="B846" s="152" t="s">
        <v>454</v>
      </c>
      <c r="C846" s="152">
        <v>657.0</v>
      </c>
      <c r="D846" s="152" t="s">
        <v>1407</v>
      </c>
      <c r="E846" s="152" t="s">
        <v>33</v>
      </c>
      <c r="F846" s="153">
        <v>42067.0</v>
      </c>
      <c r="G846" s="153">
        <v>43016.0</v>
      </c>
      <c r="H846" s="153">
        <v>43017.0</v>
      </c>
      <c r="I846" s="153">
        <v>45051.0</v>
      </c>
      <c r="J846" s="154">
        <v>29.99</v>
      </c>
      <c r="K846" s="154">
        <v>29.99</v>
      </c>
      <c r="L846" s="154">
        <v>0.0</v>
      </c>
      <c r="M846" s="152">
        <v>3.0</v>
      </c>
      <c r="N846" s="154">
        <v>10.0</v>
      </c>
    </row>
    <row r="847">
      <c r="A847" s="152" t="s">
        <v>455</v>
      </c>
      <c r="B847" s="152"/>
      <c r="C847" s="152">
        <v>965.0</v>
      </c>
      <c r="D847" s="152" t="s">
        <v>1408</v>
      </c>
      <c r="E847" s="152" t="s">
        <v>33</v>
      </c>
      <c r="F847" s="153">
        <v>42129.0</v>
      </c>
      <c r="G847" s="153">
        <v>45058.0</v>
      </c>
      <c r="H847" s="153">
        <v>45058.0</v>
      </c>
      <c r="I847" s="153">
        <v>45058.0</v>
      </c>
      <c r="J847" s="154">
        <v>19.99</v>
      </c>
      <c r="K847" s="154">
        <v>3.5</v>
      </c>
      <c r="L847" s="154">
        <v>16.49</v>
      </c>
      <c r="M847" s="152">
        <v>1.0</v>
      </c>
      <c r="N847" s="154">
        <v>3.5</v>
      </c>
    </row>
    <row r="848">
      <c r="A848" s="152" t="s">
        <v>455</v>
      </c>
      <c r="B848" s="152" t="s">
        <v>457</v>
      </c>
      <c r="C848" s="152">
        <v>954.0</v>
      </c>
      <c r="D848" s="152" t="s">
        <v>1409</v>
      </c>
      <c r="E848" s="152" t="s">
        <v>33</v>
      </c>
      <c r="F848" s="153">
        <v>42409.0</v>
      </c>
      <c r="G848" s="153">
        <v>42754.0</v>
      </c>
      <c r="H848" s="153">
        <v>42754.0</v>
      </c>
      <c r="I848" s="153">
        <v>42754.0</v>
      </c>
      <c r="J848" s="154">
        <v>19.99</v>
      </c>
      <c r="K848" s="154">
        <v>7.99</v>
      </c>
      <c r="L848" s="154">
        <v>12.0</v>
      </c>
      <c r="M848" s="152">
        <v>1.0</v>
      </c>
      <c r="N848" s="154">
        <v>7.99</v>
      </c>
    </row>
    <row r="849">
      <c r="A849" s="152" t="s">
        <v>455</v>
      </c>
      <c r="B849" s="152" t="s">
        <v>468</v>
      </c>
      <c r="C849" s="152">
        <v>551.0</v>
      </c>
      <c r="D849" s="152" t="s">
        <v>1410</v>
      </c>
      <c r="E849" s="152" t="s">
        <v>33</v>
      </c>
      <c r="F849" s="153">
        <v>42640.0</v>
      </c>
      <c r="G849" s="153">
        <v>44067.0</v>
      </c>
      <c r="H849" s="153">
        <v>44393.0</v>
      </c>
      <c r="I849" s="153">
        <v>44393.0</v>
      </c>
      <c r="J849" s="154">
        <v>14.99</v>
      </c>
      <c r="K849" s="154">
        <v>4.49</v>
      </c>
      <c r="L849" s="154">
        <v>10.5</v>
      </c>
      <c r="M849" s="152">
        <v>2.0</v>
      </c>
      <c r="N849" s="154">
        <v>2.25</v>
      </c>
    </row>
    <row r="850">
      <c r="A850" s="152" t="s">
        <v>455</v>
      </c>
      <c r="B850" s="152"/>
      <c r="C850" s="152">
        <v>524.0</v>
      </c>
      <c r="D850" s="152" t="s">
        <v>1411</v>
      </c>
      <c r="E850" s="152" t="s">
        <v>33</v>
      </c>
      <c r="F850" s="153">
        <v>42664.0</v>
      </c>
      <c r="G850" s="153">
        <v>44334.0</v>
      </c>
      <c r="H850" s="153">
        <v>44334.0</v>
      </c>
      <c r="I850" s="153">
        <v>44334.0</v>
      </c>
      <c r="J850" s="154">
        <v>19.99</v>
      </c>
      <c r="K850" s="154">
        <v>0.0</v>
      </c>
      <c r="L850" s="154">
        <v>19.99</v>
      </c>
      <c r="M850" s="152">
        <v>1.0</v>
      </c>
      <c r="N850" s="154">
        <v>0.0</v>
      </c>
    </row>
    <row r="851">
      <c r="A851" s="152" t="s">
        <v>455</v>
      </c>
      <c r="B851" s="152" t="s">
        <v>464</v>
      </c>
      <c r="C851" s="152">
        <v>507.0</v>
      </c>
      <c r="D851" s="152" t="s">
        <v>1412</v>
      </c>
      <c r="E851" s="152" t="s">
        <v>33</v>
      </c>
      <c r="F851" s="153">
        <v>42696.0</v>
      </c>
      <c r="G851" s="153">
        <v>44139.0</v>
      </c>
      <c r="H851" s="153">
        <v>44139.0</v>
      </c>
      <c r="I851" s="153">
        <v>44139.0</v>
      </c>
      <c r="J851" s="154">
        <v>14.25</v>
      </c>
      <c r="K851" s="154">
        <v>1.57</v>
      </c>
      <c r="L851" s="154">
        <v>12.68</v>
      </c>
      <c r="M851" s="152">
        <v>1.0</v>
      </c>
      <c r="N851" s="154">
        <v>1.57</v>
      </c>
    </row>
    <row r="852">
      <c r="A852" s="152" t="s">
        <v>455</v>
      </c>
      <c r="B852" s="152" t="s">
        <v>478</v>
      </c>
      <c r="C852" s="152">
        <v>714.0</v>
      </c>
      <c r="D852" s="152" t="s">
        <v>1413</v>
      </c>
      <c r="E852" s="152" t="s">
        <v>33</v>
      </c>
      <c r="F852" s="153">
        <v>42853.0</v>
      </c>
      <c r="G852" s="153">
        <v>44776.0</v>
      </c>
      <c r="H852" s="153">
        <v>44776.0</v>
      </c>
      <c r="I852" s="153">
        <v>44776.0</v>
      </c>
      <c r="J852" s="154">
        <v>19.99</v>
      </c>
      <c r="K852" s="154">
        <v>0.0</v>
      </c>
      <c r="L852" s="154">
        <v>19.99</v>
      </c>
      <c r="M852" s="152">
        <v>1.0</v>
      </c>
      <c r="N852" s="154">
        <v>0.0</v>
      </c>
    </row>
    <row r="853">
      <c r="A853" s="152" t="s">
        <v>455</v>
      </c>
      <c r="B853" s="152"/>
      <c r="C853" s="152">
        <v>966.0</v>
      </c>
      <c r="D853" s="152" t="s">
        <v>1414</v>
      </c>
      <c r="E853" s="152" t="s">
        <v>33</v>
      </c>
      <c r="F853" s="153">
        <v>43035.0</v>
      </c>
      <c r="G853" s="153">
        <v>45058.0</v>
      </c>
      <c r="H853" s="153">
        <v>45058.0</v>
      </c>
      <c r="I853" s="153">
        <v>45058.0</v>
      </c>
      <c r="J853" s="154">
        <v>39.99</v>
      </c>
      <c r="K853" s="154">
        <v>3.5</v>
      </c>
      <c r="L853" s="154">
        <v>36.49</v>
      </c>
      <c r="M853" s="152">
        <v>1.0</v>
      </c>
      <c r="N853" s="154">
        <v>3.5</v>
      </c>
    </row>
    <row r="854">
      <c r="A854" s="152" t="s">
        <v>455</v>
      </c>
      <c r="B854" s="152" t="s">
        <v>477</v>
      </c>
      <c r="C854" s="152">
        <v>638.0</v>
      </c>
      <c r="D854" s="152" t="s">
        <v>1415</v>
      </c>
      <c r="E854" s="152" t="s">
        <v>33</v>
      </c>
      <c r="F854" s="153">
        <v>43550.0</v>
      </c>
      <c r="G854" s="153">
        <v>45174.0</v>
      </c>
      <c r="H854" s="153">
        <v>45174.0</v>
      </c>
      <c r="I854" s="153">
        <v>45174.0</v>
      </c>
      <c r="J854" s="254">
        <v>29.99</v>
      </c>
      <c r="K854" s="254">
        <v>0.0</v>
      </c>
      <c r="L854" s="154">
        <v>29.99</v>
      </c>
      <c r="M854" s="152">
        <v>1.0</v>
      </c>
      <c r="N854" s="154">
        <v>0.0</v>
      </c>
    </row>
    <row r="855">
      <c r="A855" s="152" t="s">
        <v>455</v>
      </c>
      <c r="B855" s="152"/>
      <c r="C855" s="152">
        <v>967.0</v>
      </c>
      <c r="D855" s="152" t="s">
        <v>1416</v>
      </c>
      <c r="E855" s="152" t="s">
        <v>33</v>
      </c>
      <c r="F855" s="153">
        <v>43672.0</v>
      </c>
      <c r="G855" s="153">
        <v>45058.0</v>
      </c>
      <c r="H855" s="153">
        <v>45058.0</v>
      </c>
      <c r="I855" s="153">
        <v>45058.0</v>
      </c>
      <c r="J855" s="154">
        <v>19.99</v>
      </c>
      <c r="K855" s="154">
        <v>3.49</v>
      </c>
      <c r="L855" s="154">
        <v>16.5</v>
      </c>
      <c r="M855" s="152">
        <v>1.0</v>
      </c>
      <c r="N855" s="154">
        <v>3.49</v>
      </c>
    </row>
    <row r="856">
      <c r="A856" s="152" t="s">
        <v>455</v>
      </c>
      <c r="B856" s="152" t="s">
        <v>461</v>
      </c>
      <c r="C856" s="152">
        <v>763.0</v>
      </c>
      <c r="D856" s="152" t="s">
        <v>1417</v>
      </c>
      <c r="E856" s="152" t="s">
        <v>33</v>
      </c>
      <c r="F856" s="153">
        <v>43777.0</v>
      </c>
      <c r="G856" s="153">
        <v>44811.0</v>
      </c>
      <c r="H856" s="153">
        <v>44830.0</v>
      </c>
      <c r="I856" s="153">
        <v>44917.0</v>
      </c>
      <c r="J856" s="154">
        <v>69.99</v>
      </c>
      <c r="K856" s="154">
        <v>0.0</v>
      </c>
      <c r="L856" s="154">
        <v>69.99</v>
      </c>
      <c r="M856" s="152">
        <v>11.0</v>
      </c>
      <c r="N856" s="154">
        <v>0.0</v>
      </c>
    </row>
    <row r="857">
      <c r="A857" s="152" t="s">
        <v>455</v>
      </c>
      <c r="B857" s="152"/>
      <c r="C857" s="152">
        <v>751.0</v>
      </c>
      <c r="D857" s="152" t="s">
        <v>1418</v>
      </c>
      <c r="E857" s="152" t="s">
        <v>33</v>
      </c>
      <c r="F857" s="153">
        <v>43977.0</v>
      </c>
      <c r="G857" s="153">
        <v>44992.0</v>
      </c>
      <c r="H857" s="153">
        <v>45705.0</v>
      </c>
      <c r="I857" s="153">
        <v>45708.0</v>
      </c>
      <c r="J857" s="154">
        <v>19.99</v>
      </c>
      <c r="K857" s="154">
        <v>0.0</v>
      </c>
      <c r="L857" s="154">
        <v>19.99</v>
      </c>
      <c r="M857" s="152">
        <v>10.0</v>
      </c>
      <c r="N857" s="154">
        <v>0.0</v>
      </c>
    </row>
    <row r="858">
      <c r="A858" s="255" t="s">
        <v>455</v>
      </c>
      <c r="B858" s="255" t="s">
        <v>474</v>
      </c>
      <c r="C858" s="152">
        <v>937.0</v>
      </c>
      <c r="D858" s="152" t="s">
        <v>1419</v>
      </c>
      <c r="E858" s="152" t="s">
        <v>33</v>
      </c>
      <c r="F858" s="153">
        <v>44057.0</v>
      </c>
      <c r="G858" s="153">
        <v>45176.0</v>
      </c>
      <c r="H858" s="153">
        <v>45759.0</v>
      </c>
      <c r="I858" s="153">
        <v>45761.0</v>
      </c>
      <c r="J858" s="154">
        <v>9.99</v>
      </c>
      <c r="K858" s="154">
        <v>0.0</v>
      </c>
      <c r="L858" s="154">
        <v>9.99</v>
      </c>
      <c r="M858" s="152">
        <v>4.0</v>
      </c>
      <c r="N858" s="154">
        <v>0.0</v>
      </c>
    </row>
    <row r="859">
      <c r="A859" s="152" t="s">
        <v>455</v>
      </c>
      <c r="B859" s="152"/>
      <c r="C859" s="152">
        <v>715.0</v>
      </c>
      <c r="D859" s="152" t="s">
        <v>1420</v>
      </c>
      <c r="E859" s="152" t="s">
        <v>33</v>
      </c>
      <c r="F859" s="153">
        <v>44238.0</v>
      </c>
      <c r="G859" s="153">
        <v>45538.0</v>
      </c>
      <c r="H859" s="153">
        <v>45538.0</v>
      </c>
      <c r="I859" s="153">
        <v>45538.0</v>
      </c>
      <c r="J859" s="154">
        <v>29.99</v>
      </c>
      <c r="K859" s="154">
        <v>0.0</v>
      </c>
      <c r="L859" s="154">
        <v>29.99</v>
      </c>
      <c r="M859" s="152">
        <v>1.0</v>
      </c>
      <c r="N859" s="154">
        <v>0.0</v>
      </c>
    </row>
    <row r="860">
      <c r="A860" s="152" t="s">
        <v>455</v>
      </c>
      <c r="B860" s="152" t="s">
        <v>466</v>
      </c>
      <c r="C860" s="152">
        <v>678.0</v>
      </c>
      <c r="D860" s="152" t="s">
        <v>1421</v>
      </c>
      <c r="E860" s="152" t="s">
        <v>33</v>
      </c>
      <c r="F860" s="153">
        <v>44281.0</v>
      </c>
      <c r="G860" s="153">
        <v>44567.0</v>
      </c>
      <c r="H860" s="153">
        <v>44567.0</v>
      </c>
      <c r="I860" s="153">
        <v>44567.0</v>
      </c>
      <c r="J860" s="154">
        <v>39.99</v>
      </c>
      <c r="K860" s="154">
        <v>19.99</v>
      </c>
      <c r="L860" s="154">
        <v>20.0</v>
      </c>
      <c r="M860" s="152">
        <v>1.0</v>
      </c>
      <c r="N860" s="154">
        <v>19.99</v>
      </c>
    </row>
    <row r="861">
      <c r="A861" s="152" t="s">
        <v>455</v>
      </c>
      <c r="B861" s="152" t="s">
        <v>459</v>
      </c>
      <c r="C861" s="152">
        <v>683.0</v>
      </c>
      <c r="D861" s="152" t="s">
        <v>1422</v>
      </c>
      <c r="E861" s="152" t="s">
        <v>33</v>
      </c>
      <c r="F861" s="153">
        <v>44336.0</v>
      </c>
      <c r="G861" s="153">
        <v>44678.0</v>
      </c>
      <c r="H861" s="153">
        <v>44679.0</v>
      </c>
      <c r="I861" s="153">
        <v>44686.0</v>
      </c>
      <c r="J861" s="154">
        <v>13.99</v>
      </c>
      <c r="K861" s="154">
        <v>6.29</v>
      </c>
      <c r="L861" s="154">
        <v>7.7</v>
      </c>
      <c r="M861" s="152">
        <v>14.0</v>
      </c>
      <c r="N861" s="154">
        <v>0.45</v>
      </c>
    </row>
    <row r="862">
      <c r="A862" s="152" t="s">
        <v>455</v>
      </c>
      <c r="B862" s="152" t="s">
        <v>462</v>
      </c>
      <c r="C862" s="152">
        <v>530.0</v>
      </c>
      <c r="D862" s="152" t="s">
        <v>1423</v>
      </c>
      <c r="E862" s="152" t="s">
        <v>33</v>
      </c>
      <c r="F862" s="153">
        <v>44341.0</v>
      </c>
      <c r="G862" s="153">
        <v>44813.0</v>
      </c>
      <c r="H862" s="153">
        <v>44824.0</v>
      </c>
      <c r="I862" s="153">
        <v>44883.0</v>
      </c>
      <c r="J862" s="154">
        <v>59.99</v>
      </c>
      <c r="K862" s="154">
        <v>29.99</v>
      </c>
      <c r="L862" s="154">
        <v>30.0</v>
      </c>
      <c r="M862" s="152">
        <v>49.0</v>
      </c>
      <c r="N862" s="154">
        <v>0.61</v>
      </c>
    </row>
    <row r="863">
      <c r="A863" s="152" t="s">
        <v>455</v>
      </c>
      <c r="B863" s="152" t="s">
        <v>469</v>
      </c>
      <c r="C863" s="152">
        <v>769.0</v>
      </c>
      <c r="D863" s="152" t="s">
        <v>1424</v>
      </c>
      <c r="E863" s="152" t="s">
        <v>33</v>
      </c>
      <c r="F863" s="153">
        <v>44474.0</v>
      </c>
      <c r="G863" s="153">
        <v>44720.0</v>
      </c>
      <c r="H863" s="153">
        <v>44814.0</v>
      </c>
      <c r="I863" s="153">
        <v>44815.0</v>
      </c>
      <c r="J863" s="154">
        <v>49.99</v>
      </c>
      <c r="K863" s="154">
        <v>0.0</v>
      </c>
      <c r="L863" s="154">
        <v>49.99</v>
      </c>
      <c r="M863" s="152">
        <v>11.0</v>
      </c>
      <c r="N863" s="154">
        <v>0.0</v>
      </c>
    </row>
    <row r="864">
      <c r="A864" s="152" t="s">
        <v>455</v>
      </c>
      <c r="B864" s="152"/>
      <c r="C864" s="152">
        <v>525.0</v>
      </c>
      <c r="D864" s="152" t="s">
        <v>1425</v>
      </c>
      <c r="E864" s="152" t="s">
        <v>33</v>
      </c>
      <c r="F864" s="153">
        <v>44519.0</v>
      </c>
      <c r="G864" s="153">
        <v>44992.0</v>
      </c>
      <c r="H864" s="153">
        <v>44992.0</v>
      </c>
      <c r="I864" s="153">
        <v>44992.0</v>
      </c>
      <c r="J864" s="154">
        <v>79.99</v>
      </c>
      <c r="K864" s="154">
        <v>0.0</v>
      </c>
      <c r="L864" s="154">
        <v>79.99</v>
      </c>
      <c r="M864" s="152">
        <v>1.0</v>
      </c>
      <c r="N864" s="154">
        <v>0.0</v>
      </c>
    </row>
    <row r="865">
      <c r="A865" s="152" t="s">
        <v>455</v>
      </c>
      <c r="B865" s="152"/>
      <c r="C865" s="152">
        <v>752.0</v>
      </c>
      <c r="D865" s="152" t="s">
        <v>1426</v>
      </c>
      <c r="E865" s="152" t="s">
        <v>33</v>
      </c>
      <c r="F865" s="153">
        <v>45034.0</v>
      </c>
      <c r="G865" s="153">
        <v>45385.0</v>
      </c>
      <c r="H865" s="153">
        <v>45385.0</v>
      </c>
      <c r="I865" s="153">
        <v>45385.0</v>
      </c>
      <c r="J865" s="154">
        <v>39.99</v>
      </c>
      <c r="K865" s="154">
        <v>0.0</v>
      </c>
      <c r="L865" s="154">
        <v>39.99</v>
      </c>
      <c r="M865" s="152">
        <v>1.0</v>
      </c>
      <c r="N865" s="154">
        <v>0.0</v>
      </c>
    </row>
    <row r="866">
      <c r="A866" s="152" t="s">
        <v>455</v>
      </c>
      <c r="B866" s="152"/>
      <c r="C866" s="152">
        <v>859.0</v>
      </c>
      <c r="D866" s="152" t="s">
        <v>1427</v>
      </c>
      <c r="E866" s="152" t="s">
        <v>33</v>
      </c>
      <c r="F866" s="153">
        <v>45261.0</v>
      </c>
      <c r="G866" s="153">
        <v>45586.0</v>
      </c>
      <c r="H866" s="153">
        <v>45586.0</v>
      </c>
      <c r="I866" s="153">
        <v>45586.0</v>
      </c>
      <c r="J866" s="154">
        <v>29.99</v>
      </c>
      <c r="K866" s="154">
        <v>15.74</v>
      </c>
      <c r="L866" s="154">
        <v>14.25</v>
      </c>
      <c r="M866" s="152">
        <v>1.0</v>
      </c>
      <c r="N866" s="154">
        <v>15.74</v>
      </c>
    </row>
    <row r="867">
      <c r="A867" s="152" t="s">
        <v>455</v>
      </c>
      <c r="B867" s="152" t="s">
        <v>479</v>
      </c>
      <c r="C867" s="152">
        <v>1049.0</v>
      </c>
      <c r="D867" s="152" t="s">
        <v>1428</v>
      </c>
      <c r="E867" s="152" t="s">
        <v>666</v>
      </c>
      <c r="F867" s="153">
        <v>43087.0</v>
      </c>
      <c r="G867" s="153">
        <v>43466.0</v>
      </c>
      <c r="H867" s="153">
        <v>43466.0</v>
      </c>
      <c r="I867" s="153">
        <v>43466.0</v>
      </c>
      <c r="J867" s="154">
        <v>14.99</v>
      </c>
      <c r="K867" s="154">
        <v>5.99</v>
      </c>
      <c r="L867" s="154">
        <v>9.0</v>
      </c>
      <c r="M867" s="152">
        <v>1.0</v>
      </c>
      <c r="N867" s="154">
        <v>5.99</v>
      </c>
    </row>
    <row r="868">
      <c r="A868" s="152" t="s">
        <v>455</v>
      </c>
      <c r="B868" s="152" t="s">
        <v>463</v>
      </c>
      <c r="C868" s="152">
        <v>984.0</v>
      </c>
      <c r="D868" s="152" t="s">
        <v>1429</v>
      </c>
      <c r="E868" s="152" t="s">
        <v>666</v>
      </c>
      <c r="F868" s="153">
        <v>43151.0</v>
      </c>
      <c r="G868" s="153">
        <v>43472.0</v>
      </c>
      <c r="H868" s="153">
        <v>43472.0</v>
      </c>
      <c r="I868" s="153">
        <v>43472.0</v>
      </c>
      <c r="J868" s="254">
        <v>19.99</v>
      </c>
      <c r="K868" s="254">
        <v>14.99</v>
      </c>
      <c r="L868" s="154">
        <v>5.0</v>
      </c>
      <c r="M868" s="152">
        <v>1.0</v>
      </c>
      <c r="N868" s="154">
        <v>14.99</v>
      </c>
    </row>
    <row r="869">
      <c r="A869" s="152" t="s">
        <v>455</v>
      </c>
      <c r="B869" s="152" t="s">
        <v>472</v>
      </c>
      <c r="C869" s="152">
        <v>991.0</v>
      </c>
      <c r="D869" s="152" t="s">
        <v>1430</v>
      </c>
      <c r="E869" s="152" t="s">
        <v>666</v>
      </c>
      <c r="F869" s="153">
        <v>43966.0</v>
      </c>
      <c r="G869" s="153">
        <v>45176.0</v>
      </c>
      <c r="H869" s="153">
        <v>45176.0</v>
      </c>
      <c r="I869" s="153">
        <v>45176.0</v>
      </c>
      <c r="J869" s="154">
        <v>24.99</v>
      </c>
      <c r="K869" s="154">
        <v>0.0</v>
      </c>
      <c r="L869" s="154">
        <v>24.99</v>
      </c>
      <c r="M869" s="152">
        <v>1.0</v>
      </c>
      <c r="N869" s="154">
        <v>0.0</v>
      </c>
    </row>
    <row r="870">
      <c r="A870" s="152" t="s">
        <v>455</v>
      </c>
      <c r="B870" s="152" t="s">
        <v>475</v>
      </c>
      <c r="C870" s="152">
        <v>1083.0</v>
      </c>
      <c r="D870" s="152" t="s">
        <v>1431</v>
      </c>
      <c r="E870" s="152" t="s">
        <v>39</v>
      </c>
      <c r="F870" s="153">
        <v>44456.0</v>
      </c>
      <c r="G870" s="153">
        <v>44811.0</v>
      </c>
      <c r="H870" s="153">
        <v>44828.0</v>
      </c>
      <c r="I870" s="153">
        <v>44829.0</v>
      </c>
      <c r="J870" s="254">
        <v>19.99</v>
      </c>
      <c r="K870" s="254">
        <v>0.0</v>
      </c>
      <c r="L870" s="154">
        <v>19.99</v>
      </c>
      <c r="M870" s="152">
        <v>10.0</v>
      </c>
      <c r="N870" s="154">
        <v>0.0</v>
      </c>
    </row>
    <row r="871">
      <c r="A871" s="255" t="s">
        <v>455</v>
      </c>
      <c r="B871" s="255"/>
      <c r="C871" s="152">
        <v>1062.0</v>
      </c>
      <c r="D871" s="152" t="s">
        <v>1432</v>
      </c>
      <c r="E871" s="152" t="s">
        <v>39</v>
      </c>
      <c r="F871" s="153">
        <v>44882.0</v>
      </c>
      <c r="G871" s="153">
        <v>45362.0</v>
      </c>
      <c r="H871" s="153">
        <v>45365.0</v>
      </c>
      <c r="I871" s="153">
        <v>45761.0</v>
      </c>
      <c r="J871" s="254">
        <v>29.99</v>
      </c>
      <c r="K871" s="254">
        <v>14.99</v>
      </c>
      <c r="L871" s="154">
        <v>15.0</v>
      </c>
      <c r="M871" s="152">
        <v>14.0</v>
      </c>
      <c r="N871" s="154">
        <v>1.07</v>
      </c>
    </row>
    <row r="872">
      <c r="A872" s="155">
        <f t="shared" ref="A872:B872" si="92">COUNTA(A832:A871)</f>
        <v>40</v>
      </c>
      <c r="B872" s="155">
        <f t="shared" si="92"/>
        <v>25</v>
      </c>
      <c r="C872" s="155"/>
      <c r="D872" s="156"/>
      <c r="E872" s="158">
        <v>1034.82</v>
      </c>
      <c r="F872" s="158">
        <v>250.54</v>
      </c>
      <c r="G872" s="158">
        <v>784.28</v>
      </c>
      <c r="H872" s="155">
        <v>222.0</v>
      </c>
      <c r="I872" s="158">
        <v>1.1285585585585585</v>
      </c>
      <c r="J872" s="159">
        <f t="shared" ref="J872:M872" si="93">SUM(J832:J871)</f>
        <v>1034.82</v>
      </c>
      <c r="K872" s="159">
        <f t="shared" si="93"/>
        <v>250.54</v>
      </c>
      <c r="L872" s="159">
        <f t="shared" si="93"/>
        <v>784.28</v>
      </c>
      <c r="M872" s="156">
        <f t="shared" si="93"/>
        <v>222</v>
      </c>
      <c r="N872" s="159">
        <f>K872/M872</f>
        <v>1.128558559</v>
      </c>
    </row>
    <row r="873">
      <c r="A873" s="49"/>
      <c r="B873" s="49"/>
      <c r="C873" s="49"/>
      <c r="D873" s="79"/>
      <c r="E873" s="79"/>
      <c r="F873" s="79"/>
      <c r="G873" s="79"/>
      <c r="H873" s="79"/>
      <c r="I873" s="79"/>
      <c r="J873" s="52"/>
      <c r="K873" s="52"/>
      <c r="L873" s="52"/>
      <c r="M873" s="79"/>
      <c r="N873" s="52"/>
    </row>
    <row r="874">
      <c r="A874" s="43" t="s">
        <v>481</v>
      </c>
      <c r="B874" s="43" t="s">
        <v>480</v>
      </c>
      <c r="C874" s="43">
        <v>623.0</v>
      </c>
      <c r="D874" s="43" t="s">
        <v>1433</v>
      </c>
      <c r="E874" s="43" t="s">
        <v>33</v>
      </c>
      <c r="F874" s="57">
        <v>44522.0</v>
      </c>
      <c r="G874" s="57">
        <v>45202.0</v>
      </c>
      <c r="H874" s="57">
        <v>45202.0</v>
      </c>
      <c r="I874" s="57">
        <v>45202.0</v>
      </c>
      <c r="J874" s="47">
        <v>39.99</v>
      </c>
      <c r="K874" s="47">
        <v>0.0</v>
      </c>
      <c r="L874" s="47">
        <v>39.99</v>
      </c>
      <c r="M874" s="43">
        <v>1.0</v>
      </c>
      <c r="N874" s="47">
        <v>0.0</v>
      </c>
    </row>
    <row r="875">
      <c r="A875" s="72">
        <f t="shared" ref="A875:B875" si="94">COUNTA(A874)</f>
        <v>1</v>
      </c>
      <c r="B875" s="72">
        <f t="shared" si="94"/>
        <v>1</v>
      </c>
      <c r="C875" s="72"/>
      <c r="D875" s="39"/>
      <c r="E875" s="42">
        <v>39.99</v>
      </c>
      <c r="F875" s="42">
        <v>0.0</v>
      </c>
      <c r="G875" s="42">
        <v>39.99</v>
      </c>
      <c r="H875" s="72">
        <v>1.0</v>
      </c>
      <c r="I875" s="55">
        <v>0.0</v>
      </c>
      <c r="J875" s="71">
        <f t="shared" ref="J875:M875" si="95">SUM(J874)</f>
        <v>39.99</v>
      </c>
      <c r="K875" s="71">
        <f t="shared" si="95"/>
        <v>0</v>
      </c>
      <c r="L875" s="71">
        <f t="shared" si="95"/>
        <v>39.99</v>
      </c>
      <c r="M875" s="39">
        <f t="shared" si="95"/>
        <v>1</v>
      </c>
      <c r="N875" s="71">
        <f>K875/M875</f>
        <v>0</v>
      </c>
    </row>
    <row r="876">
      <c r="A876" s="64"/>
      <c r="B876" s="64"/>
      <c r="C876" s="64"/>
      <c r="D876" s="114"/>
      <c r="E876" s="114"/>
      <c r="F876" s="114"/>
      <c r="G876" s="114"/>
      <c r="H876" s="114"/>
      <c r="I876" s="114"/>
      <c r="J876" s="144"/>
      <c r="K876" s="144"/>
      <c r="L876" s="144"/>
      <c r="M876" s="114"/>
      <c r="N876" s="144"/>
    </row>
    <row r="877">
      <c r="A877" s="75" t="s">
        <v>483</v>
      </c>
      <c r="B877" s="75" t="s">
        <v>482</v>
      </c>
      <c r="C877" s="53">
        <v>601.0</v>
      </c>
      <c r="D877" s="53" t="s">
        <v>1434</v>
      </c>
      <c r="E877" s="53" t="s">
        <v>33</v>
      </c>
      <c r="F877" s="160">
        <v>44939.0</v>
      </c>
      <c r="G877" s="160">
        <v>45176.0</v>
      </c>
      <c r="H877" s="160">
        <v>45472.0</v>
      </c>
      <c r="I877" s="160">
        <v>45753.0</v>
      </c>
      <c r="J877" s="76">
        <v>14.99</v>
      </c>
      <c r="K877" s="76">
        <v>0.0</v>
      </c>
      <c r="L877" s="76">
        <v>14.99</v>
      </c>
      <c r="M877" s="53">
        <v>21.0</v>
      </c>
      <c r="N877" s="76">
        <v>0.0</v>
      </c>
    </row>
    <row r="878">
      <c r="A878" s="43">
        <f t="shared" ref="A878:B878" si="96">COUNTA(A877)</f>
        <v>1</v>
      </c>
      <c r="B878" s="43">
        <f t="shared" si="96"/>
        <v>1</v>
      </c>
      <c r="C878" s="43"/>
      <c r="D878" s="44"/>
      <c r="E878" s="164">
        <v>14.99</v>
      </c>
      <c r="F878" s="164">
        <v>0.0</v>
      </c>
      <c r="G878" s="164">
        <v>14.99</v>
      </c>
      <c r="H878" s="43">
        <v>21.0</v>
      </c>
      <c r="I878" s="46">
        <v>0.0</v>
      </c>
      <c r="J878" s="145">
        <f t="shared" ref="J878:M878" si="97">SUM(J877)</f>
        <v>14.99</v>
      </c>
      <c r="K878" s="145">
        <f t="shared" si="97"/>
        <v>0</v>
      </c>
      <c r="L878" s="145">
        <f t="shared" si="97"/>
        <v>14.99</v>
      </c>
      <c r="M878" s="44">
        <f t="shared" si="97"/>
        <v>21</v>
      </c>
      <c r="N878" s="145">
        <f>K878/M878</f>
        <v>0</v>
      </c>
    </row>
    <row r="879">
      <c r="A879" s="49"/>
      <c r="B879" s="49"/>
      <c r="C879" s="49"/>
      <c r="D879" s="79"/>
      <c r="E879" s="49"/>
      <c r="F879" s="49"/>
      <c r="G879" s="49"/>
      <c r="H879" s="49"/>
      <c r="I879" s="49"/>
      <c r="J879" s="52"/>
      <c r="K879" s="52"/>
      <c r="L879" s="52"/>
      <c r="M879" s="79"/>
      <c r="N879" s="52"/>
    </row>
    <row r="880">
      <c r="A880" s="236" t="s">
        <v>485</v>
      </c>
      <c r="B880" s="236" t="s">
        <v>484</v>
      </c>
      <c r="C880" s="236">
        <v>1088.0</v>
      </c>
      <c r="D880" s="236" t="s">
        <v>1435</v>
      </c>
      <c r="E880" s="236" t="s">
        <v>39</v>
      </c>
      <c r="F880" s="256">
        <v>45490.0</v>
      </c>
      <c r="G880" s="256">
        <v>45910.0</v>
      </c>
      <c r="H880" s="256">
        <v>45975.0</v>
      </c>
      <c r="I880" s="256">
        <v>45977.0</v>
      </c>
      <c r="J880" s="237">
        <v>19.99</v>
      </c>
      <c r="K880" s="237">
        <v>0.0</v>
      </c>
      <c r="L880" s="237">
        <v>19.99</v>
      </c>
      <c r="M880" s="236">
        <v>4.0</v>
      </c>
      <c r="N880" s="237">
        <v>0.0</v>
      </c>
    </row>
    <row r="881">
      <c r="A881" s="43">
        <f t="shared" ref="A881:B881" si="98">COUNTA(A880)</f>
        <v>1</v>
      </c>
      <c r="B881" s="43">
        <f t="shared" si="98"/>
        <v>1</v>
      </c>
      <c r="C881" s="43"/>
      <c r="D881" s="44"/>
      <c r="E881" s="46">
        <v>19.99</v>
      </c>
      <c r="F881" s="164">
        <v>0.0</v>
      </c>
      <c r="G881" s="46">
        <v>19.99</v>
      </c>
      <c r="H881" s="43">
        <v>4.0</v>
      </c>
      <c r="I881" s="46">
        <v>0.0</v>
      </c>
      <c r="J881" s="145">
        <f t="shared" ref="J881:M881" si="99">SUM(J880)</f>
        <v>19.99</v>
      </c>
      <c r="K881" s="145">
        <f t="shared" si="99"/>
        <v>0</v>
      </c>
      <c r="L881" s="145">
        <f t="shared" si="99"/>
        <v>19.99</v>
      </c>
      <c r="M881" s="69">
        <f t="shared" si="99"/>
        <v>4</v>
      </c>
      <c r="N881" s="145">
        <f>K881/M881</f>
        <v>0</v>
      </c>
    </row>
    <row r="882">
      <c r="A882" s="49"/>
      <c r="B882" s="49"/>
      <c r="C882" s="49"/>
      <c r="D882" s="79"/>
      <c r="E882" s="49"/>
      <c r="F882" s="49"/>
      <c r="G882" s="49"/>
      <c r="H882" s="49"/>
      <c r="I882" s="49"/>
      <c r="J882" s="52"/>
      <c r="K882" s="52"/>
      <c r="L882" s="52"/>
      <c r="M882" s="79"/>
      <c r="N882" s="52"/>
    </row>
    <row r="883">
      <c r="A883" s="152" t="s">
        <v>487</v>
      </c>
      <c r="B883" s="152" t="s">
        <v>486</v>
      </c>
      <c r="C883" s="152">
        <v>299.0</v>
      </c>
      <c r="D883" s="152" t="s">
        <v>1436</v>
      </c>
      <c r="E883" s="152" t="s">
        <v>649</v>
      </c>
      <c r="F883" s="153">
        <v>41411.0</v>
      </c>
      <c r="G883" s="153">
        <v>44431.0</v>
      </c>
      <c r="H883" s="153">
        <v>44431.0</v>
      </c>
      <c r="I883" s="153">
        <v>44431.0</v>
      </c>
      <c r="J883" s="154">
        <v>15.0</v>
      </c>
      <c r="K883" s="154">
        <v>2.25</v>
      </c>
      <c r="L883" s="154">
        <v>12.75</v>
      </c>
      <c r="M883" s="152">
        <v>1.0</v>
      </c>
      <c r="N883" s="154">
        <v>2.25</v>
      </c>
    </row>
    <row r="884">
      <c r="A884" s="152" t="s">
        <v>487</v>
      </c>
      <c r="B884" s="152"/>
      <c r="C884" s="152">
        <v>748.0</v>
      </c>
      <c r="D884" s="152" t="s">
        <v>1437</v>
      </c>
      <c r="E884" s="152" t="s">
        <v>33</v>
      </c>
      <c r="F884" s="153">
        <v>41880.0</v>
      </c>
      <c r="G884" s="153">
        <v>44431.0</v>
      </c>
      <c r="H884" s="153">
        <v>44431.0</v>
      </c>
      <c r="I884" s="153">
        <v>44431.0</v>
      </c>
      <c r="J884" s="154">
        <v>14.99</v>
      </c>
      <c r="K884" s="154">
        <v>2.24</v>
      </c>
      <c r="L884" s="154">
        <v>12.75</v>
      </c>
      <c r="M884" s="152">
        <v>1.0</v>
      </c>
      <c r="N884" s="154">
        <v>2.24</v>
      </c>
    </row>
    <row r="885">
      <c r="A885" s="152" t="s">
        <v>487</v>
      </c>
      <c r="B885" s="152" t="s">
        <v>489</v>
      </c>
      <c r="C885" s="152">
        <v>789.0</v>
      </c>
      <c r="D885" s="152" t="s">
        <v>1438</v>
      </c>
      <c r="E885" s="152" t="s">
        <v>33</v>
      </c>
      <c r="F885" s="153">
        <v>42486.0</v>
      </c>
      <c r="G885" s="153">
        <v>42951.0</v>
      </c>
      <c r="H885" s="153">
        <v>43270.0</v>
      </c>
      <c r="I885" s="153">
        <v>43604.0</v>
      </c>
      <c r="J885" s="154">
        <v>12.99</v>
      </c>
      <c r="K885" s="154">
        <v>4.99</v>
      </c>
      <c r="L885" s="154">
        <v>8.0</v>
      </c>
      <c r="M885" s="152">
        <v>9.0</v>
      </c>
      <c r="N885" s="154">
        <v>0.55</v>
      </c>
    </row>
    <row r="886">
      <c r="A886" s="152" t="s">
        <v>487</v>
      </c>
      <c r="B886" s="152"/>
      <c r="C886" s="152">
        <v>749.0</v>
      </c>
      <c r="D886" s="152" t="s">
        <v>1439</v>
      </c>
      <c r="E886" s="152" t="s">
        <v>33</v>
      </c>
      <c r="F886" s="153">
        <v>43511.0</v>
      </c>
      <c r="G886" s="153">
        <v>44405.0</v>
      </c>
      <c r="H886" s="153">
        <v>44405.0</v>
      </c>
      <c r="I886" s="153">
        <v>44405.0</v>
      </c>
      <c r="J886" s="154">
        <v>39.99</v>
      </c>
      <c r="K886" s="154">
        <v>9.99</v>
      </c>
      <c r="L886" s="154">
        <v>30.0</v>
      </c>
      <c r="M886" s="152">
        <v>1.0</v>
      </c>
      <c r="N886" s="154">
        <v>9.99</v>
      </c>
    </row>
    <row r="887">
      <c r="A887" s="152" t="s">
        <v>487</v>
      </c>
      <c r="B887" s="152" t="s">
        <v>488</v>
      </c>
      <c r="C887" s="152">
        <v>923.0</v>
      </c>
      <c r="D887" s="152" t="s">
        <v>1440</v>
      </c>
      <c r="E887" s="152" t="s">
        <v>33</v>
      </c>
      <c r="F887" s="153">
        <v>43643.0</v>
      </c>
      <c r="G887" s="153">
        <v>44398.0</v>
      </c>
      <c r="H887" s="153">
        <v>44474.0</v>
      </c>
      <c r="I887" s="153">
        <v>44499.0</v>
      </c>
      <c r="J887" s="154">
        <v>64.99</v>
      </c>
      <c r="K887" s="154">
        <v>45.49</v>
      </c>
      <c r="L887" s="154">
        <v>19.5</v>
      </c>
      <c r="M887" s="152">
        <v>4.0</v>
      </c>
      <c r="N887" s="154">
        <v>11.37</v>
      </c>
    </row>
    <row r="888">
      <c r="A888" s="152" t="s">
        <v>487</v>
      </c>
      <c r="B888" s="152"/>
      <c r="C888" s="152">
        <v>790.0</v>
      </c>
      <c r="D888" s="152" t="s">
        <v>1441</v>
      </c>
      <c r="E888" s="152" t="s">
        <v>33</v>
      </c>
      <c r="F888" s="153">
        <v>44082.0</v>
      </c>
      <c r="G888" s="153">
        <v>44965.0</v>
      </c>
      <c r="H888" s="153">
        <v>44965.0</v>
      </c>
      <c r="I888" s="153">
        <v>44965.0</v>
      </c>
      <c r="J888" s="154">
        <v>19.99</v>
      </c>
      <c r="K888" s="154">
        <v>4.99</v>
      </c>
      <c r="L888" s="154">
        <v>15.0</v>
      </c>
      <c r="M888" s="152">
        <v>1.0</v>
      </c>
      <c r="N888" s="154">
        <v>4.99</v>
      </c>
    </row>
    <row r="889">
      <c r="A889" s="155">
        <f t="shared" ref="A889:B889" si="100">COUNTA(A883:A888)</f>
        <v>6</v>
      </c>
      <c r="B889" s="155">
        <f t="shared" si="100"/>
        <v>3</v>
      </c>
      <c r="C889" s="155"/>
      <c r="D889" s="156"/>
      <c r="E889" s="157">
        <v>167.95</v>
      </c>
      <c r="F889" s="157">
        <v>69.95</v>
      </c>
      <c r="G889" s="157">
        <v>98.0</v>
      </c>
      <c r="H889" s="155">
        <v>17.0</v>
      </c>
      <c r="I889" s="158">
        <v>4.114705882352942</v>
      </c>
      <c r="J889" s="159">
        <f t="shared" ref="J889:M889" si="101">SUM(J883:J888)</f>
        <v>167.95</v>
      </c>
      <c r="K889" s="159">
        <f t="shared" si="101"/>
        <v>69.95</v>
      </c>
      <c r="L889" s="159">
        <f t="shared" si="101"/>
        <v>98</v>
      </c>
      <c r="M889" s="156">
        <f t="shared" si="101"/>
        <v>17</v>
      </c>
      <c r="N889" s="159">
        <f>K889/M889</f>
        <v>4.114705882</v>
      </c>
    </row>
    <row r="890">
      <c r="A890" s="131"/>
      <c r="B890" s="131"/>
      <c r="C890" s="131"/>
      <c r="D890" s="132"/>
      <c r="E890" s="132"/>
      <c r="F890" s="132"/>
      <c r="G890" s="132"/>
      <c r="H890" s="132"/>
      <c r="I890" s="132"/>
      <c r="J890" s="133"/>
      <c r="K890" s="133"/>
      <c r="L890" s="133"/>
      <c r="M890" s="132"/>
      <c r="N890" s="133"/>
    </row>
    <row r="891">
      <c r="A891" s="72" t="s">
        <v>29</v>
      </c>
      <c r="B891" s="72" t="s">
        <v>545</v>
      </c>
      <c r="C891" s="72">
        <v>14.0</v>
      </c>
      <c r="D891" s="72" t="s">
        <v>1442</v>
      </c>
      <c r="E891" s="72" t="s">
        <v>682</v>
      </c>
      <c r="F891" s="167">
        <v>35019.0</v>
      </c>
      <c r="G891" s="167">
        <v>44708.0</v>
      </c>
      <c r="H891" s="167">
        <v>44708.0</v>
      </c>
      <c r="I891" s="167">
        <v>44708.0</v>
      </c>
      <c r="J891" s="165">
        <v>4.99</v>
      </c>
      <c r="K891" s="165">
        <v>2.49</v>
      </c>
      <c r="L891" s="165">
        <v>2.5</v>
      </c>
      <c r="M891" s="72">
        <v>1.0</v>
      </c>
      <c r="N891" s="165">
        <v>2.49</v>
      </c>
    </row>
    <row r="892">
      <c r="A892" s="72" t="s">
        <v>29</v>
      </c>
      <c r="B892" s="72"/>
      <c r="C892" s="72">
        <v>13.0</v>
      </c>
      <c r="D892" s="72" t="s">
        <v>1443</v>
      </c>
      <c r="E892" s="72" t="s">
        <v>682</v>
      </c>
      <c r="F892" s="167">
        <v>35034.0</v>
      </c>
      <c r="G892" s="167">
        <v>44708.0</v>
      </c>
      <c r="H892" s="167">
        <v>44708.0</v>
      </c>
      <c r="I892" s="167">
        <v>44708.0</v>
      </c>
      <c r="J892" s="165">
        <v>4.99</v>
      </c>
      <c r="K892" s="165">
        <v>2.49</v>
      </c>
      <c r="L892" s="165">
        <v>2.5</v>
      </c>
      <c r="M892" s="72">
        <v>1.0</v>
      </c>
      <c r="N892" s="165">
        <v>2.49</v>
      </c>
    </row>
    <row r="893">
      <c r="A893" s="72" t="s">
        <v>29</v>
      </c>
      <c r="B893" s="72" t="s">
        <v>559</v>
      </c>
      <c r="C893" s="72">
        <v>36.0</v>
      </c>
      <c r="D893" s="72" t="s">
        <v>1444</v>
      </c>
      <c r="E893" s="72" t="s">
        <v>682</v>
      </c>
      <c r="F893" s="167">
        <v>35041.0</v>
      </c>
      <c r="G893" s="167">
        <v>44422.0</v>
      </c>
      <c r="H893" s="167">
        <v>44422.0</v>
      </c>
      <c r="I893" s="167">
        <v>44422.0</v>
      </c>
      <c r="J893" s="165">
        <v>3.33</v>
      </c>
      <c r="K893" s="165">
        <v>3.33</v>
      </c>
      <c r="L893" s="165">
        <v>0.0</v>
      </c>
      <c r="M893" s="72">
        <v>1.0</v>
      </c>
      <c r="N893" s="165">
        <v>3.33</v>
      </c>
    </row>
    <row r="894">
      <c r="A894" s="72" t="s">
        <v>29</v>
      </c>
      <c r="B894" s="72" t="s">
        <v>597</v>
      </c>
      <c r="C894" s="72">
        <v>72.0</v>
      </c>
      <c r="D894" s="72" t="s">
        <v>1445</v>
      </c>
      <c r="E894" s="72" t="s">
        <v>682</v>
      </c>
      <c r="F894" s="167">
        <v>35080.0</v>
      </c>
      <c r="G894" s="167">
        <v>43014.0</v>
      </c>
      <c r="H894" s="167">
        <v>43014.0</v>
      </c>
      <c r="I894" s="167">
        <v>43014.0</v>
      </c>
      <c r="J894" s="165">
        <v>4.99</v>
      </c>
      <c r="K894" s="165">
        <v>1.99</v>
      </c>
      <c r="L894" s="165">
        <v>3.0</v>
      </c>
      <c r="M894" s="72">
        <v>1.0</v>
      </c>
      <c r="N894" s="165">
        <v>1.99</v>
      </c>
    </row>
    <row r="895">
      <c r="A895" s="39" t="s">
        <v>29</v>
      </c>
      <c r="B895" s="39" t="s">
        <v>509</v>
      </c>
      <c r="C895" s="39">
        <v>24.0</v>
      </c>
      <c r="D895" s="39" t="s">
        <v>1446</v>
      </c>
      <c r="E895" s="39" t="s">
        <v>682</v>
      </c>
      <c r="F895" s="167">
        <v>35156.0</v>
      </c>
      <c r="G895" s="167">
        <v>42279.0</v>
      </c>
      <c r="H895" s="167">
        <v>45924.0</v>
      </c>
      <c r="I895" s="167">
        <v>45926.0</v>
      </c>
      <c r="J895" s="71">
        <v>14.99</v>
      </c>
      <c r="K895" s="71">
        <v>10.0</v>
      </c>
      <c r="L895" s="71">
        <f>J895-K895</f>
        <v>4.99</v>
      </c>
      <c r="M895" s="39">
        <v>7.0</v>
      </c>
      <c r="N895" s="71">
        <f>K895/M895</f>
        <v>1.428571429</v>
      </c>
    </row>
    <row r="896">
      <c r="A896" s="72" t="s">
        <v>29</v>
      </c>
      <c r="B896" s="72" t="s">
        <v>563</v>
      </c>
      <c r="C896" s="72">
        <v>7.0</v>
      </c>
      <c r="D896" s="72" t="s">
        <v>1447</v>
      </c>
      <c r="E896" s="72" t="s">
        <v>682</v>
      </c>
      <c r="F896" s="167">
        <v>35377.0</v>
      </c>
      <c r="G896" s="167">
        <v>40557.0</v>
      </c>
      <c r="H896" s="167">
        <v>40557.0</v>
      </c>
      <c r="I896" s="167">
        <v>40557.0</v>
      </c>
      <c r="J896" s="165">
        <v>4.99</v>
      </c>
      <c r="K896" s="165">
        <v>4.99</v>
      </c>
      <c r="L896" s="165">
        <v>0.0</v>
      </c>
      <c r="M896" s="72">
        <v>30.0</v>
      </c>
      <c r="N896" s="165">
        <v>0.17</v>
      </c>
    </row>
    <row r="897">
      <c r="A897" s="72" t="s">
        <v>29</v>
      </c>
      <c r="B897" s="72" t="s">
        <v>602</v>
      </c>
      <c r="C897" s="72">
        <v>42.0</v>
      </c>
      <c r="D897" s="72" t="s">
        <v>1448</v>
      </c>
      <c r="E897" s="72" t="s">
        <v>682</v>
      </c>
      <c r="F897" s="167">
        <v>35615.0</v>
      </c>
      <c r="G897" s="167">
        <v>43014.0</v>
      </c>
      <c r="H897" s="167">
        <v>43014.0</v>
      </c>
      <c r="I897" s="167">
        <v>43014.0</v>
      </c>
      <c r="J897" s="165">
        <v>4.99</v>
      </c>
      <c r="K897" s="165">
        <v>1.99</v>
      </c>
      <c r="L897" s="165">
        <v>3.0</v>
      </c>
      <c r="M897" s="72">
        <v>1.0</v>
      </c>
      <c r="N897" s="165">
        <v>1.99</v>
      </c>
    </row>
    <row r="898">
      <c r="A898" s="72" t="s">
        <v>29</v>
      </c>
      <c r="B898" s="72" t="s">
        <v>570</v>
      </c>
      <c r="C898" s="39">
        <v>38.0</v>
      </c>
      <c r="D898" s="39" t="s">
        <v>1449</v>
      </c>
      <c r="E898" s="39" t="s">
        <v>682</v>
      </c>
      <c r="F898" s="41">
        <v>35691.0</v>
      </c>
      <c r="G898" s="41">
        <v>40538.0</v>
      </c>
      <c r="H898" s="41">
        <v>45950.0</v>
      </c>
      <c r="I898" s="41">
        <v>45951.0</v>
      </c>
      <c r="J898" s="71">
        <v>4.99</v>
      </c>
      <c r="K898" s="71">
        <v>4.99</v>
      </c>
      <c r="L898" s="71">
        <v>0.0</v>
      </c>
      <c r="M898" s="39">
        <v>25.0</v>
      </c>
      <c r="N898" s="71">
        <v>0.1996</v>
      </c>
    </row>
    <row r="899">
      <c r="A899" s="72" t="s">
        <v>29</v>
      </c>
      <c r="B899" s="72"/>
      <c r="C899" s="72">
        <v>8.0</v>
      </c>
      <c r="D899" s="72" t="s">
        <v>1450</v>
      </c>
      <c r="E899" s="72" t="s">
        <v>682</v>
      </c>
      <c r="F899" s="167">
        <v>35769.0</v>
      </c>
      <c r="G899" s="167">
        <v>40579.0</v>
      </c>
      <c r="H899" s="167">
        <v>40579.0</v>
      </c>
      <c r="I899" s="167">
        <v>45685.0</v>
      </c>
      <c r="J899" s="165">
        <v>4.99</v>
      </c>
      <c r="K899" s="165">
        <v>4.99</v>
      </c>
      <c r="L899" s="165">
        <v>0.0</v>
      </c>
      <c r="M899" s="72">
        <v>40.0</v>
      </c>
      <c r="N899" s="165">
        <v>0.12</v>
      </c>
    </row>
    <row r="900">
      <c r="A900" s="39" t="s">
        <v>29</v>
      </c>
      <c r="B900" s="39"/>
      <c r="C900" s="39">
        <v>25.0</v>
      </c>
      <c r="D900" s="39" t="s">
        <v>1451</v>
      </c>
      <c r="E900" s="39" t="s">
        <v>682</v>
      </c>
      <c r="F900" s="167">
        <v>35888.0</v>
      </c>
      <c r="G900" s="167">
        <v>42279.0</v>
      </c>
      <c r="H900" s="167">
        <v>45925.0</v>
      </c>
      <c r="I900" s="167">
        <v>45927.0</v>
      </c>
      <c r="J900" s="71">
        <v>15.99</v>
      </c>
      <c r="K900" s="71">
        <v>10.5</v>
      </c>
      <c r="L900" s="71">
        <f>J900-K900</f>
        <v>5.49</v>
      </c>
      <c r="M900" s="39">
        <v>4.0</v>
      </c>
      <c r="N900" s="71">
        <f>K900/M900</f>
        <v>2.625</v>
      </c>
    </row>
    <row r="901">
      <c r="A901" s="72" t="s">
        <v>29</v>
      </c>
      <c r="B901" s="72" t="s">
        <v>549</v>
      </c>
      <c r="C901" s="72">
        <v>50.0</v>
      </c>
      <c r="D901" s="72" t="s">
        <v>1452</v>
      </c>
      <c r="E901" s="72" t="s">
        <v>682</v>
      </c>
      <c r="F901" s="167">
        <v>36091.0</v>
      </c>
      <c r="G901" s="167">
        <v>41684.0</v>
      </c>
      <c r="H901" s="167">
        <v>41684.0</v>
      </c>
      <c r="I901" s="167">
        <v>41684.0</v>
      </c>
      <c r="J901" s="165">
        <v>3.99</v>
      </c>
      <c r="K901" s="165">
        <v>3.99</v>
      </c>
      <c r="L901" s="165">
        <v>0.0</v>
      </c>
      <c r="M901" s="72">
        <v>40.0</v>
      </c>
      <c r="N901" s="165">
        <v>0.1</v>
      </c>
    </row>
    <row r="902">
      <c r="A902" s="72" t="s">
        <v>29</v>
      </c>
      <c r="B902" s="72"/>
      <c r="C902" s="39">
        <v>39.0</v>
      </c>
      <c r="D902" s="39" t="s">
        <v>1453</v>
      </c>
      <c r="E902" s="39" t="s">
        <v>682</v>
      </c>
      <c r="F902" s="41">
        <v>36126.0</v>
      </c>
      <c r="G902" s="41">
        <v>40696.0</v>
      </c>
      <c r="H902" s="41">
        <v>45951.0</v>
      </c>
      <c r="I902" s="41">
        <v>45953.0</v>
      </c>
      <c r="J902" s="71">
        <v>4.99</v>
      </c>
      <c r="K902" s="71">
        <v>4.99</v>
      </c>
      <c r="L902" s="71">
        <v>0.0</v>
      </c>
      <c r="M902" s="39">
        <v>30.0</v>
      </c>
      <c r="N902" s="71">
        <v>0.16633333333333333</v>
      </c>
    </row>
    <row r="903">
      <c r="A903" s="72" t="s">
        <v>29</v>
      </c>
      <c r="B903" s="72"/>
      <c r="C903" s="72">
        <v>9.0</v>
      </c>
      <c r="D903" s="72" t="s">
        <v>1454</v>
      </c>
      <c r="E903" s="72" t="s">
        <v>682</v>
      </c>
      <c r="F903" s="167">
        <v>36140.0</v>
      </c>
      <c r="G903" s="167">
        <v>40583.0</v>
      </c>
      <c r="H903" s="167">
        <v>40583.0</v>
      </c>
      <c r="I903" s="167">
        <v>40583.0</v>
      </c>
      <c r="J903" s="165">
        <v>4.99</v>
      </c>
      <c r="K903" s="165">
        <v>4.99</v>
      </c>
      <c r="L903" s="165">
        <v>0.0</v>
      </c>
      <c r="M903" s="72">
        <v>50.0</v>
      </c>
      <c r="N903" s="165">
        <v>0.1</v>
      </c>
    </row>
    <row r="904">
      <c r="A904" s="39" t="s">
        <v>29</v>
      </c>
      <c r="B904" s="39"/>
      <c r="C904" s="39">
        <v>26.0</v>
      </c>
      <c r="D904" s="39" t="s">
        <v>1455</v>
      </c>
      <c r="E904" s="39" t="s">
        <v>682</v>
      </c>
      <c r="F904" s="167">
        <v>36260.0</v>
      </c>
      <c r="G904" s="167">
        <v>42279.0</v>
      </c>
      <c r="H904" s="167">
        <v>45927.0</v>
      </c>
      <c r="I904" s="167">
        <v>45928.0</v>
      </c>
      <c r="J904" s="71">
        <v>15.98</v>
      </c>
      <c r="K904" s="71">
        <v>10.49</v>
      </c>
      <c r="L904" s="71">
        <f>J904-K904</f>
        <v>5.49</v>
      </c>
      <c r="M904" s="39">
        <v>6.0</v>
      </c>
      <c r="N904" s="71">
        <f>K904/M904</f>
        <v>1.748333333</v>
      </c>
    </row>
    <row r="905">
      <c r="A905" s="72" t="s">
        <v>29</v>
      </c>
      <c r="B905" s="72" t="s">
        <v>497</v>
      </c>
      <c r="C905" s="72">
        <v>59.0</v>
      </c>
      <c r="D905" s="72" t="s">
        <v>1456</v>
      </c>
      <c r="E905" s="72" t="s">
        <v>682</v>
      </c>
      <c r="F905" s="167">
        <v>36357.0</v>
      </c>
      <c r="G905" s="167">
        <v>43014.0</v>
      </c>
      <c r="H905" s="167">
        <v>43014.0</v>
      </c>
      <c r="I905" s="167">
        <v>43014.0</v>
      </c>
      <c r="J905" s="165">
        <v>4.99</v>
      </c>
      <c r="K905" s="165">
        <v>2.49</v>
      </c>
      <c r="L905" s="165">
        <v>2.5</v>
      </c>
      <c r="M905" s="72">
        <v>1.0</v>
      </c>
      <c r="N905" s="165">
        <v>2.49</v>
      </c>
    </row>
    <row r="906">
      <c r="A906" s="72" t="s">
        <v>29</v>
      </c>
      <c r="B906" s="72"/>
      <c r="C906" s="72">
        <v>10.0</v>
      </c>
      <c r="D906" s="72" t="s">
        <v>1457</v>
      </c>
      <c r="E906" s="72" t="s">
        <v>682</v>
      </c>
      <c r="F906" s="167">
        <v>36453.0</v>
      </c>
      <c r="G906" s="167">
        <v>40583.0</v>
      </c>
      <c r="H906" s="167">
        <v>40583.0</v>
      </c>
      <c r="I906" s="167">
        <v>40583.0</v>
      </c>
      <c r="J906" s="165">
        <v>4.99</v>
      </c>
      <c r="K906" s="165">
        <v>4.99</v>
      </c>
      <c r="L906" s="165">
        <v>0.0</v>
      </c>
      <c r="M906" s="72">
        <v>80.0</v>
      </c>
      <c r="N906" s="165">
        <v>0.06</v>
      </c>
    </row>
    <row r="907">
      <c r="A907" s="72" t="s">
        <v>29</v>
      </c>
      <c r="B907" s="72"/>
      <c r="C907" s="72">
        <v>51.0</v>
      </c>
      <c r="D907" s="72" t="s">
        <v>1458</v>
      </c>
      <c r="E907" s="72" t="s">
        <v>682</v>
      </c>
      <c r="F907" s="167">
        <v>36469.0</v>
      </c>
      <c r="G907" s="167">
        <v>41684.0</v>
      </c>
      <c r="H907" s="167">
        <v>41684.0</v>
      </c>
      <c r="I907" s="167">
        <v>41684.0</v>
      </c>
      <c r="J907" s="165">
        <v>3.0</v>
      </c>
      <c r="K907" s="165">
        <v>3.0</v>
      </c>
      <c r="L907" s="165">
        <v>0.0</v>
      </c>
      <c r="M907" s="72">
        <v>55.0</v>
      </c>
      <c r="N907" s="165">
        <v>0.05</v>
      </c>
    </row>
    <row r="908">
      <c r="A908" s="72" t="s">
        <v>29</v>
      </c>
      <c r="B908" s="72" t="s">
        <v>554</v>
      </c>
      <c r="C908" s="72">
        <v>17.0</v>
      </c>
      <c r="D908" s="72" t="s">
        <v>1459</v>
      </c>
      <c r="E908" s="72" t="s">
        <v>682</v>
      </c>
      <c r="F908" s="167">
        <v>36741.0</v>
      </c>
      <c r="G908" s="167">
        <v>44300.0</v>
      </c>
      <c r="H908" s="167">
        <v>44300.0</v>
      </c>
      <c r="I908" s="167">
        <v>44300.0</v>
      </c>
      <c r="J908" s="165">
        <v>6.99</v>
      </c>
      <c r="K908" s="165">
        <v>6.99</v>
      </c>
      <c r="L908" s="165">
        <v>0.0</v>
      </c>
      <c r="M908" s="72">
        <v>1.0</v>
      </c>
      <c r="N908" s="165">
        <v>6.99</v>
      </c>
    </row>
    <row r="909">
      <c r="A909" s="72" t="s">
        <v>29</v>
      </c>
      <c r="B909" s="72"/>
      <c r="C909" s="72">
        <v>52.0</v>
      </c>
      <c r="D909" s="72" t="s">
        <v>1460</v>
      </c>
      <c r="E909" s="72" t="s">
        <v>682</v>
      </c>
      <c r="F909" s="167">
        <v>36840.0</v>
      </c>
      <c r="G909" s="167">
        <v>41684.0</v>
      </c>
      <c r="H909" s="167">
        <v>41684.0</v>
      </c>
      <c r="I909" s="167">
        <v>41684.0</v>
      </c>
      <c r="J909" s="165">
        <v>3.0</v>
      </c>
      <c r="K909" s="165">
        <v>3.0</v>
      </c>
      <c r="L909" s="165">
        <v>0.0</v>
      </c>
      <c r="M909" s="72">
        <v>65.0</v>
      </c>
      <c r="N909" s="165">
        <v>0.05</v>
      </c>
    </row>
    <row r="910">
      <c r="A910" s="72" t="s">
        <v>29</v>
      </c>
      <c r="B910" s="72"/>
      <c r="C910" s="72">
        <v>18.0</v>
      </c>
      <c r="D910" s="72" t="s">
        <v>1461</v>
      </c>
      <c r="E910" s="72" t="s">
        <v>682</v>
      </c>
      <c r="F910" s="167">
        <v>36973.0</v>
      </c>
      <c r="G910" s="167">
        <v>44300.0</v>
      </c>
      <c r="H910" s="167">
        <v>44300.0</v>
      </c>
      <c r="I910" s="167">
        <v>44300.0</v>
      </c>
      <c r="J910" s="165">
        <v>6.99</v>
      </c>
      <c r="K910" s="165">
        <v>6.99</v>
      </c>
      <c r="L910" s="165">
        <v>0.0</v>
      </c>
      <c r="M910" s="72">
        <v>1.0</v>
      </c>
      <c r="N910" s="165">
        <v>6.99</v>
      </c>
    </row>
    <row r="911">
      <c r="A911" s="72" t="s">
        <v>29</v>
      </c>
      <c r="B911" s="72"/>
      <c r="C911" s="72">
        <v>103.0</v>
      </c>
      <c r="D911" s="72" t="s">
        <v>1462</v>
      </c>
      <c r="E911" s="72" t="s">
        <v>645</v>
      </c>
      <c r="F911" s="167">
        <v>37232.0</v>
      </c>
      <c r="G911" s="167">
        <v>41240.0</v>
      </c>
      <c r="H911" s="167">
        <v>41240.0</v>
      </c>
      <c r="I911" s="167">
        <v>43123.0</v>
      </c>
      <c r="J911" s="165">
        <v>26.98</v>
      </c>
      <c r="K911" s="165">
        <v>26.98</v>
      </c>
      <c r="L911" s="165">
        <v>0.0</v>
      </c>
      <c r="M911" s="72">
        <v>55.0</v>
      </c>
      <c r="N911" s="165">
        <v>0.49</v>
      </c>
    </row>
    <row r="912">
      <c r="A912" s="72" t="s">
        <v>29</v>
      </c>
      <c r="B912" s="72" t="s">
        <v>546</v>
      </c>
      <c r="C912" s="72">
        <v>150.0</v>
      </c>
      <c r="D912" s="72" t="s">
        <v>1463</v>
      </c>
      <c r="E912" s="72" t="s">
        <v>645</v>
      </c>
      <c r="F912" s="167">
        <v>37232.0</v>
      </c>
      <c r="G912" s="167">
        <v>42343.0</v>
      </c>
      <c r="H912" s="167">
        <v>42343.0</v>
      </c>
      <c r="I912" s="167">
        <v>42343.0</v>
      </c>
      <c r="J912" s="165">
        <v>9.99</v>
      </c>
      <c r="K912" s="165">
        <v>4.99</v>
      </c>
      <c r="L912" s="165">
        <v>5.0</v>
      </c>
      <c r="M912" s="72">
        <v>1.0</v>
      </c>
      <c r="N912" s="165">
        <v>4.99</v>
      </c>
    </row>
    <row r="913">
      <c r="A913" s="72" t="s">
        <v>29</v>
      </c>
      <c r="B913" s="72" t="s">
        <v>550</v>
      </c>
      <c r="C913" s="72">
        <v>88.0</v>
      </c>
      <c r="D913" s="72" t="s">
        <v>1464</v>
      </c>
      <c r="E913" s="72" t="s">
        <v>645</v>
      </c>
      <c r="F913" s="167">
        <v>37414.0</v>
      </c>
      <c r="G913" s="167">
        <v>44300.0</v>
      </c>
      <c r="H913" s="167">
        <v>44300.0</v>
      </c>
      <c r="I913" s="167">
        <v>44300.0</v>
      </c>
      <c r="J913" s="165">
        <v>9.99</v>
      </c>
      <c r="K913" s="165">
        <v>9.99</v>
      </c>
      <c r="L913" s="165">
        <v>0.0</v>
      </c>
      <c r="M913" s="72">
        <v>1.0</v>
      </c>
      <c r="N913" s="165">
        <v>9.99</v>
      </c>
    </row>
    <row r="914">
      <c r="A914" s="72" t="s">
        <v>29</v>
      </c>
      <c r="B914" s="72"/>
      <c r="C914" s="72">
        <v>124.0</v>
      </c>
      <c r="D914" s="72" t="s">
        <v>1465</v>
      </c>
      <c r="E914" s="72" t="s">
        <v>645</v>
      </c>
      <c r="F914" s="167">
        <v>37568.0</v>
      </c>
      <c r="G914" s="167">
        <v>41979.0</v>
      </c>
      <c r="H914" s="167">
        <v>41983.0</v>
      </c>
      <c r="I914" s="167">
        <v>44900.0</v>
      </c>
      <c r="J914" s="165">
        <v>8.99</v>
      </c>
      <c r="K914" s="165">
        <v>3.99</v>
      </c>
      <c r="L914" s="165">
        <v>5.0</v>
      </c>
      <c r="M914" s="72">
        <v>100.0</v>
      </c>
      <c r="N914" s="165">
        <v>0.04</v>
      </c>
    </row>
    <row r="915">
      <c r="A915" s="72" t="s">
        <v>29</v>
      </c>
      <c r="B915" s="72" t="s">
        <v>606</v>
      </c>
      <c r="C915" s="72">
        <v>135.0</v>
      </c>
      <c r="D915" s="72" t="s">
        <v>1466</v>
      </c>
      <c r="E915" s="72" t="s">
        <v>645</v>
      </c>
      <c r="F915" s="167">
        <v>37638.0</v>
      </c>
      <c r="G915" s="167">
        <v>40832.0</v>
      </c>
      <c r="H915" s="167">
        <v>40832.0</v>
      </c>
      <c r="I915" s="167">
        <v>44744.0</v>
      </c>
      <c r="J915" s="165">
        <v>8.99</v>
      </c>
      <c r="K915" s="165">
        <v>1.99</v>
      </c>
      <c r="L915" s="165">
        <v>7.0</v>
      </c>
      <c r="M915" s="72">
        <v>50.0</v>
      </c>
      <c r="N915" s="165">
        <v>0.04</v>
      </c>
    </row>
    <row r="916">
      <c r="A916" s="72" t="s">
        <v>29</v>
      </c>
      <c r="B916" s="72" t="s">
        <v>557</v>
      </c>
      <c r="C916" s="72">
        <v>142.0</v>
      </c>
      <c r="D916" s="72" t="s">
        <v>1467</v>
      </c>
      <c r="E916" s="72" t="s">
        <v>645</v>
      </c>
      <c r="F916" s="167">
        <v>37652.0</v>
      </c>
      <c r="G916" s="167">
        <v>41578.0</v>
      </c>
      <c r="H916" s="167">
        <v>41578.0</v>
      </c>
      <c r="I916" s="167">
        <v>41578.0</v>
      </c>
      <c r="J916" s="55">
        <v>14.99</v>
      </c>
      <c r="K916" s="55">
        <v>14.99</v>
      </c>
      <c r="L916" s="165">
        <v>0.0</v>
      </c>
      <c r="M916" s="72">
        <v>50.0</v>
      </c>
      <c r="N916" s="165">
        <v>0.3</v>
      </c>
    </row>
    <row r="917">
      <c r="A917" s="72" t="s">
        <v>29</v>
      </c>
      <c r="B917" s="72" t="s">
        <v>612</v>
      </c>
      <c r="C917" s="72">
        <v>79.0</v>
      </c>
      <c r="D917" s="72" t="s">
        <v>1468</v>
      </c>
      <c r="E917" s="72" t="s">
        <v>645</v>
      </c>
      <c r="F917" s="167">
        <v>37743.0</v>
      </c>
      <c r="G917" s="167">
        <v>44640.0</v>
      </c>
      <c r="H917" s="167">
        <v>44838.0</v>
      </c>
      <c r="I917" s="167">
        <v>44851.0</v>
      </c>
      <c r="J917" s="165">
        <v>19.99</v>
      </c>
      <c r="K917" s="165">
        <v>13.99</v>
      </c>
      <c r="L917" s="165">
        <v>6.0</v>
      </c>
      <c r="M917" s="72">
        <v>9.0</v>
      </c>
      <c r="N917" s="165">
        <v>1.55</v>
      </c>
    </row>
    <row r="918">
      <c r="A918" s="72" t="s">
        <v>29</v>
      </c>
      <c r="B918" s="72"/>
      <c r="C918" s="72">
        <v>104.0</v>
      </c>
      <c r="D918" s="72" t="s">
        <v>1469</v>
      </c>
      <c r="E918" s="72" t="s">
        <v>645</v>
      </c>
      <c r="F918" s="167">
        <v>37911.0</v>
      </c>
      <c r="G918" s="167">
        <v>41240.0</v>
      </c>
      <c r="H918" s="167">
        <v>41240.0</v>
      </c>
      <c r="I918" s="167">
        <v>43310.0</v>
      </c>
      <c r="J918" s="165">
        <v>24.97</v>
      </c>
      <c r="K918" s="165">
        <v>24.97</v>
      </c>
      <c r="L918" s="165">
        <v>0.0</v>
      </c>
      <c r="M918" s="72">
        <v>35.0</v>
      </c>
      <c r="N918" s="165">
        <v>0.71</v>
      </c>
    </row>
    <row r="919">
      <c r="A919" s="72" t="s">
        <v>29</v>
      </c>
      <c r="B919" s="72"/>
      <c r="C919" s="72">
        <v>125.0</v>
      </c>
      <c r="D919" s="72" t="s">
        <v>1470</v>
      </c>
      <c r="E919" s="72" t="s">
        <v>645</v>
      </c>
      <c r="F919" s="167">
        <v>37946.0</v>
      </c>
      <c r="G919" s="167">
        <v>41979.0</v>
      </c>
      <c r="H919" s="167">
        <v>41992.0</v>
      </c>
      <c r="I919" s="167">
        <v>44551.0</v>
      </c>
      <c r="J919" s="165">
        <v>8.0</v>
      </c>
      <c r="K919" s="165">
        <v>3.0</v>
      </c>
      <c r="L919" s="165">
        <v>5.0</v>
      </c>
      <c r="M919" s="72">
        <v>90.0</v>
      </c>
      <c r="N919" s="165">
        <v>0.03</v>
      </c>
    </row>
    <row r="920">
      <c r="A920" s="72" t="s">
        <v>29</v>
      </c>
      <c r="B920" s="72" t="s">
        <v>589</v>
      </c>
      <c r="C920" s="72">
        <v>129.0</v>
      </c>
      <c r="D920" s="72" t="s">
        <v>1471</v>
      </c>
      <c r="E920" s="72" t="s">
        <v>645</v>
      </c>
      <c r="F920" s="167">
        <v>38149.0</v>
      </c>
      <c r="G920" s="167">
        <v>42950.0</v>
      </c>
      <c r="H920" s="167">
        <v>42950.0</v>
      </c>
      <c r="I920" s="167">
        <v>42950.0</v>
      </c>
      <c r="J920" s="165">
        <v>13.99</v>
      </c>
      <c r="K920" s="165">
        <v>5.99</v>
      </c>
      <c r="L920" s="165">
        <v>8.0</v>
      </c>
      <c r="M920" s="72">
        <v>1.0</v>
      </c>
      <c r="N920" s="165">
        <v>5.99</v>
      </c>
    </row>
    <row r="921">
      <c r="A921" s="72" t="s">
        <v>29</v>
      </c>
      <c r="B921" s="72"/>
      <c r="C921" s="72">
        <v>136.0</v>
      </c>
      <c r="D921" s="72" t="s">
        <v>1472</v>
      </c>
      <c r="E921" s="72" t="s">
        <v>645</v>
      </c>
      <c r="F921" s="167">
        <v>38289.0</v>
      </c>
      <c r="G921" s="167">
        <v>40832.0</v>
      </c>
      <c r="H921" s="167">
        <v>44744.0</v>
      </c>
      <c r="I921" s="167">
        <v>44747.0</v>
      </c>
      <c r="J921" s="165">
        <v>8.0</v>
      </c>
      <c r="K921" s="165">
        <v>3.0</v>
      </c>
      <c r="L921" s="165">
        <v>5.0</v>
      </c>
      <c r="M921" s="72">
        <v>70.0</v>
      </c>
      <c r="N921" s="165">
        <v>0.04</v>
      </c>
    </row>
    <row r="922">
      <c r="A922" s="72" t="s">
        <v>29</v>
      </c>
      <c r="B922" s="72"/>
      <c r="C922" s="72">
        <v>126.0</v>
      </c>
      <c r="D922" s="72" t="s">
        <v>1473</v>
      </c>
      <c r="E922" s="72" t="s">
        <v>645</v>
      </c>
      <c r="F922" s="167">
        <v>38303.0</v>
      </c>
      <c r="G922" s="167">
        <v>41979.0</v>
      </c>
      <c r="H922" s="167">
        <v>41996.0</v>
      </c>
      <c r="I922" s="167">
        <v>44555.0</v>
      </c>
      <c r="J922" s="165">
        <v>8.0</v>
      </c>
      <c r="K922" s="165">
        <v>3.0</v>
      </c>
      <c r="L922" s="165">
        <v>5.0</v>
      </c>
      <c r="M922" s="72">
        <v>110.0</v>
      </c>
      <c r="N922" s="165">
        <v>0.03</v>
      </c>
    </row>
    <row r="923">
      <c r="A923" s="72" t="s">
        <v>29</v>
      </c>
      <c r="B923" s="72"/>
      <c r="C923" s="72">
        <v>105.0</v>
      </c>
      <c r="D923" s="72" t="s">
        <v>1474</v>
      </c>
      <c r="E923" s="72" t="s">
        <v>645</v>
      </c>
      <c r="F923" s="167">
        <v>38317.0</v>
      </c>
      <c r="G923" s="167">
        <v>41240.0</v>
      </c>
      <c r="H923" s="167">
        <v>41255.0</v>
      </c>
      <c r="I923" s="167">
        <v>41274.0</v>
      </c>
      <c r="J923" s="165">
        <v>26.98</v>
      </c>
      <c r="K923" s="165">
        <v>26.98</v>
      </c>
      <c r="L923" s="165">
        <v>0.0</v>
      </c>
      <c r="M923" s="72">
        <v>30.0</v>
      </c>
      <c r="N923" s="165">
        <v>0.9</v>
      </c>
    </row>
    <row r="924">
      <c r="A924" s="72" t="s">
        <v>29</v>
      </c>
      <c r="B924" s="72" t="s">
        <v>574</v>
      </c>
      <c r="C924" s="72">
        <v>86.0</v>
      </c>
      <c r="D924" s="72" t="s">
        <v>1475</v>
      </c>
      <c r="E924" s="72" t="s">
        <v>645</v>
      </c>
      <c r="F924" s="167">
        <v>38527.0</v>
      </c>
      <c r="G924" s="167">
        <v>42832.0</v>
      </c>
      <c r="H924" s="167">
        <v>42832.0</v>
      </c>
      <c r="I924" s="167">
        <v>44076.0</v>
      </c>
      <c r="J924" s="165">
        <v>19.99</v>
      </c>
      <c r="K924" s="165">
        <v>7.99</v>
      </c>
      <c r="L924" s="165">
        <v>12.0</v>
      </c>
      <c r="M924" s="72">
        <v>18.0</v>
      </c>
      <c r="N924" s="165">
        <v>0.44</v>
      </c>
    </row>
    <row r="925">
      <c r="A925" s="72" t="s">
        <v>29</v>
      </c>
      <c r="B925" s="72" t="s">
        <v>593</v>
      </c>
      <c r="C925" s="72">
        <v>96.0</v>
      </c>
      <c r="D925" s="72" t="s">
        <v>1476</v>
      </c>
      <c r="E925" s="72" t="s">
        <v>645</v>
      </c>
      <c r="F925" s="167">
        <v>38541.0</v>
      </c>
      <c r="G925" s="167">
        <v>43014.0</v>
      </c>
      <c r="H925" s="167">
        <v>45127.0</v>
      </c>
      <c r="I925" s="167">
        <v>45133.0</v>
      </c>
      <c r="J925" s="165">
        <v>12.99</v>
      </c>
      <c r="K925" s="165">
        <v>4.99</v>
      </c>
      <c r="L925" s="165">
        <v>8.0</v>
      </c>
      <c r="M925" s="72">
        <v>25.0</v>
      </c>
      <c r="N925" s="165">
        <v>0.2</v>
      </c>
    </row>
    <row r="926">
      <c r="A926" s="72" t="s">
        <v>29</v>
      </c>
      <c r="B926" s="72"/>
      <c r="C926" s="72">
        <v>106.0</v>
      </c>
      <c r="D926" s="72" t="s">
        <v>1477</v>
      </c>
      <c r="E926" s="72" t="s">
        <v>645</v>
      </c>
      <c r="F926" s="167">
        <v>38660.0</v>
      </c>
      <c r="G926" s="167">
        <v>43078.0</v>
      </c>
      <c r="H926" s="167">
        <v>44539.0</v>
      </c>
      <c r="I926" s="167">
        <v>44543.0</v>
      </c>
      <c r="J926" s="55">
        <v>9.99</v>
      </c>
      <c r="K926" s="55">
        <v>9.99</v>
      </c>
      <c r="L926" s="165">
        <v>0.0</v>
      </c>
      <c r="M926" s="72">
        <v>30.0</v>
      </c>
      <c r="N926" s="165">
        <v>0.33</v>
      </c>
    </row>
    <row r="927">
      <c r="A927" s="72" t="s">
        <v>29</v>
      </c>
      <c r="B927" s="72"/>
      <c r="C927" s="72">
        <v>143.0</v>
      </c>
      <c r="D927" s="72" t="s">
        <v>1478</v>
      </c>
      <c r="E927" s="72" t="s">
        <v>645</v>
      </c>
      <c r="F927" s="167">
        <v>38660.0</v>
      </c>
      <c r="G927" s="167">
        <v>41578.0</v>
      </c>
      <c r="H927" s="167">
        <v>41578.0</v>
      </c>
      <c r="I927" s="167">
        <v>41578.0</v>
      </c>
      <c r="J927" s="165">
        <v>14.99</v>
      </c>
      <c r="K927" s="165">
        <v>14.99</v>
      </c>
      <c r="L927" s="165">
        <v>0.0</v>
      </c>
      <c r="M927" s="72">
        <v>80.0</v>
      </c>
      <c r="N927" s="165">
        <v>0.19</v>
      </c>
    </row>
    <row r="928">
      <c r="A928" s="72" t="s">
        <v>29</v>
      </c>
      <c r="B928" s="72"/>
      <c r="C928" s="72">
        <v>127.0</v>
      </c>
      <c r="D928" s="72" t="s">
        <v>1479</v>
      </c>
      <c r="E928" s="72" t="s">
        <v>645</v>
      </c>
      <c r="F928" s="167">
        <v>38674.0</v>
      </c>
      <c r="G928" s="167">
        <v>42011.0</v>
      </c>
      <c r="H928" s="167">
        <v>42012.0</v>
      </c>
      <c r="I928" s="167">
        <v>44290.0</v>
      </c>
      <c r="J928" s="165">
        <v>14.99</v>
      </c>
      <c r="K928" s="165">
        <v>14.99</v>
      </c>
      <c r="L928" s="165">
        <v>0.0</v>
      </c>
      <c r="M928" s="72">
        <v>55.0</v>
      </c>
      <c r="N928" s="165">
        <v>0.27</v>
      </c>
    </row>
    <row r="929">
      <c r="A929" s="72" t="s">
        <v>29</v>
      </c>
      <c r="B929" s="72"/>
      <c r="C929" s="72">
        <v>137.0</v>
      </c>
      <c r="D929" s="72" t="s">
        <v>1480</v>
      </c>
      <c r="E929" s="72" t="s">
        <v>645</v>
      </c>
      <c r="F929" s="167">
        <v>38674.0</v>
      </c>
      <c r="G929" s="167">
        <v>40832.0</v>
      </c>
      <c r="H929" s="167">
        <v>44747.0</v>
      </c>
      <c r="I929" s="167">
        <v>44750.0</v>
      </c>
      <c r="J929" s="165">
        <v>8.0</v>
      </c>
      <c r="K929" s="165">
        <v>3.0</v>
      </c>
      <c r="L929" s="165">
        <v>5.0</v>
      </c>
      <c r="M929" s="72">
        <v>65.0</v>
      </c>
      <c r="N929" s="165">
        <v>0.05</v>
      </c>
    </row>
    <row r="930">
      <c r="A930" s="72" t="s">
        <v>29</v>
      </c>
      <c r="B930" s="72" t="s">
        <v>517</v>
      </c>
      <c r="C930" s="72">
        <v>123.0</v>
      </c>
      <c r="D930" s="72" t="s">
        <v>1481</v>
      </c>
      <c r="E930" s="72" t="s">
        <v>645</v>
      </c>
      <c r="F930" s="167">
        <v>38758.0</v>
      </c>
      <c r="G930" s="167">
        <v>42623.0</v>
      </c>
      <c r="H930" s="167">
        <v>44409.0</v>
      </c>
      <c r="I930" s="167">
        <v>44412.0</v>
      </c>
      <c r="J930" s="165">
        <v>10.99</v>
      </c>
      <c r="K930" s="165">
        <v>7.99</v>
      </c>
      <c r="L930" s="165">
        <v>3.0</v>
      </c>
      <c r="M930" s="72">
        <v>20.0</v>
      </c>
      <c r="N930" s="165">
        <v>0.4</v>
      </c>
    </row>
    <row r="931">
      <c r="A931" s="72" t="s">
        <v>29</v>
      </c>
      <c r="B931" s="72"/>
      <c r="C931" s="72">
        <v>80.0</v>
      </c>
      <c r="D931" s="72" t="s">
        <v>1482</v>
      </c>
      <c r="E931" s="72" t="s">
        <v>645</v>
      </c>
      <c r="F931" s="167">
        <v>38765.0</v>
      </c>
      <c r="G931" s="167">
        <v>44640.0</v>
      </c>
      <c r="H931" s="167">
        <v>44851.0</v>
      </c>
      <c r="I931" s="167">
        <v>44852.0</v>
      </c>
      <c r="J931" s="165">
        <v>19.99</v>
      </c>
      <c r="K931" s="165">
        <v>13.99</v>
      </c>
      <c r="L931" s="165">
        <v>6.0</v>
      </c>
      <c r="M931" s="72">
        <v>2.0</v>
      </c>
      <c r="N931" s="165">
        <v>7.0</v>
      </c>
    </row>
    <row r="932">
      <c r="A932" s="72" t="s">
        <v>29</v>
      </c>
      <c r="B932" s="72"/>
      <c r="C932" s="72">
        <v>148.0</v>
      </c>
      <c r="D932" s="72" t="s">
        <v>1483</v>
      </c>
      <c r="E932" s="72" t="s">
        <v>645</v>
      </c>
      <c r="F932" s="167">
        <v>38814.0</v>
      </c>
      <c r="G932" s="167">
        <v>42806.0</v>
      </c>
      <c r="H932" s="167">
        <v>42806.0</v>
      </c>
      <c r="I932" s="167">
        <v>42806.0</v>
      </c>
      <c r="J932" s="165">
        <v>9.99</v>
      </c>
      <c r="K932" s="165">
        <v>3.99</v>
      </c>
      <c r="L932" s="165">
        <v>6.0</v>
      </c>
      <c r="M932" s="72">
        <v>1.0</v>
      </c>
      <c r="N932" s="165">
        <v>3.99</v>
      </c>
    </row>
    <row r="933">
      <c r="A933" s="72" t="s">
        <v>29</v>
      </c>
      <c r="B933" s="72"/>
      <c r="C933" s="72">
        <v>87.0</v>
      </c>
      <c r="D933" s="72" t="s">
        <v>1484</v>
      </c>
      <c r="E933" s="72" t="s">
        <v>645</v>
      </c>
      <c r="F933" s="167">
        <v>39010.0</v>
      </c>
      <c r="G933" s="167">
        <v>42832.0</v>
      </c>
      <c r="H933" s="167">
        <v>43095.0</v>
      </c>
      <c r="I933" s="167">
        <v>44083.0</v>
      </c>
      <c r="J933" s="165">
        <v>19.99</v>
      </c>
      <c r="K933" s="165">
        <v>7.99</v>
      </c>
      <c r="L933" s="165">
        <v>12.0</v>
      </c>
      <c r="M933" s="72">
        <v>23.0</v>
      </c>
      <c r="N933" s="165">
        <v>0.35</v>
      </c>
    </row>
    <row r="934">
      <c r="A934" s="72" t="s">
        <v>29</v>
      </c>
      <c r="B934" s="72"/>
      <c r="C934" s="72">
        <v>97.0</v>
      </c>
      <c r="D934" s="72" t="s">
        <v>1485</v>
      </c>
      <c r="E934" s="72" t="s">
        <v>645</v>
      </c>
      <c r="F934" s="167">
        <v>39199.0</v>
      </c>
      <c r="G934" s="167">
        <v>43014.0</v>
      </c>
      <c r="H934" s="167">
        <v>45134.0</v>
      </c>
      <c r="I934" s="167">
        <v>45134.0</v>
      </c>
      <c r="J934" s="165">
        <v>12.0</v>
      </c>
      <c r="K934" s="165">
        <v>3.0</v>
      </c>
      <c r="L934" s="165">
        <v>9.0</v>
      </c>
      <c r="M934" s="72">
        <v>5.0</v>
      </c>
      <c r="N934" s="165">
        <v>0.6</v>
      </c>
    </row>
    <row r="935">
      <c r="A935" s="72" t="s">
        <v>29</v>
      </c>
      <c r="B935" s="72"/>
      <c r="C935" s="72">
        <v>149.0</v>
      </c>
      <c r="D935" s="72" t="s">
        <v>1486</v>
      </c>
      <c r="E935" s="72" t="s">
        <v>645</v>
      </c>
      <c r="F935" s="167">
        <v>39234.0</v>
      </c>
      <c r="G935" s="167">
        <v>42806.0</v>
      </c>
      <c r="H935" s="167">
        <v>42806.0</v>
      </c>
      <c r="I935" s="167">
        <v>42806.0</v>
      </c>
      <c r="J935" s="165">
        <v>9.99</v>
      </c>
      <c r="K935" s="165">
        <v>3.99</v>
      </c>
      <c r="L935" s="165">
        <v>6.0</v>
      </c>
      <c r="M935" s="72">
        <v>1.0</v>
      </c>
      <c r="N935" s="165">
        <v>3.99</v>
      </c>
    </row>
    <row r="936">
      <c r="A936" s="72" t="s">
        <v>29</v>
      </c>
      <c r="B936" s="72" t="s">
        <v>575</v>
      </c>
      <c r="C936" s="72">
        <v>139.0</v>
      </c>
      <c r="D936" s="72" t="s">
        <v>1487</v>
      </c>
      <c r="E936" s="72" t="s">
        <v>645</v>
      </c>
      <c r="F936" s="167">
        <v>39325.0</v>
      </c>
      <c r="G936" s="167">
        <v>44300.0</v>
      </c>
      <c r="H936" s="167">
        <v>44300.0</v>
      </c>
      <c r="I936" s="167">
        <v>44300.0</v>
      </c>
      <c r="J936" s="165">
        <v>9.99</v>
      </c>
      <c r="K936" s="165">
        <v>9.99</v>
      </c>
      <c r="L936" s="165">
        <v>0.0</v>
      </c>
      <c r="M936" s="72">
        <v>1.0</v>
      </c>
      <c r="N936" s="165">
        <v>9.99</v>
      </c>
    </row>
    <row r="937">
      <c r="A937" s="72" t="s">
        <v>29</v>
      </c>
      <c r="B937" s="72" t="s">
        <v>633</v>
      </c>
      <c r="C937" s="72">
        <v>141.0</v>
      </c>
      <c r="D937" s="72" t="s">
        <v>1488</v>
      </c>
      <c r="E937" s="72" t="s">
        <v>645</v>
      </c>
      <c r="F937" s="167">
        <v>39388.0</v>
      </c>
      <c r="G937" s="167">
        <v>44115.0</v>
      </c>
      <c r="H937" s="167">
        <v>44115.0</v>
      </c>
      <c r="I937" s="167">
        <v>44115.0</v>
      </c>
      <c r="J937" s="165">
        <v>28.0</v>
      </c>
      <c r="K937" s="165">
        <v>28.0</v>
      </c>
      <c r="L937" s="165">
        <v>0.0</v>
      </c>
      <c r="M937" s="72">
        <v>5.0</v>
      </c>
      <c r="N937" s="165">
        <v>5.6</v>
      </c>
    </row>
    <row r="938">
      <c r="A938" s="72" t="s">
        <v>29</v>
      </c>
      <c r="B938" s="72" t="s">
        <v>585</v>
      </c>
      <c r="C938" s="72">
        <v>157.0</v>
      </c>
      <c r="D938" s="72" t="s">
        <v>1489</v>
      </c>
      <c r="E938" s="72" t="s">
        <v>37</v>
      </c>
      <c r="F938" s="167">
        <v>38820.0</v>
      </c>
      <c r="G938" s="167">
        <v>43014.0</v>
      </c>
      <c r="H938" s="167">
        <v>45476.0</v>
      </c>
      <c r="I938" s="167">
        <v>45478.0</v>
      </c>
      <c r="J938" s="165">
        <v>7.99</v>
      </c>
      <c r="K938" s="165">
        <v>2.99</v>
      </c>
      <c r="L938" s="165">
        <v>5.0</v>
      </c>
      <c r="M938" s="72">
        <v>10.0</v>
      </c>
      <c r="N938" s="165">
        <v>0.3</v>
      </c>
    </row>
    <row r="939">
      <c r="A939" s="72" t="s">
        <v>29</v>
      </c>
      <c r="B939" s="72" t="s">
        <v>35</v>
      </c>
      <c r="C939" s="72">
        <v>176.0</v>
      </c>
      <c r="D939" s="72" t="s">
        <v>50</v>
      </c>
      <c r="E939" s="72" t="s">
        <v>37</v>
      </c>
      <c r="F939" s="167">
        <v>39213.0</v>
      </c>
      <c r="G939" s="167">
        <v>42279.0</v>
      </c>
      <c r="H939" s="167">
        <v>45501.0</v>
      </c>
      <c r="I939" s="167">
        <v>45522.0</v>
      </c>
      <c r="J939" s="165">
        <v>7.99</v>
      </c>
      <c r="K939" s="165">
        <v>4.0</v>
      </c>
      <c r="L939" s="165">
        <v>3.99</v>
      </c>
      <c r="M939" s="72">
        <v>15.0</v>
      </c>
      <c r="N939" s="165">
        <v>0.27</v>
      </c>
    </row>
    <row r="940">
      <c r="A940" s="48" t="s">
        <v>29</v>
      </c>
      <c r="B940" s="48"/>
      <c r="C940" s="48">
        <v>1103.0</v>
      </c>
      <c r="D940" s="48" t="s">
        <v>36</v>
      </c>
      <c r="E940" s="48" t="s">
        <v>37</v>
      </c>
      <c r="F940" s="41">
        <v>39640.0</v>
      </c>
      <c r="G940" s="41">
        <v>46016.0</v>
      </c>
      <c r="H940" s="41">
        <v>46018.0</v>
      </c>
      <c r="I940" s="41">
        <v>46021.0</v>
      </c>
      <c r="J940" s="71">
        <v>9.99</v>
      </c>
      <c r="K940" s="71">
        <v>5.76</v>
      </c>
      <c r="L940" s="71">
        <v>4.23</v>
      </c>
      <c r="M940" s="48">
        <v>16.0</v>
      </c>
      <c r="N940" s="71">
        <v>0.36</v>
      </c>
    </row>
    <row r="941">
      <c r="A941" s="72" t="s">
        <v>29</v>
      </c>
      <c r="B941" s="72"/>
      <c r="C941" s="72">
        <v>177.0</v>
      </c>
      <c r="D941" s="72" t="s">
        <v>1490</v>
      </c>
      <c r="E941" s="72" t="s">
        <v>37</v>
      </c>
      <c r="F941" s="167">
        <v>39892.0</v>
      </c>
      <c r="G941" s="167">
        <v>42279.0</v>
      </c>
      <c r="H941" s="167">
        <v>42279.0</v>
      </c>
      <c r="I941" s="167">
        <v>42279.0</v>
      </c>
      <c r="J941" s="165">
        <v>7.99</v>
      </c>
      <c r="K941" s="165">
        <v>2.99</v>
      </c>
      <c r="L941" s="165">
        <v>5.0</v>
      </c>
      <c r="M941" s="72">
        <v>1.0</v>
      </c>
      <c r="N941" s="165">
        <v>2.99</v>
      </c>
    </row>
    <row r="942">
      <c r="A942" s="72" t="s">
        <v>29</v>
      </c>
      <c r="B942" s="72"/>
      <c r="C942" s="72">
        <v>167.0</v>
      </c>
      <c r="D942" s="72" t="s">
        <v>51</v>
      </c>
      <c r="E942" s="72" t="s">
        <v>37</v>
      </c>
      <c r="F942" s="167">
        <v>40137.0</v>
      </c>
      <c r="G942" s="167">
        <v>43014.0</v>
      </c>
      <c r="H942" s="167">
        <v>45486.0</v>
      </c>
      <c r="I942" s="167">
        <v>45486.0</v>
      </c>
      <c r="J942" s="165">
        <v>7.99</v>
      </c>
      <c r="K942" s="165">
        <v>3.99</v>
      </c>
      <c r="L942" s="165">
        <v>4.0</v>
      </c>
      <c r="M942" s="72">
        <v>2.0</v>
      </c>
      <c r="N942" s="165">
        <v>2.0</v>
      </c>
    </row>
    <row r="943">
      <c r="A943" s="72" t="s">
        <v>29</v>
      </c>
      <c r="B943" s="72" t="s">
        <v>614</v>
      </c>
      <c r="C943" s="72">
        <v>249.0</v>
      </c>
      <c r="D943" s="72" t="s">
        <v>1491</v>
      </c>
      <c r="E943" s="72" t="s">
        <v>649</v>
      </c>
      <c r="F943" s="167">
        <v>39164.0</v>
      </c>
      <c r="G943" s="167">
        <v>42925.0</v>
      </c>
      <c r="H943" s="167">
        <v>43684.0</v>
      </c>
      <c r="I943" s="167">
        <v>43684.0</v>
      </c>
      <c r="J943" s="165">
        <v>4.99</v>
      </c>
      <c r="K943" s="165">
        <v>1.99</v>
      </c>
      <c r="L943" s="165">
        <v>3.0</v>
      </c>
      <c r="M943" s="72">
        <v>1.0</v>
      </c>
      <c r="N943" s="165">
        <v>1.99</v>
      </c>
    </row>
    <row r="944">
      <c r="A944" s="72" t="s">
        <v>29</v>
      </c>
      <c r="B944" s="72"/>
      <c r="C944" s="72">
        <v>345.0</v>
      </c>
      <c r="D944" s="72" t="s">
        <v>1492</v>
      </c>
      <c r="E944" s="72" t="s">
        <v>649</v>
      </c>
      <c r="F944" s="167">
        <v>39164.0</v>
      </c>
      <c r="G944" s="167">
        <v>44091.0</v>
      </c>
      <c r="H944" s="167">
        <v>44091.0</v>
      </c>
      <c r="I944" s="167">
        <v>44091.0</v>
      </c>
      <c r="J944" s="165">
        <v>14.99</v>
      </c>
      <c r="K944" s="165">
        <v>2.0</v>
      </c>
      <c r="L944" s="165">
        <v>12.99</v>
      </c>
      <c r="M944" s="72">
        <v>1.0</v>
      </c>
      <c r="N944" s="165">
        <v>2.0</v>
      </c>
    </row>
    <row r="945">
      <c r="A945" s="72" t="s">
        <v>29</v>
      </c>
      <c r="B945" s="72" t="s">
        <v>560</v>
      </c>
      <c r="C945" s="72">
        <v>239.0</v>
      </c>
      <c r="D945" s="72" t="s">
        <v>1493</v>
      </c>
      <c r="E945" s="72" t="s">
        <v>649</v>
      </c>
      <c r="F945" s="167">
        <v>39192.0</v>
      </c>
      <c r="G945" s="167">
        <v>44091.0</v>
      </c>
      <c r="H945" s="167">
        <v>44091.0</v>
      </c>
      <c r="I945" s="167">
        <v>44091.0</v>
      </c>
      <c r="J945" s="165">
        <v>12.0</v>
      </c>
      <c r="K945" s="165">
        <v>12.0</v>
      </c>
      <c r="L945" s="165">
        <v>0.0</v>
      </c>
      <c r="M945" s="72">
        <v>1.0</v>
      </c>
      <c r="N945" s="165">
        <v>12.0</v>
      </c>
    </row>
    <row r="946">
      <c r="A946" s="72" t="s">
        <v>29</v>
      </c>
      <c r="B946" s="72"/>
      <c r="C946" s="72">
        <v>331.0</v>
      </c>
      <c r="D946" s="72" t="s">
        <v>1494</v>
      </c>
      <c r="E946" s="72" t="s">
        <v>649</v>
      </c>
      <c r="F946" s="167">
        <v>39395.0</v>
      </c>
      <c r="G946" s="167">
        <v>40143.0</v>
      </c>
      <c r="H946" s="167">
        <v>40143.0</v>
      </c>
      <c r="I946" s="167">
        <v>40147.0</v>
      </c>
      <c r="J946" s="165">
        <v>14.99</v>
      </c>
      <c r="K946" s="165">
        <v>10.0</v>
      </c>
      <c r="L946" s="165">
        <v>4.99</v>
      </c>
      <c r="M946" s="72">
        <v>45.0</v>
      </c>
      <c r="N946" s="165">
        <v>0.22</v>
      </c>
    </row>
    <row r="947">
      <c r="A947" s="72" t="s">
        <v>29</v>
      </c>
      <c r="B947" s="72"/>
      <c r="C947" s="72">
        <v>414.0</v>
      </c>
      <c r="D947" s="72" t="s">
        <v>1495</v>
      </c>
      <c r="E947" s="72" t="s">
        <v>649</v>
      </c>
      <c r="F947" s="167">
        <v>39423.0</v>
      </c>
      <c r="G947" s="167">
        <v>41615.0</v>
      </c>
      <c r="H947" s="167">
        <v>41615.0</v>
      </c>
      <c r="I947" s="167">
        <v>45140.0</v>
      </c>
      <c r="J947" s="165">
        <v>22.15</v>
      </c>
      <c r="K947" s="165">
        <v>15.15</v>
      </c>
      <c r="L947" s="165">
        <v>7.0</v>
      </c>
      <c r="M947" s="72">
        <v>60.0</v>
      </c>
      <c r="N947" s="165">
        <v>0.25</v>
      </c>
    </row>
    <row r="948">
      <c r="A948" s="72" t="s">
        <v>29</v>
      </c>
      <c r="B948" s="72"/>
      <c r="C948" s="72">
        <v>332.0</v>
      </c>
      <c r="D948" s="72" t="s">
        <v>1496</v>
      </c>
      <c r="E948" s="72" t="s">
        <v>649</v>
      </c>
      <c r="F948" s="167">
        <v>39681.0</v>
      </c>
      <c r="G948" s="167">
        <v>40153.0</v>
      </c>
      <c r="H948" s="167">
        <v>40153.0</v>
      </c>
      <c r="I948" s="167">
        <v>40156.0</v>
      </c>
      <c r="J948" s="165">
        <v>9.99</v>
      </c>
      <c r="K948" s="165">
        <v>9.99</v>
      </c>
      <c r="L948" s="165">
        <v>0.0</v>
      </c>
      <c r="M948" s="72">
        <v>5.0</v>
      </c>
      <c r="N948" s="165">
        <v>2.0</v>
      </c>
    </row>
    <row r="949">
      <c r="A949" s="72" t="s">
        <v>29</v>
      </c>
      <c r="B949" s="72" t="s">
        <v>512</v>
      </c>
      <c r="C949" s="72">
        <v>349.0</v>
      </c>
      <c r="D949" s="72" t="s">
        <v>1497</v>
      </c>
      <c r="E949" s="72" t="s">
        <v>649</v>
      </c>
      <c r="F949" s="167">
        <v>39738.0</v>
      </c>
      <c r="G949" s="167">
        <v>44971.0</v>
      </c>
      <c r="H949" s="167">
        <v>44971.0</v>
      </c>
      <c r="I949" s="167">
        <v>44971.0</v>
      </c>
      <c r="J949" s="165">
        <v>4.99</v>
      </c>
      <c r="K949" s="165">
        <v>0.0</v>
      </c>
      <c r="L949" s="165">
        <v>4.99</v>
      </c>
      <c r="M949" s="72">
        <v>3.0</v>
      </c>
      <c r="N949" s="165">
        <v>0.0</v>
      </c>
    </row>
    <row r="950">
      <c r="A950" s="72" t="s">
        <v>29</v>
      </c>
      <c r="B950" s="72" t="s">
        <v>490</v>
      </c>
      <c r="C950" s="72">
        <v>197.0</v>
      </c>
      <c r="D950" s="72" t="s">
        <v>1498</v>
      </c>
      <c r="E950" s="72" t="s">
        <v>649</v>
      </c>
      <c r="F950" s="167">
        <v>39738.0</v>
      </c>
      <c r="G950" s="167">
        <v>42969.0</v>
      </c>
      <c r="H950" s="167">
        <v>43033.0</v>
      </c>
      <c r="I950" s="167">
        <v>44282.0</v>
      </c>
      <c r="J950" s="165">
        <v>12.5</v>
      </c>
      <c r="K950" s="165">
        <v>5.0</v>
      </c>
      <c r="L950" s="165">
        <v>7.5</v>
      </c>
      <c r="M950" s="72">
        <v>15.0</v>
      </c>
      <c r="N950" s="165">
        <v>0.33</v>
      </c>
    </row>
    <row r="951">
      <c r="A951" s="72" t="s">
        <v>29</v>
      </c>
      <c r="B951" s="72"/>
      <c r="C951" s="72">
        <v>221.0</v>
      </c>
      <c r="D951" s="72" t="s">
        <v>1499</v>
      </c>
      <c r="E951" s="72" t="s">
        <v>649</v>
      </c>
      <c r="F951" s="167">
        <v>39745.0</v>
      </c>
      <c r="G951" s="167">
        <v>44091.0</v>
      </c>
      <c r="H951" s="167">
        <v>44091.0</v>
      </c>
      <c r="I951" s="167">
        <v>44091.0</v>
      </c>
      <c r="J951" s="165">
        <v>19.99</v>
      </c>
      <c r="K951" s="165">
        <v>4.0</v>
      </c>
      <c r="L951" s="165">
        <v>15.99</v>
      </c>
      <c r="M951" s="72">
        <v>5.0</v>
      </c>
      <c r="N951" s="165">
        <v>0.8</v>
      </c>
    </row>
    <row r="952">
      <c r="A952" s="72" t="s">
        <v>29</v>
      </c>
      <c r="B952" s="72"/>
      <c r="C952" s="72">
        <v>250.0</v>
      </c>
      <c r="D952" s="72" t="s">
        <v>1500</v>
      </c>
      <c r="E952" s="72" t="s">
        <v>649</v>
      </c>
      <c r="F952" s="167">
        <v>39856.0</v>
      </c>
      <c r="G952" s="167">
        <v>42925.0</v>
      </c>
      <c r="H952" s="167">
        <v>42925.0</v>
      </c>
      <c r="I952" s="167">
        <v>42925.0</v>
      </c>
      <c r="J952" s="165">
        <v>7.99</v>
      </c>
      <c r="K952" s="165">
        <v>1.99</v>
      </c>
      <c r="L952" s="165">
        <v>6.0</v>
      </c>
      <c r="M952" s="72">
        <v>1.0</v>
      </c>
      <c r="N952" s="165">
        <v>1.99</v>
      </c>
    </row>
    <row r="953">
      <c r="A953" s="72" t="s">
        <v>29</v>
      </c>
      <c r="B953" s="72"/>
      <c r="C953" s="72">
        <v>264.0</v>
      </c>
      <c r="D953" s="72" t="s">
        <v>1501</v>
      </c>
      <c r="E953" s="72" t="s">
        <v>649</v>
      </c>
      <c r="F953" s="167">
        <v>39962.0</v>
      </c>
      <c r="G953" s="167">
        <v>40706.0</v>
      </c>
      <c r="H953" s="167">
        <v>40706.0</v>
      </c>
      <c r="I953" s="167">
        <v>44103.0</v>
      </c>
      <c r="J953" s="165">
        <v>14.99</v>
      </c>
      <c r="K953" s="165">
        <v>8.99</v>
      </c>
      <c r="L953" s="165">
        <v>6.0</v>
      </c>
      <c r="M953" s="72">
        <v>60.0</v>
      </c>
      <c r="N953" s="165">
        <v>0.15</v>
      </c>
    </row>
    <row r="954">
      <c r="A954" s="72" t="s">
        <v>29</v>
      </c>
      <c r="B954" s="72" t="s">
        <v>556</v>
      </c>
      <c r="C954" s="72">
        <v>392.0</v>
      </c>
      <c r="D954" s="72" t="s">
        <v>1502</v>
      </c>
      <c r="E954" s="72" t="s">
        <v>649</v>
      </c>
      <c r="F954" s="167">
        <v>40009.0</v>
      </c>
      <c r="G954" s="167">
        <v>44237.0</v>
      </c>
      <c r="H954" s="167">
        <v>44237.0</v>
      </c>
      <c r="I954" s="167">
        <v>44237.0</v>
      </c>
      <c r="J954" s="165">
        <v>4.99</v>
      </c>
      <c r="K954" s="165">
        <v>4.99</v>
      </c>
      <c r="L954" s="165">
        <v>0.0</v>
      </c>
      <c r="M954" s="72">
        <v>1.0</v>
      </c>
      <c r="N954" s="165">
        <v>4.99</v>
      </c>
    </row>
    <row r="955">
      <c r="A955" s="72" t="s">
        <v>29</v>
      </c>
      <c r="B955" s="72" t="s">
        <v>620</v>
      </c>
      <c r="C955" s="72">
        <v>238.0</v>
      </c>
      <c r="D955" s="72" t="s">
        <v>1503</v>
      </c>
      <c r="E955" s="72" t="s">
        <v>649</v>
      </c>
      <c r="F955" s="167">
        <v>40024.0</v>
      </c>
      <c r="G955" s="167">
        <v>41404.0</v>
      </c>
      <c r="H955" s="167">
        <v>41404.0</v>
      </c>
      <c r="I955" s="167">
        <v>41408.0</v>
      </c>
      <c r="J955" s="165">
        <v>9.99</v>
      </c>
      <c r="K955" s="165">
        <v>9.99</v>
      </c>
      <c r="L955" s="165">
        <v>0.0</v>
      </c>
      <c r="M955" s="72">
        <v>10.0</v>
      </c>
      <c r="N955" s="165">
        <v>1.0</v>
      </c>
    </row>
    <row r="956">
      <c r="A956" s="72" t="s">
        <v>29</v>
      </c>
      <c r="B956" s="72"/>
      <c r="C956" s="72">
        <v>415.0</v>
      </c>
      <c r="D956" s="72" t="s">
        <v>1504</v>
      </c>
      <c r="E956" s="72" t="s">
        <v>649</v>
      </c>
      <c r="F956" s="167">
        <v>40102.0</v>
      </c>
      <c r="G956" s="167">
        <v>40136.0</v>
      </c>
      <c r="H956" s="167">
        <v>40136.0</v>
      </c>
      <c r="I956" s="167">
        <v>45144.0</v>
      </c>
      <c r="J956" s="165">
        <v>22.15</v>
      </c>
      <c r="K956" s="165">
        <v>15.15</v>
      </c>
      <c r="L956" s="165">
        <v>7.0</v>
      </c>
      <c r="M956" s="72">
        <v>100.0</v>
      </c>
      <c r="N956" s="165">
        <v>0.15</v>
      </c>
    </row>
    <row r="957">
      <c r="A957" s="72" t="s">
        <v>29</v>
      </c>
      <c r="B957" s="72" t="s">
        <v>532</v>
      </c>
      <c r="C957" s="72">
        <v>201.0</v>
      </c>
      <c r="D957" s="72" t="s">
        <v>1505</v>
      </c>
      <c r="E957" s="72" t="s">
        <v>649</v>
      </c>
      <c r="F957" s="167">
        <v>40109.0</v>
      </c>
      <c r="G957" s="167">
        <v>41762.0</v>
      </c>
      <c r="H957" s="167">
        <v>41762.0</v>
      </c>
      <c r="I957" s="167">
        <v>45348.0</v>
      </c>
      <c r="J957" s="165">
        <v>29.99</v>
      </c>
      <c r="K957" s="165">
        <v>29.99</v>
      </c>
      <c r="L957" s="165">
        <v>0.0</v>
      </c>
      <c r="M957" s="72">
        <v>71.0</v>
      </c>
      <c r="N957" s="165">
        <v>0.42</v>
      </c>
    </row>
    <row r="958">
      <c r="A958" s="72" t="s">
        <v>29</v>
      </c>
      <c r="B958" s="72"/>
      <c r="C958" s="72">
        <v>333.0</v>
      </c>
      <c r="D958" s="72" t="s">
        <v>1506</v>
      </c>
      <c r="E958" s="72" t="s">
        <v>649</v>
      </c>
      <c r="F958" s="167">
        <v>40123.0</v>
      </c>
      <c r="G958" s="167">
        <v>40338.0</v>
      </c>
      <c r="H958" s="167">
        <v>40338.0</v>
      </c>
      <c r="I958" s="167">
        <v>44125.0</v>
      </c>
      <c r="J958" s="165">
        <v>14.99</v>
      </c>
      <c r="K958" s="165">
        <v>10.0</v>
      </c>
      <c r="L958" s="165">
        <v>4.99</v>
      </c>
      <c r="M958" s="72">
        <v>50.0</v>
      </c>
      <c r="N958" s="165">
        <v>0.2</v>
      </c>
    </row>
    <row r="959">
      <c r="A959" s="72" t="s">
        <v>29</v>
      </c>
      <c r="B959" s="72" t="s">
        <v>547</v>
      </c>
      <c r="C959" s="72">
        <v>208.0</v>
      </c>
      <c r="D959" s="72" t="s">
        <v>1507</v>
      </c>
      <c r="E959" s="72" t="s">
        <v>649</v>
      </c>
      <c r="F959" s="167">
        <v>40127.0</v>
      </c>
      <c r="G959" s="167">
        <v>40197.0</v>
      </c>
      <c r="H959" s="167">
        <v>40197.0</v>
      </c>
      <c r="I959" s="167">
        <v>44727.0</v>
      </c>
      <c r="J959" s="165">
        <v>29.99</v>
      </c>
      <c r="K959" s="165">
        <v>4.0</v>
      </c>
      <c r="L959" s="165">
        <v>25.99</v>
      </c>
      <c r="M959" s="72">
        <v>20.0</v>
      </c>
      <c r="N959" s="165">
        <v>0.2</v>
      </c>
    </row>
    <row r="960">
      <c r="A960" s="72" t="s">
        <v>29</v>
      </c>
      <c r="B960" s="72" t="s">
        <v>491</v>
      </c>
      <c r="C960" s="72">
        <v>198.0</v>
      </c>
      <c r="D960" s="72" t="s">
        <v>1508</v>
      </c>
      <c r="E960" s="72" t="s">
        <v>649</v>
      </c>
      <c r="F960" s="167">
        <v>40218.0</v>
      </c>
      <c r="G960" s="167">
        <v>42969.0</v>
      </c>
      <c r="H960" s="167">
        <v>44280.0</v>
      </c>
      <c r="I960" s="167">
        <v>44281.0</v>
      </c>
      <c r="J960" s="165">
        <v>12.49</v>
      </c>
      <c r="K960" s="165">
        <v>4.99</v>
      </c>
      <c r="L960" s="165">
        <v>7.5</v>
      </c>
      <c r="M960" s="72">
        <v>15.0</v>
      </c>
      <c r="N960" s="165">
        <v>0.33</v>
      </c>
    </row>
    <row r="961">
      <c r="A961" s="72" t="s">
        <v>29</v>
      </c>
      <c r="B961" s="72"/>
      <c r="C961" s="72">
        <v>254.0</v>
      </c>
      <c r="D961" s="72" t="s">
        <v>1509</v>
      </c>
      <c r="E961" s="72" t="s">
        <v>649</v>
      </c>
      <c r="F961" s="167">
        <v>40256.0</v>
      </c>
      <c r="G961" s="167">
        <v>43014.0</v>
      </c>
      <c r="H961" s="167">
        <v>43014.0</v>
      </c>
      <c r="I961" s="167">
        <v>43014.0</v>
      </c>
      <c r="J961" s="165">
        <v>19.99</v>
      </c>
      <c r="K961" s="165">
        <v>9.99</v>
      </c>
      <c r="L961" s="165">
        <v>10.0</v>
      </c>
      <c r="M961" s="72">
        <v>1.0</v>
      </c>
      <c r="N961" s="165">
        <v>9.99</v>
      </c>
    </row>
    <row r="962">
      <c r="A962" s="72" t="s">
        <v>29</v>
      </c>
      <c r="B962" s="72" t="s">
        <v>611</v>
      </c>
      <c r="C962" s="72">
        <v>354.0</v>
      </c>
      <c r="D962" s="72" t="s">
        <v>1510</v>
      </c>
      <c r="E962" s="72" t="s">
        <v>649</v>
      </c>
      <c r="F962" s="167">
        <v>40283.0</v>
      </c>
      <c r="G962" s="167">
        <v>44832.0</v>
      </c>
      <c r="H962" s="167">
        <v>44832.0</v>
      </c>
      <c r="I962" s="167">
        <v>44832.0</v>
      </c>
      <c r="J962" s="165">
        <v>24.99</v>
      </c>
      <c r="K962" s="165">
        <v>24.99</v>
      </c>
      <c r="L962" s="165">
        <v>0.0</v>
      </c>
      <c r="M962" s="72">
        <v>1.0</v>
      </c>
      <c r="N962" s="165">
        <v>24.99</v>
      </c>
    </row>
    <row r="963">
      <c r="A963" s="72" t="s">
        <v>29</v>
      </c>
      <c r="B963" s="72"/>
      <c r="C963" s="72">
        <v>338.0</v>
      </c>
      <c r="D963" s="72" t="s">
        <v>1511</v>
      </c>
      <c r="E963" s="72" t="s">
        <v>649</v>
      </c>
      <c r="F963" s="167">
        <v>40319.0</v>
      </c>
      <c r="G963" s="167">
        <v>44091.0</v>
      </c>
      <c r="H963" s="167">
        <v>44417.0</v>
      </c>
      <c r="I963" s="167">
        <v>44423.0</v>
      </c>
      <c r="J963" s="165">
        <v>44.98</v>
      </c>
      <c r="K963" s="165">
        <v>18.0</v>
      </c>
      <c r="L963" s="165">
        <v>26.98</v>
      </c>
      <c r="M963" s="72">
        <v>50.0</v>
      </c>
      <c r="N963" s="165">
        <v>0.36</v>
      </c>
    </row>
    <row r="964">
      <c r="A964" s="72" t="s">
        <v>29</v>
      </c>
      <c r="B964" s="72" t="s">
        <v>519</v>
      </c>
      <c r="C964" s="72">
        <v>402.0</v>
      </c>
      <c r="D964" s="72" t="s">
        <v>1512</v>
      </c>
      <c r="E964" s="72" t="s">
        <v>649</v>
      </c>
      <c r="F964" s="167">
        <v>40361.0</v>
      </c>
      <c r="G964" s="167">
        <v>40405.0</v>
      </c>
      <c r="H964" s="167">
        <v>40405.0</v>
      </c>
      <c r="I964" s="167">
        <v>44743.0</v>
      </c>
      <c r="J964" s="165">
        <v>29.99</v>
      </c>
      <c r="K964" s="165">
        <v>1.0</v>
      </c>
      <c r="L964" s="165">
        <v>28.99</v>
      </c>
      <c r="M964" s="72">
        <v>25.0</v>
      </c>
      <c r="N964" s="165">
        <v>0.04</v>
      </c>
    </row>
    <row r="965">
      <c r="A965" s="72" t="s">
        <v>29</v>
      </c>
      <c r="B965" s="72"/>
      <c r="C965" s="72">
        <v>394.0</v>
      </c>
      <c r="D965" s="55" t="s">
        <v>1513</v>
      </c>
      <c r="E965" s="55" t="s">
        <v>649</v>
      </c>
      <c r="F965" s="167">
        <v>40480.0</v>
      </c>
      <c r="G965" s="167">
        <v>40489.0</v>
      </c>
      <c r="H965" s="167">
        <v>40489.0</v>
      </c>
      <c r="I965" s="167">
        <v>40635.0</v>
      </c>
      <c r="J965" s="165">
        <v>19.99</v>
      </c>
      <c r="K965" s="165">
        <v>18.0</v>
      </c>
      <c r="L965" s="165">
        <v>1.99</v>
      </c>
      <c r="M965" s="72">
        <v>5.0</v>
      </c>
      <c r="N965" s="165">
        <v>3.6</v>
      </c>
    </row>
    <row r="966">
      <c r="A966" s="72" t="s">
        <v>29</v>
      </c>
      <c r="B966" s="72" t="s">
        <v>615</v>
      </c>
      <c r="C966" s="72">
        <v>209.0</v>
      </c>
      <c r="D966" s="72" t="s">
        <v>1514</v>
      </c>
      <c r="E966" s="72" t="s">
        <v>649</v>
      </c>
      <c r="F966" s="167">
        <v>40485.0</v>
      </c>
      <c r="G966" s="167">
        <v>41776.0</v>
      </c>
      <c r="H966" s="167">
        <v>41776.0</v>
      </c>
      <c r="I966" s="167">
        <v>43730.0</v>
      </c>
      <c r="J966" s="165">
        <v>30.98</v>
      </c>
      <c r="K966" s="165">
        <v>30.98</v>
      </c>
      <c r="L966" s="165">
        <v>0.0</v>
      </c>
      <c r="M966" s="72">
        <v>4.0</v>
      </c>
      <c r="N966" s="165">
        <v>7.75</v>
      </c>
    </row>
    <row r="967">
      <c r="A967" s="72" t="s">
        <v>29</v>
      </c>
      <c r="B967" s="72"/>
      <c r="C967" s="72">
        <v>187.0</v>
      </c>
      <c r="D967" s="72" t="s">
        <v>1515</v>
      </c>
      <c r="E967" s="72" t="s">
        <v>649</v>
      </c>
      <c r="F967" s="167">
        <v>40563.0</v>
      </c>
      <c r="G967" s="167">
        <v>41366.0</v>
      </c>
      <c r="H967" s="167">
        <v>41366.0</v>
      </c>
      <c r="I967" s="167">
        <v>41368.0</v>
      </c>
      <c r="J967" s="165">
        <v>12.98</v>
      </c>
      <c r="K967" s="165">
        <v>12.98</v>
      </c>
      <c r="L967" s="165">
        <v>0.0</v>
      </c>
      <c r="M967" s="72">
        <v>3.0</v>
      </c>
      <c r="N967" s="165">
        <v>4.33</v>
      </c>
    </row>
    <row r="968">
      <c r="A968" s="72" t="s">
        <v>29</v>
      </c>
      <c r="B968" s="72" t="s">
        <v>567</v>
      </c>
      <c r="C968" s="72">
        <v>324.0</v>
      </c>
      <c r="D968" s="72" t="s">
        <v>1516</v>
      </c>
      <c r="E968" s="72" t="s">
        <v>649</v>
      </c>
      <c r="F968" s="167">
        <v>40627.0</v>
      </c>
      <c r="G968" s="167">
        <v>44091.0</v>
      </c>
      <c r="H968" s="167">
        <v>45122.0</v>
      </c>
      <c r="I968" s="167">
        <v>45127.0</v>
      </c>
      <c r="J968" s="165">
        <v>14.99</v>
      </c>
      <c r="K968" s="165">
        <v>7.5</v>
      </c>
      <c r="L968" s="165">
        <v>7.49</v>
      </c>
      <c r="M968" s="72">
        <v>20.0</v>
      </c>
      <c r="N968" s="165">
        <v>0.38</v>
      </c>
    </row>
    <row r="969">
      <c r="A969" s="72" t="s">
        <v>29</v>
      </c>
      <c r="B969" s="72" t="s">
        <v>564</v>
      </c>
      <c r="C969" s="72">
        <v>306.0</v>
      </c>
      <c r="D969" s="72" t="s">
        <v>1517</v>
      </c>
      <c r="E969" s="72" t="s">
        <v>649</v>
      </c>
      <c r="F969" s="167">
        <v>40654.0</v>
      </c>
      <c r="G969" s="167">
        <v>41389.0</v>
      </c>
      <c r="H969" s="167">
        <v>41389.0</v>
      </c>
      <c r="I969" s="167">
        <v>44774.0</v>
      </c>
      <c r="J969" s="165">
        <v>19.99</v>
      </c>
      <c r="K969" s="165">
        <v>19.99</v>
      </c>
      <c r="L969" s="165">
        <v>0.0</v>
      </c>
      <c r="M969" s="72">
        <v>1.0</v>
      </c>
      <c r="N969" s="165">
        <v>19.99</v>
      </c>
    </row>
    <row r="970">
      <c r="A970" s="72" t="s">
        <v>29</v>
      </c>
      <c r="B970" s="72"/>
      <c r="C970" s="72">
        <v>265.0</v>
      </c>
      <c r="D970" s="72" t="s">
        <v>1518</v>
      </c>
      <c r="E970" s="72" t="s">
        <v>649</v>
      </c>
      <c r="F970" s="167">
        <v>40702.0</v>
      </c>
      <c r="G970" s="167">
        <v>41373.0</v>
      </c>
      <c r="H970" s="167">
        <v>41373.0</v>
      </c>
      <c r="I970" s="167">
        <v>44113.0</v>
      </c>
      <c r="J970" s="165">
        <v>19.99</v>
      </c>
      <c r="K970" s="165">
        <v>8.0</v>
      </c>
      <c r="L970" s="165">
        <v>11.99</v>
      </c>
      <c r="M970" s="72">
        <v>70.0</v>
      </c>
      <c r="N970" s="165">
        <v>0.11</v>
      </c>
    </row>
    <row r="971">
      <c r="A971" s="72" t="s">
        <v>29</v>
      </c>
      <c r="B971" s="72"/>
      <c r="C971" s="72">
        <v>230.0</v>
      </c>
      <c r="D971" s="72" t="s">
        <v>1519</v>
      </c>
      <c r="E971" s="72" t="s">
        <v>649</v>
      </c>
      <c r="F971" s="167">
        <v>40704.0</v>
      </c>
      <c r="G971" s="167">
        <v>44091.0</v>
      </c>
      <c r="H971" s="167">
        <v>44175.0</v>
      </c>
      <c r="I971" s="167">
        <v>44177.0</v>
      </c>
      <c r="J971" s="165">
        <v>19.99</v>
      </c>
      <c r="K971" s="165">
        <v>3.5</v>
      </c>
      <c r="L971" s="165">
        <v>16.49</v>
      </c>
      <c r="M971" s="72">
        <v>15.0</v>
      </c>
      <c r="N971" s="165">
        <v>0.23</v>
      </c>
    </row>
    <row r="972">
      <c r="A972" s="72" t="s">
        <v>29</v>
      </c>
      <c r="B972" s="72"/>
      <c r="C972" s="72">
        <v>304.0</v>
      </c>
      <c r="D972" s="72" t="s">
        <v>1520</v>
      </c>
      <c r="E972" s="72" t="s">
        <v>649</v>
      </c>
      <c r="F972" s="167">
        <v>40785.0</v>
      </c>
      <c r="G972" s="167">
        <v>44422.0</v>
      </c>
      <c r="H972" s="167">
        <v>44422.0</v>
      </c>
      <c r="I972" s="167">
        <v>44422.0</v>
      </c>
      <c r="J972" s="165">
        <v>3.33</v>
      </c>
      <c r="K972" s="165">
        <v>3.33</v>
      </c>
      <c r="L972" s="165">
        <v>0.0</v>
      </c>
      <c r="M972" s="72">
        <v>1.0</v>
      </c>
      <c r="N972" s="165">
        <v>3.33</v>
      </c>
    </row>
    <row r="973">
      <c r="A973" s="72" t="s">
        <v>29</v>
      </c>
      <c r="B973" s="72"/>
      <c r="C973" s="72">
        <v>305.0</v>
      </c>
      <c r="D973" s="72" t="s">
        <v>1521</v>
      </c>
      <c r="E973" s="72" t="s">
        <v>649</v>
      </c>
      <c r="F973" s="167">
        <v>40785.0</v>
      </c>
      <c r="G973" s="167">
        <v>44422.0</v>
      </c>
      <c r="H973" s="167">
        <v>44422.0</v>
      </c>
      <c r="I973" s="167">
        <v>44422.0</v>
      </c>
      <c r="J973" s="165">
        <v>3.33</v>
      </c>
      <c r="K973" s="165">
        <v>3.33</v>
      </c>
      <c r="L973" s="165">
        <v>0.0</v>
      </c>
      <c r="M973" s="72">
        <v>1.0</v>
      </c>
      <c r="N973" s="165">
        <v>3.33</v>
      </c>
    </row>
    <row r="974">
      <c r="A974" s="72" t="s">
        <v>29</v>
      </c>
      <c r="B974" s="72"/>
      <c r="C974" s="72">
        <v>353.0</v>
      </c>
      <c r="D974" s="72" t="s">
        <v>1522</v>
      </c>
      <c r="E974" s="72" t="s">
        <v>649</v>
      </c>
      <c r="F974" s="167">
        <v>40834.0</v>
      </c>
      <c r="G974" s="167">
        <v>44836.0</v>
      </c>
      <c r="H974" s="167">
        <v>44836.0</v>
      </c>
      <c r="I974" s="167">
        <v>44836.0</v>
      </c>
      <c r="J974" s="165">
        <v>19.99</v>
      </c>
      <c r="K974" s="165">
        <v>14.99</v>
      </c>
      <c r="L974" s="165">
        <v>5.0</v>
      </c>
      <c r="M974" s="72">
        <v>1.0</v>
      </c>
      <c r="N974" s="165">
        <v>14.99</v>
      </c>
    </row>
    <row r="975">
      <c r="A975" s="72" t="s">
        <v>29</v>
      </c>
      <c r="B975" s="72" t="s">
        <v>583</v>
      </c>
      <c r="C975" s="72">
        <v>347.0</v>
      </c>
      <c r="D975" s="72" t="s">
        <v>1523</v>
      </c>
      <c r="E975" s="72" t="s">
        <v>649</v>
      </c>
      <c r="F975" s="167">
        <v>40835.0</v>
      </c>
      <c r="G975" s="167">
        <v>42336.0</v>
      </c>
      <c r="H975" s="167">
        <v>42336.0</v>
      </c>
      <c r="I975" s="167">
        <v>44944.0</v>
      </c>
      <c r="J975" s="165">
        <v>7.99</v>
      </c>
      <c r="K975" s="165">
        <v>7.99</v>
      </c>
      <c r="L975" s="165">
        <v>0.0</v>
      </c>
      <c r="M975" s="72">
        <v>10.0</v>
      </c>
      <c r="N975" s="165">
        <v>0.8</v>
      </c>
    </row>
    <row r="976">
      <c r="A976" s="72" t="s">
        <v>29</v>
      </c>
      <c r="B976" s="72"/>
      <c r="C976" s="72">
        <v>395.0</v>
      </c>
      <c r="D976" s="72" t="s">
        <v>1524</v>
      </c>
      <c r="E976" s="72" t="s">
        <v>649</v>
      </c>
      <c r="F976" s="167">
        <v>40837.0</v>
      </c>
      <c r="G976" s="167">
        <v>40837.0</v>
      </c>
      <c r="H976" s="167">
        <v>40837.0</v>
      </c>
      <c r="I976" s="167">
        <v>40837.0</v>
      </c>
      <c r="J976" s="165">
        <v>19.99</v>
      </c>
      <c r="K976" s="165">
        <v>18.0</v>
      </c>
      <c r="L976" s="165">
        <v>1.99</v>
      </c>
      <c r="M976" s="72">
        <v>5.0</v>
      </c>
      <c r="N976" s="165">
        <v>3.6</v>
      </c>
    </row>
    <row r="977">
      <c r="A977" s="72" t="s">
        <v>29</v>
      </c>
      <c r="B977" s="72"/>
      <c r="C977" s="72">
        <v>266.0</v>
      </c>
      <c r="D977" s="72" t="s">
        <v>1525</v>
      </c>
      <c r="E977" s="72" t="s">
        <v>649</v>
      </c>
      <c r="F977" s="167">
        <v>40842.0</v>
      </c>
      <c r="G977" s="167">
        <v>41999.0</v>
      </c>
      <c r="H977" s="167">
        <v>44113.0</v>
      </c>
      <c r="I977" s="167">
        <v>44114.0</v>
      </c>
      <c r="J977" s="165">
        <v>9.99</v>
      </c>
      <c r="K977" s="165">
        <v>8.0</v>
      </c>
      <c r="L977" s="165">
        <v>1.99</v>
      </c>
      <c r="M977" s="72">
        <v>10.0</v>
      </c>
      <c r="N977" s="165">
        <v>0.8</v>
      </c>
    </row>
    <row r="978">
      <c r="A978" s="72" t="s">
        <v>29</v>
      </c>
      <c r="B978" s="72"/>
      <c r="C978" s="72">
        <v>416.0</v>
      </c>
      <c r="D978" s="72" t="s">
        <v>1526</v>
      </c>
      <c r="E978" s="72" t="s">
        <v>649</v>
      </c>
      <c r="F978" s="167">
        <v>40849.0</v>
      </c>
      <c r="G978" s="167">
        <v>40857.0</v>
      </c>
      <c r="H978" s="167">
        <v>40857.0</v>
      </c>
      <c r="I978" s="167">
        <v>45147.0</v>
      </c>
      <c r="J978" s="165">
        <v>22.16</v>
      </c>
      <c r="K978" s="165">
        <v>15.16</v>
      </c>
      <c r="L978" s="165">
        <v>7.0</v>
      </c>
      <c r="M978" s="72">
        <v>70.0</v>
      </c>
      <c r="N978" s="165">
        <v>0.22</v>
      </c>
    </row>
    <row r="979">
      <c r="A979" s="72" t="s">
        <v>29</v>
      </c>
      <c r="B979" s="72"/>
      <c r="C979" s="72">
        <v>350.0</v>
      </c>
      <c r="D979" s="72" t="s">
        <v>1527</v>
      </c>
      <c r="E979" s="72" t="s">
        <v>649</v>
      </c>
      <c r="F979" s="167">
        <v>40865.0</v>
      </c>
      <c r="G979" s="167">
        <v>40933.0</v>
      </c>
      <c r="H979" s="167">
        <v>40933.0</v>
      </c>
      <c r="I979" s="167">
        <v>45673.0</v>
      </c>
      <c r="J979" s="165">
        <v>49.98</v>
      </c>
      <c r="K979" s="165">
        <v>39.98</v>
      </c>
      <c r="L979" s="165">
        <v>10.0</v>
      </c>
      <c r="M979" s="72">
        <v>155.0</v>
      </c>
      <c r="N979" s="165">
        <v>0.26</v>
      </c>
    </row>
    <row r="980">
      <c r="A980" s="72" t="s">
        <v>29</v>
      </c>
      <c r="B980" s="72"/>
      <c r="C980" s="72">
        <v>317.0</v>
      </c>
      <c r="D980" s="72" t="s">
        <v>1528</v>
      </c>
      <c r="E980" s="72" t="s">
        <v>649</v>
      </c>
      <c r="F980" s="167">
        <v>40898.0</v>
      </c>
      <c r="G980" s="167">
        <v>40929.0</v>
      </c>
      <c r="H980" s="167">
        <v>40929.0</v>
      </c>
      <c r="I980" s="167">
        <v>41309.0</v>
      </c>
      <c r="J980" s="165">
        <v>12.99</v>
      </c>
      <c r="K980" s="165">
        <v>12.99</v>
      </c>
      <c r="L980" s="165">
        <v>0.0</v>
      </c>
      <c r="M980" s="72">
        <v>45.0</v>
      </c>
      <c r="N980" s="165">
        <v>0.29</v>
      </c>
    </row>
    <row r="981">
      <c r="A981" s="72" t="s">
        <v>29</v>
      </c>
      <c r="B981" s="72" t="s">
        <v>499</v>
      </c>
      <c r="C981" s="72">
        <v>276.0</v>
      </c>
      <c r="D981" s="72" t="s">
        <v>1529</v>
      </c>
      <c r="E981" s="72" t="s">
        <v>649</v>
      </c>
      <c r="F981" s="167">
        <v>40949.0</v>
      </c>
      <c r="G981" s="167">
        <v>44502.0</v>
      </c>
      <c r="H981" s="167">
        <v>44502.0</v>
      </c>
      <c r="I981" s="167">
        <v>44502.0</v>
      </c>
      <c r="J981" s="165">
        <v>39.99</v>
      </c>
      <c r="K981" s="165">
        <v>0.0</v>
      </c>
      <c r="L981" s="165">
        <v>39.99</v>
      </c>
      <c r="M981" s="72">
        <v>1.0</v>
      </c>
      <c r="N981" s="165">
        <v>0.0</v>
      </c>
    </row>
    <row r="982">
      <c r="A982" s="72" t="s">
        <v>29</v>
      </c>
      <c r="B982" s="72"/>
      <c r="C982" s="72">
        <v>271.0</v>
      </c>
      <c r="D982" s="72" t="s">
        <v>1530</v>
      </c>
      <c r="E982" s="72" t="s">
        <v>649</v>
      </c>
      <c r="F982" s="167">
        <v>40982.0</v>
      </c>
      <c r="G982" s="167">
        <v>42925.0</v>
      </c>
      <c r="H982" s="167">
        <v>42925.0</v>
      </c>
      <c r="I982" s="167">
        <v>42925.0</v>
      </c>
      <c r="J982" s="165">
        <v>14.99</v>
      </c>
      <c r="K982" s="165">
        <v>14.99</v>
      </c>
      <c r="L982" s="165">
        <v>0.0</v>
      </c>
      <c r="M982" s="72">
        <v>1.0</v>
      </c>
      <c r="N982" s="165">
        <v>14.99</v>
      </c>
    </row>
    <row r="983">
      <c r="A983" s="72" t="s">
        <v>29</v>
      </c>
      <c r="B983" s="72" t="s">
        <v>520</v>
      </c>
      <c r="C983" s="72">
        <v>411.0</v>
      </c>
      <c r="D983" s="72" t="s">
        <v>1531</v>
      </c>
      <c r="E983" s="72" t="s">
        <v>649</v>
      </c>
      <c r="F983" s="167">
        <v>40984.0</v>
      </c>
      <c r="G983" s="167">
        <v>44115.0</v>
      </c>
      <c r="H983" s="167">
        <v>44115.0</v>
      </c>
      <c r="I983" s="167">
        <v>44115.0</v>
      </c>
      <c r="J983" s="165">
        <v>24.99</v>
      </c>
      <c r="K983" s="165">
        <v>5.0</v>
      </c>
      <c r="L983" s="165">
        <v>19.99</v>
      </c>
      <c r="M983" s="72">
        <v>1.0</v>
      </c>
      <c r="N983" s="165">
        <v>5.0</v>
      </c>
    </row>
    <row r="984">
      <c r="A984" s="72" t="s">
        <v>29</v>
      </c>
      <c r="B984" s="72"/>
      <c r="C984" s="72">
        <v>398.0</v>
      </c>
      <c r="D984" s="55" t="s">
        <v>1532</v>
      </c>
      <c r="E984" s="55" t="s">
        <v>649</v>
      </c>
      <c r="F984" s="167">
        <v>41024.0</v>
      </c>
      <c r="G984" s="167">
        <v>42363.0</v>
      </c>
      <c r="H984" s="167">
        <v>42364.0</v>
      </c>
      <c r="I984" s="167">
        <v>42664.0</v>
      </c>
      <c r="J984" s="165">
        <v>14.99</v>
      </c>
      <c r="K984" s="165">
        <v>5.99</v>
      </c>
      <c r="L984" s="165">
        <v>9.0</v>
      </c>
      <c r="M984" s="72">
        <v>30.0</v>
      </c>
      <c r="N984" s="165">
        <v>0.2</v>
      </c>
    </row>
    <row r="985">
      <c r="A985" s="72" t="s">
        <v>29</v>
      </c>
      <c r="B985" s="72" t="s">
        <v>494</v>
      </c>
      <c r="C985" s="72">
        <v>330.0</v>
      </c>
      <c r="D985" s="72" t="s">
        <v>1533</v>
      </c>
      <c r="E985" s="72" t="s">
        <v>649</v>
      </c>
      <c r="F985" s="167">
        <v>41101.0</v>
      </c>
      <c r="G985" s="167">
        <v>44422.0</v>
      </c>
      <c r="H985" s="167">
        <v>45071.0</v>
      </c>
      <c r="I985" s="167">
        <v>45090.0</v>
      </c>
      <c r="J985" s="165">
        <v>10.99</v>
      </c>
      <c r="K985" s="165">
        <v>10.99</v>
      </c>
      <c r="L985" s="165">
        <v>0.0</v>
      </c>
      <c r="M985" s="72">
        <v>7.0</v>
      </c>
      <c r="N985" s="165">
        <v>1.57</v>
      </c>
    </row>
    <row r="986">
      <c r="A986" s="72" t="s">
        <v>29</v>
      </c>
      <c r="B986" s="72" t="s">
        <v>588</v>
      </c>
      <c r="C986" s="72">
        <v>408.0</v>
      </c>
      <c r="D986" s="72" t="s">
        <v>1534</v>
      </c>
      <c r="E986" s="72" t="s">
        <v>649</v>
      </c>
      <c r="F986" s="167">
        <v>41149.0</v>
      </c>
      <c r="G986" s="167">
        <v>41694.0</v>
      </c>
      <c r="H986" s="167">
        <v>41694.0</v>
      </c>
      <c r="I986" s="167">
        <v>44793.0</v>
      </c>
      <c r="J986" s="165">
        <v>14.99</v>
      </c>
      <c r="K986" s="165">
        <v>9.99</v>
      </c>
      <c r="L986" s="165">
        <v>5.0</v>
      </c>
      <c r="M986" s="72">
        <v>12.0</v>
      </c>
      <c r="N986" s="165">
        <v>0.83</v>
      </c>
    </row>
    <row r="987">
      <c r="A987" s="72" t="s">
        <v>29</v>
      </c>
      <c r="B987" s="72"/>
      <c r="C987" s="72">
        <v>203.0</v>
      </c>
      <c r="D987" s="72" t="s">
        <v>1535</v>
      </c>
      <c r="E987" s="72" t="s">
        <v>649</v>
      </c>
      <c r="F987" s="167">
        <v>41173.0</v>
      </c>
      <c r="G987" s="167">
        <v>41913.0</v>
      </c>
      <c r="H987" s="167">
        <v>41913.0</v>
      </c>
      <c r="I987" s="167">
        <v>43901.0</v>
      </c>
      <c r="J987" s="165">
        <v>54.99</v>
      </c>
      <c r="K987" s="165">
        <v>31.49</v>
      </c>
      <c r="L987" s="165">
        <v>23.5</v>
      </c>
      <c r="M987" s="72">
        <v>69.0</v>
      </c>
      <c r="N987" s="165">
        <v>0.46</v>
      </c>
    </row>
    <row r="988">
      <c r="A988" s="72" t="s">
        <v>29</v>
      </c>
      <c r="B988" s="72" t="s">
        <v>526</v>
      </c>
      <c r="C988" s="72">
        <v>424.0</v>
      </c>
      <c r="D988" s="72" t="s">
        <v>1536</v>
      </c>
      <c r="E988" s="72" t="s">
        <v>649</v>
      </c>
      <c r="F988" s="167">
        <v>41194.0</v>
      </c>
      <c r="G988" s="167">
        <v>41449.0</v>
      </c>
      <c r="H988" s="167">
        <v>41449.0</v>
      </c>
      <c r="I988" s="167">
        <v>44782.0</v>
      </c>
      <c r="J988" s="165">
        <v>39.98</v>
      </c>
      <c r="K988" s="165">
        <v>25.98</v>
      </c>
      <c r="L988" s="165">
        <v>14.0</v>
      </c>
      <c r="M988" s="72">
        <v>15.0</v>
      </c>
      <c r="N988" s="165">
        <v>1.73</v>
      </c>
    </row>
    <row r="989">
      <c r="A989" s="72" t="s">
        <v>29</v>
      </c>
      <c r="B989" s="72" t="s">
        <v>533</v>
      </c>
      <c r="C989" s="72">
        <v>397.0</v>
      </c>
      <c r="D989" s="72" t="s">
        <v>1537</v>
      </c>
      <c r="E989" s="72" t="s">
        <v>649</v>
      </c>
      <c r="F989" s="167">
        <v>41206.0</v>
      </c>
      <c r="G989" s="167">
        <v>42925.0</v>
      </c>
      <c r="H989" s="167">
        <v>43280.0</v>
      </c>
      <c r="I989" s="167">
        <v>44872.0</v>
      </c>
      <c r="J989" s="165">
        <v>12.99</v>
      </c>
      <c r="K989" s="165">
        <v>2.99</v>
      </c>
      <c r="L989" s="165">
        <v>10.0</v>
      </c>
      <c r="M989" s="72">
        <v>20.0</v>
      </c>
      <c r="N989" s="165">
        <v>0.15</v>
      </c>
    </row>
    <row r="990">
      <c r="A990" s="72" t="s">
        <v>29</v>
      </c>
      <c r="B990" s="72" t="s">
        <v>553</v>
      </c>
      <c r="C990" s="72">
        <v>404.0</v>
      </c>
      <c r="D990" s="72" t="s">
        <v>1538</v>
      </c>
      <c r="E990" s="72" t="s">
        <v>649</v>
      </c>
      <c r="F990" s="167">
        <v>41220.0</v>
      </c>
      <c r="G990" s="167">
        <v>44237.0</v>
      </c>
      <c r="H990" s="167">
        <v>44237.0</v>
      </c>
      <c r="I990" s="167">
        <v>44238.0</v>
      </c>
      <c r="J990" s="165">
        <v>2.75</v>
      </c>
      <c r="K990" s="165">
        <v>2.75</v>
      </c>
      <c r="L990" s="165">
        <v>0.0</v>
      </c>
      <c r="M990" s="72">
        <v>10.0</v>
      </c>
      <c r="N990" s="165">
        <v>0.28</v>
      </c>
    </row>
    <row r="991">
      <c r="A991" s="72" t="s">
        <v>29</v>
      </c>
      <c r="B991" s="72"/>
      <c r="C991" s="72">
        <v>405.0</v>
      </c>
      <c r="D991" s="72" t="s">
        <v>1539</v>
      </c>
      <c r="E991" s="72" t="s">
        <v>649</v>
      </c>
      <c r="F991" s="167">
        <v>41220.0</v>
      </c>
      <c r="G991" s="167">
        <v>44237.0</v>
      </c>
      <c r="H991" s="167">
        <v>44240.0</v>
      </c>
      <c r="I991" s="167">
        <v>44240.0</v>
      </c>
      <c r="J991" s="165">
        <v>2.74</v>
      </c>
      <c r="K991" s="165">
        <v>2.74</v>
      </c>
      <c r="L991" s="165">
        <v>0.0</v>
      </c>
      <c r="M991" s="72">
        <v>5.0</v>
      </c>
      <c r="N991" s="165">
        <v>0.55</v>
      </c>
    </row>
    <row r="992">
      <c r="A992" s="72" t="s">
        <v>29</v>
      </c>
      <c r="B992" s="72" t="s">
        <v>607</v>
      </c>
      <c r="C992" s="72">
        <v>323.0</v>
      </c>
      <c r="D992" s="55" t="s">
        <v>1540</v>
      </c>
      <c r="E992" s="55" t="s">
        <v>649</v>
      </c>
      <c r="F992" s="167">
        <v>41234.0</v>
      </c>
      <c r="G992" s="167">
        <v>41480.0</v>
      </c>
      <c r="H992" s="167">
        <v>41480.0</v>
      </c>
      <c r="I992" s="167">
        <v>44788.0</v>
      </c>
      <c r="J992" s="165">
        <v>19.99</v>
      </c>
      <c r="K992" s="165">
        <v>14.99</v>
      </c>
      <c r="L992" s="165">
        <v>5.0</v>
      </c>
      <c r="M992" s="72">
        <v>35.0</v>
      </c>
      <c r="N992" s="165">
        <v>0.43</v>
      </c>
    </row>
    <row r="993">
      <c r="A993" s="72" t="s">
        <v>29</v>
      </c>
      <c r="B993" s="72" t="s">
        <v>541</v>
      </c>
      <c r="C993" s="72">
        <v>233.0</v>
      </c>
      <c r="D993" s="72" t="s">
        <v>1541</v>
      </c>
      <c r="E993" s="72" t="s">
        <v>649</v>
      </c>
      <c r="F993" s="167">
        <v>41236.0</v>
      </c>
      <c r="G993" s="167">
        <v>44091.0</v>
      </c>
      <c r="H993" s="167">
        <v>44095.0</v>
      </c>
      <c r="I993" s="167">
        <v>44127.0</v>
      </c>
      <c r="J993" s="165">
        <v>59.99</v>
      </c>
      <c r="K993" s="165">
        <v>8.0</v>
      </c>
      <c r="L993" s="165">
        <v>51.99</v>
      </c>
      <c r="M993" s="72">
        <v>40.0</v>
      </c>
      <c r="N993" s="165">
        <v>0.2</v>
      </c>
    </row>
    <row r="994">
      <c r="A994" s="72" t="s">
        <v>29</v>
      </c>
      <c r="B994" s="72"/>
      <c r="C994" s="72">
        <v>334.0</v>
      </c>
      <c r="D994" s="72" t="s">
        <v>1542</v>
      </c>
      <c r="E994" s="72" t="s">
        <v>649</v>
      </c>
      <c r="F994" s="167">
        <v>41243.0</v>
      </c>
      <c r="G994" s="167">
        <v>41318.0</v>
      </c>
      <c r="H994" s="167">
        <v>41318.0</v>
      </c>
      <c r="I994" s="167">
        <v>44549.0</v>
      </c>
      <c r="J994" s="165">
        <v>14.99</v>
      </c>
      <c r="K994" s="165">
        <v>4.99</v>
      </c>
      <c r="L994" s="165">
        <v>10.0</v>
      </c>
      <c r="M994" s="72">
        <v>20.0</v>
      </c>
      <c r="N994" s="165">
        <v>0.25</v>
      </c>
    </row>
    <row r="995">
      <c r="A995" s="72" t="s">
        <v>29</v>
      </c>
      <c r="B995" s="72"/>
      <c r="C995" s="72">
        <v>318.0</v>
      </c>
      <c r="D995" s="55" t="s">
        <v>1543</v>
      </c>
      <c r="E995" s="55" t="s">
        <v>649</v>
      </c>
      <c r="F995" s="167">
        <v>41262.0</v>
      </c>
      <c r="G995" s="167">
        <v>41305.0</v>
      </c>
      <c r="H995" s="167">
        <v>41305.0</v>
      </c>
      <c r="I995" s="167">
        <v>44760.0</v>
      </c>
      <c r="J995" s="165">
        <v>8.99</v>
      </c>
      <c r="K995" s="165">
        <v>8.99</v>
      </c>
      <c r="L995" s="165">
        <v>0.0</v>
      </c>
      <c r="M995" s="72">
        <v>30.0</v>
      </c>
      <c r="N995" s="165">
        <v>0.3</v>
      </c>
    </row>
    <row r="996">
      <c r="A996" s="72" t="s">
        <v>29</v>
      </c>
      <c r="B996" s="72"/>
      <c r="C996" s="72">
        <v>385.0</v>
      </c>
      <c r="D996" s="72" t="s">
        <v>1544</v>
      </c>
      <c r="E996" s="72" t="s">
        <v>649</v>
      </c>
      <c r="F996" s="167">
        <v>41297.0</v>
      </c>
      <c r="G996" s="167">
        <v>41297.0</v>
      </c>
      <c r="H996" s="167">
        <v>45077.0</v>
      </c>
      <c r="I996" s="167">
        <v>45077.0</v>
      </c>
      <c r="J996" s="165">
        <v>12.99</v>
      </c>
      <c r="K996" s="165">
        <v>0.0</v>
      </c>
      <c r="L996" s="165">
        <v>12.99</v>
      </c>
      <c r="M996" s="72">
        <v>5.0</v>
      </c>
      <c r="N996" s="165">
        <v>0.0</v>
      </c>
    </row>
    <row r="997">
      <c r="A997" s="72" t="s">
        <v>29</v>
      </c>
      <c r="B997" s="72"/>
      <c r="C997" s="72">
        <v>407.0</v>
      </c>
      <c r="D997" s="72" t="s">
        <v>1545</v>
      </c>
      <c r="E997" s="72" t="s">
        <v>649</v>
      </c>
      <c r="F997" s="167">
        <v>41338.0</v>
      </c>
      <c r="G997" s="167">
        <v>41707.0</v>
      </c>
      <c r="H997" s="167">
        <v>41707.0</v>
      </c>
      <c r="I997" s="167">
        <v>45051.0</v>
      </c>
      <c r="J997" s="165">
        <v>24.99</v>
      </c>
      <c r="K997" s="165">
        <v>5.0</v>
      </c>
      <c r="L997" s="165">
        <v>19.99</v>
      </c>
      <c r="M997" s="72">
        <v>45.0</v>
      </c>
      <c r="N997" s="165">
        <v>0.11</v>
      </c>
    </row>
    <row r="998">
      <c r="A998" s="72" t="s">
        <v>29</v>
      </c>
      <c r="B998" s="72"/>
      <c r="C998" s="72">
        <v>199.0</v>
      </c>
      <c r="D998" s="72" t="s">
        <v>1546</v>
      </c>
      <c r="E998" s="72" t="s">
        <v>649</v>
      </c>
      <c r="F998" s="167">
        <v>41359.0</v>
      </c>
      <c r="G998" s="167">
        <v>42969.0</v>
      </c>
      <c r="H998" s="167">
        <v>42969.0</v>
      </c>
      <c r="I998" s="167">
        <v>42969.0</v>
      </c>
      <c r="J998" s="165">
        <v>24.99</v>
      </c>
      <c r="K998" s="165">
        <v>9.99</v>
      </c>
      <c r="L998" s="165">
        <v>15.0</v>
      </c>
      <c r="M998" s="72">
        <v>1.0</v>
      </c>
      <c r="N998" s="165">
        <v>9.99</v>
      </c>
    </row>
    <row r="999">
      <c r="A999" s="72" t="s">
        <v>29</v>
      </c>
      <c r="B999" s="72" t="s">
        <v>594</v>
      </c>
      <c r="C999" s="72">
        <v>195.0</v>
      </c>
      <c r="D999" s="72" t="s">
        <v>1547</v>
      </c>
      <c r="E999" s="72" t="s">
        <v>649</v>
      </c>
      <c r="F999" s="167">
        <v>41361.0</v>
      </c>
      <c r="G999" s="167">
        <v>44285.0</v>
      </c>
      <c r="H999" s="167">
        <v>45022.0</v>
      </c>
      <c r="I999" s="167">
        <v>45053.0</v>
      </c>
      <c r="J999" s="165">
        <v>1.99</v>
      </c>
      <c r="K999" s="165">
        <v>1.99</v>
      </c>
      <c r="L999" s="165">
        <v>0.0</v>
      </c>
      <c r="M999" s="72">
        <v>5.0</v>
      </c>
      <c r="N999" s="165">
        <v>0.4</v>
      </c>
    </row>
    <row r="1000">
      <c r="A1000" s="72" t="s">
        <v>29</v>
      </c>
      <c r="B1000" s="72"/>
      <c r="C1000" s="72">
        <v>362.0</v>
      </c>
      <c r="D1000" s="72" t="s">
        <v>1548</v>
      </c>
      <c r="E1000" s="72" t="s">
        <v>649</v>
      </c>
      <c r="F1000" s="167">
        <v>41361.0</v>
      </c>
      <c r="G1000" s="167">
        <v>43014.0</v>
      </c>
      <c r="H1000" s="167">
        <v>45028.0</v>
      </c>
      <c r="I1000" s="167">
        <v>45041.0</v>
      </c>
      <c r="J1000" s="165">
        <v>14.99</v>
      </c>
      <c r="K1000" s="165">
        <v>4.99</v>
      </c>
      <c r="L1000" s="165">
        <v>10.0</v>
      </c>
      <c r="M1000" s="72">
        <v>30.0</v>
      </c>
      <c r="N1000" s="165">
        <v>0.17</v>
      </c>
    </row>
    <row r="1001">
      <c r="A1001" s="72" t="s">
        <v>29</v>
      </c>
      <c r="B1001" s="72"/>
      <c r="C1001" s="72">
        <v>267.0</v>
      </c>
      <c r="D1001" s="72" t="s">
        <v>1549</v>
      </c>
      <c r="E1001" s="72" t="s">
        <v>649</v>
      </c>
      <c r="F1001" s="167">
        <v>41383.0</v>
      </c>
      <c r="G1001" s="167">
        <v>44105.0</v>
      </c>
      <c r="H1001" s="167">
        <v>44257.0</v>
      </c>
      <c r="I1001" s="167">
        <v>44257.0</v>
      </c>
      <c r="J1001" s="165">
        <v>59.99</v>
      </c>
      <c r="K1001" s="165">
        <v>9.59</v>
      </c>
      <c r="L1001" s="165">
        <v>50.4</v>
      </c>
      <c r="M1001" s="72">
        <v>2.0</v>
      </c>
      <c r="N1001" s="165">
        <v>4.8</v>
      </c>
    </row>
    <row r="1002">
      <c r="A1002" s="72" t="s">
        <v>29</v>
      </c>
      <c r="B1002" s="72" t="s">
        <v>584</v>
      </c>
      <c r="C1002" s="72">
        <v>383.0</v>
      </c>
      <c r="D1002" s="72" t="s">
        <v>1550</v>
      </c>
      <c r="E1002" s="72" t="s">
        <v>649</v>
      </c>
      <c r="F1002" s="167">
        <v>41409.0</v>
      </c>
      <c r="G1002" s="167">
        <v>42330.0</v>
      </c>
      <c r="H1002" s="167">
        <v>42330.0</v>
      </c>
      <c r="I1002" s="167">
        <v>44943.0</v>
      </c>
      <c r="J1002" s="165">
        <v>33.98</v>
      </c>
      <c r="K1002" s="165">
        <v>15.49</v>
      </c>
      <c r="L1002" s="165">
        <v>18.49</v>
      </c>
      <c r="M1002" s="72">
        <v>1.0</v>
      </c>
      <c r="N1002" s="165">
        <v>15.49</v>
      </c>
    </row>
    <row r="1003">
      <c r="A1003" s="72" t="s">
        <v>29</v>
      </c>
      <c r="B1003" s="72"/>
      <c r="C1003" s="72">
        <v>391.0</v>
      </c>
      <c r="D1003" s="72" t="s">
        <v>1551</v>
      </c>
      <c r="E1003" s="72" t="s">
        <v>649</v>
      </c>
      <c r="F1003" s="167">
        <v>41439.0</v>
      </c>
      <c r="G1003" s="167">
        <v>41614.0</v>
      </c>
      <c r="H1003" s="167">
        <v>41614.0</v>
      </c>
      <c r="I1003" s="167">
        <v>44358.0</v>
      </c>
      <c r="J1003" s="165">
        <v>49.99</v>
      </c>
      <c r="K1003" s="165">
        <v>44.99</v>
      </c>
      <c r="L1003" s="165">
        <v>5.0</v>
      </c>
      <c r="M1003" s="72">
        <v>120.0</v>
      </c>
      <c r="N1003" s="165">
        <v>0.37</v>
      </c>
    </row>
    <row r="1004">
      <c r="A1004" s="72" t="s">
        <v>29</v>
      </c>
      <c r="B1004" s="72" t="s">
        <v>542</v>
      </c>
      <c r="C1004" s="72">
        <v>222.0</v>
      </c>
      <c r="D1004" s="72" t="s">
        <v>1552</v>
      </c>
      <c r="E1004" s="72" t="s">
        <v>649</v>
      </c>
      <c r="F1004" s="167">
        <v>41453.0</v>
      </c>
      <c r="G1004" s="167">
        <v>42382.0</v>
      </c>
      <c r="H1004" s="167">
        <v>42382.0</v>
      </c>
      <c r="I1004" s="167">
        <v>43910.0</v>
      </c>
      <c r="J1004" s="165">
        <v>39.99</v>
      </c>
      <c r="K1004" s="165">
        <v>19.99</v>
      </c>
      <c r="L1004" s="165">
        <v>20.0</v>
      </c>
      <c r="M1004" s="72">
        <v>40.0</v>
      </c>
      <c r="N1004" s="165">
        <v>0.5</v>
      </c>
    </row>
    <row r="1005">
      <c r="A1005" s="72" t="s">
        <v>29</v>
      </c>
      <c r="B1005" s="72"/>
      <c r="C1005" s="72">
        <v>351.0</v>
      </c>
      <c r="D1005" s="72" t="s">
        <v>1553</v>
      </c>
      <c r="E1005" s="72" t="s">
        <v>649</v>
      </c>
      <c r="F1005" s="167">
        <v>41509.0</v>
      </c>
      <c r="G1005" s="167">
        <v>42263.0</v>
      </c>
      <c r="H1005" s="167">
        <v>42263.0</v>
      </c>
      <c r="I1005" s="167">
        <v>44395.0</v>
      </c>
      <c r="J1005" s="165">
        <v>34.98</v>
      </c>
      <c r="K1005" s="165">
        <v>7.49</v>
      </c>
      <c r="L1005" s="165">
        <v>27.49</v>
      </c>
      <c r="M1005" s="72">
        <v>100.0</v>
      </c>
      <c r="N1005" s="165">
        <v>0.07</v>
      </c>
    </row>
    <row r="1006">
      <c r="A1006" s="72" t="s">
        <v>29</v>
      </c>
      <c r="B1006" s="72" t="s">
        <v>561</v>
      </c>
      <c r="C1006" s="72">
        <v>369.0</v>
      </c>
      <c r="D1006" s="72" t="s">
        <v>1554</v>
      </c>
      <c r="E1006" s="72" t="s">
        <v>649</v>
      </c>
      <c r="F1006" s="167">
        <v>41514.0</v>
      </c>
      <c r="G1006" s="167">
        <v>44190.0</v>
      </c>
      <c r="H1006" s="167">
        <v>44194.0</v>
      </c>
      <c r="I1006" s="167">
        <v>44195.0</v>
      </c>
      <c r="J1006" s="165">
        <v>14.99</v>
      </c>
      <c r="K1006" s="165">
        <v>0.0</v>
      </c>
      <c r="L1006" s="165">
        <v>14.99</v>
      </c>
      <c r="M1006" s="72">
        <v>8.0</v>
      </c>
      <c r="N1006" s="165">
        <v>0.0</v>
      </c>
    </row>
    <row r="1007">
      <c r="A1007" s="72" t="s">
        <v>29</v>
      </c>
      <c r="B1007" s="72" t="s">
        <v>555</v>
      </c>
      <c r="C1007" s="72">
        <v>252.0</v>
      </c>
      <c r="D1007" s="72" t="s">
        <v>1555</v>
      </c>
      <c r="E1007" s="72" t="s">
        <v>649</v>
      </c>
      <c r="F1007" s="167">
        <v>41549.0</v>
      </c>
      <c r="G1007" s="167">
        <v>44299.0</v>
      </c>
      <c r="H1007" s="167">
        <v>45109.0</v>
      </c>
      <c r="I1007" s="167">
        <v>45126.0</v>
      </c>
      <c r="J1007" s="165">
        <v>7.99</v>
      </c>
      <c r="K1007" s="165">
        <v>7.99</v>
      </c>
      <c r="L1007" s="165">
        <v>0.0</v>
      </c>
      <c r="M1007" s="72">
        <v>5.0</v>
      </c>
      <c r="N1007" s="165">
        <v>1.6</v>
      </c>
    </row>
    <row r="1008">
      <c r="A1008" s="72" t="s">
        <v>29</v>
      </c>
      <c r="B1008" s="72"/>
      <c r="C1008" s="72">
        <v>400.0</v>
      </c>
      <c r="D1008" s="72" t="s">
        <v>1556</v>
      </c>
      <c r="E1008" s="72" t="s">
        <v>649</v>
      </c>
      <c r="F1008" s="167">
        <v>41563.0</v>
      </c>
      <c r="G1008" s="167">
        <v>42810.0</v>
      </c>
      <c r="H1008" s="167">
        <v>42810.0</v>
      </c>
      <c r="I1008" s="167">
        <v>44854.0</v>
      </c>
      <c r="J1008" s="55">
        <v>14.99</v>
      </c>
      <c r="K1008" s="55">
        <v>14.99</v>
      </c>
      <c r="L1008" s="165">
        <v>0.0</v>
      </c>
      <c r="M1008" s="72">
        <v>18.0</v>
      </c>
      <c r="N1008" s="165">
        <v>0.83</v>
      </c>
    </row>
    <row r="1009">
      <c r="A1009" s="72" t="s">
        <v>29</v>
      </c>
      <c r="B1009" s="72"/>
      <c r="C1009" s="72">
        <v>335.0</v>
      </c>
      <c r="D1009" s="72" t="s">
        <v>1557</v>
      </c>
      <c r="E1009" s="72" t="s">
        <v>649</v>
      </c>
      <c r="F1009" s="167">
        <v>41600.0</v>
      </c>
      <c r="G1009" s="167">
        <v>44237.0</v>
      </c>
      <c r="H1009" s="167">
        <v>44238.0</v>
      </c>
      <c r="I1009" s="167">
        <v>44240.0</v>
      </c>
      <c r="J1009" s="55">
        <v>19.99</v>
      </c>
      <c r="K1009" s="55">
        <v>14.99</v>
      </c>
      <c r="L1009" s="165">
        <v>5.0</v>
      </c>
      <c r="M1009" s="72">
        <v>15.0</v>
      </c>
      <c r="N1009" s="165">
        <v>1.0</v>
      </c>
    </row>
    <row r="1010">
      <c r="A1010" s="72" t="s">
        <v>29</v>
      </c>
      <c r="B1010" s="72" t="s">
        <v>544</v>
      </c>
      <c r="C1010" s="72">
        <v>229.0</v>
      </c>
      <c r="D1010" s="72" t="s">
        <v>1558</v>
      </c>
      <c r="E1010" s="72" t="s">
        <v>649</v>
      </c>
      <c r="F1010" s="167">
        <v>41610.0</v>
      </c>
      <c r="G1010" s="167">
        <v>42925.0</v>
      </c>
      <c r="H1010" s="167">
        <v>42932.0</v>
      </c>
      <c r="I1010" s="167">
        <v>45171.0</v>
      </c>
      <c r="J1010" s="165">
        <v>8.98</v>
      </c>
      <c r="K1010" s="165">
        <v>3.48</v>
      </c>
      <c r="L1010" s="165">
        <v>5.5</v>
      </c>
      <c r="M1010" s="72">
        <v>11.0</v>
      </c>
      <c r="N1010" s="165">
        <v>0.32</v>
      </c>
    </row>
    <row r="1011">
      <c r="A1011" s="72" t="s">
        <v>29</v>
      </c>
      <c r="B1011" s="72"/>
      <c r="C1011" s="72">
        <v>399.0</v>
      </c>
      <c r="D1011" s="72" t="s">
        <v>1559</v>
      </c>
      <c r="E1011" s="72" t="s">
        <v>649</v>
      </c>
      <c r="F1011" s="167">
        <v>41626.0</v>
      </c>
      <c r="G1011" s="167">
        <v>42664.0</v>
      </c>
      <c r="H1011" s="167">
        <v>42665.0</v>
      </c>
      <c r="I1011" s="167">
        <v>42668.0</v>
      </c>
      <c r="J1011" s="55">
        <v>14.99</v>
      </c>
      <c r="K1011" s="55">
        <v>14.99</v>
      </c>
      <c r="L1011" s="165">
        <v>0.0</v>
      </c>
      <c r="M1011" s="72">
        <v>8.0</v>
      </c>
      <c r="N1011" s="165">
        <v>1.87</v>
      </c>
    </row>
    <row r="1012">
      <c r="A1012" s="72" t="s">
        <v>29</v>
      </c>
      <c r="B1012" s="72" t="s">
        <v>569</v>
      </c>
      <c r="C1012" s="72">
        <v>367.0</v>
      </c>
      <c r="D1012" s="72" t="s">
        <v>1560</v>
      </c>
      <c r="E1012" s="72" t="s">
        <v>649</v>
      </c>
      <c r="F1012" s="167">
        <v>41705.0</v>
      </c>
      <c r="G1012" s="167">
        <v>43081.0</v>
      </c>
      <c r="H1012" s="167">
        <v>43088.0</v>
      </c>
      <c r="I1012" s="167">
        <v>44121.0</v>
      </c>
      <c r="J1012" s="165">
        <v>29.99</v>
      </c>
      <c r="K1012" s="165">
        <v>0.0</v>
      </c>
      <c r="L1012" s="165">
        <v>29.99</v>
      </c>
      <c r="M1012" s="72">
        <v>44.0</v>
      </c>
      <c r="N1012" s="165">
        <v>0.0</v>
      </c>
    </row>
    <row r="1013">
      <c r="A1013" s="72" t="s">
        <v>29</v>
      </c>
      <c r="B1013" s="72" t="s">
        <v>518</v>
      </c>
      <c r="C1013" s="72">
        <v>213.0</v>
      </c>
      <c r="D1013" s="72" t="s">
        <v>1561</v>
      </c>
      <c r="E1013" s="72" t="s">
        <v>649</v>
      </c>
      <c r="F1013" s="167">
        <v>41871.0</v>
      </c>
      <c r="G1013" s="167">
        <v>42925.0</v>
      </c>
      <c r="H1013" s="167">
        <v>43080.0</v>
      </c>
      <c r="I1013" s="167">
        <v>43241.0</v>
      </c>
      <c r="J1013" s="165">
        <v>12.99</v>
      </c>
      <c r="K1013" s="165">
        <v>3.99</v>
      </c>
      <c r="L1013" s="165">
        <v>9.0</v>
      </c>
      <c r="M1013" s="72">
        <v>5.0</v>
      </c>
      <c r="N1013" s="165">
        <v>0.8</v>
      </c>
    </row>
    <row r="1014">
      <c r="A1014" s="72" t="s">
        <v>29</v>
      </c>
      <c r="B1014" s="72"/>
      <c r="C1014" s="72">
        <v>378.0</v>
      </c>
      <c r="D1014" s="72" t="s">
        <v>1562</v>
      </c>
      <c r="E1014" s="72" t="s">
        <v>649</v>
      </c>
      <c r="F1014" s="167">
        <v>41976.0</v>
      </c>
      <c r="G1014" s="167">
        <v>42095.0</v>
      </c>
      <c r="H1014" s="167">
        <v>42095.0</v>
      </c>
      <c r="I1014" s="167">
        <v>43316.0</v>
      </c>
      <c r="J1014" s="165">
        <v>29.98</v>
      </c>
      <c r="K1014" s="165">
        <v>29.98</v>
      </c>
      <c r="L1014" s="165">
        <v>0.0</v>
      </c>
      <c r="M1014" s="72">
        <v>40.0</v>
      </c>
      <c r="N1014" s="165">
        <v>0.75</v>
      </c>
    </row>
    <row r="1015">
      <c r="A1015" s="72" t="s">
        <v>29</v>
      </c>
      <c r="B1015" s="72"/>
      <c r="C1015" s="72">
        <v>352.0</v>
      </c>
      <c r="D1015" s="72" t="s">
        <v>1563</v>
      </c>
      <c r="E1015" s="72" t="s">
        <v>649</v>
      </c>
      <c r="F1015" s="167">
        <v>42027.0</v>
      </c>
      <c r="G1015" s="167">
        <v>44091.0</v>
      </c>
      <c r="H1015" s="167">
        <v>45671.0</v>
      </c>
      <c r="I1015" s="167">
        <v>45675.0</v>
      </c>
      <c r="J1015" s="165">
        <v>19.99</v>
      </c>
      <c r="K1015" s="165">
        <v>7.99</v>
      </c>
      <c r="L1015" s="165">
        <v>12.0</v>
      </c>
      <c r="M1015" s="72">
        <v>20.0</v>
      </c>
      <c r="N1015" s="165">
        <v>0.4</v>
      </c>
    </row>
    <row r="1016">
      <c r="A1016" s="72" t="s">
        <v>29</v>
      </c>
      <c r="B1016" s="72" t="s">
        <v>639</v>
      </c>
      <c r="C1016" s="72">
        <v>357.0</v>
      </c>
      <c r="D1016" s="72" t="s">
        <v>1564</v>
      </c>
      <c r="E1016" s="72" t="s">
        <v>649</v>
      </c>
      <c r="F1016" s="167">
        <v>42115.0</v>
      </c>
      <c r="G1016" s="167">
        <v>43341.0</v>
      </c>
      <c r="H1016" s="167">
        <v>43341.0</v>
      </c>
      <c r="I1016" s="167">
        <v>43342.0</v>
      </c>
      <c r="J1016" s="165">
        <v>24.99</v>
      </c>
      <c r="K1016" s="165">
        <v>24.99</v>
      </c>
      <c r="L1016" s="165">
        <v>0.0</v>
      </c>
      <c r="M1016" s="72">
        <v>3.0</v>
      </c>
      <c r="N1016" s="165">
        <v>8.33</v>
      </c>
    </row>
    <row r="1017">
      <c r="A1017" s="72" t="s">
        <v>29</v>
      </c>
      <c r="B1017" s="72"/>
      <c r="C1017" s="72">
        <v>486.0</v>
      </c>
      <c r="D1017" s="72" t="s">
        <v>1565</v>
      </c>
      <c r="E1017" s="72" t="s">
        <v>671</v>
      </c>
      <c r="F1017" s="167">
        <v>40961.0</v>
      </c>
      <c r="G1017" s="167">
        <v>42218.0</v>
      </c>
      <c r="H1017" s="167">
        <v>42218.0</v>
      </c>
      <c r="I1017" s="167">
        <v>44992.0</v>
      </c>
      <c r="J1017" s="165">
        <v>24.99</v>
      </c>
      <c r="K1017" s="165">
        <v>6.99</v>
      </c>
      <c r="L1017" s="165">
        <v>18.0</v>
      </c>
      <c r="M1017" s="72">
        <v>50.0</v>
      </c>
      <c r="N1017" s="165">
        <v>0.14</v>
      </c>
    </row>
    <row r="1018">
      <c r="A1018" s="72" t="s">
        <v>29</v>
      </c>
      <c r="B1018" s="72" t="s">
        <v>592</v>
      </c>
      <c r="C1018" s="72">
        <v>450.0</v>
      </c>
      <c r="D1018" s="72" t="s">
        <v>1566</v>
      </c>
      <c r="E1018" s="72" t="s">
        <v>671</v>
      </c>
      <c r="F1018" s="167">
        <v>40961.0</v>
      </c>
      <c r="G1018" s="167">
        <v>42326.0</v>
      </c>
      <c r="H1018" s="167">
        <v>42328.0</v>
      </c>
      <c r="I1018" s="167">
        <v>44955.0</v>
      </c>
      <c r="J1018" s="165">
        <v>14.99</v>
      </c>
      <c r="K1018" s="165">
        <v>14.99</v>
      </c>
      <c r="L1018" s="165">
        <v>0.0</v>
      </c>
      <c r="M1018" s="72">
        <v>25.0</v>
      </c>
      <c r="N1018" s="165">
        <v>0.6</v>
      </c>
    </row>
    <row r="1019">
      <c r="A1019" s="72" t="s">
        <v>29</v>
      </c>
      <c r="B1019" s="72" t="s">
        <v>531</v>
      </c>
      <c r="C1019" s="72">
        <v>437.0</v>
      </c>
      <c r="D1019" s="72" t="s">
        <v>1567</v>
      </c>
      <c r="E1019" s="72" t="s">
        <v>671</v>
      </c>
      <c r="F1019" s="167">
        <v>40961.0</v>
      </c>
      <c r="G1019" s="167">
        <v>42929.0</v>
      </c>
      <c r="H1019" s="167">
        <v>42929.0</v>
      </c>
      <c r="I1019" s="167">
        <v>42929.0</v>
      </c>
      <c r="J1019" s="165">
        <v>19.99</v>
      </c>
      <c r="K1019" s="165">
        <v>19.99</v>
      </c>
      <c r="L1019" s="165">
        <v>0.0</v>
      </c>
      <c r="M1019" s="72">
        <v>1.0</v>
      </c>
      <c r="N1019" s="165">
        <v>19.99</v>
      </c>
    </row>
    <row r="1020">
      <c r="A1020" s="72" t="s">
        <v>29</v>
      </c>
      <c r="B1020" s="72" t="s">
        <v>635</v>
      </c>
      <c r="C1020" s="72">
        <v>464.0</v>
      </c>
      <c r="D1020" s="72" t="s">
        <v>1568</v>
      </c>
      <c r="E1020" s="72" t="s">
        <v>671</v>
      </c>
      <c r="F1020" s="167">
        <v>41215.0</v>
      </c>
      <c r="G1020" s="167">
        <v>42665.0</v>
      </c>
      <c r="H1020" s="167">
        <v>45066.0</v>
      </c>
      <c r="I1020" s="167">
        <v>45066.0</v>
      </c>
      <c r="J1020" s="165">
        <v>14.99</v>
      </c>
      <c r="K1020" s="165">
        <v>6.99</v>
      </c>
      <c r="L1020" s="165">
        <v>8.0</v>
      </c>
      <c r="M1020" s="72">
        <v>5.0</v>
      </c>
      <c r="N1020" s="165">
        <v>1.4</v>
      </c>
    </row>
    <row r="1021">
      <c r="A1021" s="72" t="s">
        <v>29</v>
      </c>
      <c r="B1021" s="72"/>
      <c r="C1021" s="72">
        <v>487.0</v>
      </c>
      <c r="D1021" s="72" t="s">
        <v>1569</v>
      </c>
      <c r="E1021" s="72" t="s">
        <v>671</v>
      </c>
      <c r="F1021" s="167">
        <v>41248.0</v>
      </c>
      <c r="G1021" s="167">
        <v>42246.0</v>
      </c>
      <c r="H1021" s="167">
        <v>42246.0</v>
      </c>
      <c r="I1021" s="167">
        <v>44992.0</v>
      </c>
      <c r="J1021" s="165">
        <v>4.99</v>
      </c>
      <c r="K1021" s="165">
        <v>4.99</v>
      </c>
      <c r="L1021" s="165">
        <v>0.0</v>
      </c>
      <c r="M1021" s="72">
        <v>15.0</v>
      </c>
      <c r="N1021" s="165">
        <v>0.33</v>
      </c>
    </row>
    <row r="1022">
      <c r="A1022" s="72" t="s">
        <v>29</v>
      </c>
      <c r="B1022" s="72" t="s">
        <v>565</v>
      </c>
      <c r="C1022" s="72">
        <v>480.0</v>
      </c>
      <c r="D1022" s="72" t="s">
        <v>1570</v>
      </c>
      <c r="E1022" s="72" t="s">
        <v>671</v>
      </c>
      <c r="F1022" s="167">
        <v>41948.0</v>
      </c>
      <c r="G1022" s="167">
        <v>44190.0</v>
      </c>
      <c r="H1022" s="167">
        <v>44191.0</v>
      </c>
      <c r="I1022" s="167">
        <v>44485.0</v>
      </c>
      <c r="J1022" s="165">
        <v>14.99</v>
      </c>
      <c r="K1022" s="165">
        <v>0.0</v>
      </c>
      <c r="L1022" s="165">
        <v>14.99</v>
      </c>
      <c r="M1022" s="72">
        <v>12.0</v>
      </c>
      <c r="N1022" s="165">
        <v>0.0</v>
      </c>
    </row>
    <row r="1023">
      <c r="A1023" s="72" t="s">
        <v>29</v>
      </c>
      <c r="B1023" s="72" t="s">
        <v>571</v>
      </c>
      <c r="C1023" s="72">
        <v>438.0</v>
      </c>
      <c r="D1023" s="72" t="s">
        <v>1571</v>
      </c>
      <c r="E1023" s="72" t="s">
        <v>671</v>
      </c>
      <c r="F1023" s="167">
        <v>42018.0</v>
      </c>
      <c r="G1023" s="167">
        <v>42036.0</v>
      </c>
      <c r="H1023" s="167">
        <v>42193.0</v>
      </c>
      <c r="I1023" s="167">
        <v>44948.0</v>
      </c>
      <c r="J1023" s="165">
        <v>0.0</v>
      </c>
      <c r="K1023" s="165">
        <v>0.0</v>
      </c>
      <c r="L1023" s="165">
        <v>0.0</v>
      </c>
      <c r="M1023" s="72">
        <v>10.0</v>
      </c>
      <c r="N1023" s="165">
        <v>0.0</v>
      </c>
    </row>
    <row r="1024">
      <c r="A1024" s="72" t="s">
        <v>29</v>
      </c>
      <c r="B1024" s="72"/>
      <c r="C1024" s="72">
        <v>445.0</v>
      </c>
      <c r="D1024" s="72" t="s">
        <v>1572</v>
      </c>
      <c r="E1024" s="72" t="s">
        <v>671</v>
      </c>
      <c r="F1024" s="167">
        <v>42031.0</v>
      </c>
      <c r="G1024" s="167">
        <v>42778.0</v>
      </c>
      <c r="H1024" s="167">
        <v>42810.0</v>
      </c>
      <c r="I1024" s="167">
        <v>42810.0</v>
      </c>
      <c r="J1024" s="165">
        <v>14.99</v>
      </c>
      <c r="K1024" s="165">
        <v>3.99</v>
      </c>
      <c r="L1024" s="165">
        <v>11.0</v>
      </c>
      <c r="M1024" s="72">
        <v>1.0</v>
      </c>
      <c r="N1024" s="165">
        <v>3.99</v>
      </c>
    </row>
    <row r="1025">
      <c r="A1025" s="72" t="s">
        <v>29</v>
      </c>
      <c r="B1025" s="72"/>
      <c r="C1025" s="72">
        <v>431.0</v>
      </c>
      <c r="D1025" s="72" t="s">
        <v>1573</v>
      </c>
      <c r="E1025" s="72" t="s">
        <v>671</v>
      </c>
      <c r="F1025" s="167">
        <v>42123.0</v>
      </c>
      <c r="G1025" s="167">
        <v>42950.0</v>
      </c>
      <c r="H1025" s="167">
        <v>42950.0</v>
      </c>
      <c r="I1025" s="167">
        <v>42950.0</v>
      </c>
      <c r="J1025" s="165">
        <v>14.99</v>
      </c>
      <c r="K1025" s="165">
        <v>6.99</v>
      </c>
      <c r="L1025" s="165">
        <v>8.0</v>
      </c>
      <c r="M1025" s="72">
        <v>1.0</v>
      </c>
      <c r="N1025" s="165">
        <v>6.99</v>
      </c>
    </row>
    <row r="1026">
      <c r="A1026" s="72" t="s">
        <v>29</v>
      </c>
      <c r="B1026" s="72" t="s">
        <v>513</v>
      </c>
      <c r="C1026" s="72">
        <v>460.0</v>
      </c>
      <c r="D1026" s="72" t="s">
        <v>1574</v>
      </c>
      <c r="E1026" s="72" t="s">
        <v>671</v>
      </c>
      <c r="F1026" s="167">
        <v>42269.0</v>
      </c>
      <c r="G1026" s="167">
        <v>43295.0</v>
      </c>
      <c r="H1026" s="167">
        <v>43295.0</v>
      </c>
      <c r="I1026" s="167">
        <v>45005.0</v>
      </c>
      <c r="J1026" s="165">
        <v>10.99</v>
      </c>
      <c r="K1026" s="165">
        <v>10.99</v>
      </c>
      <c r="L1026" s="165">
        <v>0.0</v>
      </c>
      <c r="M1026" s="72">
        <v>10.0</v>
      </c>
      <c r="N1026" s="165">
        <v>1.1</v>
      </c>
    </row>
    <row r="1027">
      <c r="A1027" s="72" t="s">
        <v>29</v>
      </c>
      <c r="B1027" s="72" t="s">
        <v>609</v>
      </c>
      <c r="C1027" s="72">
        <v>473.0</v>
      </c>
      <c r="D1027" s="55" t="s">
        <v>1575</v>
      </c>
      <c r="E1027" s="55" t="s">
        <v>671</v>
      </c>
      <c r="F1027" s="167">
        <v>42283.0</v>
      </c>
      <c r="G1027" s="167">
        <v>42791.0</v>
      </c>
      <c r="H1027" s="167">
        <v>42792.0</v>
      </c>
      <c r="I1027" s="167">
        <v>45055.0</v>
      </c>
      <c r="J1027" s="165">
        <v>15.99</v>
      </c>
      <c r="K1027" s="165">
        <v>5.59</v>
      </c>
      <c r="L1027" s="165">
        <v>10.4</v>
      </c>
      <c r="M1027" s="72">
        <v>5.0</v>
      </c>
      <c r="N1027" s="165">
        <v>1.12</v>
      </c>
    </row>
    <row r="1028">
      <c r="A1028" s="39" t="s">
        <v>29</v>
      </c>
      <c r="B1028" s="39"/>
      <c r="C1028" s="72">
        <v>428.0</v>
      </c>
      <c r="D1028" s="72" t="s">
        <v>1576</v>
      </c>
      <c r="E1028" s="72" t="s">
        <v>671</v>
      </c>
      <c r="F1028" s="167">
        <v>42388.0</v>
      </c>
      <c r="G1028" s="167">
        <v>42950.0</v>
      </c>
      <c r="H1028" s="167">
        <v>45769.0</v>
      </c>
      <c r="I1028" s="167">
        <v>45772.0</v>
      </c>
      <c r="J1028" s="165">
        <v>9.99</v>
      </c>
      <c r="K1028" s="165">
        <v>3.99</v>
      </c>
      <c r="L1028" s="165">
        <v>6.0</v>
      </c>
      <c r="M1028" s="72">
        <v>12.0</v>
      </c>
      <c r="N1028" s="165">
        <v>0.33</v>
      </c>
    </row>
    <row r="1029">
      <c r="A1029" s="72" t="s">
        <v>29</v>
      </c>
      <c r="B1029" s="72"/>
      <c r="C1029" s="72">
        <v>435.0</v>
      </c>
      <c r="D1029" s="55" t="s">
        <v>1577</v>
      </c>
      <c r="E1029" s="55" t="s">
        <v>671</v>
      </c>
      <c r="F1029" s="167">
        <v>42451.0</v>
      </c>
      <c r="G1029" s="167">
        <v>42811.0</v>
      </c>
      <c r="H1029" s="167">
        <v>42851.0</v>
      </c>
      <c r="I1029" s="167">
        <v>42851.0</v>
      </c>
      <c r="J1029" s="165">
        <v>14.99</v>
      </c>
      <c r="K1029" s="165">
        <v>4.74</v>
      </c>
      <c r="L1029" s="165">
        <v>10.25</v>
      </c>
      <c r="M1029" s="72">
        <v>16.0</v>
      </c>
      <c r="N1029" s="165">
        <v>0.3</v>
      </c>
    </row>
    <row r="1030">
      <c r="A1030" s="72" t="s">
        <v>29</v>
      </c>
      <c r="B1030" s="72" t="s">
        <v>543</v>
      </c>
      <c r="C1030" s="72">
        <v>461.0</v>
      </c>
      <c r="D1030" s="55" t="s">
        <v>1578</v>
      </c>
      <c r="E1030" s="55" t="s">
        <v>671</v>
      </c>
      <c r="F1030" s="167">
        <v>42472.0</v>
      </c>
      <c r="G1030" s="167">
        <v>42950.0</v>
      </c>
      <c r="H1030" s="167">
        <v>42950.0</v>
      </c>
      <c r="I1030" s="167">
        <v>42950.0</v>
      </c>
      <c r="J1030" s="165">
        <v>8.99</v>
      </c>
      <c r="K1030" s="165">
        <v>3.99</v>
      </c>
      <c r="L1030" s="165">
        <v>5.0</v>
      </c>
      <c r="M1030" s="72">
        <v>1.0</v>
      </c>
      <c r="N1030" s="165">
        <v>3.99</v>
      </c>
    </row>
    <row r="1031">
      <c r="A1031" s="72" t="s">
        <v>29</v>
      </c>
      <c r="B1031" s="72" t="s">
        <v>537</v>
      </c>
      <c r="C1031" s="72">
        <v>432.0</v>
      </c>
      <c r="D1031" s="72" t="s">
        <v>1579</v>
      </c>
      <c r="E1031" s="72" t="s">
        <v>671</v>
      </c>
      <c r="F1031" s="167">
        <v>42613.0</v>
      </c>
      <c r="G1031" s="167">
        <v>42832.0</v>
      </c>
      <c r="H1031" s="167">
        <v>43080.0</v>
      </c>
      <c r="I1031" s="167">
        <v>44856.0</v>
      </c>
      <c r="J1031" s="165">
        <v>16.99</v>
      </c>
      <c r="K1031" s="165">
        <v>4.99</v>
      </c>
      <c r="L1031" s="165">
        <v>12.0</v>
      </c>
      <c r="M1031" s="72">
        <v>1.0</v>
      </c>
      <c r="N1031" s="165">
        <v>4.99</v>
      </c>
    </row>
    <row r="1032">
      <c r="A1032" s="72" t="s">
        <v>29</v>
      </c>
      <c r="B1032" s="72" t="s">
        <v>638</v>
      </c>
      <c r="C1032" s="72">
        <v>466.0</v>
      </c>
      <c r="D1032" s="72" t="s">
        <v>1580</v>
      </c>
      <c r="E1032" s="72" t="s">
        <v>671</v>
      </c>
      <c r="F1032" s="167">
        <v>42697.0</v>
      </c>
      <c r="G1032" s="167">
        <v>42887.0</v>
      </c>
      <c r="H1032" s="167">
        <v>42904.0</v>
      </c>
      <c r="I1032" s="167">
        <v>44485.0</v>
      </c>
      <c r="J1032" s="165">
        <v>14.99</v>
      </c>
      <c r="K1032" s="165">
        <v>4.99</v>
      </c>
      <c r="L1032" s="165">
        <v>10.0</v>
      </c>
      <c r="M1032" s="72">
        <v>3.0</v>
      </c>
      <c r="N1032" s="165">
        <v>1.66</v>
      </c>
    </row>
    <row r="1033">
      <c r="A1033" s="72" t="s">
        <v>29</v>
      </c>
      <c r="B1033" s="72" t="s">
        <v>508</v>
      </c>
      <c r="C1033" s="72">
        <v>485.0</v>
      </c>
      <c r="D1033" s="72" t="s">
        <v>1581</v>
      </c>
      <c r="E1033" s="72" t="s">
        <v>671</v>
      </c>
      <c r="F1033" s="167">
        <v>42773.0</v>
      </c>
      <c r="G1033" s="167">
        <v>44431.0</v>
      </c>
      <c r="H1033" s="167">
        <v>44486.0</v>
      </c>
      <c r="I1033" s="167">
        <v>44486.0</v>
      </c>
      <c r="J1033" s="165">
        <v>14.49</v>
      </c>
      <c r="K1033" s="165">
        <v>3.62</v>
      </c>
      <c r="L1033" s="165">
        <v>10.87</v>
      </c>
      <c r="M1033" s="72">
        <v>2.0</v>
      </c>
      <c r="N1033" s="165">
        <v>1.81</v>
      </c>
    </row>
    <row r="1034">
      <c r="A1034" s="72" t="s">
        <v>29</v>
      </c>
      <c r="B1034" s="72" t="s">
        <v>621</v>
      </c>
      <c r="C1034" s="72">
        <v>488.0</v>
      </c>
      <c r="D1034" s="72" t="s">
        <v>1582</v>
      </c>
      <c r="E1034" s="72" t="s">
        <v>671</v>
      </c>
      <c r="F1034" s="167">
        <v>42962.0</v>
      </c>
      <c r="G1034" s="167">
        <v>43091.0</v>
      </c>
      <c r="H1034" s="167">
        <v>43091.0</v>
      </c>
      <c r="I1034" s="167">
        <v>43091.0</v>
      </c>
      <c r="J1034" s="165">
        <v>14.99</v>
      </c>
      <c r="K1034" s="165">
        <v>8.99</v>
      </c>
      <c r="L1034" s="165">
        <v>6.0</v>
      </c>
      <c r="M1034" s="72">
        <v>1.0</v>
      </c>
      <c r="N1034" s="165">
        <v>8.99</v>
      </c>
    </row>
    <row r="1035">
      <c r="A1035" s="72" t="s">
        <v>29</v>
      </c>
      <c r="B1035" s="72" t="s">
        <v>568</v>
      </c>
      <c r="C1035" s="72">
        <v>477.0</v>
      </c>
      <c r="D1035" s="72" t="s">
        <v>1583</v>
      </c>
      <c r="E1035" s="72" t="s">
        <v>671</v>
      </c>
      <c r="F1035" s="167">
        <v>43894.0</v>
      </c>
      <c r="G1035" s="167">
        <v>43894.0</v>
      </c>
      <c r="H1035" s="167">
        <v>43894.0</v>
      </c>
      <c r="I1035" s="167">
        <v>45007.0</v>
      </c>
      <c r="J1035" s="165">
        <v>4.99</v>
      </c>
      <c r="K1035" s="165">
        <v>4.99</v>
      </c>
      <c r="L1035" s="165">
        <v>0.0</v>
      </c>
      <c r="M1035" s="72">
        <v>3.0</v>
      </c>
      <c r="N1035" s="165">
        <v>1.66</v>
      </c>
    </row>
    <row r="1036">
      <c r="A1036" s="72" t="s">
        <v>29</v>
      </c>
      <c r="B1036" s="72"/>
      <c r="C1036" s="72">
        <v>673.0</v>
      </c>
      <c r="D1036" s="72" t="s">
        <v>1584</v>
      </c>
      <c r="E1036" s="72" t="s">
        <v>33</v>
      </c>
      <c r="F1036" s="167">
        <v>41719.0</v>
      </c>
      <c r="G1036" s="167">
        <v>42700.0</v>
      </c>
      <c r="H1036" s="167">
        <v>42708.0</v>
      </c>
      <c r="I1036" s="167">
        <v>45159.0</v>
      </c>
      <c r="J1036" s="165">
        <v>25.0</v>
      </c>
      <c r="K1036" s="165">
        <v>6.99</v>
      </c>
      <c r="L1036" s="165">
        <v>18.01</v>
      </c>
      <c r="M1036" s="72">
        <v>25.0</v>
      </c>
      <c r="N1036" s="165">
        <v>0.28</v>
      </c>
    </row>
    <row r="1037">
      <c r="A1037" s="72" t="s">
        <v>29</v>
      </c>
      <c r="B1037" s="72" t="s">
        <v>640</v>
      </c>
      <c r="C1037" s="72">
        <v>775.0</v>
      </c>
      <c r="D1037" s="72" t="s">
        <v>1585</v>
      </c>
      <c r="E1037" s="72" t="s">
        <v>33</v>
      </c>
      <c r="F1037" s="167">
        <v>41752.0</v>
      </c>
      <c r="G1037" s="167">
        <v>42253.0</v>
      </c>
      <c r="H1037" s="167">
        <v>42253.0</v>
      </c>
      <c r="I1037" s="167">
        <v>44866.0</v>
      </c>
      <c r="J1037" s="165">
        <v>13.99</v>
      </c>
      <c r="K1037" s="165">
        <v>7.0</v>
      </c>
      <c r="L1037" s="165">
        <v>6.99</v>
      </c>
      <c r="M1037" s="72">
        <v>10.0</v>
      </c>
      <c r="N1037" s="165">
        <v>0.7</v>
      </c>
    </row>
    <row r="1038">
      <c r="A1038" s="72" t="s">
        <v>29</v>
      </c>
      <c r="B1038" s="72" t="s">
        <v>577</v>
      </c>
      <c r="C1038" s="72">
        <v>609.0</v>
      </c>
      <c r="D1038" s="72" t="s">
        <v>1586</v>
      </c>
      <c r="E1038" s="72" t="s">
        <v>33</v>
      </c>
      <c r="F1038" s="167">
        <v>41800.0</v>
      </c>
      <c r="G1038" s="167">
        <v>42925.0</v>
      </c>
      <c r="H1038" s="167">
        <v>42925.0</v>
      </c>
      <c r="I1038" s="167">
        <v>42925.0</v>
      </c>
      <c r="J1038" s="165">
        <v>7.99</v>
      </c>
      <c r="K1038" s="165">
        <v>1.99</v>
      </c>
      <c r="L1038" s="165">
        <v>6.0</v>
      </c>
      <c r="M1038" s="72">
        <v>1.0</v>
      </c>
      <c r="N1038" s="165">
        <v>1.99</v>
      </c>
    </row>
    <row r="1039">
      <c r="A1039" s="72" t="s">
        <v>29</v>
      </c>
      <c r="B1039" s="72"/>
      <c r="C1039" s="72">
        <v>674.0</v>
      </c>
      <c r="D1039" s="72" t="s">
        <v>1587</v>
      </c>
      <c r="E1039" s="72" t="s">
        <v>33</v>
      </c>
      <c r="F1039" s="167">
        <v>41878.0</v>
      </c>
      <c r="G1039" s="167">
        <v>42700.0</v>
      </c>
      <c r="H1039" s="167">
        <v>45159.0</v>
      </c>
      <c r="I1039" s="167">
        <v>45160.0</v>
      </c>
      <c r="J1039" s="165">
        <v>24.99</v>
      </c>
      <c r="K1039" s="165">
        <v>7.99</v>
      </c>
      <c r="L1039" s="165">
        <v>17.0</v>
      </c>
      <c r="M1039" s="72">
        <v>9.0</v>
      </c>
      <c r="N1039" s="165">
        <v>0.89</v>
      </c>
    </row>
    <row r="1040">
      <c r="A1040" s="72" t="s">
        <v>29</v>
      </c>
      <c r="B1040" s="72"/>
      <c r="C1040" s="72">
        <v>637.0</v>
      </c>
      <c r="D1040" s="72" t="s">
        <v>1588</v>
      </c>
      <c r="E1040" s="72" t="s">
        <v>33</v>
      </c>
      <c r="F1040" s="167">
        <v>41976.0</v>
      </c>
      <c r="G1040" s="167">
        <v>42834.0</v>
      </c>
      <c r="H1040" s="167">
        <v>42834.0</v>
      </c>
      <c r="I1040" s="167">
        <v>43021.0</v>
      </c>
      <c r="J1040" s="165">
        <v>14.99</v>
      </c>
      <c r="K1040" s="165">
        <v>14.99</v>
      </c>
      <c r="L1040" s="165">
        <v>0.0</v>
      </c>
      <c r="M1040" s="72">
        <v>30.0</v>
      </c>
      <c r="N1040" s="165">
        <v>0.5</v>
      </c>
    </row>
    <row r="1041">
      <c r="A1041" s="72" t="s">
        <v>29</v>
      </c>
      <c r="B1041" s="72" t="s">
        <v>601</v>
      </c>
      <c r="C1041" s="72">
        <v>902.0</v>
      </c>
      <c r="D1041" s="72" t="s">
        <v>1589</v>
      </c>
      <c r="E1041" s="72" t="s">
        <v>33</v>
      </c>
      <c r="F1041" s="167">
        <v>41990.0</v>
      </c>
      <c r="G1041" s="167">
        <v>42635.0</v>
      </c>
      <c r="H1041" s="167">
        <v>42635.0</v>
      </c>
      <c r="I1041" s="167">
        <v>42635.0</v>
      </c>
      <c r="J1041" s="165">
        <v>39.99</v>
      </c>
      <c r="K1041" s="165">
        <v>5.99</v>
      </c>
      <c r="L1041" s="165">
        <v>34.0</v>
      </c>
      <c r="M1041" s="72">
        <v>1.0</v>
      </c>
      <c r="N1041" s="165">
        <v>5.99</v>
      </c>
    </row>
    <row r="1042">
      <c r="A1042" s="72" t="s">
        <v>29</v>
      </c>
      <c r="B1042" s="72"/>
      <c r="C1042" s="72">
        <v>757.0</v>
      </c>
      <c r="D1042" s="72" t="s">
        <v>1590</v>
      </c>
      <c r="E1042" s="72" t="s">
        <v>33</v>
      </c>
      <c r="F1042" s="167">
        <v>42108.0</v>
      </c>
      <c r="G1042" s="167">
        <v>44334.0</v>
      </c>
      <c r="H1042" s="167">
        <v>44334.0</v>
      </c>
      <c r="I1042" s="167">
        <v>44334.0</v>
      </c>
      <c r="J1042" s="165">
        <v>19.99</v>
      </c>
      <c r="K1042" s="165">
        <v>0.0</v>
      </c>
      <c r="L1042" s="165">
        <v>19.99</v>
      </c>
      <c r="M1042" s="72">
        <v>1.0</v>
      </c>
      <c r="N1042" s="165">
        <v>0.0</v>
      </c>
    </row>
    <row r="1043">
      <c r="A1043" s="72" t="s">
        <v>29</v>
      </c>
      <c r="B1043" s="72" t="s">
        <v>581</v>
      </c>
      <c r="C1043" s="72">
        <v>818.0</v>
      </c>
      <c r="D1043" s="72" t="s">
        <v>1591</v>
      </c>
      <c r="E1043" s="72" t="s">
        <v>33</v>
      </c>
      <c r="F1043" s="167">
        <v>42192.0</v>
      </c>
      <c r="G1043" s="167">
        <v>42754.0</v>
      </c>
      <c r="H1043" s="167">
        <v>42760.0</v>
      </c>
      <c r="I1043" s="167">
        <v>45809.0</v>
      </c>
      <c r="J1043" s="165">
        <v>34.58</v>
      </c>
      <c r="K1043" s="165">
        <v>26.58</v>
      </c>
      <c r="L1043" s="165">
        <v>8.0</v>
      </c>
      <c r="M1043" s="72">
        <v>260.0</v>
      </c>
      <c r="N1043" s="165">
        <v>0.1</v>
      </c>
    </row>
    <row r="1044">
      <c r="A1044" s="72" t="s">
        <v>29</v>
      </c>
      <c r="B1044" s="72" t="s">
        <v>623</v>
      </c>
      <c r="C1044" s="72">
        <v>539.0</v>
      </c>
      <c r="D1044" s="72" t="s">
        <v>1592</v>
      </c>
      <c r="E1044" s="72" t="s">
        <v>33</v>
      </c>
      <c r="F1044" s="167">
        <v>42314.0</v>
      </c>
      <c r="G1044" s="167">
        <v>44590.0</v>
      </c>
      <c r="H1044" s="167">
        <v>44590.0</v>
      </c>
      <c r="I1044" s="167">
        <v>44590.0</v>
      </c>
      <c r="J1044" s="165">
        <v>69.99</v>
      </c>
      <c r="K1044" s="165">
        <v>0.0</v>
      </c>
      <c r="L1044" s="165">
        <v>69.99</v>
      </c>
      <c r="M1044" s="72">
        <v>1.0</v>
      </c>
      <c r="N1044" s="165">
        <v>0.0</v>
      </c>
    </row>
    <row r="1045">
      <c r="A1045" s="72" t="s">
        <v>29</v>
      </c>
      <c r="B1045" s="72" t="s">
        <v>498</v>
      </c>
      <c r="C1045" s="72">
        <v>617.0</v>
      </c>
      <c r="D1045" s="72" t="s">
        <v>1593</v>
      </c>
      <c r="E1045" s="72" t="s">
        <v>33</v>
      </c>
      <c r="F1045" s="167">
        <v>42318.0</v>
      </c>
      <c r="G1045" s="167">
        <v>43668.0</v>
      </c>
      <c r="H1045" s="167">
        <v>44197.0</v>
      </c>
      <c r="I1045" s="167">
        <v>44208.0</v>
      </c>
      <c r="J1045" s="165">
        <v>19.99</v>
      </c>
      <c r="K1045" s="165">
        <v>12.99</v>
      </c>
      <c r="L1045" s="165">
        <v>7.0</v>
      </c>
      <c r="M1045" s="72">
        <v>56.0</v>
      </c>
      <c r="N1045" s="165">
        <v>0.23</v>
      </c>
    </row>
    <row r="1046">
      <c r="A1046" s="72" t="s">
        <v>29</v>
      </c>
      <c r="B1046" s="72"/>
      <c r="C1046" s="72">
        <v>624.0</v>
      </c>
      <c r="D1046" s="72" t="s">
        <v>1594</v>
      </c>
      <c r="E1046" s="72" t="s">
        <v>33</v>
      </c>
      <c r="F1046" s="167">
        <v>42343.0</v>
      </c>
      <c r="G1046" s="167">
        <v>42650.0</v>
      </c>
      <c r="H1046" s="167">
        <v>42828.0</v>
      </c>
      <c r="I1046" s="167">
        <v>44188.0</v>
      </c>
      <c r="J1046" s="55">
        <v>19.99</v>
      </c>
      <c r="K1046" s="55">
        <v>9.99</v>
      </c>
      <c r="L1046" s="165">
        <v>10.0</v>
      </c>
      <c r="M1046" s="72">
        <v>19.0</v>
      </c>
      <c r="N1046" s="165">
        <v>0.53</v>
      </c>
    </row>
    <row r="1047">
      <c r="A1047" s="72" t="s">
        <v>29</v>
      </c>
      <c r="B1047" s="72" t="s">
        <v>540</v>
      </c>
      <c r="C1047" s="72">
        <v>509.0</v>
      </c>
      <c r="D1047" s="72" t="s">
        <v>1595</v>
      </c>
      <c r="E1047" s="72" t="s">
        <v>33</v>
      </c>
      <c r="F1047" s="167">
        <v>42374.0</v>
      </c>
      <c r="G1047" s="167">
        <v>42754.0</v>
      </c>
      <c r="H1047" s="167">
        <v>43140.0</v>
      </c>
      <c r="I1047" s="167">
        <v>45794.0</v>
      </c>
      <c r="J1047" s="165">
        <v>19.99</v>
      </c>
      <c r="K1047" s="165">
        <v>9.99</v>
      </c>
      <c r="L1047" s="165">
        <v>10.0</v>
      </c>
      <c r="M1047" s="72">
        <v>3.0</v>
      </c>
      <c r="N1047" s="165">
        <v>3.33</v>
      </c>
    </row>
    <row r="1048">
      <c r="A1048" s="72" t="s">
        <v>29</v>
      </c>
      <c r="B1048" s="72" t="s">
        <v>618</v>
      </c>
      <c r="C1048" s="72">
        <v>930.0</v>
      </c>
      <c r="D1048" s="72" t="s">
        <v>1596</v>
      </c>
      <c r="E1048" s="72" t="s">
        <v>33</v>
      </c>
      <c r="F1048" s="167">
        <v>42395.0</v>
      </c>
      <c r="G1048" s="167">
        <v>42951.0</v>
      </c>
      <c r="H1048" s="167">
        <v>42951.0</v>
      </c>
      <c r="I1048" s="167">
        <v>42951.0</v>
      </c>
      <c r="J1048" s="165">
        <v>36.99</v>
      </c>
      <c r="K1048" s="165">
        <v>8.44</v>
      </c>
      <c r="L1048" s="165">
        <v>28.55</v>
      </c>
      <c r="M1048" s="72">
        <v>1.0</v>
      </c>
      <c r="N1048" s="165">
        <v>8.44</v>
      </c>
    </row>
    <row r="1049">
      <c r="A1049" s="72" t="s">
        <v>29</v>
      </c>
      <c r="B1049" s="72" t="s">
        <v>516</v>
      </c>
      <c r="C1049" s="72">
        <v>608.0</v>
      </c>
      <c r="D1049" s="72" t="s">
        <v>1597</v>
      </c>
      <c r="E1049" s="72" t="s">
        <v>33</v>
      </c>
      <c r="F1049" s="167">
        <v>42465.0</v>
      </c>
      <c r="G1049" s="167">
        <v>42754.0</v>
      </c>
      <c r="H1049" s="167">
        <v>42939.0</v>
      </c>
      <c r="I1049" s="167">
        <v>44432.0</v>
      </c>
      <c r="J1049" s="165">
        <v>14.99</v>
      </c>
      <c r="K1049" s="165">
        <v>7.49</v>
      </c>
      <c r="L1049" s="165">
        <v>7.5</v>
      </c>
      <c r="M1049" s="72">
        <v>17.0</v>
      </c>
      <c r="N1049" s="165">
        <v>0.44</v>
      </c>
    </row>
    <row r="1050">
      <c r="A1050" s="72" t="s">
        <v>29</v>
      </c>
      <c r="B1050" s="72"/>
      <c r="C1050" s="72">
        <v>805.0</v>
      </c>
      <c r="D1050" s="72" t="s">
        <v>1598</v>
      </c>
      <c r="E1050" s="72" t="s">
        <v>33</v>
      </c>
      <c r="F1050" s="167">
        <v>42480.0</v>
      </c>
      <c r="G1050" s="167">
        <v>43091.0</v>
      </c>
      <c r="H1050" s="167">
        <v>43092.0</v>
      </c>
      <c r="I1050" s="167">
        <v>44135.0</v>
      </c>
      <c r="J1050" s="165">
        <v>39.99</v>
      </c>
      <c r="K1050" s="165">
        <v>16.49</v>
      </c>
      <c r="L1050" s="165">
        <v>23.5</v>
      </c>
      <c r="M1050" s="72">
        <v>28.0</v>
      </c>
      <c r="N1050" s="165">
        <v>0.59</v>
      </c>
    </row>
    <row r="1051">
      <c r="A1051" s="72" t="s">
        <v>29</v>
      </c>
      <c r="B1051" s="72"/>
      <c r="C1051" s="72">
        <v>834.0</v>
      </c>
      <c r="D1051" s="72" t="s">
        <v>1599</v>
      </c>
      <c r="E1051" s="72" t="s">
        <v>33</v>
      </c>
      <c r="F1051" s="167">
        <v>42480.0</v>
      </c>
      <c r="G1051" s="167">
        <v>43275.0</v>
      </c>
      <c r="H1051" s="167">
        <v>43280.0</v>
      </c>
      <c r="I1051" s="167">
        <v>43282.0</v>
      </c>
      <c r="J1051" s="165">
        <v>19.99</v>
      </c>
      <c r="K1051" s="165">
        <v>19.99</v>
      </c>
      <c r="L1051" s="165">
        <v>0.0</v>
      </c>
      <c r="M1051" s="72">
        <v>15.0</v>
      </c>
      <c r="N1051" s="165">
        <v>1.33</v>
      </c>
    </row>
    <row r="1052">
      <c r="A1052" s="72" t="s">
        <v>29</v>
      </c>
      <c r="B1052" s="72"/>
      <c r="C1052" s="72">
        <v>952.0</v>
      </c>
      <c r="D1052" s="72" t="s">
        <v>1600</v>
      </c>
      <c r="E1052" s="72" t="s">
        <v>33</v>
      </c>
      <c r="F1052" s="167">
        <v>42500.0</v>
      </c>
      <c r="G1052" s="167">
        <v>42615.0</v>
      </c>
      <c r="H1052" s="167">
        <v>42615.0</v>
      </c>
      <c r="I1052" s="167">
        <v>45152.0</v>
      </c>
      <c r="J1052" s="165">
        <v>69.99</v>
      </c>
      <c r="K1052" s="165">
        <v>22.99</v>
      </c>
      <c r="L1052" s="165">
        <v>47.0</v>
      </c>
      <c r="M1052" s="72">
        <v>75.0</v>
      </c>
      <c r="N1052" s="165">
        <v>0.31</v>
      </c>
    </row>
    <row r="1053">
      <c r="A1053" s="72" t="s">
        <v>29</v>
      </c>
      <c r="B1053" s="72" t="s">
        <v>566</v>
      </c>
      <c r="C1053" s="72">
        <v>785.0</v>
      </c>
      <c r="D1053" s="55" t="s">
        <v>1601</v>
      </c>
      <c r="E1053" s="55" t="s">
        <v>33</v>
      </c>
      <c r="F1053" s="167">
        <v>42521.0</v>
      </c>
      <c r="G1053" s="167">
        <v>42954.0</v>
      </c>
      <c r="H1053" s="167">
        <v>44856.0</v>
      </c>
      <c r="I1053" s="167">
        <v>44858.0</v>
      </c>
      <c r="J1053" s="165">
        <v>9.99</v>
      </c>
      <c r="K1053" s="165">
        <v>4.99</v>
      </c>
      <c r="L1053" s="165">
        <v>5.0</v>
      </c>
      <c r="M1053" s="72">
        <v>15.0</v>
      </c>
      <c r="N1053" s="165">
        <v>0.33</v>
      </c>
    </row>
    <row r="1054">
      <c r="A1054" s="72" t="s">
        <v>29</v>
      </c>
      <c r="B1054" s="72" t="s">
        <v>527</v>
      </c>
      <c r="C1054" s="72">
        <v>642.0</v>
      </c>
      <c r="D1054" s="72" t="s">
        <v>1602</v>
      </c>
      <c r="E1054" s="72" t="s">
        <v>33</v>
      </c>
      <c r="F1054" s="167">
        <v>42566.0</v>
      </c>
      <c r="G1054" s="167">
        <v>43275.0</v>
      </c>
      <c r="H1054" s="167">
        <v>43407.0</v>
      </c>
      <c r="I1054" s="167">
        <v>44842.0</v>
      </c>
      <c r="J1054" s="165">
        <v>29.99</v>
      </c>
      <c r="K1054" s="165">
        <v>7.99</v>
      </c>
      <c r="L1054" s="165">
        <v>22.0</v>
      </c>
      <c r="M1054" s="72">
        <v>9.0</v>
      </c>
      <c r="N1054" s="165">
        <v>0.89</v>
      </c>
    </row>
    <row r="1055">
      <c r="A1055" s="72" t="s">
        <v>29</v>
      </c>
      <c r="B1055" s="72" t="s">
        <v>630</v>
      </c>
      <c r="C1055" s="72">
        <v>815.0</v>
      </c>
      <c r="D1055" s="72" t="s">
        <v>1603</v>
      </c>
      <c r="E1055" s="72" t="s">
        <v>33</v>
      </c>
      <c r="F1055" s="167">
        <v>42577.0</v>
      </c>
      <c r="G1055" s="167">
        <v>42951.0</v>
      </c>
      <c r="H1055" s="167">
        <v>43450.0</v>
      </c>
      <c r="I1055" s="167">
        <v>45306.0</v>
      </c>
      <c r="J1055" s="165">
        <v>9.99</v>
      </c>
      <c r="K1055" s="165">
        <v>3.99</v>
      </c>
      <c r="L1055" s="165">
        <v>6.0</v>
      </c>
      <c r="M1055" s="72">
        <v>18.0</v>
      </c>
      <c r="N1055" s="165">
        <v>0.22</v>
      </c>
    </row>
    <row r="1056">
      <c r="A1056" s="72" t="s">
        <v>29</v>
      </c>
      <c r="B1056" s="72" t="s">
        <v>522</v>
      </c>
      <c r="C1056" s="72">
        <v>574.0</v>
      </c>
      <c r="D1056" s="72" t="s">
        <v>1604</v>
      </c>
      <c r="E1056" s="72" t="s">
        <v>33</v>
      </c>
      <c r="F1056" s="167">
        <v>42583.0</v>
      </c>
      <c r="G1056" s="167">
        <v>42750.0</v>
      </c>
      <c r="H1056" s="167">
        <v>42851.0</v>
      </c>
      <c r="I1056" s="167">
        <v>45412.0</v>
      </c>
      <c r="J1056" s="165">
        <v>4.99</v>
      </c>
      <c r="K1056" s="165">
        <v>2.99</v>
      </c>
      <c r="L1056" s="165">
        <v>2.0</v>
      </c>
      <c r="M1056" s="72">
        <v>1.0</v>
      </c>
      <c r="N1056" s="165">
        <v>2.99</v>
      </c>
    </row>
    <row r="1057">
      <c r="A1057" s="72" t="s">
        <v>29</v>
      </c>
      <c r="B1057" s="72"/>
      <c r="C1057" s="72">
        <v>521.0</v>
      </c>
      <c r="D1057" s="72" t="s">
        <v>1605</v>
      </c>
      <c r="E1057" s="72" t="s">
        <v>33</v>
      </c>
      <c r="F1057" s="167">
        <v>42584.0</v>
      </c>
      <c r="G1057" s="167">
        <v>42700.0</v>
      </c>
      <c r="H1057" s="167">
        <v>42715.0</v>
      </c>
      <c r="I1057" s="167">
        <v>42822.0</v>
      </c>
      <c r="J1057" s="165">
        <v>19.99</v>
      </c>
      <c r="K1057" s="165">
        <v>19.99</v>
      </c>
      <c r="L1057" s="165">
        <v>0.0</v>
      </c>
      <c r="M1057" s="72">
        <v>21.0</v>
      </c>
      <c r="N1057" s="165">
        <v>0.95</v>
      </c>
    </row>
    <row r="1058">
      <c r="A1058" s="72" t="s">
        <v>29</v>
      </c>
      <c r="B1058" s="72" t="s">
        <v>534</v>
      </c>
      <c r="C1058" s="72">
        <v>503.0</v>
      </c>
      <c r="D1058" s="72" t="s">
        <v>1606</v>
      </c>
      <c r="E1058" s="72" t="s">
        <v>33</v>
      </c>
      <c r="F1058" s="167">
        <v>42584.0</v>
      </c>
      <c r="G1058" s="167">
        <v>44432.0</v>
      </c>
      <c r="H1058" s="167">
        <v>44432.0</v>
      </c>
      <c r="I1058" s="167">
        <v>44432.0</v>
      </c>
      <c r="J1058" s="165">
        <v>19.99</v>
      </c>
      <c r="K1058" s="165">
        <v>0.0</v>
      </c>
      <c r="L1058" s="165">
        <v>19.99</v>
      </c>
      <c r="M1058" s="72">
        <v>2.0</v>
      </c>
      <c r="N1058" s="165">
        <v>0.0</v>
      </c>
    </row>
    <row r="1059">
      <c r="A1059" s="72" t="s">
        <v>29</v>
      </c>
      <c r="B1059" s="72" t="s">
        <v>576</v>
      </c>
      <c r="C1059" s="72">
        <v>513.0</v>
      </c>
      <c r="D1059" s="72" t="s">
        <v>1607</v>
      </c>
      <c r="E1059" s="72" t="s">
        <v>33</v>
      </c>
      <c r="F1059" s="167">
        <v>42605.0</v>
      </c>
      <c r="G1059" s="167">
        <v>44180.0</v>
      </c>
      <c r="H1059" s="167">
        <v>44180.0</v>
      </c>
      <c r="I1059" s="167">
        <v>44180.0</v>
      </c>
      <c r="J1059" s="165">
        <v>9.99</v>
      </c>
      <c r="K1059" s="165">
        <v>1.99</v>
      </c>
      <c r="L1059" s="165">
        <v>8.0</v>
      </c>
      <c r="M1059" s="72">
        <v>2.0</v>
      </c>
      <c r="N1059" s="165">
        <v>1.0</v>
      </c>
    </row>
    <row r="1060">
      <c r="A1060" s="72" t="s">
        <v>29</v>
      </c>
      <c r="B1060" s="72"/>
      <c r="C1060" s="72">
        <v>976.0</v>
      </c>
      <c r="D1060" s="72" t="s">
        <v>1608</v>
      </c>
      <c r="E1060" s="72" t="s">
        <v>33</v>
      </c>
      <c r="F1060" s="167">
        <v>42643.0</v>
      </c>
      <c r="G1060" s="167">
        <v>44063.0</v>
      </c>
      <c r="H1060" s="167">
        <v>44063.0</v>
      </c>
      <c r="I1060" s="167">
        <v>44063.0</v>
      </c>
      <c r="J1060" s="165">
        <v>49.99</v>
      </c>
      <c r="K1060" s="165">
        <v>12.49</v>
      </c>
      <c r="L1060" s="165">
        <v>37.5</v>
      </c>
      <c r="M1060" s="72">
        <v>1.0</v>
      </c>
      <c r="N1060" s="165">
        <v>12.49</v>
      </c>
    </row>
    <row r="1061">
      <c r="A1061" s="72" t="s">
        <v>29</v>
      </c>
      <c r="B1061" s="72" t="s">
        <v>538</v>
      </c>
      <c r="C1061" s="72">
        <v>720.0</v>
      </c>
      <c r="D1061" s="72" t="s">
        <v>1609</v>
      </c>
      <c r="E1061" s="72" t="s">
        <v>33</v>
      </c>
      <c r="F1061" s="167">
        <v>42650.0</v>
      </c>
      <c r="G1061" s="167">
        <v>43937.0</v>
      </c>
      <c r="H1061" s="167">
        <v>43937.0</v>
      </c>
      <c r="I1061" s="167">
        <v>43937.0</v>
      </c>
      <c r="J1061" s="165">
        <v>39.99</v>
      </c>
      <c r="K1061" s="165">
        <v>9.99</v>
      </c>
      <c r="L1061" s="165">
        <v>30.0</v>
      </c>
      <c r="M1061" s="72">
        <v>1.0</v>
      </c>
      <c r="N1061" s="165">
        <v>9.99</v>
      </c>
    </row>
    <row r="1062">
      <c r="A1062" s="72" t="s">
        <v>29</v>
      </c>
      <c r="B1062" s="72"/>
      <c r="C1062" s="72">
        <v>816.0</v>
      </c>
      <c r="D1062" s="72" t="s">
        <v>1610</v>
      </c>
      <c r="E1062" s="72" t="s">
        <v>33</v>
      </c>
      <c r="F1062" s="167">
        <v>42654.0</v>
      </c>
      <c r="G1062" s="167">
        <v>43275.0</v>
      </c>
      <c r="H1062" s="167">
        <v>43278.0</v>
      </c>
      <c r="I1062" s="167">
        <v>45264.0</v>
      </c>
      <c r="J1062" s="165">
        <v>29.99</v>
      </c>
      <c r="K1062" s="165">
        <v>14.99</v>
      </c>
      <c r="L1062" s="165">
        <v>15.0</v>
      </c>
      <c r="M1062" s="72">
        <v>52.0</v>
      </c>
      <c r="N1062" s="165">
        <v>0.29</v>
      </c>
    </row>
    <row r="1063">
      <c r="A1063" s="48" t="s">
        <v>29</v>
      </c>
      <c r="B1063" s="48" t="s">
        <v>506</v>
      </c>
      <c r="C1063" s="48">
        <v>858.0</v>
      </c>
      <c r="D1063" s="48" t="s">
        <v>1611</v>
      </c>
      <c r="E1063" s="48" t="s">
        <v>33</v>
      </c>
      <c r="F1063" s="41">
        <v>42717.0</v>
      </c>
      <c r="G1063" s="41">
        <v>42950.0</v>
      </c>
      <c r="H1063" s="41">
        <v>44151.0</v>
      </c>
      <c r="I1063" s="41">
        <v>46012.0</v>
      </c>
      <c r="J1063" s="71">
        <v>14.99</v>
      </c>
      <c r="K1063" s="71">
        <v>7.99</v>
      </c>
      <c r="L1063" s="71">
        <v>7.0</v>
      </c>
      <c r="M1063" s="48">
        <v>147.0</v>
      </c>
      <c r="N1063" s="71">
        <v>0.05435374149659864</v>
      </c>
    </row>
    <row r="1064">
      <c r="A1064" s="72" t="s">
        <v>29</v>
      </c>
      <c r="B1064" s="72"/>
      <c r="C1064" s="72">
        <v>927.0</v>
      </c>
      <c r="D1064" s="72" t="s">
        <v>1612</v>
      </c>
      <c r="E1064" s="72" t="s">
        <v>33</v>
      </c>
      <c r="F1064" s="167">
        <v>42724.0</v>
      </c>
      <c r="G1064" s="167">
        <v>43377.0</v>
      </c>
      <c r="H1064" s="167">
        <v>44842.0</v>
      </c>
      <c r="I1064" s="167">
        <v>44845.0</v>
      </c>
      <c r="J1064" s="165">
        <v>29.99</v>
      </c>
      <c r="K1064" s="165">
        <v>29.99</v>
      </c>
      <c r="L1064" s="165">
        <v>0.0</v>
      </c>
      <c r="M1064" s="72">
        <v>6.0</v>
      </c>
      <c r="N1064" s="165">
        <v>5.0</v>
      </c>
    </row>
    <row r="1065">
      <c r="A1065" s="72" t="s">
        <v>29</v>
      </c>
      <c r="B1065" s="72" t="s">
        <v>616</v>
      </c>
      <c r="C1065" s="72">
        <v>913.0</v>
      </c>
      <c r="D1065" s="72" t="s">
        <v>1613</v>
      </c>
      <c r="E1065" s="72" t="s">
        <v>33</v>
      </c>
      <c r="F1065" s="167">
        <v>42752.0</v>
      </c>
      <c r="G1065" s="167">
        <v>43964.0</v>
      </c>
      <c r="H1065" s="167">
        <v>44039.0</v>
      </c>
      <c r="I1065" s="167">
        <v>44041.0</v>
      </c>
      <c r="J1065" s="165">
        <v>14.99</v>
      </c>
      <c r="K1065" s="165">
        <v>4.49</v>
      </c>
      <c r="L1065" s="165">
        <v>10.5</v>
      </c>
      <c r="M1065" s="72">
        <v>9.0</v>
      </c>
      <c r="N1065" s="165">
        <v>0.5</v>
      </c>
    </row>
    <row r="1066">
      <c r="A1066" s="72" t="s">
        <v>29</v>
      </c>
      <c r="B1066" s="72"/>
      <c r="C1066" s="72">
        <v>725.0</v>
      </c>
      <c r="D1066" s="72" t="s">
        <v>1614</v>
      </c>
      <c r="E1066" s="72" t="s">
        <v>33</v>
      </c>
      <c r="F1066" s="167">
        <v>42843.0</v>
      </c>
      <c r="G1066" s="167">
        <v>42969.0</v>
      </c>
      <c r="H1066" s="167">
        <v>42994.0</v>
      </c>
      <c r="I1066" s="167">
        <v>44395.0</v>
      </c>
      <c r="J1066" s="165">
        <v>14.99</v>
      </c>
      <c r="K1066" s="165">
        <v>14.99</v>
      </c>
      <c r="L1066" s="165">
        <v>0.0</v>
      </c>
      <c r="M1066" s="72">
        <v>9.0</v>
      </c>
      <c r="N1066" s="165">
        <v>1.67</v>
      </c>
    </row>
    <row r="1067">
      <c r="A1067" s="72" t="s">
        <v>29</v>
      </c>
      <c r="B1067" s="72"/>
      <c r="C1067" s="72">
        <v>676.0</v>
      </c>
      <c r="D1067" s="72" t="s">
        <v>1615</v>
      </c>
      <c r="E1067" s="72" t="s">
        <v>33</v>
      </c>
      <c r="F1067" s="167">
        <v>42874.0</v>
      </c>
      <c r="G1067" s="167">
        <v>44839.0</v>
      </c>
      <c r="H1067" s="167">
        <v>44839.0</v>
      </c>
      <c r="I1067" s="167">
        <v>44839.0</v>
      </c>
      <c r="J1067" s="165">
        <v>19.99</v>
      </c>
      <c r="K1067" s="165">
        <v>0.0</v>
      </c>
      <c r="L1067" s="165">
        <v>19.99</v>
      </c>
      <c r="M1067" s="72">
        <v>1.0</v>
      </c>
      <c r="N1067" s="165">
        <v>0.0</v>
      </c>
    </row>
    <row r="1068">
      <c r="A1068" s="72" t="s">
        <v>29</v>
      </c>
      <c r="B1068" s="72" t="s">
        <v>632</v>
      </c>
      <c r="C1068" s="72">
        <v>557.0</v>
      </c>
      <c r="D1068" s="72" t="s">
        <v>1616</v>
      </c>
      <c r="E1068" s="72" t="s">
        <v>33</v>
      </c>
      <c r="F1068" s="167">
        <v>42916.0</v>
      </c>
      <c r="G1068" s="167">
        <v>42799.0</v>
      </c>
      <c r="H1068" s="167">
        <v>42916.0</v>
      </c>
      <c r="I1068" s="167">
        <v>44127.0</v>
      </c>
      <c r="J1068" s="165">
        <v>13.33</v>
      </c>
      <c r="K1068" s="165">
        <v>13.33</v>
      </c>
      <c r="L1068" s="165">
        <v>0.0</v>
      </c>
      <c r="M1068" s="72">
        <v>14.0</v>
      </c>
      <c r="N1068" s="165">
        <v>0.95</v>
      </c>
    </row>
    <row r="1069">
      <c r="A1069" s="72" t="s">
        <v>29</v>
      </c>
      <c r="B1069" s="72"/>
      <c r="C1069" s="72">
        <v>558.0</v>
      </c>
      <c r="D1069" s="72" t="s">
        <v>1617</v>
      </c>
      <c r="E1069" s="72" t="s">
        <v>33</v>
      </c>
      <c r="F1069" s="167">
        <v>42916.0</v>
      </c>
      <c r="G1069" s="167">
        <v>42799.0</v>
      </c>
      <c r="H1069" s="167">
        <v>42919.0</v>
      </c>
      <c r="I1069" s="167">
        <v>44123.0</v>
      </c>
      <c r="J1069" s="165">
        <v>13.33</v>
      </c>
      <c r="K1069" s="165">
        <v>13.33</v>
      </c>
      <c r="L1069" s="165">
        <v>0.0</v>
      </c>
      <c r="M1069" s="72">
        <v>14.0</v>
      </c>
      <c r="N1069" s="165">
        <v>0.95</v>
      </c>
    </row>
    <row r="1070">
      <c r="A1070" s="72" t="s">
        <v>29</v>
      </c>
      <c r="B1070" s="72"/>
      <c r="C1070" s="72">
        <v>559.0</v>
      </c>
      <c r="D1070" s="72" t="s">
        <v>1618</v>
      </c>
      <c r="E1070" s="72" t="s">
        <v>33</v>
      </c>
      <c r="F1070" s="167">
        <v>42916.0</v>
      </c>
      <c r="G1070" s="167">
        <v>42799.0</v>
      </c>
      <c r="H1070" s="167">
        <v>42920.0</v>
      </c>
      <c r="I1070" s="167">
        <v>44116.0</v>
      </c>
      <c r="J1070" s="165">
        <v>13.33</v>
      </c>
      <c r="K1070" s="165">
        <v>13.33</v>
      </c>
      <c r="L1070" s="165">
        <v>0.0</v>
      </c>
      <c r="M1070" s="72">
        <v>13.0</v>
      </c>
      <c r="N1070" s="165">
        <v>1.03</v>
      </c>
    </row>
    <row r="1071">
      <c r="A1071" s="72" t="s">
        <v>29</v>
      </c>
      <c r="B1071" s="72" t="s">
        <v>562</v>
      </c>
      <c r="C1071" s="72">
        <v>518.0</v>
      </c>
      <c r="D1071" s="72" t="s">
        <v>1619</v>
      </c>
      <c r="E1071" s="72" t="s">
        <v>33</v>
      </c>
      <c r="F1071" s="167">
        <v>42941.0</v>
      </c>
      <c r="G1071" s="167">
        <v>43903.0</v>
      </c>
      <c r="H1071" s="167">
        <v>43903.0</v>
      </c>
      <c r="I1071" s="167">
        <v>43903.0</v>
      </c>
      <c r="J1071" s="165">
        <v>29.99</v>
      </c>
      <c r="K1071" s="165">
        <v>14.99</v>
      </c>
      <c r="L1071" s="165">
        <v>15.0</v>
      </c>
      <c r="M1071" s="72">
        <v>2.0</v>
      </c>
      <c r="N1071" s="165">
        <v>7.5</v>
      </c>
    </row>
    <row r="1072">
      <c r="A1072" s="72" t="s">
        <v>29</v>
      </c>
      <c r="B1072" s="72" t="s">
        <v>524</v>
      </c>
      <c r="C1072" s="72">
        <v>636.0</v>
      </c>
      <c r="D1072" s="72" t="s">
        <v>1620</v>
      </c>
      <c r="E1072" s="72" t="s">
        <v>33</v>
      </c>
      <c r="F1072" s="167">
        <v>42941.0</v>
      </c>
      <c r="G1072" s="167">
        <v>43265.0</v>
      </c>
      <c r="H1072" s="167">
        <v>43265.0</v>
      </c>
      <c r="I1072" s="167">
        <v>43265.0</v>
      </c>
      <c r="J1072" s="165">
        <v>0.0</v>
      </c>
      <c r="K1072" s="165">
        <v>0.0</v>
      </c>
      <c r="L1072" s="165">
        <v>0.0</v>
      </c>
      <c r="M1072" s="72">
        <v>1.0</v>
      </c>
      <c r="N1072" s="165">
        <v>0.0</v>
      </c>
    </row>
    <row r="1073">
      <c r="A1073" s="72" t="s">
        <v>29</v>
      </c>
      <c r="B1073" s="72"/>
      <c r="C1073" s="72">
        <v>522.0</v>
      </c>
      <c r="D1073" s="72" t="s">
        <v>1621</v>
      </c>
      <c r="E1073" s="72" t="s">
        <v>33</v>
      </c>
      <c r="F1073" s="167">
        <v>42955.0</v>
      </c>
      <c r="G1073" s="167">
        <v>43421.0</v>
      </c>
      <c r="H1073" s="167">
        <v>43460.0</v>
      </c>
      <c r="I1073" s="167">
        <v>44033.0</v>
      </c>
      <c r="J1073" s="165">
        <v>14.99</v>
      </c>
      <c r="K1073" s="165">
        <v>14.99</v>
      </c>
      <c r="L1073" s="165">
        <v>0.0</v>
      </c>
      <c r="M1073" s="72">
        <v>10.0</v>
      </c>
      <c r="N1073" s="165">
        <v>1.5</v>
      </c>
    </row>
    <row r="1074">
      <c r="A1074" s="72" t="s">
        <v>29</v>
      </c>
      <c r="B1074" s="72"/>
      <c r="C1074" s="72">
        <v>953.0</v>
      </c>
      <c r="D1074" s="72" t="s">
        <v>1622</v>
      </c>
      <c r="E1074" s="72" t="s">
        <v>33</v>
      </c>
      <c r="F1074" s="167">
        <v>42970.0</v>
      </c>
      <c r="G1074" s="167">
        <v>43377.0</v>
      </c>
      <c r="H1074" s="167">
        <v>43379.0</v>
      </c>
      <c r="I1074" s="167">
        <v>45650.0</v>
      </c>
      <c r="J1074" s="165">
        <v>19.99</v>
      </c>
      <c r="K1074" s="165">
        <v>17.99</v>
      </c>
      <c r="L1074" s="165">
        <v>2.0</v>
      </c>
      <c r="M1074" s="72">
        <v>40.0</v>
      </c>
      <c r="N1074" s="165">
        <v>0.45</v>
      </c>
    </row>
    <row r="1075">
      <c r="A1075" s="72" t="s">
        <v>29</v>
      </c>
      <c r="B1075" s="72" t="s">
        <v>605</v>
      </c>
      <c r="C1075" s="72">
        <v>511.0</v>
      </c>
      <c r="D1075" s="72" t="s">
        <v>1623</v>
      </c>
      <c r="E1075" s="72" t="s">
        <v>33</v>
      </c>
      <c r="F1075" s="167">
        <v>42976.0</v>
      </c>
      <c r="G1075" s="167">
        <v>44621.0</v>
      </c>
      <c r="H1075" s="167">
        <v>44621.0</v>
      </c>
      <c r="I1075" s="167">
        <v>44621.0</v>
      </c>
      <c r="J1075" s="165">
        <v>29.99</v>
      </c>
      <c r="K1075" s="165">
        <v>0.0</v>
      </c>
      <c r="L1075" s="165">
        <v>29.99</v>
      </c>
      <c r="M1075" s="72">
        <v>1.0</v>
      </c>
      <c r="N1075" s="165">
        <v>0.0</v>
      </c>
    </row>
    <row r="1076">
      <c r="A1076" s="72" t="s">
        <v>29</v>
      </c>
      <c r="B1076" s="72" t="s">
        <v>501</v>
      </c>
      <c r="C1076" s="72">
        <v>582.0</v>
      </c>
      <c r="D1076" s="72" t="s">
        <v>1624</v>
      </c>
      <c r="E1076" s="72" t="s">
        <v>33</v>
      </c>
      <c r="F1076" s="167">
        <v>42984.0</v>
      </c>
      <c r="G1076" s="167">
        <v>44964.0</v>
      </c>
      <c r="H1076" s="167">
        <v>44964.0</v>
      </c>
      <c r="I1076" s="167">
        <v>44964.0</v>
      </c>
      <c r="J1076" s="165">
        <v>59.98</v>
      </c>
      <c r="K1076" s="165">
        <v>0.0</v>
      </c>
      <c r="L1076" s="165">
        <v>59.98</v>
      </c>
      <c r="M1076" s="72">
        <v>1.0</v>
      </c>
      <c r="N1076" s="165">
        <v>0.0</v>
      </c>
    </row>
    <row r="1077">
      <c r="A1077" s="72" t="s">
        <v>29</v>
      </c>
      <c r="B1077" s="72" t="s">
        <v>626</v>
      </c>
      <c r="C1077" s="72">
        <v>848.0</v>
      </c>
      <c r="D1077" s="72" t="s">
        <v>1625</v>
      </c>
      <c r="E1077" s="72" t="s">
        <v>33</v>
      </c>
      <c r="F1077" s="167">
        <v>43025.0</v>
      </c>
      <c r="G1077" s="167">
        <v>43081.0</v>
      </c>
      <c r="H1077" s="167">
        <v>43084.0</v>
      </c>
      <c r="I1077" s="167">
        <v>44118.0</v>
      </c>
      <c r="J1077" s="165">
        <v>96.94</v>
      </c>
      <c r="K1077" s="165">
        <v>57.94</v>
      </c>
      <c r="L1077" s="165">
        <v>39.0</v>
      </c>
      <c r="M1077" s="72">
        <v>71.0</v>
      </c>
      <c r="N1077" s="165">
        <v>0.82</v>
      </c>
    </row>
    <row r="1078">
      <c r="A1078" s="72" t="s">
        <v>29</v>
      </c>
      <c r="B1078" s="72"/>
      <c r="C1078" s="72">
        <v>922.0</v>
      </c>
      <c r="D1078" s="72" t="s">
        <v>1626</v>
      </c>
      <c r="E1078" s="72" t="s">
        <v>33</v>
      </c>
      <c r="F1078" s="167">
        <v>43056.0</v>
      </c>
      <c r="G1078" s="167">
        <v>43077.0</v>
      </c>
      <c r="H1078" s="167">
        <v>43305.0</v>
      </c>
      <c r="I1078" s="167">
        <v>43305.0</v>
      </c>
      <c r="J1078" s="165">
        <v>869.61</v>
      </c>
      <c r="K1078" s="165">
        <v>682.41</v>
      </c>
      <c r="L1078" s="165">
        <v>187.2</v>
      </c>
      <c r="M1078" s="72">
        <v>18.0</v>
      </c>
      <c r="N1078" s="165">
        <v>37.91</v>
      </c>
    </row>
    <row r="1079">
      <c r="A1079" s="72" t="s">
        <v>29</v>
      </c>
      <c r="B1079" s="72"/>
      <c r="C1079" s="72">
        <v>644.0</v>
      </c>
      <c r="D1079" s="72" t="s">
        <v>1627</v>
      </c>
      <c r="E1079" s="72" t="s">
        <v>33</v>
      </c>
      <c r="F1079" s="167">
        <v>43210.0</v>
      </c>
      <c r="G1079" s="167">
        <v>44334.0</v>
      </c>
      <c r="H1079" s="167">
        <v>44395.0</v>
      </c>
      <c r="I1079" s="167">
        <v>44406.0</v>
      </c>
      <c r="J1079" s="165">
        <v>19.99</v>
      </c>
      <c r="K1079" s="165">
        <v>0.0</v>
      </c>
      <c r="L1079" s="165">
        <v>19.99</v>
      </c>
      <c r="M1079" s="72">
        <v>44.0</v>
      </c>
      <c r="N1079" s="165">
        <v>0.0</v>
      </c>
    </row>
    <row r="1080">
      <c r="A1080" s="72" t="s">
        <v>29</v>
      </c>
      <c r="B1080" s="72"/>
      <c r="C1080" s="72">
        <v>618.0</v>
      </c>
      <c r="D1080" s="72" t="s">
        <v>1628</v>
      </c>
      <c r="E1080" s="72" t="s">
        <v>33</v>
      </c>
      <c r="F1080" s="167">
        <v>43261.0</v>
      </c>
      <c r="G1080" s="167">
        <v>45423.0</v>
      </c>
      <c r="H1080" s="167">
        <v>45423.0</v>
      </c>
      <c r="I1080" s="167">
        <v>45423.0</v>
      </c>
      <c r="J1080" s="165">
        <v>6.96</v>
      </c>
      <c r="K1080" s="165">
        <v>0.0</v>
      </c>
      <c r="L1080" s="165">
        <v>6.96</v>
      </c>
      <c r="M1080" s="72">
        <v>1.0</v>
      </c>
      <c r="N1080" s="165">
        <v>0.0</v>
      </c>
    </row>
    <row r="1081">
      <c r="A1081" s="72" t="s">
        <v>29</v>
      </c>
      <c r="B1081" s="72"/>
      <c r="C1081" s="72">
        <v>928.0</v>
      </c>
      <c r="D1081" s="72" t="s">
        <v>1629</v>
      </c>
      <c r="E1081" s="72" t="s">
        <v>33</v>
      </c>
      <c r="F1081" s="167">
        <v>43326.0</v>
      </c>
      <c r="G1081" s="167">
        <v>43824.0</v>
      </c>
      <c r="H1081" s="167">
        <v>44847.0</v>
      </c>
      <c r="I1081" s="167">
        <v>44850.0</v>
      </c>
      <c r="J1081" s="165">
        <v>23.99</v>
      </c>
      <c r="K1081" s="165">
        <v>23.99</v>
      </c>
      <c r="L1081" s="165">
        <v>0.0</v>
      </c>
      <c r="M1081" s="72">
        <v>20.0</v>
      </c>
      <c r="N1081" s="165">
        <v>1.2</v>
      </c>
    </row>
    <row r="1082">
      <c r="A1082" s="72" t="s">
        <v>29</v>
      </c>
      <c r="B1082" s="72" t="s">
        <v>496</v>
      </c>
      <c r="C1082" s="72">
        <v>593.0</v>
      </c>
      <c r="D1082" s="72" t="s">
        <v>1630</v>
      </c>
      <c r="E1082" s="72" t="s">
        <v>33</v>
      </c>
      <c r="F1082" s="167">
        <v>43340.0</v>
      </c>
      <c r="G1082" s="167">
        <v>43856.0</v>
      </c>
      <c r="H1082" s="167">
        <v>43857.0</v>
      </c>
      <c r="I1082" s="167">
        <v>44385.0</v>
      </c>
      <c r="J1082" s="165">
        <v>12.99</v>
      </c>
      <c r="K1082" s="165">
        <v>6.49</v>
      </c>
      <c r="L1082" s="165">
        <v>6.5</v>
      </c>
      <c r="M1082" s="72">
        <v>6.0</v>
      </c>
      <c r="N1082" s="165">
        <v>1.08</v>
      </c>
    </row>
    <row r="1083">
      <c r="A1083" s="72" t="s">
        <v>29</v>
      </c>
      <c r="B1083" s="72"/>
      <c r="C1083" s="72">
        <v>726.0</v>
      </c>
      <c r="D1083" s="72" t="s">
        <v>1631</v>
      </c>
      <c r="E1083" s="72" t="s">
        <v>33</v>
      </c>
      <c r="F1083" s="167">
        <v>43350.0</v>
      </c>
      <c r="G1083" s="167">
        <v>43306.0</v>
      </c>
      <c r="H1083" s="167">
        <v>43350.0</v>
      </c>
      <c r="I1083" s="167">
        <v>43479.0</v>
      </c>
      <c r="J1083" s="165">
        <v>79.99</v>
      </c>
      <c r="K1083" s="165">
        <v>0.0</v>
      </c>
      <c r="L1083" s="165">
        <v>79.99</v>
      </c>
      <c r="M1083" s="72">
        <v>82.0</v>
      </c>
      <c r="N1083" s="165">
        <v>0.0</v>
      </c>
    </row>
    <row r="1084">
      <c r="A1084" s="72" t="s">
        <v>29</v>
      </c>
      <c r="B1084" s="72" t="s">
        <v>492</v>
      </c>
      <c r="C1084" s="72">
        <v>828.0</v>
      </c>
      <c r="D1084" s="72" t="s">
        <v>1632</v>
      </c>
      <c r="E1084" s="72" t="s">
        <v>33</v>
      </c>
      <c r="F1084" s="167">
        <v>43361.0</v>
      </c>
      <c r="G1084" s="167">
        <v>43912.0</v>
      </c>
      <c r="H1084" s="167">
        <v>43923.0</v>
      </c>
      <c r="I1084" s="167">
        <v>43923.0</v>
      </c>
      <c r="J1084" s="165">
        <v>14.99</v>
      </c>
      <c r="K1084" s="165">
        <v>4.99</v>
      </c>
      <c r="L1084" s="165">
        <v>10.0</v>
      </c>
      <c r="M1084" s="72">
        <v>2.0</v>
      </c>
      <c r="N1084" s="165">
        <v>2.5</v>
      </c>
    </row>
    <row r="1085">
      <c r="A1085" s="72" t="s">
        <v>29</v>
      </c>
      <c r="B1085" s="72"/>
      <c r="C1085" s="72">
        <v>829.0</v>
      </c>
      <c r="D1085" s="55" t="s">
        <v>1633</v>
      </c>
      <c r="E1085" s="55" t="s">
        <v>33</v>
      </c>
      <c r="F1085" s="167">
        <v>43361.0</v>
      </c>
      <c r="G1085" s="167">
        <v>43912.0</v>
      </c>
      <c r="H1085" s="167">
        <v>43923.0</v>
      </c>
      <c r="I1085" s="167">
        <v>43923.0</v>
      </c>
      <c r="J1085" s="165">
        <v>14.99</v>
      </c>
      <c r="K1085" s="165">
        <v>4.99</v>
      </c>
      <c r="L1085" s="165">
        <v>10.0</v>
      </c>
      <c r="M1085" s="72">
        <v>1.0</v>
      </c>
      <c r="N1085" s="165">
        <v>4.99</v>
      </c>
    </row>
    <row r="1086">
      <c r="A1086" s="71" t="s">
        <v>29</v>
      </c>
      <c r="B1086" s="48" t="s">
        <v>627</v>
      </c>
      <c r="C1086" s="72">
        <v>654.0</v>
      </c>
      <c r="D1086" s="72" t="s">
        <v>1634</v>
      </c>
      <c r="E1086" s="72" t="s">
        <v>33</v>
      </c>
      <c r="F1086" s="167">
        <v>43396.0</v>
      </c>
      <c r="G1086" s="167">
        <v>45734.0</v>
      </c>
      <c r="H1086" s="167">
        <v>45739.0</v>
      </c>
      <c r="I1086" s="167">
        <v>45742.0</v>
      </c>
      <c r="J1086" s="55">
        <v>13.99</v>
      </c>
      <c r="K1086" s="55">
        <v>6.99</v>
      </c>
      <c r="L1086" s="165">
        <v>7.0</v>
      </c>
      <c r="M1086" s="72">
        <v>14.0</v>
      </c>
      <c r="N1086" s="165">
        <v>0.5</v>
      </c>
    </row>
    <row r="1087">
      <c r="A1087" s="72" t="s">
        <v>29</v>
      </c>
      <c r="B1087" s="72"/>
      <c r="C1087" s="72">
        <v>806.0</v>
      </c>
      <c r="D1087" s="72" t="s">
        <v>1635</v>
      </c>
      <c r="E1087" s="72" t="s">
        <v>33</v>
      </c>
      <c r="F1087" s="167">
        <v>43399.0</v>
      </c>
      <c r="G1087" s="167">
        <v>43749.0</v>
      </c>
      <c r="H1087" s="167">
        <v>43822.0</v>
      </c>
      <c r="I1087" s="167">
        <v>43881.0</v>
      </c>
      <c r="J1087" s="165">
        <v>69.99</v>
      </c>
      <c r="K1087" s="165">
        <v>34.99</v>
      </c>
      <c r="L1087" s="165">
        <v>35.0</v>
      </c>
      <c r="M1087" s="72">
        <v>62.0</v>
      </c>
      <c r="N1087" s="165">
        <v>0.56</v>
      </c>
    </row>
    <row r="1088">
      <c r="A1088" s="72" t="s">
        <v>29</v>
      </c>
      <c r="B1088" s="72" t="s">
        <v>525</v>
      </c>
      <c r="C1088" s="72">
        <v>817.0</v>
      </c>
      <c r="D1088" s="72" t="s">
        <v>1636</v>
      </c>
      <c r="E1088" s="72" t="s">
        <v>33</v>
      </c>
      <c r="F1088" s="167">
        <v>43410.0</v>
      </c>
      <c r="G1088" s="167">
        <v>44398.0</v>
      </c>
      <c r="H1088" s="167">
        <v>44406.0</v>
      </c>
      <c r="I1088" s="167">
        <v>44407.0</v>
      </c>
      <c r="J1088" s="165">
        <v>19.99</v>
      </c>
      <c r="K1088" s="165">
        <v>7.99</v>
      </c>
      <c r="L1088" s="165">
        <v>12.0</v>
      </c>
      <c r="M1088" s="72">
        <v>14.0</v>
      </c>
      <c r="N1088" s="165">
        <v>0.57</v>
      </c>
    </row>
    <row r="1089">
      <c r="A1089" s="72" t="s">
        <v>29</v>
      </c>
      <c r="B1089" s="72" t="s">
        <v>1637</v>
      </c>
      <c r="C1089" s="72">
        <v>853.0</v>
      </c>
      <c r="D1089" s="72" t="s">
        <v>1638</v>
      </c>
      <c r="E1089" s="72" t="s">
        <v>33</v>
      </c>
      <c r="F1089" s="167">
        <v>43417.0</v>
      </c>
      <c r="G1089" s="167">
        <v>43341.0</v>
      </c>
      <c r="H1089" s="167">
        <v>43417.0</v>
      </c>
      <c r="I1089" s="167">
        <v>43418.0</v>
      </c>
      <c r="J1089" s="165">
        <v>13.33</v>
      </c>
      <c r="K1089" s="165">
        <v>13.33</v>
      </c>
      <c r="L1089" s="165">
        <v>0.0</v>
      </c>
      <c r="M1089" s="72">
        <v>10.0</v>
      </c>
      <c r="N1089" s="165">
        <v>1.33</v>
      </c>
    </row>
    <row r="1090">
      <c r="A1090" s="72" t="s">
        <v>29</v>
      </c>
      <c r="B1090" s="72"/>
      <c r="C1090" s="72">
        <v>854.0</v>
      </c>
      <c r="D1090" s="72" t="s">
        <v>1639</v>
      </c>
      <c r="E1090" s="72" t="s">
        <v>33</v>
      </c>
      <c r="F1090" s="167">
        <v>43417.0</v>
      </c>
      <c r="G1090" s="167">
        <v>43341.0</v>
      </c>
      <c r="H1090" s="167">
        <v>43418.0</v>
      </c>
      <c r="I1090" s="167">
        <v>43423.0</v>
      </c>
      <c r="J1090" s="165">
        <v>13.33</v>
      </c>
      <c r="K1090" s="165">
        <v>13.33</v>
      </c>
      <c r="L1090" s="165">
        <v>0.0</v>
      </c>
      <c r="M1090" s="72">
        <v>10.0</v>
      </c>
      <c r="N1090" s="165">
        <v>1.33</v>
      </c>
    </row>
    <row r="1091">
      <c r="A1091" s="72" t="s">
        <v>29</v>
      </c>
      <c r="B1091" s="72"/>
      <c r="C1091" s="72">
        <v>855.0</v>
      </c>
      <c r="D1091" s="72" t="s">
        <v>1640</v>
      </c>
      <c r="E1091" s="72" t="s">
        <v>33</v>
      </c>
      <c r="F1091" s="167">
        <v>43417.0</v>
      </c>
      <c r="G1091" s="167">
        <v>43341.0</v>
      </c>
      <c r="H1091" s="167">
        <v>43421.0</v>
      </c>
      <c r="I1091" s="167">
        <v>43423.0</v>
      </c>
      <c r="J1091" s="165">
        <v>13.33</v>
      </c>
      <c r="K1091" s="165">
        <v>13.33</v>
      </c>
      <c r="L1091" s="165">
        <v>0.0</v>
      </c>
      <c r="M1091" s="72">
        <v>11.0</v>
      </c>
      <c r="N1091" s="165">
        <v>1.21</v>
      </c>
    </row>
    <row r="1092">
      <c r="A1092" s="72" t="s">
        <v>29</v>
      </c>
      <c r="B1092" s="72" t="s">
        <v>629</v>
      </c>
      <c r="C1092" s="72">
        <v>871.0</v>
      </c>
      <c r="D1092" s="72" t="s">
        <v>1641</v>
      </c>
      <c r="E1092" s="72" t="s">
        <v>33</v>
      </c>
      <c r="F1092" s="167">
        <v>43438.0</v>
      </c>
      <c r="G1092" s="167">
        <v>44296.0</v>
      </c>
      <c r="H1092" s="167">
        <v>44296.0</v>
      </c>
      <c r="I1092" s="167">
        <v>44298.0</v>
      </c>
      <c r="J1092" s="165">
        <v>29.99</v>
      </c>
      <c r="K1092" s="165">
        <v>0.0</v>
      </c>
      <c r="L1092" s="165">
        <v>29.99</v>
      </c>
      <c r="M1092" s="72">
        <v>17.0</v>
      </c>
      <c r="N1092" s="165">
        <v>0.0</v>
      </c>
    </row>
    <row r="1093">
      <c r="A1093" s="72" t="s">
        <v>29</v>
      </c>
      <c r="B1093" s="72" t="s">
        <v>587</v>
      </c>
      <c r="C1093" s="72">
        <v>510.0</v>
      </c>
      <c r="D1093" s="72" t="s">
        <v>1642</v>
      </c>
      <c r="E1093" s="72" t="s">
        <v>33</v>
      </c>
      <c r="F1093" s="167">
        <v>43500.0</v>
      </c>
      <c r="G1093" s="167">
        <v>44914.0</v>
      </c>
      <c r="H1093" s="167">
        <v>44914.0</v>
      </c>
      <c r="I1093" s="167">
        <v>44914.0</v>
      </c>
      <c r="J1093" s="165">
        <v>0.0</v>
      </c>
      <c r="K1093" s="165">
        <v>0.0</v>
      </c>
      <c r="L1093" s="165">
        <v>0.0</v>
      </c>
      <c r="M1093" s="72">
        <v>1.0</v>
      </c>
      <c r="N1093" s="165">
        <v>0.0</v>
      </c>
    </row>
    <row r="1094">
      <c r="A1094" s="72" t="s">
        <v>29</v>
      </c>
      <c r="B1094" s="72"/>
      <c r="C1094" s="72">
        <v>934.0</v>
      </c>
      <c r="D1094" s="72" t="s">
        <v>1643</v>
      </c>
      <c r="E1094" s="72" t="s">
        <v>33</v>
      </c>
      <c r="F1094" s="167">
        <v>43525.0</v>
      </c>
      <c r="G1094" s="167">
        <v>43519.0</v>
      </c>
      <c r="H1094" s="167">
        <v>43526.0</v>
      </c>
      <c r="I1094" s="167">
        <v>43896.0</v>
      </c>
      <c r="J1094" s="165">
        <v>18.89</v>
      </c>
      <c r="K1094" s="165">
        <v>18.89</v>
      </c>
      <c r="L1094" s="165">
        <v>0.0</v>
      </c>
      <c r="M1094" s="72">
        <v>26.0</v>
      </c>
      <c r="N1094" s="165">
        <v>0.73</v>
      </c>
    </row>
    <row r="1095">
      <c r="A1095" s="72" t="s">
        <v>29</v>
      </c>
      <c r="B1095" s="72"/>
      <c r="C1095" s="72">
        <v>571.0</v>
      </c>
      <c r="D1095" s="72" t="s">
        <v>1644</v>
      </c>
      <c r="E1095" s="72" t="s">
        <v>33</v>
      </c>
      <c r="F1095" s="167">
        <v>43581.0</v>
      </c>
      <c r="G1095" s="167">
        <v>44334.0</v>
      </c>
      <c r="H1095" s="167">
        <v>44339.0</v>
      </c>
      <c r="I1095" s="167">
        <v>44382.0</v>
      </c>
      <c r="J1095" s="165">
        <v>69.99</v>
      </c>
      <c r="K1095" s="165">
        <v>0.0</v>
      </c>
      <c r="L1095" s="165">
        <v>69.99</v>
      </c>
      <c r="M1095" s="72">
        <v>57.0</v>
      </c>
      <c r="N1095" s="165">
        <v>0.0</v>
      </c>
    </row>
    <row r="1096">
      <c r="A1096" s="72" t="s">
        <v>29</v>
      </c>
      <c r="B1096" s="72" t="s">
        <v>558</v>
      </c>
      <c r="C1096" s="72">
        <v>841.0</v>
      </c>
      <c r="D1096" s="72" t="s">
        <v>1645</v>
      </c>
      <c r="E1096" s="72" t="s">
        <v>33</v>
      </c>
      <c r="F1096" s="167">
        <v>43606.0</v>
      </c>
      <c r="G1096" s="167">
        <v>44656.0</v>
      </c>
      <c r="H1096" s="167">
        <v>44666.0</v>
      </c>
      <c r="I1096" s="167">
        <v>44675.0</v>
      </c>
      <c r="J1096" s="165">
        <v>24.99</v>
      </c>
      <c r="K1096" s="165">
        <v>0.0</v>
      </c>
      <c r="L1096" s="165">
        <v>24.99</v>
      </c>
      <c r="M1096" s="72">
        <v>35.0</v>
      </c>
      <c r="N1096" s="165">
        <v>0.0</v>
      </c>
    </row>
    <row r="1097">
      <c r="A1097" s="72" t="s">
        <v>29</v>
      </c>
      <c r="B1097" s="72" t="s">
        <v>603</v>
      </c>
      <c r="C1097" s="72">
        <v>945.0</v>
      </c>
      <c r="D1097" s="72" t="s">
        <v>1646</v>
      </c>
      <c r="E1097" s="72" t="s">
        <v>33</v>
      </c>
      <c r="F1097" s="167">
        <v>43616.0</v>
      </c>
      <c r="G1097" s="167">
        <v>44446.0</v>
      </c>
      <c r="H1097" s="167">
        <v>44449.0</v>
      </c>
      <c r="I1097" s="167">
        <v>44450.0</v>
      </c>
      <c r="J1097" s="165">
        <v>29.99</v>
      </c>
      <c r="K1097" s="165">
        <v>0.0</v>
      </c>
      <c r="L1097" s="165">
        <v>29.99</v>
      </c>
      <c r="M1097" s="72">
        <v>13.0</v>
      </c>
      <c r="N1097" s="165">
        <v>0.0</v>
      </c>
    </row>
    <row r="1098">
      <c r="A1098" s="72" t="s">
        <v>29</v>
      </c>
      <c r="B1098" s="72"/>
      <c r="C1098" s="72">
        <v>534.0</v>
      </c>
      <c r="D1098" s="72" t="s">
        <v>1647</v>
      </c>
      <c r="E1098" s="72" t="s">
        <v>33</v>
      </c>
      <c r="F1098" s="167">
        <v>43721.0</v>
      </c>
      <c r="G1098" s="167">
        <v>43559.0</v>
      </c>
      <c r="H1098" s="167">
        <v>43722.0</v>
      </c>
      <c r="I1098" s="167">
        <v>45797.0</v>
      </c>
      <c r="J1098" s="165">
        <v>114.98</v>
      </c>
      <c r="K1098" s="165">
        <v>114.98</v>
      </c>
      <c r="L1098" s="165">
        <v>0.0</v>
      </c>
      <c r="M1098" s="72">
        <v>241.0</v>
      </c>
      <c r="N1098" s="165">
        <v>0.48</v>
      </c>
    </row>
    <row r="1099">
      <c r="A1099" s="72" t="s">
        <v>29</v>
      </c>
      <c r="B1099" s="72"/>
      <c r="C1099" s="72">
        <v>556.0</v>
      </c>
      <c r="D1099" s="72" t="s">
        <v>1648</v>
      </c>
      <c r="E1099" s="72" t="s">
        <v>33</v>
      </c>
      <c r="F1099" s="167">
        <v>43746.0</v>
      </c>
      <c r="G1099" s="167">
        <v>43903.0</v>
      </c>
      <c r="H1099" s="167">
        <v>43912.0</v>
      </c>
      <c r="I1099" s="167">
        <v>44375.0</v>
      </c>
      <c r="J1099" s="55">
        <v>29.99</v>
      </c>
      <c r="K1099" s="55">
        <v>23.99</v>
      </c>
      <c r="L1099" s="165">
        <v>6.0</v>
      </c>
      <c r="M1099" s="72">
        <v>12.0</v>
      </c>
      <c r="N1099" s="165">
        <v>2.0</v>
      </c>
    </row>
    <row r="1100">
      <c r="A1100" s="72" t="s">
        <v>29</v>
      </c>
      <c r="B1100" s="72" t="s">
        <v>580</v>
      </c>
      <c r="C1100" s="72">
        <v>794.0</v>
      </c>
      <c r="D1100" s="72" t="s">
        <v>1649</v>
      </c>
      <c r="E1100" s="72" t="s">
        <v>33</v>
      </c>
      <c r="F1100" s="167">
        <v>43756.0</v>
      </c>
      <c r="G1100" s="167">
        <v>43964.0</v>
      </c>
      <c r="H1100" s="167">
        <v>44195.0</v>
      </c>
      <c r="I1100" s="167">
        <v>44197.0</v>
      </c>
      <c r="J1100" s="165">
        <v>39.99</v>
      </c>
      <c r="K1100" s="165">
        <v>24.99</v>
      </c>
      <c r="L1100" s="165">
        <v>15.0</v>
      </c>
      <c r="M1100" s="72">
        <v>65.0</v>
      </c>
      <c r="N1100" s="165">
        <v>0.38</v>
      </c>
    </row>
    <row r="1101">
      <c r="A1101" s="72" t="s">
        <v>29</v>
      </c>
      <c r="B1101" s="72" t="s">
        <v>572</v>
      </c>
      <c r="C1101" s="72">
        <v>728.0</v>
      </c>
      <c r="D1101" s="72" t="s">
        <v>1650</v>
      </c>
      <c r="E1101" s="72" t="s">
        <v>33</v>
      </c>
      <c r="F1101" s="167">
        <v>43763.0</v>
      </c>
      <c r="G1101" s="167">
        <v>43717.0</v>
      </c>
      <c r="H1101" s="167">
        <v>43764.0</v>
      </c>
      <c r="I1101" s="167">
        <v>44132.0</v>
      </c>
      <c r="J1101" s="165">
        <v>29.99</v>
      </c>
      <c r="K1101" s="165">
        <v>29.99</v>
      </c>
      <c r="L1101" s="165">
        <v>0.0</v>
      </c>
      <c r="M1101" s="72">
        <v>29.0</v>
      </c>
      <c r="N1101" s="165">
        <v>1.03</v>
      </c>
    </row>
    <row r="1102">
      <c r="A1102" s="72" t="s">
        <v>29</v>
      </c>
      <c r="B1102" s="7"/>
      <c r="C1102" s="72">
        <v>918.0</v>
      </c>
      <c r="D1102" s="72" t="s">
        <v>1651</v>
      </c>
      <c r="E1102" s="72" t="s">
        <v>33</v>
      </c>
      <c r="F1102" s="167">
        <v>43763.0</v>
      </c>
      <c r="G1102" s="167">
        <v>44960.0</v>
      </c>
      <c r="H1102" s="167">
        <v>45581.0</v>
      </c>
      <c r="I1102" s="167">
        <v>45583.0</v>
      </c>
      <c r="J1102" s="165">
        <v>59.99</v>
      </c>
      <c r="K1102" s="165">
        <v>19.79</v>
      </c>
      <c r="L1102" s="165">
        <v>40.2</v>
      </c>
      <c r="M1102" s="72">
        <v>2.0</v>
      </c>
      <c r="N1102" s="165">
        <v>9.9</v>
      </c>
    </row>
    <row r="1103">
      <c r="A1103" s="72" t="s">
        <v>29</v>
      </c>
      <c r="B1103" s="72" t="s">
        <v>514</v>
      </c>
      <c r="C1103" s="72">
        <v>917.0</v>
      </c>
      <c r="D1103" s="72" t="s">
        <v>1652</v>
      </c>
      <c r="E1103" s="72" t="s">
        <v>33</v>
      </c>
      <c r="F1103" s="167">
        <v>43767.0</v>
      </c>
      <c r="G1103" s="167">
        <v>43824.0</v>
      </c>
      <c r="H1103" s="167">
        <v>43824.0</v>
      </c>
      <c r="I1103" s="167">
        <v>43824.0</v>
      </c>
      <c r="J1103" s="165">
        <v>17.49</v>
      </c>
      <c r="K1103" s="165">
        <v>17.49</v>
      </c>
      <c r="L1103" s="165">
        <v>0.0</v>
      </c>
      <c r="M1103" s="72">
        <v>1.0</v>
      </c>
      <c r="N1103" s="165">
        <v>17.49</v>
      </c>
    </row>
    <row r="1104">
      <c r="A1104" s="72" t="s">
        <v>29</v>
      </c>
      <c r="B1104" s="72"/>
      <c r="C1104" s="72">
        <v>504.0</v>
      </c>
      <c r="D1104" s="72" t="s">
        <v>1653</v>
      </c>
      <c r="E1104" s="72" t="s">
        <v>33</v>
      </c>
      <c r="F1104" s="167">
        <v>43767.0</v>
      </c>
      <c r="G1104" s="167">
        <v>43824.0</v>
      </c>
      <c r="H1104" s="167">
        <v>43824.0</v>
      </c>
      <c r="I1104" s="167">
        <v>43824.0</v>
      </c>
      <c r="J1104" s="165">
        <v>17.5</v>
      </c>
      <c r="K1104" s="165">
        <v>17.5</v>
      </c>
      <c r="L1104" s="165">
        <v>0.0</v>
      </c>
      <c r="M1104" s="72">
        <v>1.0</v>
      </c>
      <c r="N1104" s="165">
        <v>17.5</v>
      </c>
    </row>
    <row r="1105">
      <c r="A1105" s="72" t="s">
        <v>29</v>
      </c>
      <c r="B1105" s="72" t="s">
        <v>548</v>
      </c>
      <c r="C1105" s="72">
        <v>850.0</v>
      </c>
      <c r="D1105" s="72" t="s">
        <v>1654</v>
      </c>
      <c r="E1105" s="72" t="s">
        <v>33</v>
      </c>
      <c r="F1105" s="167">
        <v>43770.0</v>
      </c>
      <c r="G1105" s="167">
        <v>44343.0</v>
      </c>
      <c r="H1105" s="167">
        <v>44354.0</v>
      </c>
      <c r="I1105" s="167">
        <v>45370.0</v>
      </c>
      <c r="J1105" s="165">
        <v>24.99</v>
      </c>
      <c r="K1105" s="165">
        <v>12.49</v>
      </c>
      <c r="L1105" s="165">
        <v>12.5</v>
      </c>
      <c r="M1105" s="72">
        <v>13.0</v>
      </c>
      <c r="N1105" s="165">
        <v>0.96</v>
      </c>
    </row>
    <row r="1106">
      <c r="A1106" s="72" t="s">
        <v>29</v>
      </c>
      <c r="B1106" s="72"/>
      <c r="C1106" s="72">
        <v>857.0</v>
      </c>
      <c r="D1106" s="72" t="s">
        <v>1655</v>
      </c>
      <c r="E1106" s="72" t="s">
        <v>33</v>
      </c>
      <c r="F1106" s="167">
        <v>43784.0</v>
      </c>
      <c r="G1106" s="167">
        <v>44594.0</v>
      </c>
      <c r="H1106" s="167">
        <v>45522.0</v>
      </c>
      <c r="I1106" s="167">
        <v>45522.0</v>
      </c>
      <c r="J1106" s="165">
        <v>49.99</v>
      </c>
      <c r="K1106" s="165">
        <v>17.49</v>
      </c>
      <c r="L1106" s="165">
        <v>32.5</v>
      </c>
      <c r="M1106" s="72">
        <v>1.0</v>
      </c>
      <c r="N1106" s="165">
        <v>17.49</v>
      </c>
    </row>
    <row r="1107">
      <c r="A1107" s="72" t="s">
        <v>29</v>
      </c>
      <c r="B1107" s="72"/>
      <c r="C1107" s="72">
        <v>594.0</v>
      </c>
      <c r="D1107" s="72" t="s">
        <v>1656</v>
      </c>
      <c r="E1107" s="72" t="s">
        <v>33</v>
      </c>
      <c r="F1107" s="167">
        <v>43910.0</v>
      </c>
      <c r="G1107" s="167">
        <v>44708.0</v>
      </c>
      <c r="H1107" s="167">
        <v>44708.0</v>
      </c>
      <c r="I1107" s="167">
        <v>44708.0</v>
      </c>
      <c r="J1107" s="165">
        <v>4.99</v>
      </c>
      <c r="K1107" s="165">
        <v>2.49</v>
      </c>
      <c r="L1107" s="165">
        <v>2.5</v>
      </c>
      <c r="M1107" s="72">
        <v>1.0</v>
      </c>
      <c r="N1107" s="165">
        <v>2.49</v>
      </c>
    </row>
    <row r="1108">
      <c r="A1108" s="72" t="s">
        <v>29</v>
      </c>
      <c r="B1108" s="72" t="s">
        <v>624</v>
      </c>
      <c r="C1108" s="72">
        <v>722.0</v>
      </c>
      <c r="D1108" s="72" t="s">
        <v>1657</v>
      </c>
      <c r="E1108" s="72" t="s">
        <v>33</v>
      </c>
      <c r="F1108" s="167">
        <v>43973.0</v>
      </c>
      <c r="G1108" s="167">
        <v>44343.0</v>
      </c>
      <c r="H1108" s="167">
        <v>44346.0</v>
      </c>
      <c r="I1108" s="167">
        <v>44347.0</v>
      </c>
      <c r="J1108" s="165">
        <v>39.99</v>
      </c>
      <c r="K1108" s="165">
        <v>19.99</v>
      </c>
      <c r="L1108" s="165">
        <v>20.0</v>
      </c>
      <c r="M1108" s="72">
        <v>14.0</v>
      </c>
      <c r="N1108" s="165">
        <v>1.43</v>
      </c>
    </row>
    <row r="1109">
      <c r="A1109" s="72" t="s">
        <v>29</v>
      </c>
      <c r="B1109" s="72"/>
      <c r="C1109" s="72">
        <v>916.0</v>
      </c>
      <c r="D1109" s="72" t="s">
        <v>1658</v>
      </c>
      <c r="E1109" s="72" t="s">
        <v>33</v>
      </c>
      <c r="F1109" s="167">
        <v>44001.0</v>
      </c>
      <c r="G1109" s="167">
        <v>43733.0</v>
      </c>
      <c r="H1109" s="167">
        <v>44085.0</v>
      </c>
      <c r="I1109" s="167">
        <v>44363.0</v>
      </c>
      <c r="J1109" s="165">
        <v>69.99</v>
      </c>
      <c r="K1109" s="165">
        <v>0.0</v>
      </c>
      <c r="L1109" s="165">
        <v>69.99</v>
      </c>
      <c r="M1109" s="72">
        <v>75.0</v>
      </c>
      <c r="N1109" s="165">
        <v>0.0</v>
      </c>
    </row>
    <row r="1110">
      <c r="A1110" s="72" t="s">
        <v>29</v>
      </c>
      <c r="B1110" s="72"/>
      <c r="C1110" s="72">
        <v>856.0</v>
      </c>
      <c r="D1110" s="72" t="s">
        <v>1659</v>
      </c>
      <c r="E1110" s="72" t="s">
        <v>33</v>
      </c>
      <c r="F1110" s="167">
        <v>44005.0</v>
      </c>
      <c r="G1110" s="167">
        <v>44071.0</v>
      </c>
      <c r="H1110" s="167">
        <v>44188.0</v>
      </c>
      <c r="I1110" s="167">
        <v>44189.0</v>
      </c>
      <c r="J1110" s="165">
        <v>14.99</v>
      </c>
      <c r="K1110" s="165">
        <v>9.74</v>
      </c>
      <c r="L1110" s="165">
        <v>5.25</v>
      </c>
      <c r="M1110" s="72">
        <v>7.0</v>
      </c>
      <c r="N1110" s="165">
        <v>1.39</v>
      </c>
    </row>
    <row r="1111">
      <c r="A1111" s="72" t="s">
        <v>29</v>
      </c>
      <c r="B1111" s="72"/>
      <c r="C1111" s="72">
        <v>641.0</v>
      </c>
      <c r="D1111" s="72" t="s">
        <v>1660</v>
      </c>
      <c r="E1111" s="72" t="s">
        <v>33</v>
      </c>
      <c r="F1111" s="167">
        <v>44029.0</v>
      </c>
      <c r="G1111" s="167">
        <v>44157.0</v>
      </c>
      <c r="H1111" s="167">
        <v>44163.0</v>
      </c>
      <c r="I1111" s="167">
        <v>44175.0</v>
      </c>
      <c r="J1111" s="165">
        <v>69.99</v>
      </c>
      <c r="K1111" s="165">
        <v>49.69</v>
      </c>
      <c r="L1111" s="165">
        <v>20.3</v>
      </c>
      <c r="M1111" s="72">
        <v>74.0</v>
      </c>
      <c r="N1111" s="165">
        <v>0.67</v>
      </c>
    </row>
    <row r="1112">
      <c r="A1112" s="72" t="s">
        <v>29</v>
      </c>
      <c r="B1112" s="72" t="s">
        <v>505</v>
      </c>
      <c r="C1112" s="72">
        <v>758.0</v>
      </c>
      <c r="D1112" s="72" t="s">
        <v>1661</v>
      </c>
      <c r="E1112" s="72" t="s">
        <v>33</v>
      </c>
      <c r="F1112" s="167">
        <v>44061.0</v>
      </c>
      <c r="G1112" s="167">
        <v>44539.0</v>
      </c>
      <c r="H1112" s="167">
        <v>44539.0</v>
      </c>
      <c r="I1112" s="167">
        <v>44539.0</v>
      </c>
      <c r="J1112" s="165">
        <v>29.99</v>
      </c>
      <c r="K1112" s="165">
        <v>0.0</v>
      </c>
      <c r="L1112" s="165">
        <v>29.99</v>
      </c>
      <c r="M1112" s="72">
        <v>1.0</v>
      </c>
      <c r="N1112" s="165">
        <v>0.0</v>
      </c>
    </row>
    <row r="1113">
      <c r="A1113" s="72" t="s">
        <v>29</v>
      </c>
      <c r="B1113" s="72"/>
      <c r="C1113" s="72">
        <v>935.0</v>
      </c>
      <c r="D1113" s="72" t="s">
        <v>1662</v>
      </c>
      <c r="E1113" s="72" t="s">
        <v>33</v>
      </c>
      <c r="F1113" s="167">
        <v>44078.0</v>
      </c>
      <c r="G1113" s="167">
        <v>44157.0</v>
      </c>
      <c r="H1113" s="167">
        <v>44158.0</v>
      </c>
      <c r="I1113" s="167">
        <v>44340.0</v>
      </c>
      <c r="J1113" s="165">
        <v>27.5</v>
      </c>
      <c r="K1113" s="165">
        <v>19.25</v>
      </c>
      <c r="L1113" s="165">
        <v>8.25</v>
      </c>
      <c r="M1113" s="72">
        <v>9.0</v>
      </c>
      <c r="N1113" s="165">
        <v>2.14</v>
      </c>
    </row>
    <row r="1114">
      <c r="A1114" s="72" t="s">
        <v>29</v>
      </c>
      <c r="B1114" s="72"/>
      <c r="C1114" s="72">
        <v>936.0</v>
      </c>
      <c r="D1114" s="72" t="s">
        <v>1663</v>
      </c>
      <c r="E1114" s="72" t="s">
        <v>33</v>
      </c>
      <c r="F1114" s="167">
        <v>44078.0</v>
      </c>
      <c r="G1114" s="167">
        <v>44157.0</v>
      </c>
      <c r="H1114" s="167">
        <v>44158.0</v>
      </c>
      <c r="I1114" s="167">
        <v>44342.0</v>
      </c>
      <c r="J1114" s="55">
        <v>27.49</v>
      </c>
      <c r="K1114" s="55">
        <v>19.24</v>
      </c>
      <c r="L1114" s="165">
        <v>8.25</v>
      </c>
      <c r="M1114" s="72">
        <v>9.0</v>
      </c>
      <c r="N1114" s="165">
        <v>2.14</v>
      </c>
    </row>
    <row r="1115">
      <c r="A1115" s="72" t="s">
        <v>29</v>
      </c>
      <c r="B1115" s="72" t="s">
        <v>510</v>
      </c>
      <c r="C1115" s="72">
        <v>780.0</v>
      </c>
      <c r="D1115" s="72" t="s">
        <v>1664</v>
      </c>
      <c r="E1115" s="72" t="s">
        <v>33</v>
      </c>
      <c r="F1115" s="167">
        <v>44084.0</v>
      </c>
      <c r="G1115" s="167">
        <v>44335.0</v>
      </c>
      <c r="H1115" s="167">
        <v>44473.0</v>
      </c>
      <c r="I1115" s="167">
        <v>44474.0</v>
      </c>
      <c r="J1115" s="165">
        <v>14.99</v>
      </c>
      <c r="K1115" s="165">
        <v>8.24</v>
      </c>
      <c r="L1115" s="165">
        <v>6.75</v>
      </c>
      <c r="M1115" s="72">
        <v>5.0</v>
      </c>
      <c r="N1115" s="165">
        <v>1.65</v>
      </c>
    </row>
    <row r="1116">
      <c r="A1116" s="72" t="s">
        <v>29</v>
      </c>
      <c r="B1116" s="72" t="s">
        <v>591</v>
      </c>
      <c r="C1116" s="72">
        <v>974.0</v>
      </c>
      <c r="D1116" s="72" t="s">
        <v>1665</v>
      </c>
      <c r="E1116" s="72" t="s">
        <v>33</v>
      </c>
      <c r="F1116" s="167">
        <v>44092.0</v>
      </c>
      <c r="G1116" s="167">
        <v>44383.0</v>
      </c>
      <c r="H1116" s="167">
        <v>44450.0</v>
      </c>
      <c r="I1116" s="167">
        <v>44451.0</v>
      </c>
      <c r="J1116" s="165">
        <v>39.99</v>
      </c>
      <c r="K1116" s="165">
        <v>0.0</v>
      </c>
      <c r="L1116" s="165">
        <v>39.99</v>
      </c>
      <c r="M1116" s="72">
        <v>3.0</v>
      </c>
      <c r="N1116" s="165">
        <v>0.0</v>
      </c>
    </row>
    <row r="1117">
      <c r="A1117" s="72" t="s">
        <v>29</v>
      </c>
      <c r="B1117" s="72" t="s">
        <v>493</v>
      </c>
      <c r="C1117" s="72">
        <v>647.0</v>
      </c>
      <c r="D1117" s="72" t="s">
        <v>1666</v>
      </c>
      <c r="E1117" s="72" t="s">
        <v>33</v>
      </c>
      <c r="F1117" s="167">
        <v>44098.0</v>
      </c>
      <c r="G1117" s="167">
        <v>45177.0</v>
      </c>
      <c r="H1117" s="167">
        <v>45395.0</v>
      </c>
      <c r="I1117" s="167">
        <v>45401.0</v>
      </c>
      <c r="J1117" s="165">
        <v>19.99</v>
      </c>
      <c r="K1117" s="165">
        <v>0.0</v>
      </c>
      <c r="L1117" s="165">
        <v>19.99</v>
      </c>
      <c r="M1117" s="72">
        <v>25.0</v>
      </c>
      <c r="N1117" s="165">
        <v>0.0</v>
      </c>
    </row>
    <row r="1118">
      <c r="A1118" s="72" t="s">
        <v>29</v>
      </c>
      <c r="B1118" s="72"/>
      <c r="C1118" s="72">
        <v>721.0</v>
      </c>
      <c r="D1118" s="72" t="s">
        <v>1667</v>
      </c>
      <c r="E1118" s="72" t="s">
        <v>33</v>
      </c>
      <c r="F1118" s="167">
        <v>44099.0</v>
      </c>
      <c r="G1118" s="167">
        <v>44176.0</v>
      </c>
      <c r="H1118" s="167">
        <v>44179.0</v>
      </c>
      <c r="I1118" s="167">
        <v>44180.0</v>
      </c>
      <c r="J1118" s="165">
        <v>39.99</v>
      </c>
      <c r="K1118" s="165">
        <v>29.99</v>
      </c>
      <c r="L1118" s="165">
        <v>10.0</v>
      </c>
      <c r="M1118" s="72">
        <v>13.0</v>
      </c>
      <c r="N1118" s="165">
        <v>2.31</v>
      </c>
    </row>
    <row r="1119">
      <c r="A1119" s="72" t="s">
        <v>29</v>
      </c>
      <c r="B1119" s="72" t="s">
        <v>528</v>
      </c>
      <c r="C1119" s="72">
        <v>819.0</v>
      </c>
      <c r="D1119" s="72" t="s">
        <v>1668</v>
      </c>
      <c r="E1119" s="72" t="s">
        <v>33</v>
      </c>
      <c r="F1119" s="167">
        <v>44105.0</v>
      </c>
      <c r="G1119" s="167">
        <v>44335.0</v>
      </c>
      <c r="H1119" s="167">
        <v>44335.0</v>
      </c>
      <c r="I1119" s="167">
        <v>44335.0</v>
      </c>
      <c r="J1119" s="55">
        <v>0.0</v>
      </c>
      <c r="K1119" s="55">
        <v>0.0</v>
      </c>
      <c r="L1119" s="165">
        <v>0.0</v>
      </c>
      <c r="M1119" s="72">
        <v>1.0</v>
      </c>
      <c r="N1119" s="165">
        <v>0.0</v>
      </c>
    </row>
    <row r="1120">
      <c r="A1120" s="72" t="s">
        <v>29</v>
      </c>
      <c r="B1120" s="72"/>
      <c r="C1120" s="72">
        <v>561.0</v>
      </c>
      <c r="D1120" s="72" t="s">
        <v>1669</v>
      </c>
      <c r="E1120" s="72" t="s">
        <v>33</v>
      </c>
      <c r="F1120" s="167">
        <v>44106.0</v>
      </c>
      <c r="G1120" s="167">
        <v>44083.0</v>
      </c>
      <c r="H1120" s="167">
        <v>44106.0</v>
      </c>
      <c r="I1120" s="167">
        <v>44338.0</v>
      </c>
      <c r="J1120" s="165">
        <v>69.99</v>
      </c>
      <c r="K1120" s="165">
        <v>0.0</v>
      </c>
      <c r="L1120" s="165">
        <v>69.99</v>
      </c>
      <c r="M1120" s="72">
        <v>46.0</v>
      </c>
      <c r="N1120" s="165">
        <v>0.0</v>
      </c>
    </row>
    <row r="1121">
      <c r="A1121" s="72" t="s">
        <v>29</v>
      </c>
      <c r="B1121" s="72" t="s">
        <v>578</v>
      </c>
      <c r="C1121" s="72">
        <v>648.0</v>
      </c>
      <c r="D1121" s="72" t="s">
        <v>1670</v>
      </c>
      <c r="E1121" s="72" t="s">
        <v>33</v>
      </c>
      <c r="F1121" s="167">
        <v>44118.0</v>
      </c>
      <c r="G1121" s="167">
        <v>44923.0</v>
      </c>
      <c r="H1121" s="167">
        <v>44945.0</v>
      </c>
      <c r="I1121" s="167">
        <v>44949.0</v>
      </c>
      <c r="J1121" s="165">
        <v>16.99</v>
      </c>
      <c r="K1121" s="165">
        <v>0.0</v>
      </c>
      <c r="L1121" s="165">
        <v>16.99</v>
      </c>
      <c r="M1121" s="72">
        <v>6.0</v>
      </c>
      <c r="N1121" s="165">
        <v>0.0</v>
      </c>
    </row>
    <row r="1122">
      <c r="A1122" s="72" t="s">
        <v>29</v>
      </c>
      <c r="B1122" s="72"/>
      <c r="C1122" s="72">
        <v>727.0</v>
      </c>
      <c r="D1122" s="72" t="s">
        <v>1671</v>
      </c>
      <c r="E1122" s="72" t="s">
        <v>33</v>
      </c>
      <c r="F1122" s="167">
        <v>44147.0</v>
      </c>
      <c r="G1122" s="167">
        <v>44883.0</v>
      </c>
      <c r="H1122" s="167">
        <v>44889.0</v>
      </c>
      <c r="I1122" s="167">
        <v>44892.0</v>
      </c>
      <c r="J1122" s="165">
        <v>59.99</v>
      </c>
      <c r="K1122" s="165">
        <v>29.99</v>
      </c>
      <c r="L1122" s="165">
        <v>30.0</v>
      </c>
      <c r="M1122" s="72">
        <v>29.0</v>
      </c>
      <c r="N1122" s="165">
        <v>1.03</v>
      </c>
    </row>
    <row r="1123">
      <c r="A1123" s="72" t="s">
        <v>29</v>
      </c>
      <c r="B1123" s="72"/>
      <c r="C1123" s="72">
        <v>538.0</v>
      </c>
      <c r="D1123" s="72" t="s">
        <v>1672</v>
      </c>
      <c r="E1123" s="72" t="s">
        <v>33</v>
      </c>
      <c r="F1123" s="167">
        <v>44147.0</v>
      </c>
      <c r="G1123" s="167">
        <v>44343.0</v>
      </c>
      <c r="H1123" s="167">
        <v>44348.0</v>
      </c>
      <c r="I1123" s="167">
        <v>44680.0</v>
      </c>
      <c r="J1123" s="165">
        <v>21.99</v>
      </c>
      <c r="K1123" s="165">
        <v>16.49</v>
      </c>
      <c r="L1123" s="165">
        <v>5.5</v>
      </c>
      <c r="M1123" s="72">
        <v>24.0</v>
      </c>
      <c r="N1123" s="165">
        <v>0.69</v>
      </c>
    </row>
    <row r="1124">
      <c r="A1124" s="72" t="s">
        <v>29</v>
      </c>
      <c r="B1124" s="72"/>
      <c r="C1124" s="72">
        <v>540.0</v>
      </c>
      <c r="D1124" s="72" t="s">
        <v>1673</v>
      </c>
      <c r="E1124" s="72" t="s">
        <v>33</v>
      </c>
      <c r="F1124" s="167">
        <v>44148.0</v>
      </c>
      <c r="G1124" s="167">
        <v>45111.0</v>
      </c>
      <c r="H1124" s="167">
        <v>45111.0</v>
      </c>
      <c r="I1124" s="167">
        <v>45111.0</v>
      </c>
      <c r="J1124" s="55">
        <v>74.99</v>
      </c>
      <c r="K1124" s="55">
        <v>0.0</v>
      </c>
      <c r="L1124" s="165">
        <v>74.99</v>
      </c>
      <c r="M1124" s="72">
        <v>1.0</v>
      </c>
      <c r="N1124" s="165">
        <v>0.0</v>
      </c>
    </row>
    <row r="1125">
      <c r="A1125" s="72" t="s">
        <v>29</v>
      </c>
      <c r="B1125" s="72"/>
      <c r="C1125" s="72">
        <v>612.0</v>
      </c>
      <c r="D1125" s="72" t="s">
        <v>1674</v>
      </c>
      <c r="E1125" s="72" t="s">
        <v>33</v>
      </c>
      <c r="F1125" s="167">
        <v>44148.0</v>
      </c>
      <c r="G1125" s="167">
        <v>44426.0</v>
      </c>
      <c r="H1125" s="167">
        <v>44427.0</v>
      </c>
      <c r="I1125" s="167">
        <v>44427.0</v>
      </c>
      <c r="J1125" s="165">
        <v>9.99</v>
      </c>
      <c r="K1125" s="165">
        <v>6.99</v>
      </c>
      <c r="L1125" s="165">
        <v>3.0</v>
      </c>
      <c r="M1125" s="72">
        <v>2.0</v>
      </c>
      <c r="N1125" s="165">
        <v>3.5</v>
      </c>
    </row>
    <row r="1126">
      <c r="A1126" s="72" t="s">
        <v>29</v>
      </c>
      <c r="B1126" s="72" t="s">
        <v>598</v>
      </c>
      <c r="C1126" s="72">
        <v>919.0</v>
      </c>
      <c r="D1126" s="72" t="s">
        <v>1675</v>
      </c>
      <c r="E1126" s="72" t="s">
        <v>33</v>
      </c>
      <c r="F1126" s="167">
        <v>44225.0</v>
      </c>
      <c r="G1126" s="167">
        <v>44349.0</v>
      </c>
      <c r="H1126" s="167">
        <v>44350.0</v>
      </c>
      <c r="I1126" s="167">
        <v>44704.0</v>
      </c>
      <c r="J1126" s="165">
        <v>15.99</v>
      </c>
      <c r="K1126" s="165">
        <v>10.39</v>
      </c>
      <c r="L1126" s="165">
        <v>5.6</v>
      </c>
      <c r="M1126" s="72">
        <v>4.0</v>
      </c>
      <c r="N1126" s="165">
        <v>2.6</v>
      </c>
    </row>
    <row r="1127">
      <c r="A1127" s="72" t="s">
        <v>29</v>
      </c>
      <c r="B1127" s="72" t="s">
        <v>536</v>
      </c>
      <c r="C1127" s="72">
        <v>724.0</v>
      </c>
      <c r="D1127" s="72" t="s">
        <v>1676</v>
      </c>
      <c r="E1127" s="72" t="s">
        <v>33</v>
      </c>
      <c r="F1127" s="167">
        <v>44257.0</v>
      </c>
      <c r="G1127" s="167">
        <v>44351.0</v>
      </c>
      <c r="H1127" s="167">
        <v>44462.0</v>
      </c>
      <c r="I1127" s="167">
        <v>44463.0</v>
      </c>
      <c r="J1127" s="165">
        <v>17.99</v>
      </c>
      <c r="K1127" s="165">
        <v>14.39</v>
      </c>
      <c r="L1127" s="165">
        <v>3.6</v>
      </c>
      <c r="M1127" s="72">
        <v>5.0</v>
      </c>
      <c r="N1127" s="165">
        <v>2.88</v>
      </c>
    </row>
    <row r="1128">
      <c r="A1128" s="72" t="s">
        <v>29</v>
      </c>
      <c r="B1128" s="72" t="s">
        <v>590</v>
      </c>
      <c r="C1128" s="72">
        <v>798.0</v>
      </c>
      <c r="D1128" s="72" t="s">
        <v>1677</v>
      </c>
      <c r="E1128" s="72" t="s">
        <v>33</v>
      </c>
      <c r="F1128" s="167">
        <v>44260.0</v>
      </c>
      <c r="G1128" s="167">
        <v>44708.0</v>
      </c>
      <c r="H1128" s="167">
        <v>44858.0</v>
      </c>
      <c r="I1128" s="167">
        <v>44860.0</v>
      </c>
      <c r="J1128" s="165">
        <v>9.99</v>
      </c>
      <c r="K1128" s="165">
        <v>3.49</v>
      </c>
      <c r="L1128" s="165">
        <v>6.5</v>
      </c>
      <c r="M1128" s="72">
        <v>8.0</v>
      </c>
      <c r="N1128" s="165">
        <v>0.44</v>
      </c>
    </row>
    <row r="1129">
      <c r="A1129" s="72" t="s">
        <v>29</v>
      </c>
      <c r="B1129" s="72"/>
      <c r="C1129" s="39">
        <v>777.0</v>
      </c>
      <c r="D1129" s="39" t="s">
        <v>1678</v>
      </c>
      <c r="E1129" s="39" t="s">
        <v>33</v>
      </c>
      <c r="F1129" s="41">
        <v>44292.0</v>
      </c>
      <c r="G1129" s="41">
        <v>44292.0</v>
      </c>
      <c r="H1129" s="41">
        <v>44307.0</v>
      </c>
      <c r="I1129" s="41">
        <v>45954.0</v>
      </c>
      <c r="J1129" s="71">
        <v>49.99</v>
      </c>
      <c r="K1129" s="71">
        <v>49.99</v>
      </c>
      <c r="L1129" s="71">
        <v>0.0</v>
      </c>
      <c r="M1129" s="39">
        <v>8.0</v>
      </c>
      <c r="N1129" s="71">
        <v>6.24875</v>
      </c>
    </row>
    <row r="1130">
      <c r="A1130" s="72" t="s">
        <v>29</v>
      </c>
      <c r="B1130" s="72"/>
      <c r="C1130" s="72">
        <v>872.0</v>
      </c>
      <c r="D1130" s="72" t="s">
        <v>1679</v>
      </c>
      <c r="E1130" s="72" t="s">
        <v>33</v>
      </c>
      <c r="F1130" s="167">
        <v>44330.0</v>
      </c>
      <c r="G1130" s="167">
        <v>44469.0</v>
      </c>
      <c r="H1130" s="167">
        <v>44521.0</v>
      </c>
      <c r="I1130" s="167">
        <v>44529.0</v>
      </c>
      <c r="J1130" s="165">
        <v>29.99</v>
      </c>
      <c r="K1130" s="165">
        <v>19.49</v>
      </c>
      <c r="L1130" s="165">
        <v>10.5</v>
      </c>
      <c r="M1130" s="72">
        <v>18.0</v>
      </c>
      <c r="N1130" s="165">
        <v>1.08</v>
      </c>
    </row>
    <row r="1131">
      <c r="A1131" s="72" t="s">
        <v>29</v>
      </c>
      <c r="B1131" s="72" t="s">
        <v>631</v>
      </c>
      <c r="C1131" s="72">
        <v>695.0</v>
      </c>
      <c r="D1131" s="72" t="s">
        <v>1680</v>
      </c>
      <c r="E1131" s="72" t="s">
        <v>33</v>
      </c>
      <c r="F1131" s="167">
        <v>44337.0</v>
      </c>
      <c r="G1131" s="167">
        <v>44502.0</v>
      </c>
      <c r="H1131" s="167">
        <v>44502.0</v>
      </c>
      <c r="I1131" s="167">
        <v>44502.0</v>
      </c>
      <c r="J1131" s="165">
        <v>19.99</v>
      </c>
      <c r="K1131" s="165">
        <v>0.0</v>
      </c>
      <c r="L1131" s="165">
        <v>19.99</v>
      </c>
      <c r="M1131" s="72">
        <v>1.0</v>
      </c>
      <c r="N1131" s="165">
        <v>0.0</v>
      </c>
    </row>
    <row r="1132">
      <c r="A1132" s="72" t="s">
        <v>29</v>
      </c>
      <c r="B1132" s="72" t="s">
        <v>637</v>
      </c>
      <c r="C1132" s="72">
        <v>545.0</v>
      </c>
      <c r="D1132" s="72" t="s">
        <v>1681</v>
      </c>
      <c r="E1132" s="72" t="s">
        <v>33</v>
      </c>
      <c r="F1132" s="167">
        <v>44357.0</v>
      </c>
      <c r="G1132" s="167">
        <v>44745.0</v>
      </c>
      <c r="H1132" s="167">
        <v>44815.0</v>
      </c>
      <c r="I1132" s="167">
        <v>44817.0</v>
      </c>
      <c r="J1132" s="165">
        <v>19.99</v>
      </c>
      <c r="K1132" s="165">
        <v>13.99</v>
      </c>
      <c r="L1132" s="165">
        <v>6.0</v>
      </c>
      <c r="M1132" s="72">
        <v>24.0</v>
      </c>
      <c r="N1132" s="165">
        <v>0.58</v>
      </c>
    </row>
    <row r="1133">
      <c r="A1133" s="72" t="s">
        <v>29</v>
      </c>
      <c r="B1133" s="72" t="s">
        <v>610</v>
      </c>
      <c r="C1133" s="72">
        <v>591.0</v>
      </c>
      <c r="D1133" s="72" t="s">
        <v>1682</v>
      </c>
      <c r="E1133" s="72" t="s">
        <v>33</v>
      </c>
      <c r="F1133" s="167">
        <v>44377.0</v>
      </c>
      <c r="G1133" s="167">
        <v>45595.0</v>
      </c>
      <c r="H1133" s="167">
        <v>45644.0</v>
      </c>
      <c r="I1133" s="167">
        <v>45644.0</v>
      </c>
      <c r="J1133" s="55">
        <v>12.49</v>
      </c>
      <c r="K1133" s="55">
        <v>0.0</v>
      </c>
      <c r="L1133" s="165">
        <v>12.49</v>
      </c>
      <c r="M1133" s="72">
        <v>2.0</v>
      </c>
      <c r="N1133" s="165">
        <v>0.0</v>
      </c>
    </row>
    <row r="1134">
      <c r="A1134" s="72" t="s">
        <v>29</v>
      </c>
      <c r="B1134" s="72" t="s">
        <v>619</v>
      </c>
      <c r="C1134" s="72">
        <v>520.0</v>
      </c>
      <c r="D1134" s="72" t="s">
        <v>1683</v>
      </c>
      <c r="E1134" s="72" t="s">
        <v>33</v>
      </c>
      <c r="F1134" s="167">
        <v>44419.0</v>
      </c>
      <c r="G1134" s="167">
        <v>44929.0</v>
      </c>
      <c r="H1134" s="167">
        <v>44929.0</v>
      </c>
      <c r="I1134" s="167">
        <v>44929.0</v>
      </c>
      <c r="J1134" s="165">
        <v>17.99</v>
      </c>
      <c r="K1134" s="165">
        <v>0.0</v>
      </c>
      <c r="L1134" s="165">
        <v>17.99</v>
      </c>
      <c r="M1134" s="72">
        <v>1.0</v>
      </c>
      <c r="N1134" s="165">
        <v>0.0</v>
      </c>
    </row>
    <row r="1135">
      <c r="A1135" s="72" t="s">
        <v>29</v>
      </c>
      <c r="B1135" s="72"/>
      <c r="C1135" s="72">
        <v>803.0</v>
      </c>
      <c r="D1135" s="72" t="s">
        <v>1684</v>
      </c>
      <c r="E1135" s="72" t="s">
        <v>33</v>
      </c>
      <c r="F1135" s="167">
        <v>44427.0</v>
      </c>
      <c r="G1135" s="167">
        <v>44708.0</v>
      </c>
      <c r="H1135" s="167">
        <v>44708.0</v>
      </c>
      <c r="I1135" s="167">
        <v>44708.0</v>
      </c>
      <c r="J1135" s="165">
        <v>9.99</v>
      </c>
      <c r="K1135" s="165">
        <v>4.99</v>
      </c>
      <c r="L1135" s="165">
        <v>5.0</v>
      </c>
      <c r="M1135" s="72">
        <v>1.0</v>
      </c>
      <c r="N1135" s="165">
        <v>4.99</v>
      </c>
    </row>
    <row r="1136">
      <c r="A1136" s="72" t="s">
        <v>29</v>
      </c>
      <c r="B1136" s="72" t="s">
        <v>504</v>
      </c>
      <c r="C1136" s="72">
        <v>506.0</v>
      </c>
      <c r="D1136" s="72" t="s">
        <v>1685</v>
      </c>
      <c r="E1136" s="72" t="s">
        <v>33</v>
      </c>
      <c r="F1136" s="167">
        <v>44432.0</v>
      </c>
      <c r="G1136" s="167">
        <v>45237.0</v>
      </c>
      <c r="H1136" s="167">
        <v>45237.0</v>
      </c>
      <c r="I1136" s="167">
        <v>45237.0</v>
      </c>
      <c r="J1136" s="165">
        <v>29.99</v>
      </c>
      <c r="K1136" s="165">
        <v>0.0</v>
      </c>
      <c r="L1136" s="165">
        <v>29.99</v>
      </c>
      <c r="M1136" s="72">
        <v>1.0</v>
      </c>
      <c r="N1136" s="165">
        <v>0.0</v>
      </c>
    </row>
    <row r="1137">
      <c r="A1137" s="72" t="s">
        <v>29</v>
      </c>
      <c r="B1137" s="72"/>
      <c r="C1137" s="72">
        <v>802.0</v>
      </c>
      <c r="D1137" s="72" t="s">
        <v>1686</v>
      </c>
      <c r="E1137" s="72" t="s">
        <v>33</v>
      </c>
      <c r="F1137" s="167">
        <v>44433.0</v>
      </c>
      <c r="G1137" s="167">
        <v>44521.0</v>
      </c>
      <c r="H1137" s="167">
        <v>44522.0</v>
      </c>
      <c r="I1137" s="167">
        <v>44526.0</v>
      </c>
      <c r="J1137" s="165">
        <v>59.99</v>
      </c>
      <c r="K1137" s="165">
        <v>41.99</v>
      </c>
      <c r="L1137" s="165">
        <v>18.0</v>
      </c>
      <c r="M1137" s="72">
        <v>22.0</v>
      </c>
      <c r="N1137" s="165">
        <v>1.91</v>
      </c>
    </row>
    <row r="1138">
      <c r="A1138" s="72" t="s">
        <v>29</v>
      </c>
      <c r="B1138" s="72" t="s">
        <v>521</v>
      </c>
      <c r="C1138" s="72">
        <v>686.0</v>
      </c>
      <c r="D1138" s="72" t="s">
        <v>1687</v>
      </c>
      <c r="E1138" s="72" t="s">
        <v>33</v>
      </c>
      <c r="F1138" s="167">
        <v>44460.0</v>
      </c>
      <c r="G1138" s="167">
        <v>44555.0</v>
      </c>
      <c r="H1138" s="167">
        <v>44562.0</v>
      </c>
      <c r="I1138" s="167">
        <v>44566.0</v>
      </c>
      <c r="J1138" s="165">
        <v>39.99</v>
      </c>
      <c r="K1138" s="165">
        <v>0.0</v>
      </c>
      <c r="L1138" s="165">
        <v>39.99</v>
      </c>
      <c r="M1138" s="72">
        <v>19.0</v>
      </c>
      <c r="N1138" s="165">
        <v>0.0</v>
      </c>
    </row>
    <row r="1139">
      <c r="A1139" s="72" t="s">
        <v>29</v>
      </c>
      <c r="B1139" s="72"/>
      <c r="C1139" s="72">
        <v>836.0</v>
      </c>
      <c r="D1139" s="72" t="s">
        <v>1688</v>
      </c>
      <c r="E1139" s="72" t="s">
        <v>33</v>
      </c>
      <c r="F1139" s="167">
        <v>44543.0</v>
      </c>
      <c r="G1139" s="167">
        <v>44915.0</v>
      </c>
      <c r="H1139" s="167">
        <v>44934.0</v>
      </c>
      <c r="I1139" s="167">
        <v>44937.0</v>
      </c>
      <c r="J1139" s="165">
        <v>19.99</v>
      </c>
      <c r="K1139" s="165">
        <v>14.99</v>
      </c>
      <c r="L1139" s="165">
        <v>5.0</v>
      </c>
      <c r="M1139" s="72">
        <v>12.0</v>
      </c>
      <c r="N1139" s="165">
        <v>1.25</v>
      </c>
    </row>
    <row r="1140">
      <c r="A1140" s="72" t="s">
        <v>29</v>
      </c>
      <c r="B1140" s="72"/>
      <c r="C1140" s="72">
        <v>933.0</v>
      </c>
      <c r="D1140" s="72" t="s">
        <v>1689</v>
      </c>
      <c r="E1140" s="72" t="s">
        <v>33</v>
      </c>
      <c r="F1140" s="167">
        <v>44645.0</v>
      </c>
      <c r="G1140" s="167">
        <v>44960.0</v>
      </c>
      <c r="H1140" s="167">
        <v>44985.0</v>
      </c>
      <c r="I1140" s="167">
        <v>45708.0</v>
      </c>
      <c r="J1140" s="165">
        <v>89.99</v>
      </c>
      <c r="K1140" s="165">
        <v>44.99</v>
      </c>
      <c r="L1140" s="165">
        <v>45.0</v>
      </c>
      <c r="M1140" s="72">
        <v>48.0</v>
      </c>
      <c r="N1140" s="165">
        <v>0.94</v>
      </c>
    </row>
    <row r="1141">
      <c r="A1141" s="72" t="s">
        <v>29</v>
      </c>
      <c r="B1141" s="72"/>
      <c r="C1141" s="72">
        <v>826.0</v>
      </c>
      <c r="D1141" s="72" t="s">
        <v>1690</v>
      </c>
      <c r="E1141" s="72" t="s">
        <v>33</v>
      </c>
      <c r="F1141" s="167">
        <v>44796.0</v>
      </c>
      <c r="G1141" s="167">
        <v>45174.0</v>
      </c>
      <c r="H1141" s="167">
        <v>45246.0</v>
      </c>
      <c r="I1141" s="167">
        <v>45254.0</v>
      </c>
      <c r="J1141" s="165">
        <v>69.99</v>
      </c>
      <c r="K1141" s="165">
        <v>0.0</v>
      </c>
      <c r="L1141" s="165">
        <v>69.99</v>
      </c>
      <c r="M1141" s="72">
        <v>62.0</v>
      </c>
      <c r="N1141" s="165">
        <v>0.0</v>
      </c>
    </row>
    <row r="1142">
      <c r="A1142" s="72" t="s">
        <v>29</v>
      </c>
      <c r="B1142" s="72" t="s">
        <v>634</v>
      </c>
      <c r="C1142" s="72">
        <v>762.0</v>
      </c>
      <c r="D1142" s="72" t="s">
        <v>1691</v>
      </c>
      <c r="E1142" s="72" t="s">
        <v>33</v>
      </c>
      <c r="F1142" s="167">
        <v>44813.0</v>
      </c>
      <c r="G1142" s="167">
        <v>45083.0</v>
      </c>
      <c r="H1142" s="167">
        <v>45083.0</v>
      </c>
      <c r="I1142" s="167">
        <v>45083.0</v>
      </c>
      <c r="J1142" s="165">
        <v>39.99</v>
      </c>
      <c r="K1142" s="165">
        <v>0.0</v>
      </c>
      <c r="L1142" s="165">
        <v>39.99</v>
      </c>
      <c r="M1142" s="72">
        <v>1.0</v>
      </c>
      <c r="N1142" s="165">
        <v>0.0</v>
      </c>
    </row>
    <row r="1143">
      <c r="A1143" s="72" t="s">
        <v>29</v>
      </c>
      <c r="B1143" s="72"/>
      <c r="C1143" s="72">
        <v>827.0</v>
      </c>
      <c r="D1143" s="72" t="s">
        <v>1692</v>
      </c>
      <c r="E1143" s="72" t="s">
        <v>33</v>
      </c>
      <c r="F1143" s="167">
        <v>44833.0</v>
      </c>
      <c r="G1143" s="167">
        <v>44836.0</v>
      </c>
      <c r="H1143" s="167">
        <v>44836.0</v>
      </c>
      <c r="I1143" s="167">
        <v>44836.0</v>
      </c>
      <c r="J1143" s="165">
        <v>19.99</v>
      </c>
      <c r="K1143" s="165">
        <v>14.99</v>
      </c>
      <c r="L1143" s="165">
        <v>5.0</v>
      </c>
      <c r="M1143" s="72">
        <v>1.0</v>
      </c>
      <c r="N1143" s="165">
        <v>14.99</v>
      </c>
    </row>
    <row r="1144">
      <c r="A1144" s="72" t="s">
        <v>29</v>
      </c>
      <c r="B1144" s="72"/>
      <c r="C1144" s="72">
        <v>645.0</v>
      </c>
      <c r="D1144" s="72" t="s">
        <v>1693</v>
      </c>
      <c r="E1144" s="72" t="s">
        <v>33</v>
      </c>
      <c r="F1144" s="167">
        <v>44874.0</v>
      </c>
      <c r="G1144" s="167">
        <v>45651.0</v>
      </c>
      <c r="H1144" s="167">
        <v>45651.0</v>
      </c>
      <c r="I1144" s="167">
        <v>45651.0</v>
      </c>
      <c r="J1144" s="165">
        <v>79.99</v>
      </c>
      <c r="K1144" s="165">
        <v>0.0</v>
      </c>
      <c r="L1144" s="165">
        <v>79.99</v>
      </c>
      <c r="M1144" s="72">
        <v>1.0</v>
      </c>
      <c r="N1144" s="165">
        <v>0.0</v>
      </c>
    </row>
    <row r="1145">
      <c r="A1145" s="72" t="s">
        <v>29</v>
      </c>
      <c r="B1145" s="72" t="s">
        <v>604</v>
      </c>
      <c r="C1145" s="72">
        <v>907.0</v>
      </c>
      <c r="D1145" s="72" t="s">
        <v>1694</v>
      </c>
      <c r="E1145" s="72" t="s">
        <v>33</v>
      </c>
      <c r="F1145" s="167">
        <v>44897.0</v>
      </c>
      <c r="G1145" s="167">
        <v>45202.0</v>
      </c>
      <c r="H1145" s="167">
        <v>45202.0</v>
      </c>
      <c r="I1145" s="167">
        <v>45202.0</v>
      </c>
      <c r="J1145" s="165">
        <v>69.99</v>
      </c>
      <c r="K1145" s="165">
        <v>0.0</v>
      </c>
      <c r="L1145" s="165">
        <v>69.99</v>
      </c>
      <c r="M1145" s="72">
        <v>1.0</v>
      </c>
      <c r="N1145" s="165">
        <v>0.0</v>
      </c>
    </row>
    <row r="1146">
      <c r="A1146" s="72" t="s">
        <v>29</v>
      </c>
      <c r="B1146" s="72" t="s">
        <v>600</v>
      </c>
      <c r="C1146" s="72">
        <v>947.0</v>
      </c>
      <c r="D1146" s="72" t="s">
        <v>1695</v>
      </c>
      <c r="E1146" s="72" t="s">
        <v>33</v>
      </c>
      <c r="F1146" s="167">
        <v>44915.0</v>
      </c>
      <c r="G1146" s="167">
        <v>45058.0</v>
      </c>
      <c r="H1146" s="167">
        <v>45229.0</v>
      </c>
      <c r="I1146" s="167">
        <v>45230.0</v>
      </c>
      <c r="J1146" s="165">
        <v>14.99</v>
      </c>
      <c r="K1146" s="165">
        <v>11.24</v>
      </c>
      <c r="L1146" s="165">
        <v>3.75</v>
      </c>
      <c r="M1146" s="72">
        <v>4.0</v>
      </c>
      <c r="N1146" s="165">
        <v>2.81</v>
      </c>
    </row>
    <row r="1147">
      <c r="A1147" s="72" t="s">
        <v>29</v>
      </c>
      <c r="B1147" s="72"/>
      <c r="C1147" s="72">
        <v>799.0</v>
      </c>
      <c r="D1147" s="72" t="s">
        <v>1696</v>
      </c>
      <c r="E1147" s="72" t="s">
        <v>33</v>
      </c>
      <c r="F1147" s="167">
        <v>45006.0</v>
      </c>
      <c r="G1147" s="167">
        <v>45014.0</v>
      </c>
      <c r="H1147" s="167">
        <v>45015.0</v>
      </c>
      <c r="I1147" s="167">
        <v>45015.0</v>
      </c>
      <c r="J1147" s="165">
        <v>44.99</v>
      </c>
      <c r="K1147" s="165">
        <v>0.0</v>
      </c>
      <c r="L1147" s="165">
        <v>44.99</v>
      </c>
      <c r="M1147" s="72">
        <v>2.0</v>
      </c>
      <c r="N1147" s="165">
        <v>0.0</v>
      </c>
    </row>
    <row r="1148">
      <c r="A1148" s="72" t="s">
        <v>29</v>
      </c>
      <c r="B1148" s="72"/>
      <c r="C1148" s="72">
        <v>700.0</v>
      </c>
      <c r="D1148" s="72" t="s">
        <v>1697</v>
      </c>
      <c r="E1148" s="72" t="s">
        <v>33</v>
      </c>
      <c r="F1148" s="167">
        <v>45065.0</v>
      </c>
      <c r="G1148" s="167">
        <v>45265.0</v>
      </c>
      <c r="H1148" s="167">
        <v>45265.0</v>
      </c>
      <c r="I1148" s="167">
        <v>45265.0</v>
      </c>
      <c r="J1148" s="165">
        <v>69.99</v>
      </c>
      <c r="K1148" s="165">
        <v>0.0</v>
      </c>
      <c r="L1148" s="165">
        <v>69.99</v>
      </c>
      <c r="M1148" s="72">
        <v>1.0</v>
      </c>
      <c r="N1148" s="165">
        <v>0.0</v>
      </c>
    </row>
    <row r="1149">
      <c r="A1149" s="72" t="s">
        <v>29</v>
      </c>
      <c r="B1149" s="72"/>
      <c r="C1149" s="72">
        <v>596.0</v>
      </c>
      <c r="D1149" s="72" t="s">
        <v>1698</v>
      </c>
      <c r="E1149" s="72" t="s">
        <v>33</v>
      </c>
      <c r="F1149" s="167">
        <v>45099.0</v>
      </c>
      <c r="G1149" s="167">
        <v>45693.0</v>
      </c>
      <c r="H1149" s="167">
        <v>45693.0</v>
      </c>
      <c r="I1149" s="167">
        <v>45693.0</v>
      </c>
      <c r="J1149" s="55">
        <v>9.99</v>
      </c>
      <c r="K1149" s="55">
        <v>1.99</v>
      </c>
      <c r="L1149" s="165">
        <v>8.0</v>
      </c>
      <c r="M1149" s="72">
        <v>1.0</v>
      </c>
      <c r="N1149" s="165">
        <v>1.99</v>
      </c>
    </row>
    <row r="1150">
      <c r="A1150" s="72" t="s">
        <v>29</v>
      </c>
      <c r="B1150" s="72"/>
      <c r="C1150" s="72">
        <v>786.0</v>
      </c>
      <c r="D1150" s="72" t="s">
        <v>1699</v>
      </c>
      <c r="E1150" s="72" t="s">
        <v>33</v>
      </c>
      <c r="F1150" s="167">
        <v>45119.0</v>
      </c>
      <c r="G1150" s="167">
        <v>45495.0</v>
      </c>
      <c r="H1150" s="167">
        <v>45495.0</v>
      </c>
      <c r="I1150" s="167">
        <v>45495.0</v>
      </c>
      <c r="J1150" s="55">
        <v>23.99</v>
      </c>
      <c r="K1150" s="55">
        <v>4.59</v>
      </c>
      <c r="L1150" s="165">
        <v>19.4</v>
      </c>
      <c r="M1150" s="72">
        <v>1.0</v>
      </c>
      <c r="N1150" s="165">
        <v>4.59</v>
      </c>
    </row>
    <row r="1151">
      <c r="A1151" s="257" t="s">
        <v>29</v>
      </c>
      <c r="B1151" s="258" t="s">
        <v>515</v>
      </c>
      <c r="C1151" s="182">
        <v>712.0</v>
      </c>
      <c r="D1151" s="72" t="s">
        <v>1700</v>
      </c>
      <c r="E1151" s="182" t="s">
        <v>33</v>
      </c>
      <c r="F1151" s="183">
        <v>45125.0</v>
      </c>
      <c r="G1151" s="183">
        <v>45812.0</v>
      </c>
      <c r="H1151" s="183">
        <v>45812.0</v>
      </c>
      <c r="I1151" s="183">
        <v>45812.0</v>
      </c>
      <c r="J1151" s="184">
        <v>12.5</v>
      </c>
      <c r="K1151" s="184">
        <v>6.25</v>
      </c>
      <c r="L1151" s="55">
        <v>6.25</v>
      </c>
      <c r="M1151" s="72">
        <v>1.0</v>
      </c>
      <c r="N1151" s="184">
        <v>6.25</v>
      </c>
    </row>
    <row r="1152">
      <c r="A1152" s="257" t="s">
        <v>29</v>
      </c>
      <c r="B1152" s="258"/>
      <c r="C1152" s="182">
        <v>713.0</v>
      </c>
      <c r="D1152" s="72" t="s">
        <v>1701</v>
      </c>
      <c r="E1152" s="182" t="s">
        <v>33</v>
      </c>
      <c r="F1152" s="183">
        <v>45125.0</v>
      </c>
      <c r="G1152" s="183">
        <v>45812.0</v>
      </c>
      <c r="H1152" s="183">
        <v>45812.0</v>
      </c>
      <c r="I1152" s="183">
        <v>45812.0</v>
      </c>
      <c r="J1152" s="184">
        <v>12.49</v>
      </c>
      <c r="K1152" s="184">
        <v>6.24</v>
      </c>
      <c r="L1152" s="55">
        <v>6.25</v>
      </c>
      <c r="M1152" s="72">
        <v>1.0</v>
      </c>
      <c r="N1152" s="184">
        <v>6.24</v>
      </c>
    </row>
    <row r="1153">
      <c r="A1153" s="39" t="s">
        <v>29</v>
      </c>
      <c r="B1153" s="39"/>
      <c r="C1153" s="39">
        <v>658.0</v>
      </c>
      <c r="D1153" s="39" t="s">
        <v>1702</v>
      </c>
      <c r="E1153" s="39" t="s">
        <v>33</v>
      </c>
      <c r="F1153" s="41">
        <v>45129.0</v>
      </c>
      <c r="G1153" s="41">
        <v>45692.0</v>
      </c>
      <c r="H1153" s="41">
        <v>45700.0</v>
      </c>
      <c r="I1153" s="41">
        <v>45991.0</v>
      </c>
      <c r="J1153" s="42">
        <v>39.99</v>
      </c>
      <c r="K1153" s="42">
        <v>0.0</v>
      </c>
      <c r="L1153" s="71">
        <v>39.99</v>
      </c>
      <c r="M1153" s="39">
        <v>37.0</v>
      </c>
      <c r="N1153" s="71">
        <v>0.0</v>
      </c>
    </row>
    <row r="1154">
      <c r="A1154" s="72" t="s">
        <v>29</v>
      </c>
      <c r="B1154" s="72" t="s">
        <v>613</v>
      </c>
      <c r="C1154" s="72">
        <v>774.0</v>
      </c>
      <c r="D1154" s="72" t="s">
        <v>1703</v>
      </c>
      <c r="E1154" s="72" t="s">
        <v>33</v>
      </c>
      <c r="F1154" s="167">
        <v>45181.0</v>
      </c>
      <c r="G1154" s="167">
        <v>45181.0</v>
      </c>
      <c r="H1154" s="167">
        <v>45181.0</v>
      </c>
      <c r="I1154" s="167">
        <v>45182.0</v>
      </c>
      <c r="J1154" s="165">
        <v>14.99</v>
      </c>
      <c r="K1154" s="165">
        <v>0.0</v>
      </c>
      <c r="L1154" s="165">
        <v>14.99</v>
      </c>
      <c r="M1154" s="72">
        <v>2.0</v>
      </c>
      <c r="N1154" s="165">
        <v>0.0</v>
      </c>
    </row>
    <row r="1155">
      <c r="A1155" s="72" t="s">
        <v>29</v>
      </c>
      <c r="B1155" s="72"/>
      <c r="C1155" s="72">
        <v>975.0</v>
      </c>
      <c r="D1155" s="72" t="s">
        <v>1704</v>
      </c>
      <c r="E1155" s="72" t="s">
        <v>33</v>
      </c>
      <c r="F1155" s="167">
        <v>45359.0</v>
      </c>
      <c r="G1155" s="167">
        <v>45567.0</v>
      </c>
      <c r="H1155" s="167">
        <v>45567.0</v>
      </c>
      <c r="I1155" s="167">
        <v>45567.0</v>
      </c>
      <c r="J1155" s="165">
        <v>74.99</v>
      </c>
      <c r="K1155" s="165">
        <v>0.0</v>
      </c>
      <c r="L1155" s="165">
        <v>74.99</v>
      </c>
      <c r="M1155" s="72">
        <v>1.0</v>
      </c>
      <c r="N1155" s="165">
        <v>0.0</v>
      </c>
    </row>
    <row r="1156">
      <c r="A1156" s="72" t="s">
        <v>29</v>
      </c>
      <c r="B1156" s="72"/>
      <c r="C1156" s="72">
        <v>753.0</v>
      </c>
      <c r="D1156" s="72" t="s">
        <v>1705</v>
      </c>
      <c r="E1156" s="72" t="s">
        <v>33</v>
      </c>
      <c r="F1156" s="167">
        <v>45370.0</v>
      </c>
      <c r="G1156" s="167">
        <v>45538.0</v>
      </c>
      <c r="H1156" s="167">
        <v>45538.0</v>
      </c>
      <c r="I1156" s="167">
        <v>45538.0</v>
      </c>
      <c r="J1156" s="165">
        <v>69.99</v>
      </c>
      <c r="K1156" s="165">
        <v>0.0</v>
      </c>
      <c r="L1156" s="165">
        <v>69.99</v>
      </c>
      <c r="M1156" s="72">
        <v>1.0</v>
      </c>
      <c r="N1156" s="165">
        <v>0.0</v>
      </c>
    </row>
    <row r="1157">
      <c r="A1157" s="72" t="s">
        <v>29</v>
      </c>
      <c r="B1157" s="72" t="s">
        <v>628</v>
      </c>
      <c r="C1157" s="72">
        <v>653.0</v>
      </c>
      <c r="D1157" s="72" t="s">
        <v>1706</v>
      </c>
      <c r="E1157" s="72" t="s">
        <v>33</v>
      </c>
      <c r="F1157" s="167">
        <v>45538.0</v>
      </c>
      <c r="G1157" s="167">
        <v>45538.0</v>
      </c>
      <c r="H1157" s="167">
        <v>45538.0</v>
      </c>
      <c r="I1157" s="167">
        <v>45539.0</v>
      </c>
      <c r="J1157" s="165">
        <v>39.99</v>
      </c>
      <c r="K1157" s="165">
        <v>0.0</v>
      </c>
      <c r="L1157" s="165">
        <v>39.99</v>
      </c>
      <c r="M1157" s="72">
        <v>2.0</v>
      </c>
      <c r="N1157" s="165">
        <v>0.0</v>
      </c>
    </row>
    <row r="1158">
      <c r="A1158" s="71" t="s">
        <v>29</v>
      </c>
      <c r="B1158" s="48"/>
      <c r="C1158" s="72">
        <v>682.0</v>
      </c>
      <c r="D1158" s="72" t="s">
        <v>1707</v>
      </c>
      <c r="E1158" s="72" t="s">
        <v>33</v>
      </c>
      <c r="F1158" s="167">
        <v>45735.0</v>
      </c>
      <c r="G1158" s="167">
        <v>45800.0</v>
      </c>
      <c r="H1158" s="167">
        <v>45803.0</v>
      </c>
      <c r="I1158" s="167">
        <v>45805.0</v>
      </c>
      <c r="J1158" s="184">
        <v>21.99</v>
      </c>
      <c r="K1158" s="184">
        <v>17.59</v>
      </c>
      <c r="L1158" s="55">
        <v>4.4</v>
      </c>
      <c r="M1158" s="182">
        <v>9.0</v>
      </c>
      <c r="N1158" s="184">
        <v>1.95</v>
      </c>
    </row>
    <row r="1159">
      <c r="A1159" s="39" t="s">
        <v>29</v>
      </c>
      <c r="B1159" s="39" t="s">
        <v>551</v>
      </c>
      <c r="C1159" s="39">
        <v>1086.0</v>
      </c>
      <c r="D1159" s="39" t="s">
        <v>1708</v>
      </c>
      <c r="E1159" s="39" t="s">
        <v>33</v>
      </c>
      <c r="F1159" s="167">
        <v>45849.0</v>
      </c>
      <c r="G1159" s="167">
        <v>45907.0</v>
      </c>
      <c r="H1159" s="167">
        <v>45907.0</v>
      </c>
      <c r="I1159" s="167">
        <v>45907.0</v>
      </c>
      <c r="J1159" s="71">
        <v>25.0</v>
      </c>
      <c r="K1159" s="71">
        <v>0.0</v>
      </c>
      <c r="L1159" s="71">
        <f t="shared" ref="L1159:L1160" si="102">J1159-K1159</f>
        <v>25</v>
      </c>
      <c r="M1159" s="39">
        <v>2.0</v>
      </c>
      <c r="N1159" s="71">
        <f t="shared" ref="N1159:N1160" si="103">K1159/M1159</f>
        <v>0</v>
      </c>
    </row>
    <row r="1160">
      <c r="A1160" s="39" t="s">
        <v>29</v>
      </c>
      <c r="B1160" s="39"/>
      <c r="C1160" s="39">
        <v>1087.0</v>
      </c>
      <c r="D1160" s="39" t="s">
        <v>1709</v>
      </c>
      <c r="E1160" s="39" t="s">
        <v>33</v>
      </c>
      <c r="F1160" s="167">
        <v>45849.0</v>
      </c>
      <c r="G1160" s="167">
        <v>45907.0</v>
      </c>
      <c r="H1160" s="167">
        <v>45907.0</v>
      </c>
      <c r="I1160" s="167">
        <v>45907.0</v>
      </c>
      <c r="J1160" s="71">
        <v>24.99</v>
      </c>
      <c r="K1160" s="71">
        <v>0.0</v>
      </c>
      <c r="L1160" s="71">
        <f t="shared" si="102"/>
        <v>24.99</v>
      </c>
      <c r="M1160" s="39">
        <v>2.0</v>
      </c>
      <c r="N1160" s="71">
        <f t="shared" si="103"/>
        <v>0</v>
      </c>
    </row>
    <row r="1161">
      <c r="A1161" s="72" t="s">
        <v>29</v>
      </c>
      <c r="B1161" s="72" t="s">
        <v>523</v>
      </c>
      <c r="C1161" s="72">
        <v>1025.0</v>
      </c>
      <c r="D1161" s="72" t="s">
        <v>1710</v>
      </c>
      <c r="E1161" s="72" t="s">
        <v>666</v>
      </c>
      <c r="F1161" s="167">
        <v>42656.0</v>
      </c>
      <c r="G1161" s="167">
        <v>43543.0</v>
      </c>
      <c r="H1161" s="167">
        <v>43543.0</v>
      </c>
      <c r="I1161" s="167">
        <v>43543.0</v>
      </c>
      <c r="J1161" s="55">
        <v>29.99</v>
      </c>
      <c r="K1161" s="55">
        <v>14.99</v>
      </c>
      <c r="L1161" s="165">
        <v>15.0</v>
      </c>
      <c r="M1161" s="72">
        <v>2.0</v>
      </c>
      <c r="N1161" s="165">
        <v>7.5</v>
      </c>
    </row>
    <row r="1162">
      <c r="A1162" s="72" t="s">
        <v>29</v>
      </c>
      <c r="B1162" s="72" t="s">
        <v>530</v>
      </c>
      <c r="C1162" s="72">
        <v>1007.0</v>
      </c>
      <c r="D1162" s="72" t="s">
        <v>1711</v>
      </c>
      <c r="E1162" s="72" t="s">
        <v>666</v>
      </c>
      <c r="F1162" s="167">
        <v>42656.0</v>
      </c>
      <c r="G1162" s="167">
        <v>43466.0</v>
      </c>
      <c r="H1162" s="167">
        <v>43467.0</v>
      </c>
      <c r="I1162" s="167">
        <v>44023.0</v>
      </c>
      <c r="J1162" s="165">
        <v>28.98</v>
      </c>
      <c r="K1162" s="165">
        <v>14.98</v>
      </c>
      <c r="L1162" s="165">
        <v>14.0</v>
      </c>
      <c r="M1162" s="72">
        <v>8.0</v>
      </c>
      <c r="N1162" s="165">
        <v>1.87</v>
      </c>
    </row>
    <row r="1163">
      <c r="A1163" s="72" t="s">
        <v>29</v>
      </c>
      <c r="B1163" s="72" t="s">
        <v>573</v>
      </c>
      <c r="C1163" s="72">
        <v>1013.0</v>
      </c>
      <c r="D1163" s="72" t="s">
        <v>1712</v>
      </c>
      <c r="E1163" s="72" t="s">
        <v>666</v>
      </c>
      <c r="F1163" s="167">
        <v>42656.0</v>
      </c>
      <c r="G1163" s="167">
        <v>43475.0</v>
      </c>
      <c r="H1163" s="167">
        <v>43475.0</v>
      </c>
      <c r="I1163" s="167">
        <v>43475.0</v>
      </c>
      <c r="J1163" s="165">
        <v>19.99</v>
      </c>
      <c r="K1163" s="165">
        <v>19.99</v>
      </c>
      <c r="L1163" s="165">
        <v>0.0</v>
      </c>
      <c r="M1163" s="72">
        <v>4.0</v>
      </c>
      <c r="N1163" s="165">
        <v>5.0</v>
      </c>
    </row>
    <row r="1164">
      <c r="A1164" s="72" t="s">
        <v>29</v>
      </c>
      <c r="B1164" s="72" t="s">
        <v>503</v>
      </c>
      <c r="C1164" s="72">
        <v>992.0</v>
      </c>
      <c r="D1164" s="72" t="s">
        <v>1713</v>
      </c>
      <c r="E1164" s="72" t="s">
        <v>666</v>
      </c>
      <c r="F1164" s="167">
        <v>42671.0</v>
      </c>
      <c r="G1164" s="167">
        <v>43468.0</v>
      </c>
      <c r="H1164" s="167">
        <v>43475.0</v>
      </c>
      <c r="I1164" s="167">
        <v>43475.0</v>
      </c>
      <c r="J1164" s="165">
        <v>19.99</v>
      </c>
      <c r="K1164" s="165">
        <v>4.99</v>
      </c>
      <c r="L1164" s="165">
        <v>15.0</v>
      </c>
      <c r="M1164" s="72">
        <v>1.0</v>
      </c>
      <c r="N1164" s="165">
        <v>4.99</v>
      </c>
    </row>
    <row r="1165">
      <c r="A1165" s="72" t="s">
        <v>29</v>
      </c>
      <c r="B1165" s="72" t="s">
        <v>595</v>
      </c>
      <c r="C1165" s="72">
        <v>1011.0</v>
      </c>
      <c r="D1165" s="72" t="s">
        <v>1714</v>
      </c>
      <c r="E1165" s="72" t="s">
        <v>666</v>
      </c>
      <c r="F1165" s="167">
        <v>42717.0</v>
      </c>
      <c r="G1165" s="167">
        <v>43468.0</v>
      </c>
      <c r="H1165" s="167">
        <v>43542.0</v>
      </c>
      <c r="I1165" s="167">
        <v>43542.0</v>
      </c>
      <c r="J1165" s="165">
        <v>24.99</v>
      </c>
      <c r="K1165" s="165">
        <v>12.49</v>
      </c>
      <c r="L1165" s="165">
        <v>12.5</v>
      </c>
      <c r="M1165" s="72">
        <v>1.0</v>
      </c>
      <c r="N1165" s="165">
        <v>12.49</v>
      </c>
    </row>
    <row r="1166">
      <c r="A1166" s="72" t="s">
        <v>29</v>
      </c>
      <c r="B1166" s="72"/>
      <c r="C1166" s="72">
        <v>1024.0</v>
      </c>
      <c r="D1166" s="55" t="s">
        <v>1715</v>
      </c>
      <c r="E1166" s="55" t="s">
        <v>666</v>
      </c>
      <c r="F1166" s="167">
        <v>42787.0</v>
      </c>
      <c r="G1166" s="167">
        <v>43472.0</v>
      </c>
      <c r="H1166" s="167">
        <v>44521.0</v>
      </c>
      <c r="I1166" s="167">
        <v>44522.0</v>
      </c>
      <c r="J1166" s="165">
        <v>18.99</v>
      </c>
      <c r="K1166" s="165">
        <v>6.49</v>
      </c>
      <c r="L1166" s="165">
        <v>12.5</v>
      </c>
      <c r="M1166" s="72">
        <v>3.0</v>
      </c>
      <c r="N1166" s="165">
        <v>2.16</v>
      </c>
    </row>
    <row r="1167">
      <c r="A1167" s="72" t="s">
        <v>29</v>
      </c>
      <c r="B1167" s="72" t="s">
        <v>586</v>
      </c>
      <c r="C1167" s="72">
        <v>1033.0</v>
      </c>
      <c r="D1167" s="55" t="s">
        <v>1716</v>
      </c>
      <c r="E1167" s="55" t="s">
        <v>666</v>
      </c>
      <c r="F1167" s="167">
        <v>42885.0</v>
      </c>
      <c r="G1167" s="167">
        <v>43472.0</v>
      </c>
      <c r="H1167" s="167">
        <v>43543.0</v>
      </c>
      <c r="I1167" s="167">
        <v>43543.0</v>
      </c>
      <c r="J1167" s="165">
        <v>24.99</v>
      </c>
      <c r="K1167" s="165">
        <v>19.99</v>
      </c>
      <c r="L1167" s="165">
        <v>5.0</v>
      </c>
      <c r="M1167" s="72">
        <v>1.0</v>
      </c>
      <c r="N1167" s="165">
        <v>19.99</v>
      </c>
    </row>
    <row r="1168">
      <c r="A1168" s="72" t="s">
        <v>29</v>
      </c>
      <c r="B1168" s="72"/>
      <c r="C1168" s="72">
        <v>1036.0</v>
      </c>
      <c r="D1168" s="55" t="s">
        <v>1717</v>
      </c>
      <c r="E1168" s="55" t="s">
        <v>666</v>
      </c>
      <c r="F1168" s="167">
        <v>43056.0</v>
      </c>
      <c r="G1168" s="167">
        <v>43469.0</v>
      </c>
      <c r="H1168" s="167">
        <v>43469.0</v>
      </c>
      <c r="I1168" s="167">
        <v>43469.0</v>
      </c>
      <c r="J1168" s="165">
        <v>69.99</v>
      </c>
      <c r="K1168" s="165">
        <v>0.0</v>
      </c>
      <c r="L1168" s="165">
        <v>69.99</v>
      </c>
      <c r="M1168" s="72">
        <v>1.0</v>
      </c>
      <c r="N1168" s="165">
        <v>0.0</v>
      </c>
    </row>
    <row r="1169">
      <c r="A1169" s="72" t="s">
        <v>29</v>
      </c>
      <c r="B1169" s="72"/>
      <c r="C1169" s="72">
        <v>996.0</v>
      </c>
      <c r="D1169" s="72" t="s">
        <v>1718</v>
      </c>
      <c r="E1169" s="72" t="s">
        <v>666</v>
      </c>
      <c r="F1169" s="167">
        <v>43070.0</v>
      </c>
      <c r="G1169" s="167">
        <v>43468.0</v>
      </c>
      <c r="H1169" s="167">
        <v>43468.0</v>
      </c>
      <c r="I1169" s="167">
        <v>45151.0</v>
      </c>
      <c r="J1169" s="165">
        <v>29.99</v>
      </c>
      <c r="K1169" s="165">
        <v>0.0</v>
      </c>
      <c r="L1169" s="165">
        <v>29.99</v>
      </c>
      <c r="M1169" s="72">
        <v>2.0</v>
      </c>
      <c r="N1169" s="165">
        <v>0.0</v>
      </c>
    </row>
    <row r="1170">
      <c r="A1170" s="72" t="s">
        <v>29</v>
      </c>
      <c r="B1170" s="72" t="s">
        <v>500</v>
      </c>
      <c r="C1170" s="72">
        <v>1044.0</v>
      </c>
      <c r="D1170" s="72" t="s">
        <v>1719</v>
      </c>
      <c r="E1170" s="72" t="s">
        <v>666</v>
      </c>
      <c r="F1170" s="167">
        <v>43088.0</v>
      </c>
      <c r="G1170" s="167">
        <v>43912.0</v>
      </c>
      <c r="H1170" s="167">
        <v>43912.0</v>
      </c>
      <c r="I1170" s="167">
        <v>43912.0</v>
      </c>
      <c r="J1170" s="165">
        <v>21.99</v>
      </c>
      <c r="K1170" s="165">
        <v>6.99</v>
      </c>
      <c r="L1170" s="165">
        <v>15.0</v>
      </c>
      <c r="M1170" s="72">
        <v>2.0</v>
      </c>
      <c r="N1170" s="165">
        <v>3.5</v>
      </c>
    </row>
    <row r="1171">
      <c r="A1171" s="72" t="s">
        <v>29</v>
      </c>
      <c r="B1171" s="7"/>
      <c r="C1171" s="72">
        <v>982.0</v>
      </c>
      <c r="D1171" s="72" t="s">
        <v>1720</v>
      </c>
      <c r="E1171" s="72" t="s">
        <v>666</v>
      </c>
      <c r="F1171" s="167">
        <v>43088.0</v>
      </c>
      <c r="G1171" s="167">
        <v>44433.0</v>
      </c>
      <c r="H1171" s="167">
        <v>44436.0</v>
      </c>
      <c r="I1171" s="167">
        <v>44437.0</v>
      </c>
      <c r="J1171" s="165">
        <v>11.99</v>
      </c>
      <c r="K1171" s="165">
        <v>4.79</v>
      </c>
      <c r="L1171" s="165">
        <v>7.2</v>
      </c>
      <c r="M1171" s="72">
        <v>3.0</v>
      </c>
      <c r="N1171" s="165">
        <v>1.6</v>
      </c>
    </row>
    <row r="1172">
      <c r="A1172" s="72" t="s">
        <v>29</v>
      </c>
      <c r="B1172" s="72" t="s">
        <v>608</v>
      </c>
      <c r="C1172" s="72">
        <v>1032.0</v>
      </c>
      <c r="D1172" s="72" t="s">
        <v>1721</v>
      </c>
      <c r="E1172" s="72" t="s">
        <v>666</v>
      </c>
      <c r="F1172" s="167">
        <v>43144.0</v>
      </c>
      <c r="G1172" s="167">
        <v>43468.0</v>
      </c>
      <c r="H1172" s="167">
        <v>43468.0</v>
      </c>
      <c r="I1172" s="167">
        <v>43468.0</v>
      </c>
      <c r="J1172" s="165">
        <v>24.99</v>
      </c>
      <c r="K1172" s="165">
        <v>7.99</v>
      </c>
      <c r="L1172" s="165">
        <v>17.0</v>
      </c>
      <c r="M1172" s="72">
        <v>1.0</v>
      </c>
      <c r="N1172" s="165">
        <v>7.99</v>
      </c>
    </row>
    <row r="1173">
      <c r="A1173" s="72" t="s">
        <v>29</v>
      </c>
      <c r="B1173" s="72" t="s">
        <v>579</v>
      </c>
      <c r="C1173" s="72">
        <v>1021.0</v>
      </c>
      <c r="D1173" s="72" t="s">
        <v>1722</v>
      </c>
      <c r="E1173" s="72" t="s">
        <v>666</v>
      </c>
      <c r="F1173" s="167">
        <v>43158.0</v>
      </c>
      <c r="G1173" s="167">
        <v>43468.0</v>
      </c>
      <c r="H1173" s="167">
        <v>43543.0</v>
      </c>
      <c r="I1173" s="167">
        <v>43543.0</v>
      </c>
      <c r="J1173" s="165">
        <v>29.99</v>
      </c>
      <c r="K1173" s="165">
        <v>17.99</v>
      </c>
      <c r="L1173" s="165">
        <v>12.0</v>
      </c>
      <c r="M1173" s="72">
        <v>2.0</v>
      </c>
      <c r="N1173" s="165">
        <v>9.0</v>
      </c>
    </row>
    <row r="1174">
      <c r="A1174" s="72" t="s">
        <v>29</v>
      </c>
      <c r="B1174" s="72" t="s">
        <v>617</v>
      </c>
      <c r="C1174" s="72">
        <v>999.0</v>
      </c>
      <c r="D1174" s="72" t="s">
        <v>1723</v>
      </c>
      <c r="E1174" s="72" t="s">
        <v>666</v>
      </c>
      <c r="F1174" s="167">
        <v>43165.0</v>
      </c>
      <c r="G1174" s="167">
        <v>43564.0</v>
      </c>
      <c r="H1174" s="167">
        <v>43565.0</v>
      </c>
      <c r="I1174" s="167">
        <v>44041.0</v>
      </c>
      <c r="J1174" s="165">
        <v>17.99</v>
      </c>
      <c r="K1174" s="165">
        <v>7.99</v>
      </c>
      <c r="L1174" s="165">
        <v>10.0</v>
      </c>
      <c r="M1174" s="72">
        <v>1.0</v>
      </c>
      <c r="N1174" s="165">
        <v>7.99</v>
      </c>
    </row>
    <row r="1175">
      <c r="A1175" s="72" t="s">
        <v>29</v>
      </c>
      <c r="B1175" s="72" t="s">
        <v>535</v>
      </c>
      <c r="C1175" s="72">
        <v>1016.0</v>
      </c>
      <c r="D1175" s="72" t="s">
        <v>1724</v>
      </c>
      <c r="E1175" s="72" t="s">
        <v>666</v>
      </c>
      <c r="F1175" s="167">
        <v>43167.0</v>
      </c>
      <c r="G1175" s="167">
        <v>43468.0</v>
      </c>
      <c r="H1175" s="167">
        <v>43469.0</v>
      </c>
      <c r="I1175" s="167">
        <v>43469.0</v>
      </c>
      <c r="J1175" s="55">
        <v>19.99</v>
      </c>
      <c r="K1175" s="55">
        <v>14.99</v>
      </c>
      <c r="L1175" s="165">
        <v>5.0</v>
      </c>
      <c r="M1175" s="72">
        <v>1.0</v>
      </c>
      <c r="N1175" s="165">
        <v>14.99</v>
      </c>
    </row>
    <row r="1176">
      <c r="A1176" s="72" t="s">
        <v>29</v>
      </c>
      <c r="B1176" s="72"/>
      <c r="C1176" s="72">
        <v>1026.0</v>
      </c>
      <c r="D1176" s="72" t="s">
        <v>1725</v>
      </c>
      <c r="E1176" s="72" t="s">
        <v>666</v>
      </c>
      <c r="F1176" s="167">
        <v>43200.0</v>
      </c>
      <c r="G1176" s="167">
        <v>43475.0</v>
      </c>
      <c r="H1176" s="167">
        <v>43475.0</v>
      </c>
      <c r="I1176" s="167">
        <v>43475.0</v>
      </c>
      <c r="J1176" s="165">
        <v>29.99</v>
      </c>
      <c r="K1176" s="165">
        <v>29.99</v>
      </c>
      <c r="L1176" s="165">
        <v>0.0</v>
      </c>
      <c r="M1176" s="72">
        <v>1.0</v>
      </c>
      <c r="N1176" s="165">
        <v>29.99</v>
      </c>
    </row>
    <row r="1177">
      <c r="A1177" s="72" t="s">
        <v>29</v>
      </c>
      <c r="B1177" s="72" t="s">
        <v>625</v>
      </c>
      <c r="C1177" s="72">
        <v>1003.0</v>
      </c>
      <c r="D1177" s="72" t="s">
        <v>1726</v>
      </c>
      <c r="E1177" s="72" t="s">
        <v>666</v>
      </c>
      <c r="F1177" s="167">
        <v>43242.0</v>
      </c>
      <c r="G1177" s="167">
        <v>44446.0</v>
      </c>
      <c r="H1177" s="167">
        <v>44677.0</v>
      </c>
      <c r="I1177" s="167">
        <v>44677.0</v>
      </c>
      <c r="J1177" s="165">
        <v>5.99</v>
      </c>
      <c r="K1177" s="165">
        <v>0.0</v>
      </c>
      <c r="L1177" s="165">
        <v>5.99</v>
      </c>
      <c r="M1177" s="72">
        <v>1.0</v>
      </c>
      <c r="N1177" s="165">
        <v>0.0</v>
      </c>
    </row>
    <row r="1178">
      <c r="A1178" s="72" t="s">
        <v>29</v>
      </c>
      <c r="B1178" s="72"/>
      <c r="C1178" s="72">
        <v>995.0</v>
      </c>
      <c r="D1178" s="72" t="s">
        <v>1727</v>
      </c>
      <c r="E1178" s="72" t="s">
        <v>666</v>
      </c>
      <c r="F1178" s="167">
        <v>43368.0</v>
      </c>
      <c r="G1178" s="167">
        <v>43548.0</v>
      </c>
      <c r="H1178" s="167">
        <v>43709.0</v>
      </c>
      <c r="I1178" s="167">
        <v>43711.0</v>
      </c>
      <c r="J1178" s="165">
        <v>24.99</v>
      </c>
      <c r="K1178" s="165">
        <v>11.99</v>
      </c>
      <c r="L1178" s="165">
        <v>13.0</v>
      </c>
      <c r="M1178" s="72">
        <v>3.0</v>
      </c>
      <c r="N1178" s="165">
        <v>4.0</v>
      </c>
    </row>
    <row r="1179">
      <c r="A1179" s="72" t="s">
        <v>29</v>
      </c>
      <c r="B1179" s="72" t="s">
        <v>529</v>
      </c>
      <c r="C1179" s="72">
        <v>990.0</v>
      </c>
      <c r="D1179" s="72" t="s">
        <v>1728</v>
      </c>
      <c r="E1179" s="72" t="s">
        <v>666</v>
      </c>
      <c r="F1179" s="167">
        <v>43585.0</v>
      </c>
      <c r="G1179" s="167">
        <v>43824.0</v>
      </c>
      <c r="H1179" s="167">
        <v>43843.0</v>
      </c>
      <c r="I1179" s="167">
        <v>44679.0</v>
      </c>
      <c r="J1179" s="165">
        <v>29.99</v>
      </c>
      <c r="K1179" s="165">
        <v>17.99</v>
      </c>
      <c r="L1179" s="165">
        <v>12.0</v>
      </c>
      <c r="M1179" s="72">
        <v>2.0</v>
      </c>
      <c r="N1179" s="165">
        <v>9.0</v>
      </c>
    </row>
    <row r="1180">
      <c r="A1180" s="72" t="s">
        <v>29</v>
      </c>
      <c r="B1180" s="72"/>
      <c r="C1180" s="72">
        <v>1022.0</v>
      </c>
      <c r="D1180" s="72" t="s">
        <v>1729</v>
      </c>
      <c r="E1180" s="72" t="s">
        <v>666</v>
      </c>
      <c r="F1180" s="167">
        <v>43655.0</v>
      </c>
      <c r="G1180" s="167">
        <v>43699.0</v>
      </c>
      <c r="H1180" s="167">
        <v>44041.0</v>
      </c>
      <c r="I1180" s="167">
        <v>44041.0</v>
      </c>
      <c r="J1180" s="165">
        <v>19.99</v>
      </c>
      <c r="K1180" s="165">
        <v>19.99</v>
      </c>
      <c r="L1180" s="165">
        <v>0.0</v>
      </c>
      <c r="M1180" s="72">
        <v>2.0</v>
      </c>
      <c r="N1180" s="165">
        <v>10.0</v>
      </c>
    </row>
    <row r="1181">
      <c r="A1181" s="72" t="s">
        <v>29</v>
      </c>
      <c r="B1181" s="72" t="s">
        <v>599</v>
      </c>
      <c r="C1181" s="72">
        <v>1039.0</v>
      </c>
      <c r="D1181" s="72" t="s">
        <v>1730</v>
      </c>
      <c r="E1181" s="72" t="s">
        <v>666</v>
      </c>
      <c r="F1181" s="167">
        <v>43956.0</v>
      </c>
      <c r="G1181" s="167">
        <v>44502.0</v>
      </c>
      <c r="H1181" s="167">
        <v>44502.0</v>
      </c>
      <c r="I1181" s="167">
        <v>44502.0</v>
      </c>
      <c r="J1181" s="165">
        <v>39.99</v>
      </c>
      <c r="K1181" s="165">
        <v>0.0</v>
      </c>
      <c r="L1181" s="165">
        <v>39.99</v>
      </c>
      <c r="M1181" s="72">
        <v>1.0</v>
      </c>
      <c r="N1181" s="165">
        <v>0.0</v>
      </c>
    </row>
    <row r="1182">
      <c r="A1182" s="72" t="s">
        <v>29</v>
      </c>
      <c r="B1182" s="72" t="s">
        <v>502</v>
      </c>
      <c r="C1182" s="72">
        <v>1019.0</v>
      </c>
      <c r="D1182" s="72" t="s">
        <v>1731</v>
      </c>
      <c r="E1182" s="72" t="s">
        <v>666</v>
      </c>
      <c r="F1182" s="167">
        <v>44015.0</v>
      </c>
      <c r="G1182" s="167">
        <v>44091.0</v>
      </c>
      <c r="H1182" s="167">
        <v>44257.0</v>
      </c>
      <c r="I1182" s="167">
        <v>44257.0</v>
      </c>
      <c r="J1182" s="165">
        <v>39.99</v>
      </c>
      <c r="K1182" s="165">
        <v>0.0</v>
      </c>
      <c r="L1182" s="165">
        <v>39.99</v>
      </c>
      <c r="M1182" s="72">
        <v>3.0</v>
      </c>
      <c r="N1182" s="165">
        <v>0.0</v>
      </c>
    </row>
    <row r="1183">
      <c r="A1183" s="72" t="s">
        <v>29</v>
      </c>
      <c r="B1183" s="72" t="s">
        <v>636</v>
      </c>
      <c r="C1183" s="72">
        <v>1046.0</v>
      </c>
      <c r="D1183" s="72" t="s">
        <v>1732</v>
      </c>
      <c r="E1183" s="72" t="s">
        <v>666</v>
      </c>
      <c r="F1183" s="167">
        <v>44103.0</v>
      </c>
      <c r="G1183" s="167">
        <v>44502.0</v>
      </c>
      <c r="H1183" s="167">
        <v>44502.0</v>
      </c>
      <c r="I1183" s="167">
        <v>44502.0</v>
      </c>
      <c r="J1183" s="165">
        <v>24.99</v>
      </c>
      <c r="K1183" s="165">
        <v>0.0</v>
      </c>
      <c r="L1183" s="165">
        <v>24.99</v>
      </c>
      <c r="M1183" s="72">
        <v>1.0</v>
      </c>
      <c r="N1183" s="165">
        <v>0.0</v>
      </c>
    </row>
    <row r="1184">
      <c r="A1184" s="72" t="s">
        <v>29</v>
      </c>
      <c r="B1184" s="72"/>
      <c r="C1184" s="72">
        <v>1012.0</v>
      </c>
      <c r="D1184" s="72" t="s">
        <v>1733</v>
      </c>
      <c r="E1184" s="72" t="s">
        <v>666</v>
      </c>
      <c r="F1184" s="167">
        <v>44432.0</v>
      </c>
      <c r="G1184" s="167">
        <v>44555.0</v>
      </c>
      <c r="H1184" s="167">
        <v>44555.0</v>
      </c>
      <c r="I1184" s="167">
        <v>44555.0</v>
      </c>
      <c r="J1184" s="165">
        <v>24.99</v>
      </c>
      <c r="K1184" s="165">
        <v>0.0</v>
      </c>
      <c r="L1184" s="165">
        <v>24.99</v>
      </c>
      <c r="M1184" s="72">
        <v>1.0</v>
      </c>
      <c r="N1184" s="165">
        <v>0.0</v>
      </c>
    </row>
    <row r="1185">
      <c r="A1185" s="72" t="s">
        <v>29</v>
      </c>
      <c r="B1185" s="72" t="s">
        <v>539</v>
      </c>
      <c r="C1185" s="72">
        <v>1028.0</v>
      </c>
      <c r="D1185" s="72" t="s">
        <v>1734</v>
      </c>
      <c r="E1185" s="72" t="s">
        <v>666</v>
      </c>
      <c r="F1185" s="167">
        <v>44615.0</v>
      </c>
      <c r="G1185" s="167">
        <v>44708.0</v>
      </c>
      <c r="H1185" s="167">
        <v>44708.0</v>
      </c>
      <c r="I1185" s="167">
        <v>44708.0</v>
      </c>
      <c r="J1185" s="165">
        <v>19.99</v>
      </c>
      <c r="K1185" s="165">
        <v>13.99</v>
      </c>
      <c r="L1185" s="165">
        <v>6.0</v>
      </c>
      <c r="M1185" s="72">
        <v>1.0</v>
      </c>
      <c r="N1185" s="165">
        <v>13.99</v>
      </c>
    </row>
    <row r="1186">
      <c r="A1186" s="72" t="s">
        <v>29</v>
      </c>
      <c r="B1186" s="72" t="s">
        <v>507</v>
      </c>
      <c r="C1186" s="72">
        <v>1063.0</v>
      </c>
      <c r="D1186" s="72" t="s">
        <v>1735</v>
      </c>
      <c r="E1186" s="72" t="s">
        <v>39</v>
      </c>
      <c r="F1186" s="167">
        <v>44154.0</v>
      </c>
      <c r="G1186" s="167">
        <v>44539.0</v>
      </c>
      <c r="H1186" s="167">
        <v>44539.0</v>
      </c>
      <c r="I1186" s="167">
        <v>44539.0</v>
      </c>
      <c r="J1186" s="165">
        <v>14.99</v>
      </c>
      <c r="K1186" s="165">
        <v>0.0</v>
      </c>
      <c r="L1186" s="165">
        <v>14.99</v>
      </c>
      <c r="M1186" s="72">
        <v>1.0</v>
      </c>
      <c r="N1186" s="165">
        <v>0.0</v>
      </c>
    </row>
    <row r="1187">
      <c r="A1187" s="72" t="s">
        <v>29</v>
      </c>
      <c r="B1187" s="72"/>
      <c r="C1187" s="72">
        <v>1073.0</v>
      </c>
      <c r="D1187" s="72" t="s">
        <v>1736</v>
      </c>
      <c r="E1187" s="72" t="s">
        <v>39</v>
      </c>
      <c r="F1187" s="167">
        <v>44358.0</v>
      </c>
      <c r="G1187" s="167">
        <v>44555.0</v>
      </c>
      <c r="H1187" s="167">
        <v>44557.0</v>
      </c>
      <c r="I1187" s="167">
        <v>44559.0</v>
      </c>
      <c r="J1187" s="165">
        <v>79.99</v>
      </c>
      <c r="K1187" s="165">
        <v>0.0</v>
      </c>
      <c r="L1187" s="165">
        <v>79.99</v>
      </c>
      <c r="M1187" s="72">
        <v>19.0</v>
      </c>
      <c r="N1187" s="165">
        <v>0.0</v>
      </c>
    </row>
    <row r="1188">
      <c r="A1188" s="72" t="s">
        <v>29</v>
      </c>
      <c r="B1188" s="72" t="s">
        <v>495</v>
      </c>
      <c r="C1188" s="72">
        <v>1065.0</v>
      </c>
      <c r="D1188" s="72" t="s">
        <v>1737</v>
      </c>
      <c r="E1188" s="72" t="s">
        <v>39</v>
      </c>
      <c r="F1188" s="167">
        <v>44964.0</v>
      </c>
      <c r="G1188" s="167">
        <v>44811.0</v>
      </c>
      <c r="H1188" s="167">
        <v>44964.0</v>
      </c>
      <c r="I1188" s="167">
        <v>44979.0</v>
      </c>
      <c r="J1188" s="165">
        <v>84.99</v>
      </c>
      <c r="K1188" s="165">
        <v>0.0</v>
      </c>
      <c r="L1188" s="165">
        <v>84.99</v>
      </c>
      <c r="M1188" s="72">
        <v>93.0</v>
      </c>
      <c r="N1188" s="165">
        <v>0.0</v>
      </c>
    </row>
    <row r="1189">
      <c r="A1189" s="72" t="s">
        <v>29</v>
      </c>
      <c r="B1189" s="72"/>
      <c r="C1189" s="72">
        <v>1068.0</v>
      </c>
      <c r="D1189" s="72" t="s">
        <v>1738</v>
      </c>
      <c r="E1189" s="72" t="s">
        <v>39</v>
      </c>
      <c r="F1189" s="167">
        <v>45219.0</v>
      </c>
      <c r="G1189" s="167">
        <v>45176.0</v>
      </c>
      <c r="H1189" s="167">
        <v>45219.0</v>
      </c>
      <c r="I1189" s="167">
        <v>45384.0</v>
      </c>
      <c r="J1189" s="165">
        <v>89.99</v>
      </c>
      <c r="K1189" s="165">
        <v>0.0</v>
      </c>
      <c r="L1189" s="165">
        <v>89.99</v>
      </c>
      <c r="M1189" s="72">
        <v>44.0</v>
      </c>
      <c r="N1189" s="165">
        <v>0.0</v>
      </c>
    </row>
    <row r="1190">
      <c r="A1190" s="72" t="s">
        <v>29</v>
      </c>
      <c r="B1190" s="72" t="s">
        <v>552</v>
      </c>
      <c r="C1190" s="72">
        <v>1069.0</v>
      </c>
      <c r="D1190" s="72" t="s">
        <v>1739</v>
      </c>
      <c r="E1190" s="72" t="s">
        <v>39</v>
      </c>
      <c r="F1190" s="167">
        <v>45344.0</v>
      </c>
      <c r="G1190" s="167">
        <v>45491.0</v>
      </c>
      <c r="H1190" s="167">
        <v>45501.0</v>
      </c>
      <c r="I1190" s="167">
        <v>45501.0</v>
      </c>
      <c r="J1190" s="165">
        <v>29.99</v>
      </c>
      <c r="K1190" s="165">
        <v>17.99</v>
      </c>
      <c r="L1190" s="165">
        <v>12.0</v>
      </c>
      <c r="M1190" s="72">
        <v>1.0</v>
      </c>
      <c r="N1190" s="165">
        <v>17.99</v>
      </c>
    </row>
    <row r="1191">
      <c r="A1191" s="72" t="s">
        <v>29</v>
      </c>
      <c r="B1191" s="72" t="s">
        <v>582</v>
      </c>
      <c r="C1191" s="72">
        <v>1077.0</v>
      </c>
      <c r="D1191" s="72" t="s">
        <v>1740</v>
      </c>
      <c r="E1191" s="72" t="s">
        <v>39</v>
      </c>
      <c r="F1191" s="167">
        <v>45377.0</v>
      </c>
      <c r="G1191" s="167">
        <v>45602.0</v>
      </c>
      <c r="H1191" s="167">
        <v>45651.0</v>
      </c>
      <c r="I1191" s="167">
        <v>45653.0</v>
      </c>
      <c r="J1191" s="165">
        <v>29.99</v>
      </c>
      <c r="K1191" s="165">
        <v>19.49</v>
      </c>
      <c r="L1191" s="165">
        <v>10.5</v>
      </c>
      <c r="M1191" s="72">
        <v>9.0</v>
      </c>
      <c r="N1191" s="165">
        <v>2.17</v>
      </c>
    </row>
    <row r="1192">
      <c r="A1192" s="72" t="s">
        <v>29</v>
      </c>
      <c r="B1192" s="72" t="s">
        <v>596</v>
      </c>
      <c r="C1192" s="72">
        <v>1053.0</v>
      </c>
      <c r="D1192" s="72" t="s">
        <v>1741</v>
      </c>
      <c r="E1192" s="72" t="s">
        <v>39</v>
      </c>
      <c r="F1192" s="167">
        <v>45421.0</v>
      </c>
      <c r="G1192" s="167">
        <v>45542.0</v>
      </c>
      <c r="H1192" s="167">
        <v>45563.0</v>
      </c>
      <c r="I1192" s="167">
        <v>45563.0</v>
      </c>
      <c r="J1192" s="165">
        <v>24.99</v>
      </c>
      <c r="K1192" s="165">
        <v>0.0</v>
      </c>
      <c r="L1192" s="165">
        <v>24.99</v>
      </c>
      <c r="M1192" s="72">
        <v>1.0</v>
      </c>
      <c r="N1192" s="165">
        <v>0.0</v>
      </c>
    </row>
    <row r="1193">
      <c r="A1193" s="72" t="s">
        <v>29</v>
      </c>
      <c r="B1193" s="72" t="s">
        <v>511</v>
      </c>
      <c r="C1193" s="72">
        <v>1078.0</v>
      </c>
      <c r="D1193" s="72" t="s">
        <v>1742</v>
      </c>
      <c r="E1193" s="72" t="s">
        <v>39</v>
      </c>
      <c r="F1193" s="167">
        <v>45580.0</v>
      </c>
      <c r="G1193" s="167">
        <v>45602.0</v>
      </c>
      <c r="H1193" s="167">
        <v>45603.0</v>
      </c>
      <c r="I1193" s="167">
        <v>45604.0</v>
      </c>
      <c r="J1193" s="165">
        <v>19.99</v>
      </c>
      <c r="K1193" s="165">
        <v>13.99</v>
      </c>
      <c r="L1193" s="165">
        <v>6.0</v>
      </c>
      <c r="M1193" s="72">
        <v>8.0</v>
      </c>
      <c r="N1193" s="165">
        <v>1.75</v>
      </c>
    </row>
    <row r="1194">
      <c r="A1194" s="48" t="s">
        <v>29</v>
      </c>
      <c r="B1194" s="48" t="s">
        <v>28</v>
      </c>
      <c r="C1194" s="48">
        <v>1102.0</v>
      </c>
      <c r="D1194" s="48" t="s">
        <v>38</v>
      </c>
      <c r="E1194" s="48" t="s">
        <v>39</v>
      </c>
      <c r="F1194" s="41">
        <v>45727.0</v>
      </c>
      <c r="G1194" s="41">
        <v>46016.0</v>
      </c>
      <c r="H1194" s="41">
        <v>46016.0</v>
      </c>
      <c r="I1194" s="41">
        <v>46016.0</v>
      </c>
      <c r="J1194" s="71">
        <v>24.99</v>
      </c>
      <c r="K1194" s="71">
        <v>0.0</v>
      </c>
      <c r="L1194" s="71">
        <v>24.99</v>
      </c>
      <c r="M1194" s="48">
        <v>1.0</v>
      </c>
      <c r="N1194" s="71">
        <v>0.0</v>
      </c>
    </row>
    <row r="1195">
      <c r="A1195" s="44">
        <f t="shared" ref="A1195:B1195" si="104">COUNTA(A891:A1194)</f>
        <v>304</v>
      </c>
      <c r="B1195" s="44">
        <f t="shared" si="104"/>
        <v>153</v>
      </c>
      <c r="C1195" s="44"/>
      <c r="D1195" s="44"/>
      <c r="E1195" s="47">
        <v>8111.07</v>
      </c>
      <c r="F1195" s="47">
        <v>3708.55</v>
      </c>
      <c r="G1195" s="47">
        <v>4402.52</v>
      </c>
      <c r="H1195" s="43">
        <v>6070.0</v>
      </c>
      <c r="I1195" s="46">
        <v>0.6139595423644504</v>
      </c>
      <c r="J1195" s="145">
        <f t="shared" ref="J1195:M1195" si="105">SUM(J891:J1194)</f>
        <v>8111.07</v>
      </c>
      <c r="K1195" s="145">
        <f t="shared" si="105"/>
        <v>3708.55</v>
      </c>
      <c r="L1195" s="145">
        <f t="shared" si="105"/>
        <v>4402.52</v>
      </c>
      <c r="M1195" s="44">
        <f t="shared" si="105"/>
        <v>6070</v>
      </c>
      <c r="N1195" s="145">
        <f>K1195/M1195</f>
        <v>0.6109637562</v>
      </c>
    </row>
    <row r="1196">
      <c r="A1196" s="64"/>
      <c r="B1196" s="64"/>
      <c r="C1196" s="64"/>
      <c r="D1196" s="114"/>
      <c r="E1196" s="114"/>
      <c r="F1196" s="114"/>
      <c r="G1196" s="114"/>
      <c r="H1196" s="114"/>
      <c r="I1196" s="114"/>
      <c r="J1196" s="7"/>
      <c r="K1196" s="7"/>
      <c r="L1196" s="7"/>
      <c r="M1196" s="7"/>
      <c r="N1196" s="7"/>
    </row>
    <row r="1197">
      <c r="A1197" s="43" t="s">
        <v>642</v>
      </c>
      <c r="B1197" s="43" t="s">
        <v>641</v>
      </c>
      <c r="C1197" s="43">
        <v>719.0</v>
      </c>
      <c r="D1197" s="43" t="s">
        <v>1743</v>
      </c>
      <c r="E1197" s="43" t="s">
        <v>33</v>
      </c>
      <c r="F1197" s="57">
        <v>42514.0</v>
      </c>
      <c r="G1197" s="57">
        <v>42754.0</v>
      </c>
      <c r="H1197" s="57">
        <v>42764.0</v>
      </c>
      <c r="I1197" s="57">
        <v>45058.0</v>
      </c>
      <c r="J1197" s="47">
        <v>17.99</v>
      </c>
      <c r="K1197" s="47">
        <v>9.99</v>
      </c>
      <c r="L1197" s="47">
        <v>8.0</v>
      </c>
      <c r="M1197" s="43">
        <v>3.0</v>
      </c>
      <c r="N1197" s="47">
        <v>3.33</v>
      </c>
    </row>
    <row r="1198">
      <c r="A1198" s="43" t="s">
        <v>642</v>
      </c>
      <c r="B1198" s="43" t="s">
        <v>643</v>
      </c>
      <c r="C1198" s="43">
        <v>908.0</v>
      </c>
      <c r="D1198" s="43" t="s">
        <v>1744</v>
      </c>
      <c r="E1198" s="43" t="s">
        <v>33</v>
      </c>
      <c r="F1198" s="57">
        <v>43921.0</v>
      </c>
      <c r="G1198" s="57">
        <v>44640.0</v>
      </c>
      <c r="H1198" s="57">
        <v>44640.0</v>
      </c>
      <c r="I1198" s="57">
        <v>44640.0</v>
      </c>
      <c r="J1198" s="47">
        <v>11.66</v>
      </c>
      <c r="K1198" s="47">
        <v>5.83</v>
      </c>
      <c r="L1198" s="47">
        <v>5.83</v>
      </c>
      <c r="M1198" s="43">
        <v>1.0</v>
      </c>
      <c r="N1198" s="47">
        <v>5.83</v>
      </c>
    </row>
    <row r="1199">
      <c r="A1199" s="43" t="s">
        <v>642</v>
      </c>
      <c r="B1199" s="43"/>
      <c r="C1199" s="43">
        <v>632.0</v>
      </c>
      <c r="D1199" s="43" t="s">
        <v>1745</v>
      </c>
      <c r="E1199" s="43" t="s">
        <v>33</v>
      </c>
      <c r="F1199" s="57">
        <v>44152.0</v>
      </c>
      <c r="G1199" s="57">
        <v>44640.0</v>
      </c>
      <c r="H1199" s="57">
        <v>44640.0</v>
      </c>
      <c r="I1199" s="57">
        <v>44640.0</v>
      </c>
      <c r="J1199" s="47">
        <v>11.66</v>
      </c>
      <c r="K1199" s="47">
        <v>5.83</v>
      </c>
      <c r="L1199" s="47">
        <v>5.83</v>
      </c>
      <c r="M1199" s="43">
        <v>1.0</v>
      </c>
      <c r="N1199" s="47">
        <v>5.83</v>
      </c>
    </row>
    <row r="1200">
      <c r="A1200" s="43" t="s">
        <v>642</v>
      </c>
      <c r="B1200" s="43"/>
      <c r="C1200" s="43">
        <v>770.0</v>
      </c>
      <c r="D1200" s="43" t="s">
        <v>1746</v>
      </c>
      <c r="E1200" s="43" t="s">
        <v>33</v>
      </c>
      <c r="F1200" s="57">
        <v>44404.0</v>
      </c>
      <c r="G1200" s="57">
        <v>44640.0</v>
      </c>
      <c r="H1200" s="57">
        <v>44838.0</v>
      </c>
      <c r="I1200" s="57">
        <v>44839.0</v>
      </c>
      <c r="J1200" s="47">
        <v>11.67</v>
      </c>
      <c r="K1200" s="47">
        <v>5.83</v>
      </c>
      <c r="L1200" s="47">
        <v>5.84</v>
      </c>
      <c r="M1200" s="43">
        <v>4.0</v>
      </c>
      <c r="N1200" s="47">
        <v>1.46</v>
      </c>
    </row>
    <row r="1201">
      <c r="A1201" s="224">
        <f t="shared" ref="A1201:B1201" si="106">COUNTA(A1197:A1200)</f>
        <v>4</v>
      </c>
      <c r="B1201" s="224">
        <f t="shared" si="106"/>
        <v>2</v>
      </c>
      <c r="C1201" s="224"/>
      <c r="D1201" s="221"/>
      <c r="E1201" s="259">
        <v>52.98</v>
      </c>
      <c r="F1201" s="259">
        <v>27.48</v>
      </c>
      <c r="G1201" s="259">
        <v>25.5</v>
      </c>
      <c r="H1201" s="224">
        <v>9.0</v>
      </c>
      <c r="I1201" s="260">
        <v>3.0533333333333332</v>
      </c>
      <c r="J1201" s="223">
        <f t="shared" ref="J1201:M1201" si="107">SUM(J1197:J1200)</f>
        <v>52.98</v>
      </c>
      <c r="K1201" s="223">
        <f t="shared" si="107"/>
        <v>27.48</v>
      </c>
      <c r="L1201" s="223">
        <f t="shared" si="107"/>
        <v>25.5</v>
      </c>
      <c r="M1201" s="221">
        <f t="shared" si="107"/>
        <v>9</v>
      </c>
      <c r="N1201" s="223">
        <f>K1201/M1201</f>
        <v>3.053333333</v>
      </c>
    </row>
  </sheetData>
  <autoFilter ref="$D$1:$N$1201"/>
  <hyperlinks>
    <hyperlink r:id="rId1" ref="B722"/>
    <hyperlink r:id="rId2" ref="B788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5"/>
    <col customWidth="1" min="2" max="2" width="8.5"/>
    <col customWidth="1" min="3" max="3" width="13.38"/>
    <col customWidth="1" min="4" max="4" width="13.5"/>
    <col customWidth="1" min="5" max="5" width="13.38"/>
    <col customWidth="1" min="6" max="6" width="11.0"/>
    <col customWidth="1" min="7" max="7" width="8.25"/>
    <col customWidth="1" min="8" max="8" width="8.5"/>
  </cols>
  <sheetData>
    <row r="1">
      <c r="A1" s="261" t="s">
        <v>4</v>
      </c>
      <c r="B1" s="103" t="s">
        <v>42</v>
      </c>
      <c r="C1" s="103" t="s">
        <v>43</v>
      </c>
      <c r="D1" s="261" t="s">
        <v>13</v>
      </c>
      <c r="E1" s="261" t="s">
        <v>14</v>
      </c>
      <c r="F1" s="103" t="s">
        <v>15</v>
      </c>
      <c r="G1" s="103" t="s">
        <v>16</v>
      </c>
      <c r="H1" s="103" t="s">
        <v>17</v>
      </c>
    </row>
    <row r="2">
      <c r="A2" s="129" t="s">
        <v>29</v>
      </c>
      <c r="B2" s="27">
        <v>304.0</v>
      </c>
      <c r="C2" s="27">
        <v>153.0</v>
      </c>
      <c r="D2" s="262">
        <v>8111.07</v>
      </c>
      <c r="E2" s="262">
        <v>3708.55</v>
      </c>
      <c r="F2" s="262">
        <v>4402.52</v>
      </c>
      <c r="G2" s="27">
        <v>6070.0</v>
      </c>
      <c r="H2" s="129">
        <v>0.6139595423644504</v>
      </c>
    </row>
    <row r="3">
      <c r="A3" s="26" t="s">
        <v>325</v>
      </c>
      <c r="B3" s="35">
        <v>247.0</v>
      </c>
      <c r="C3" s="35">
        <v>49.0</v>
      </c>
      <c r="D3" s="263">
        <v>5092.13</v>
      </c>
      <c r="E3" s="263">
        <v>2259.79</v>
      </c>
      <c r="F3" s="263">
        <v>2832.34</v>
      </c>
      <c r="G3" s="264">
        <v>3747.0</v>
      </c>
      <c r="H3" s="59">
        <v>0.6</v>
      </c>
    </row>
    <row r="4">
      <c r="A4" s="25" t="s">
        <v>92</v>
      </c>
      <c r="B4" s="35">
        <v>88.0</v>
      </c>
      <c r="C4" s="35">
        <v>48.0</v>
      </c>
      <c r="D4" s="265">
        <v>2805.86</v>
      </c>
      <c r="E4" s="265">
        <v>1168.91</v>
      </c>
      <c r="F4" s="265">
        <v>1636.95</v>
      </c>
      <c r="G4" s="35">
        <v>1948.0</v>
      </c>
      <c r="H4" s="113">
        <v>0.6</v>
      </c>
    </row>
    <row r="5">
      <c r="A5" s="130" t="s">
        <v>25</v>
      </c>
      <c r="B5" s="27">
        <v>179.0</v>
      </c>
      <c r="C5" s="27">
        <v>87.0</v>
      </c>
      <c r="D5" s="262">
        <v>3795.59</v>
      </c>
      <c r="E5" s="262">
        <v>1437.55</v>
      </c>
      <c r="F5" s="262">
        <v>2358.04</v>
      </c>
      <c r="G5" s="27">
        <v>1868.0</v>
      </c>
      <c r="H5" s="129">
        <v>0.7703170338527673</v>
      </c>
    </row>
    <row r="6">
      <c r="A6" s="266" t="s">
        <v>430</v>
      </c>
      <c r="B6" s="35">
        <v>10.0</v>
      </c>
      <c r="C6" s="35">
        <v>5.0</v>
      </c>
      <c r="D6" s="263">
        <v>267.92</v>
      </c>
      <c r="E6" s="263">
        <v>129.43</v>
      </c>
      <c r="F6" s="263">
        <v>138.49</v>
      </c>
      <c r="G6" s="264">
        <v>549.0</v>
      </c>
      <c r="H6" s="113">
        <f t="shared" ref="H6:H12" si="1">E6/G6</f>
        <v>0.2357559199</v>
      </c>
    </row>
    <row r="7">
      <c r="A7" s="266" t="s">
        <v>265</v>
      </c>
      <c r="B7" s="25">
        <v>38.0</v>
      </c>
      <c r="C7" s="25">
        <v>25.0</v>
      </c>
      <c r="D7" s="24">
        <v>834.1</v>
      </c>
      <c r="E7" s="24">
        <v>309.6</v>
      </c>
      <c r="F7" s="24">
        <v>524.5</v>
      </c>
      <c r="G7" s="35">
        <v>449.0</v>
      </c>
      <c r="H7" s="113">
        <f t="shared" si="1"/>
        <v>0.689532294</v>
      </c>
    </row>
    <row r="8">
      <c r="A8" s="35" t="s">
        <v>57</v>
      </c>
      <c r="B8" s="35">
        <v>23.0</v>
      </c>
      <c r="C8" s="35">
        <v>21.0</v>
      </c>
      <c r="D8" s="59">
        <v>531.35</v>
      </c>
      <c r="E8" s="59">
        <v>209.27</v>
      </c>
      <c r="F8" s="59">
        <v>322.08</v>
      </c>
      <c r="G8" s="35">
        <v>285.0</v>
      </c>
      <c r="H8" s="113">
        <f t="shared" si="1"/>
        <v>0.7342807018</v>
      </c>
    </row>
    <row r="9">
      <c r="A9" s="266" t="s">
        <v>455</v>
      </c>
      <c r="B9" s="35">
        <v>40.0</v>
      </c>
      <c r="C9" s="25">
        <v>25.0</v>
      </c>
      <c r="D9" s="59">
        <v>1034.82</v>
      </c>
      <c r="E9" s="59">
        <v>250.54</v>
      </c>
      <c r="F9" s="59">
        <v>784.28</v>
      </c>
      <c r="G9" s="35">
        <v>222.0</v>
      </c>
      <c r="H9" s="113">
        <f t="shared" si="1"/>
        <v>1.128558559</v>
      </c>
    </row>
    <row r="10">
      <c r="A10" s="266" t="s">
        <v>291</v>
      </c>
      <c r="B10" s="35">
        <v>18.0</v>
      </c>
      <c r="C10" s="35">
        <v>16.0</v>
      </c>
      <c r="D10" s="59">
        <v>436.82</v>
      </c>
      <c r="E10" s="59">
        <v>222.32</v>
      </c>
      <c r="F10" s="59">
        <v>214.5</v>
      </c>
      <c r="G10" s="35">
        <v>213.0</v>
      </c>
      <c r="H10" s="113">
        <f t="shared" si="1"/>
        <v>1.043755869</v>
      </c>
    </row>
    <row r="11">
      <c r="A11" s="266" t="s">
        <v>400</v>
      </c>
      <c r="B11" s="35">
        <v>17.0</v>
      </c>
      <c r="C11" s="35">
        <v>15.0</v>
      </c>
      <c r="D11" s="59">
        <v>464.83</v>
      </c>
      <c r="E11" s="59">
        <v>169.78</v>
      </c>
      <c r="F11" s="59">
        <v>295.05</v>
      </c>
      <c r="G11" s="35">
        <v>206.0</v>
      </c>
      <c r="H11" s="113">
        <f t="shared" si="1"/>
        <v>0.8241747573</v>
      </c>
    </row>
    <row r="12">
      <c r="A12" s="266" t="s">
        <v>384</v>
      </c>
      <c r="B12" s="25">
        <v>11.0</v>
      </c>
      <c r="C12" s="266">
        <v>7.0</v>
      </c>
      <c r="D12" s="60">
        <v>280.38</v>
      </c>
      <c r="E12" s="60">
        <v>137.74</v>
      </c>
      <c r="F12" s="60">
        <v>142.64</v>
      </c>
      <c r="G12" s="35">
        <v>200.0</v>
      </c>
      <c r="H12" s="113">
        <f t="shared" si="1"/>
        <v>0.6887</v>
      </c>
    </row>
    <row r="13">
      <c r="A13" s="267" t="s">
        <v>419</v>
      </c>
      <c r="B13" s="116">
        <v>3.0</v>
      </c>
      <c r="C13" s="116">
        <v>2.0</v>
      </c>
      <c r="D13" s="263">
        <v>90.96</v>
      </c>
      <c r="E13" s="263">
        <v>41.96</v>
      </c>
      <c r="F13" s="263">
        <v>49.0</v>
      </c>
      <c r="G13" s="264">
        <v>153.0</v>
      </c>
      <c r="H13" s="113">
        <v>0.27</v>
      </c>
    </row>
    <row r="14">
      <c r="A14" s="268" t="s">
        <v>255</v>
      </c>
      <c r="B14" s="267">
        <v>18.0</v>
      </c>
      <c r="C14" s="267">
        <v>9.0</v>
      </c>
      <c r="D14" s="269">
        <v>461.81</v>
      </c>
      <c r="E14" s="269">
        <v>218.33</v>
      </c>
      <c r="F14" s="269">
        <v>243.48</v>
      </c>
      <c r="G14" s="116">
        <v>115.0</v>
      </c>
      <c r="H14" s="113">
        <f t="shared" ref="H14:H37" si="2">E14/G14</f>
        <v>1.898521739</v>
      </c>
    </row>
    <row r="15">
      <c r="A15" s="268" t="s">
        <v>318</v>
      </c>
      <c r="B15" s="116">
        <v>8.0</v>
      </c>
      <c r="C15" s="267">
        <v>6.0</v>
      </c>
      <c r="D15" s="113">
        <v>174.92</v>
      </c>
      <c r="E15" s="113">
        <v>26.94</v>
      </c>
      <c r="F15" s="113">
        <v>147.98</v>
      </c>
      <c r="G15" s="116">
        <v>75.0</v>
      </c>
      <c r="H15" s="113">
        <f t="shared" si="2"/>
        <v>0.3592</v>
      </c>
    </row>
    <row r="16">
      <c r="A16" s="268" t="s">
        <v>141</v>
      </c>
      <c r="B16" s="116">
        <v>6.0</v>
      </c>
      <c r="C16" s="116">
        <v>6.0</v>
      </c>
      <c r="D16" s="113">
        <v>76.95</v>
      </c>
      <c r="E16" s="113">
        <v>49.0</v>
      </c>
      <c r="F16" s="113">
        <v>27.95</v>
      </c>
      <c r="G16" s="116">
        <v>70.0</v>
      </c>
      <c r="H16" s="113">
        <f t="shared" si="2"/>
        <v>0.7</v>
      </c>
    </row>
    <row r="17">
      <c r="A17" s="270" t="s">
        <v>153</v>
      </c>
      <c r="B17" s="270">
        <v>5.0</v>
      </c>
      <c r="C17" s="270">
        <v>5.0</v>
      </c>
      <c r="D17" s="271">
        <v>106.95</v>
      </c>
      <c r="E17" s="271">
        <v>61.96</v>
      </c>
      <c r="F17" s="271">
        <v>44.99</v>
      </c>
      <c r="G17" s="270">
        <v>67.0</v>
      </c>
      <c r="H17" s="271">
        <f t="shared" si="2"/>
        <v>0.9247761194</v>
      </c>
    </row>
    <row r="18">
      <c r="A18" s="272" t="s">
        <v>313</v>
      </c>
      <c r="B18" s="273">
        <v>3.0</v>
      </c>
      <c r="C18" s="273">
        <v>2.0</v>
      </c>
      <c r="D18" s="274">
        <v>53.97</v>
      </c>
      <c r="E18" s="274">
        <v>24.48</v>
      </c>
      <c r="F18" s="274">
        <v>29.49</v>
      </c>
      <c r="G18" s="273">
        <v>51.0</v>
      </c>
      <c r="H18" s="271">
        <f t="shared" si="2"/>
        <v>0.48</v>
      </c>
    </row>
    <row r="19">
      <c r="A19" s="272" t="s">
        <v>394</v>
      </c>
      <c r="B19" s="270">
        <v>2.0</v>
      </c>
      <c r="C19" s="273">
        <v>1.0</v>
      </c>
      <c r="D19" s="271">
        <v>54.98</v>
      </c>
      <c r="E19" s="271">
        <v>35.43</v>
      </c>
      <c r="F19" s="271">
        <v>19.55</v>
      </c>
      <c r="G19" s="270">
        <v>42.0</v>
      </c>
      <c r="H19" s="271">
        <f t="shared" si="2"/>
        <v>0.8435714286</v>
      </c>
    </row>
    <row r="20">
      <c r="A20" s="268" t="s">
        <v>79</v>
      </c>
      <c r="B20" s="116">
        <v>5.0</v>
      </c>
      <c r="C20" s="268">
        <v>3.0</v>
      </c>
      <c r="D20" s="115">
        <v>149.95</v>
      </c>
      <c r="E20" s="115">
        <v>79.95</v>
      </c>
      <c r="F20" s="115">
        <v>70.0</v>
      </c>
      <c r="G20" s="116">
        <v>40.0</v>
      </c>
      <c r="H20" s="113">
        <f t="shared" si="2"/>
        <v>1.99875</v>
      </c>
    </row>
    <row r="21">
      <c r="A21" s="268" t="s">
        <v>443</v>
      </c>
      <c r="B21" s="267">
        <v>12.0</v>
      </c>
      <c r="C21" s="267">
        <v>11.0</v>
      </c>
      <c r="D21" s="269">
        <v>202.88</v>
      </c>
      <c r="E21" s="269">
        <v>71.25</v>
      </c>
      <c r="F21" s="269">
        <v>131.63</v>
      </c>
      <c r="G21" s="267">
        <v>39.0</v>
      </c>
      <c r="H21" s="113">
        <f t="shared" si="2"/>
        <v>1.826923077</v>
      </c>
    </row>
    <row r="22">
      <c r="A22" s="266" t="s">
        <v>436</v>
      </c>
      <c r="B22" s="266">
        <v>4.0</v>
      </c>
      <c r="C22" s="25">
        <v>2.0</v>
      </c>
      <c r="D22" s="60">
        <v>57.96</v>
      </c>
      <c r="E22" s="60">
        <v>17.46</v>
      </c>
      <c r="F22" s="60">
        <v>40.5</v>
      </c>
      <c r="G22" s="35">
        <v>38.0</v>
      </c>
      <c r="H22" s="59">
        <f t="shared" si="2"/>
        <v>0.4594736842</v>
      </c>
    </row>
    <row r="23">
      <c r="A23" s="268" t="s">
        <v>90</v>
      </c>
      <c r="B23" s="267">
        <v>1.0</v>
      </c>
      <c r="C23" s="267">
        <v>1.0</v>
      </c>
      <c r="D23" s="269">
        <v>24.99</v>
      </c>
      <c r="E23" s="269">
        <v>9.99</v>
      </c>
      <c r="F23" s="269">
        <v>15.0</v>
      </c>
      <c r="G23" s="116">
        <v>28.0</v>
      </c>
      <c r="H23" s="113">
        <f t="shared" si="2"/>
        <v>0.3567857143</v>
      </c>
    </row>
    <row r="24">
      <c r="A24" s="116" t="s">
        <v>396</v>
      </c>
      <c r="B24" s="116">
        <v>2.0</v>
      </c>
      <c r="C24" s="116">
        <v>1.0</v>
      </c>
      <c r="D24" s="115">
        <v>29.98</v>
      </c>
      <c r="E24" s="115">
        <v>4.99</v>
      </c>
      <c r="F24" s="115">
        <v>24.99</v>
      </c>
      <c r="G24" s="116">
        <v>23.0</v>
      </c>
      <c r="H24" s="113">
        <f t="shared" si="2"/>
        <v>0.2169565217</v>
      </c>
    </row>
    <row r="25">
      <c r="A25" s="268" t="s">
        <v>483</v>
      </c>
      <c r="B25" s="267">
        <v>1.0</v>
      </c>
      <c r="C25" s="267">
        <v>1.0</v>
      </c>
      <c r="D25" s="269">
        <v>14.99</v>
      </c>
      <c r="E25" s="269">
        <v>0.0</v>
      </c>
      <c r="F25" s="269">
        <v>14.99</v>
      </c>
      <c r="G25" s="116">
        <v>21.0</v>
      </c>
      <c r="H25" s="113">
        <f t="shared" si="2"/>
        <v>0</v>
      </c>
    </row>
    <row r="26">
      <c r="A26" s="268" t="s">
        <v>375</v>
      </c>
      <c r="B26" s="267">
        <v>2.0</v>
      </c>
      <c r="C26" s="267">
        <v>2.0</v>
      </c>
      <c r="D26" s="269">
        <v>66.97</v>
      </c>
      <c r="E26" s="269">
        <v>12.98</v>
      </c>
      <c r="F26" s="269">
        <v>53.99</v>
      </c>
      <c r="G26" s="116">
        <v>21.0</v>
      </c>
      <c r="H26" s="113">
        <f t="shared" si="2"/>
        <v>0.6180952381</v>
      </c>
    </row>
    <row r="27">
      <c r="A27" s="266" t="s">
        <v>441</v>
      </c>
      <c r="B27" s="35">
        <v>2.0</v>
      </c>
      <c r="C27" s="25">
        <v>1.0</v>
      </c>
      <c r="D27" s="263">
        <v>34.98</v>
      </c>
      <c r="E27" s="263">
        <v>4.99</v>
      </c>
      <c r="F27" s="263">
        <v>29.99</v>
      </c>
      <c r="G27" s="264">
        <v>20.0</v>
      </c>
      <c r="H27" s="113">
        <f t="shared" si="2"/>
        <v>0.2495</v>
      </c>
    </row>
    <row r="28">
      <c r="A28" s="266" t="s">
        <v>398</v>
      </c>
      <c r="B28" s="35">
        <v>2.0</v>
      </c>
      <c r="C28" s="25">
        <v>1.0</v>
      </c>
      <c r="D28" s="60">
        <v>69.98</v>
      </c>
      <c r="E28" s="60">
        <v>21.48</v>
      </c>
      <c r="F28" s="60">
        <v>48.5</v>
      </c>
      <c r="G28" s="35">
        <v>17.0</v>
      </c>
      <c r="H28" s="113">
        <f t="shared" si="2"/>
        <v>1.263529412</v>
      </c>
    </row>
    <row r="29">
      <c r="A29" s="266" t="s">
        <v>159</v>
      </c>
      <c r="B29" s="35">
        <v>10.0</v>
      </c>
      <c r="C29" s="35">
        <v>7.0</v>
      </c>
      <c r="D29" s="263">
        <v>269.89</v>
      </c>
      <c r="E29" s="263">
        <v>22.47</v>
      </c>
      <c r="F29" s="263">
        <v>247.42</v>
      </c>
      <c r="G29" s="264">
        <v>17.0</v>
      </c>
      <c r="H29" s="59">
        <f t="shared" si="2"/>
        <v>1.321764706</v>
      </c>
    </row>
    <row r="30">
      <c r="A30" s="268" t="s">
        <v>487</v>
      </c>
      <c r="B30" s="268">
        <v>6.0</v>
      </c>
      <c r="C30" s="267">
        <v>3.0</v>
      </c>
      <c r="D30" s="269">
        <v>167.95</v>
      </c>
      <c r="E30" s="269">
        <v>69.95</v>
      </c>
      <c r="F30" s="269">
        <v>98.0</v>
      </c>
      <c r="G30" s="116">
        <v>17.0</v>
      </c>
      <c r="H30" s="113">
        <f t="shared" si="2"/>
        <v>4.114705882</v>
      </c>
    </row>
    <row r="31">
      <c r="A31" s="268" t="s">
        <v>422</v>
      </c>
      <c r="B31" s="116">
        <v>7.0</v>
      </c>
      <c r="C31" s="116">
        <v>7.0</v>
      </c>
      <c r="D31" s="59">
        <v>61.93</v>
      </c>
      <c r="E31" s="59">
        <v>30.59</v>
      </c>
      <c r="F31" s="59">
        <v>31.34</v>
      </c>
      <c r="G31" s="35">
        <v>14.0</v>
      </c>
      <c r="H31" s="113">
        <f t="shared" si="2"/>
        <v>2.185</v>
      </c>
    </row>
    <row r="32">
      <c r="A32" s="268" t="s">
        <v>642</v>
      </c>
      <c r="B32" s="267">
        <v>4.0</v>
      </c>
      <c r="C32" s="267">
        <v>2.0</v>
      </c>
      <c r="D32" s="269">
        <v>52.98</v>
      </c>
      <c r="E32" s="269">
        <v>27.48</v>
      </c>
      <c r="F32" s="269">
        <v>25.5</v>
      </c>
      <c r="G32" s="116">
        <v>9.0</v>
      </c>
      <c r="H32" s="113">
        <f t="shared" si="2"/>
        <v>3.053333333</v>
      </c>
    </row>
    <row r="33">
      <c r="A33" s="268" t="s">
        <v>378</v>
      </c>
      <c r="B33" s="116">
        <v>1.0</v>
      </c>
      <c r="C33" s="116">
        <v>1.0</v>
      </c>
      <c r="D33" s="113">
        <v>14.99</v>
      </c>
      <c r="E33" s="113">
        <v>9.99</v>
      </c>
      <c r="F33" s="113">
        <v>5.0</v>
      </c>
      <c r="G33" s="116">
        <v>8.0</v>
      </c>
      <c r="H33" s="113">
        <f t="shared" si="2"/>
        <v>1.24875</v>
      </c>
    </row>
    <row r="34">
      <c r="A34" s="275" t="s">
        <v>150</v>
      </c>
      <c r="B34" s="101">
        <v>5.0</v>
      </c>
      <c r="C34" s="101">
        <v>2.0</v>
      </c>
      <c r="D34" s="276">
        <v>74.97</v>
      </c>
      <c r="E34" s="276">
        <v>16.47</v>
      </c>
      <c r="F34" s="276">
        <v>58.5</v>
      </c>
      <c r="G34" s="277">
        <v>7.0</v>
      </c>
      <c r="H34" s="271">
        <f t="shared" si="2"/>
        <v>2.352857143</v>
      </c>
    </row>
    <row r="35">
      <c r="A35" s="272" t="s">
        <v>148</v>
      </c>
      <c r="B35" s="273">
        <v>1.0</v>
      </c>
      <c r="C35" s="273">
        <v>1.0</v>
      </c>
      <c r="D35" s="274">
        <v>7.99</v>
      </c>
      <c r="E35" s="274">
        <v>2.99</v>
      </c>
      <c r="F35" s="274">
        <v>5.0</v>
      </c>
      <c r="G35" s="270">
        <v>6.0</v>
      </c>
      <c r="H35" s="271">
        <f t="shared" si="2"/>
        <v>0.4983333333</v>
      </c>
    </row>
    <row r="36">
      <c r="A36" s="272" t="s">
        <v>308</v>
      </c>
      <c r="B36" s="273">
        <v>2.0</v>
      </c>
      <c r="C36" s="273">
        <v>2.0</v>
      </c>
      <c r="D36" s="274">
        <v>29.98</v>
      </c>
      <c r="E36" s="274">
        <v>23.98</v>
      </c>
      <c r="F36" s="274">
        <v>6.0</v>
      </c>
      <c r="G36" s="270">
        <v>6.0</v>
      </c>
      <c r="H36" s="271">
        <f t="shared" si="2"/>
        <v>3.996666667</v>
      </c>
    </row>
    <row r="37">
      <c r="A37" s="272" t="s">
        <v>416</v>
      </c>
      <c r="B37" s="270">
        <v>2.0</v>
      </c>
      <c r="C37" s="270">
        <v>2.0</v>
      </c>
      <c r="D37" s="278">
        <v>28.98</v>
      </c>
      <c r="E37" s="278">
        <v>15.98</v>
      </c>
      <c r="F37" s="278">
        <v>13.0</v>
      </c>
      <c r="G37" s="279">
        <v>5.0</v>
      </c>
      <c r="H37" s="278">
        <f t="shared" si="2"/>
        <v>3.196</v>
      </c>
    </row>
    <row r="38">
      <c r="A38" s="267" t="s">
        <v>485</v>
      </c>
      <c r="B38" s="116">
        <v>1.0</v>
      </c>
      <c r="C38" s="116">
        <v>1.0</v>
      </c>
      <c r="D38" s="113">
        <v>19.99</v>
      </c>
      <c r="E38" s="269">
        <v>0.0</v>
      </c>
      <c r="F38" s="113">
        <v>19.99</v>
      </c>
      <c r="G38" s="116">
        <v>4.0</v>
      </c>
      <c r="H38" s="113">
        <v>0.0</v>
      </c>
    </row>
    <row r="39">
      <c r="A39" s="272" t="s">
        <v>316</v>
      </c>
      <c r="B39" s="273">
        <v>1.0</v>
      </c>
      <c r="C39" s="273">
        <v>1.0</v>
      </c>
      <c r="D39" s="274">
        <v>4.99</v>
      </c>
      <c r="E39" s="274">
        <v>0.0</v>
      </c>
      <c r="F39" s="274">
        <v>4.99</v>
      </c>
      <c r="G39" s="270">
        <v>3.0</v>
      </c>
      <c r="H39" s="271">
        <f t="shared" ref="H39:H45" si="3">E39/G39</f>
        <v>0</v>
      </c>
    </row>
    <row r="40">
      <c r="A40" s="272" t="s">
        <v>88</v>
      </c>
      <c r="B40" s="273">
        <v>1.0</v>
      </c>
      <c r="C40" s="273">
        <v>1.0</v>
      </c>
      <c r="D40" s="274">
        <v>5.99</v>
      </c>
      <c r="E40" s="274">
        <v>5.99</v>
      </c>
      <c r="F40" s="274">
        <v>0.0</v>
      </c>
      <c r="G40" s="270">
        <v>3.0</v>
      </c>
      <c r="H40" s="271">
        <f t="shared" si="3"/>
        <v>1.996666667</v>
      </c>
    </row>
    <row r="41">
      <c r="A41" s="272" t="s">
        <v>380</v>
      </c>
      <c r="B41" s="272">
        <v>1.0</v>
      </c>
      <c r="C41" s="272">
        <v>1.0</v>
      </c>
      <c r="D41" s="274">
        <v>9.99</v>
      </c>
      <c r="E41" s="274">
        <v>6.99</v>
      </c>
      <c r="F41" s="274">
        <v>3.0</v>
      </c>
      <c r="G41" s="270">
        <v>3.0</v>
      </c>
      <c r="H41" s="271">
        <f t="shared" si="3"/>
        <v>2.33</v>
      </c>
    </row>
    <row r="42">
      <c r="A42" s="272" t="s">
        <v>167</v>
      </c>
      <c r="B42" s="273">
        <v>1.0</v>
      </c>
      <c r="C42" s="273">
        <v>1.0</v>
      </c>
      <c r="D42" s="274">
        <v>1.99</v>
      </c>
      <c r="E42" s="274">
        <v>1.99</v>
      </c>
      <c r="F42" s="274">
        <v>0.0</v>
      </c>
      <c r="G42" s="270">
        <v>2.0</v>
      </c>
      <c r="H42" s="271">
        <f t="shared" si="3"/>
        <v>0.995</v>
      </c>
    </row>
    <row r="43">
      <c r="A43" s="268" t="s">
        <v>83</v>
      </c>
      <c r="B43" s="267">
        <v>2.0</v>
      </c>
      <c r="C43" s="267">
        <v>2.0</v>
      </c>
      <c r="D43" s="269">
        <v>39.98</v>
      </c>
      <c r="E43" s="269">
        <v>10.98</v>
      </c>
      <c r="F43" s="269">
        <v>29.0</v>
      </c>
      <c r="G43" s="267">
        <v>2.0</v>
      </c>
      <c r="H43" s="113">
        <f t="shared" si="3"/>
        <v>5.49</v>
      </c>
    </row>
    <row r="44">
      <c r="A44" s="268" t="s">
        <v>382</v>
      </c>
      <c r="B44" s="267">
        <v>1.0</v>
      </c>
      <c r="C44" s="268">
        <v>1.0</v>
      </c>
      <c r="D44" s="269">
        <v>39.99</v>
      </c>
      <c r="E44" s="269">
        <v>19.99</v>
      </c>
      <c r="F44" s="269">
        <v>20.0</v>
      </c>
      <c r="G44" s="116">
        <v>2.0</v>
      </c>
      <c r="H44" s="113">
        <f t="shared" si="3"/>
        <v>9.995</v>
      </c>
    </row>
    <row r="45">
      <c r="A45" s="268" t="s">
        <v>481</v>
      </c>
      <c r="B45" s="267">
        <v>1.0</v>
      </c>
      <c r="C45" s="267">
        <v>1.0</v>
      </c>
      <c r="D45" s="269">
        <v>39.99</v>
      </c>
      <c r="E45" s="269">
        <v>0.0</v>
      </c>
      <c r="F45" s="269">
        <v>39.99</v>
      </c>
      <c r="G45" s="116">
        <v>1.0</v>
      </c>
      <c r="H45" s="113">
        <f t="shared" si="3"/>
        <v>0</v>
      </c>
    </row>
    <row r="46">
      <c r="A46" s="262" t="s">
        <v>27</v>
      </c>
      <c r="B46" s="27">
        <v>1.0</v>
      </c>
      <c r="C46" s="27">
        <v>1.0</v>
      </c>
      <c r="D46" s="262">
        <v>39.99</v>
      </c>
      <c r="E46" s="262">
        <v>0.0</v>
      </c>
      <c r="F46" s="262">
        <v>39.99</v>
      </c>
      <c r="G46" s="27">
        <v>1.0</v>
      </c>
      <c r="H46" s="129">
        <v>0.0</v>
      </c>
    </row>
    <row r="47">
      <c r="A47" s="268" t="s">
        <v>439</v>
      </c>
      <c r="B47" s="268">
        <v>1.0</v>
      </c>
      <c r="C47" s="267">
        <v>1.0</v>
      </c>
      <c r="D47" s="269">
        <v>9.99</v>
      </c>
      <c r="E47" s="269">
        <v>4.99</v>
      </c>
      <c r="F47" s="269">
        <v>5.0</v>
      </c>
      <c r="G47" s="116">
        <v>1.0</v>
      </c>
      <c r="H47" s="113">
        <f t="shared" ref="H47:H50" si="4">E47/G47</f>
        <v>4.99</v>
      </c>
    </row>
    <row r="48">
      <c r="A48" s="268" t="s">
        <v>311</v>
      </c>
      <c r="B48" s="267">
        <v>1.0</v>
      </c>
      <c r="C48" s="267">
        <v>1.0</v>
      </c>
      <c r="D48" s="269">
        <v>29.99</v>
      </c>
      <c r="E48" s="269">
        <v>10.99</v>
      </c>
      <c r="F48" s="269">
        <v>19.0</v>
      </c>
      <c r="G48" s="116">
        <v>1.0</v>
      </c>
      <c r="H48" s="113">
        <f t="shared" si="4"/>
        <v>10.99</v>
      </c>
    </row>
    <row r="49">
      <c r="A49" s="268" t="s">
        <v>86</v>
      </c>
      <c r="B49" s="267">
        <v>1.0</v>
      </c>
      <c r="C49" s="267">
        <v>1.0</v>
      </c>
      <c r="D49" s="269">
        <v>14.49</v>
      </c>
      <c r="E49" s="269">
        <v>11.59</v>
      </c>
      <c r="F49" s="269">
        <v>2.9</v>
      </c>
      <c r="G49" s="116">
        <v>1.0</v>
      </c>
      <c r="H49" s="113">
        <f t="shared" si="4"/>
        <v>11.59</v>
      </c>
    </row>
    <row r="50">
      <c r="A50" s="268" t="s">
        <v>392</v>
      </c>
      <c r="B50" s="267">
        <v>1.0</v>
      </c>
      <c r="C50" s="268">
        <v>1.0</v>
      </c>
      <c r="D50" s="269">
        <v>39.99</v>
      </c>
      <c r="E50" s="269">
        <v>19.99</v>
      </c>
      <c r="F50" s="269">
        <v>20.0</v>
      </c>
      <c r="G50" s="116">
        <v>1.0</v>
      </c>
      <c r="H50" s="113">
        <f t="shared" si="4"/>
        <v>19.99</v>
      </c>
    </row>
  </sheetData>
  <autoFilter ref="$A$1:$H$50">
    <sortState ref="A1:H50">
      <sortCondition descending="1" ref="G1:G50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25"/>
    <col customWidth="1" min="2" max="3" width="8.88"/>
  </cols>
  <sheetData>
    <row r="1">
      <c r="A1" s="13" t="s">
        <v>4</v>
      </c>
      <c r="B1" s="12" t="s">
        <v>42</v>
      </c>
      <c r="C1" s="12" t="s">
        <v>16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>
      <c r="A2" s="280" t="s">
        <v>29</v>
      </c>
      <c r="B2" s="281">
        <v>304.0</v>
      </c>
      <c r="C2" s="282">
        <v>6070.0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>
      <c r="A3" s="283" t="s">
        <v>325</v>
      </c>
      <c r="B3" s="284">
        <v>247.0</v>
      </c>
      <c r="C3" s="285">
        <v>3747.0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>
      <c r="A4" s="286" t="s">
        <v>92</v>
      </c>
      <c r="B4" s="287">
        <v>88.0</v>
      </c>
      <c r="C4" s="288">
        <v>1948.0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>
      <c r="A5" s="289" t="s">
        <v>25</v>
      </c>
      <c r="B5" s="27">
        <v>179.0</v>
      </c>
      <c r="C5" s="290">
        <v>1868.0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>
      <c r="A6" s="289" t="s">
        <v>430</v>
      </c>
      <c r="B6" s="27">
        <v>10.0</v>
      </c>
      <c r="C6" s="290">
        <v>549.0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>
      <c r="A7" s="289" t="s">
        <v>265</v>
      </c>
      <c r="B7" s="95">
        <v>38.0</v>
      </c>
      <c r="C7" s="27">
        <v>449.0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>
      <c r="A8" s="27" t="s">
        <v>57</v>
      </c>
      <c r="B8" s="27">
        <v>23.0</v>
      </c>
      <c r="C8" s="27">
        <v>285.0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>
      <c r="A9" s="289" t="s">
        <v>455</v>
      </c>
      <c r="B9" s="27">
        <v>40.0</v>
      </c>
      <c r="C9" s="27">
        <v>222.0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>
      <c r="A10" s="289" t="s">
        <v>291</v>
      </c>
      <c r="B10" s="27">
        <v>18.0</v>
      </c>
      <c r="C10" s="27">
        <v>213.0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>
      <c r="A11" s="289" t="s">
        <v>400</v>
      </c>
      <c r="B11" s="27">
        <v>17.0</v>
      </c>
      <c r="C11" s="27">
        <v>206.0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>
      <c r="A12" s="291" t="s">
        <v>384</v>
      </c>
      <c r="B12" s="204">
        <v>11.0</v>
      </c>
      <c r="C12" s="201">
        <v>200.0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>
      <c r="A13" s="292" t="s">
        <v>419</v>
      </c>
      <c r="B13" s="293">
        <v>3.0</v>
      </c>
      <c r="C13" s="294">
        <v>153.0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>
      <c r="A14" s="295" t="s">
        <v>255</v>
      </c>
      <c r="B14" s="292">
        <v>18.0</v>
      </c>
      <c r="C14" s="293">
        <v>115.0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>
      <c r="A15" s="295" t="s">
        <v>318</v>
      </c>
      <c r="B15" s="293">
        <v>8.0</v>
      </c>
      <c r="C15" s="293">
        <v>75.0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>
      <c r="A16" s="295" t="s">
        <v>141</v>
      </c>
      <c r="B16" s="293">
        <v>6.0</v>
      </c>
      <c r="C16" s="293">
        <v>70.0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>
      <c r="A17" s="293" t="s">
        <v>153</v>
      </c>
      <c r="B17" s="293">
        <v>5.0</v>
      </c>
      <c r="C17" s="293">
        <v>67.0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>
      <c r="A18" s="295" t="s">
        <v>313</v>
      </c>
      <c r="B18" s="292">
        <v>3.0</v>
      </c>
      <c r="C18" s="292">
        <v>51.0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>
      <c r="A19" s="295" t="s">
        <v>394</v>
      </c>
      <c r="B19" s="293">
        <v>2.0</v>
      </c>
      <c r="C19" s="293">
        <v>42.0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>
      <c r="A20" s="295" t="s">
        <v>79</v>
      </c>
      <c r="B20" s="293">
        <v>5.0</v>
      </c>
      <c r="C20" s="293">
        <v>40.0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>
      <c r="A21" s="295" t="s">
        <v>443</v>
      </c>
      <c r="B21" s="292">
        <v>12.0</v>
      </c>
      <c r="C21" s="292">
        <v>39.0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>
      <c r="A22" s="266" t="s">
        <v>436</v>
      </c>
      <c r="B22" s="266">
        <v>4.0</v>
      </c>
      <c r="C22" s="35">
        <v>38.0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>
      <c r="A23" s="268" t="s">
        <v>90</v>
      </c>
      <c r="B23" s="267">
        <v>1.0</v>
      </c>
      <c r="C23" s="116">
        <v>28.0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>
      <c r="A24" s="116" t="s">
        <v>396</v>
      </c>
      <c r="B24" s="116">
        <v>2.0</v>
      </c>
      <c r="C24" s="116">
        <v>23.0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>
      <c r="A25" s="268" t="s">
        <v>483</v>
      </c>
      <c r="B25" s="267">
        <v>1.0</v>
      </c>
      <c r="C25" s="116">
        <v>21.0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>
      <c r="A26" s="268" t="s">
        <v>375</v>
      </c>
      <c r="B26" s="267">
        <v>2.0</v>
      </c>
      <c r="C26" s="116">
        <v>21.0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>
      <c r="A27" s="266" t="s">
        <v>441</v>
      </c>
      <c r="B27" s="35">
        <v>2.0</v>
      </c>
      <c r="C27" s="264">
        <v>20.0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>
      <c r="A28" s="266" t="s">
        <v>398</v>
      </c>
      <c r="B28" s="35">
        <v>2.0</v>
      </c>
      <c r="C28" s="35">
        <v>17.0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>
      <c r="A29" s="268" t="s">
        <v>159</v>
      </c>
      <c r="B29" s="116">
        <v>10.0</v>
      </c>
      <c r="C29" s="116">
        <v>17.0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>
      <c r="A30" s="268" t="s">
        <v>487</v>
      </c>
      <c r="B30" s="268">
        <v>6.0</v>
      </c>
      <c r="C30" s="116">
        <v>17.0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>
      <c r="A31" s="268" t="s">
        <v>422</v>
      </c>
      <c r="B31" s="116">
        <v>7.0</v>
      </c>
      <c r="C31" s="35">
        <v>14.0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>
      <c r="A32" s="268" t="s">
        <v>642</v>
      </c>
      <c r="B32" s="267">
        <v>4.0</v>
      </c>
      <c r="C32" s="116">
        <v>9.0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>
      <c r="A33" s="268" t="s">
        <v>378</v>
      </c>
      <c r="B33" s="116">
        <v>1.0</v>
      </c>
      <c r="C33" s="116">
        <v>8.0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>
      <c r="A34" s="266" t="s">
        <v>150</v>
      </c>
      <c r="B34" s="35">
        <v>5.0</v>
      </c>
      <c r="C34" s="264">
        <v>7.0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>
      <c r="A35" s="268" t="s">
        <v>148</v>
      </c>
      <c r="B35" s="267">
        <v>1.0</v>
      </c>
      <c r="C35" s="116">
        <v>6.0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>
      <c r="A36" s="268" t="s">
        <v>308</v>
      </c>
      <c r="B36" s="267">
        <v>2.0</v>
      </c>
      <c r="C36" s="116">
        <v>6.0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>
      <c r="A37" s="268" t="s">
        <v>416</v>
      </c>
      <c r="B37" s="116">
        <v>2.0</v>
      </c>
      <c r="C37" s="296">
        <v>5.0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>
      <c r="A38" s="267" t="s">
        <v>485</v>
      </c>
      <c r="B38" s="116">
        <v>1.0</v>
      </c>
      <c r="C38" s="116">
        <v>4.0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>
      <c r="A39" s="268" t="s">
        <v>316</v>
      </c>
      <c r="B39" s="267">
        <v>1.0</v>
      </c>
      <c r="C39" s="116">
        <v>3.0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>
      <c r="A40" s="268" t="s">
        <v>88</v>
      </c>
      <c r="B40" s="267">
        <v>1.0</v>
      </c>
      <c r="C40" s="116">
        <v>3.0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>
      <c r="A41" s="268" t="s">
        <v>380</v>
      </c>
      <c r="B41" s="268">
        <v>1.0</v>
      </c>
      <c r="C41" s="116">
        <v>3.0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>
      <c r="A42" s="268" t="s">
        <v>167</v>
      </c>
      <c r="B42" s="267">
        <v>1.0</v>
      </c>
      <c r="C42" s="116">
        <v>2.0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>
      <c r="A43" s="268" t="s">
        <v>83</v>
      </c>
      <c r="B43" s="267">
        <v>2.0</v>
      </c>
      <c r="C43" s="267">
        <v>2.0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>
      <c r="A44" s="268" t="s">
        <v>382</v>
      </c>
      <c r="B44" s="267">
        <v>1.0</v>
      </c>
      <c r="C44" s="116">
        <v>2.0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>
      <c r="A45" s="268" t="s">
        <v>481</v>
      </c>
      <c r="B45" s="267">
        <v>1.0</v>
      </c>
      <c r="C45" s="116">
        <v>1.0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>
      <c r="A46" s="116" t="s">
        <v>27</v>
      </c>
      <c r="B46" s="267">
        <v>1.0</v>
      </c>
      <c r="C46" s="116">
        <v>1.0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>
      <c r="A47" s="268" t="s">
        <v>439</v>
      </c>
      <c r="B47" s="268">
        <v>1.0</v>
      </c>
      <c r="C47" s="116">
        <v>1.0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>
      <c r="A48" s="268" t="s">
        <v>311</v>
      </c>
      <c r="B48" s="267">
        <v>1.0</v>
      </c>
      <c r="C48" s="116">
        <v>1.0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>
      <c r="A49" s="268" t="s">
        <v>86</v>
      </c>
      <c r="B49" s="267">
        <v>1.0</v>
      </c>
      <c r="C49" s="116">
        <v>1.0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>
      <c r="A50" s="268" t="s">
        <v>392</v>
      </c>
      <c r="B50" s="267">
        <v>1.0</v>
      </c>
      <c r="C50" s="116">
        <v>1.0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</sheetData>
  <autoFilter ref="$A$1:$C$5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61.75"/>
    <col customWidth="1" min="3" max="3" width="7.38"/>
    <col customWidth="1" min="4" max="4" width="91.5"/>
    <col customWidth="1" min="5" max="5" width="9.75"/>
    <col customWidth="1" min="6" max="6" width="14.88"/>
    <col customWidth="1" min="7" max="7" width="17.38"/>
    <col customWidth="1" min="8" max="8" width="13.88"/>
    <col customWidth="1" min="9" max="9" width="15.25"/>
    <col customWidth="1" min="10" max="10" width="13.88"/>
    <col customWidth="1" min="11" max="11" width="14.25"/>
    <col customWidth="1" min="12" max="12" width="10.75"/>
    <col customWidth="1" min="13" max="13" width="8.75"/>
    <col customWidth="1" min="14" max="14" width="10.25"/>
  </cols>
  <sheetData>
    <row r="1">
      <c r="A1" s="12" t="s">
        <v>4</v>
      </c>
      <c r="B1" s="12" t="s">
        <v>5</v>
      </c>
      <c r="C1" s="12" t="s">
        <v>6</v>
      </c>
      <c r="D1" s="13" t="s">
        <v>7</v>
      </c>
      <c r="E1" s="13" t="s">
        <v>8</v>
      </c>
      <c r="F1" s="12" t="s">
        <v>9</v>
      </c>
      <c r="G1" s="12" t="s">
        <v>10</v>
      </c>
      <c r="H1" s="12" t="s">
        <v>11</v>
      </c>
      <c r="I1" s="12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</row>
    <row r="2">
      <c r="A2" s="297" t="s">
        <v>57</v>
      </c>
      <c r="B2" s="298" t="s">
        <v>56</v>
      </c>
      <c r="C2" s="298">
        <v>202.0</v>
      </c>
      <c r="D2" s="298" t="s">
        <v>650</v>
      </c>
      <c r="E2" s="298" t="s">
        <v>649</v>
      </c>
      <c r="F2" s="299">
        <v>41929.0</v>
      </c>
      <c r="G2" s="299">
        <v>42072.0</v>
      </c>
      <c r="H2" s="299">
        <v>42072.0</v>
      </c>
      <c r="I2" s="299">
        <v>45446.0</v>
      </c>
      <c r="J2" s="300">
        <v>54.99</v>
      </c>
      <c r="K2" s="300">
        <v>31.49</v>
      </c>
      <c r="L2" s="300">
        <v>23.5</v>
      </c>
      <c r="M2" s="298">
        <v>65.0</v>
      </c>
      <c r="N2" s="300">
        <v>0.48</v>
      </c>
    </row>
    <row r="3">
      <c r="A3" s="298" t="s">
        <v>57</v>
      </c>
      <c r="B3" s="298" t="s">
        <v>58</v>
      </c>
      <c r="C3" s="298">
        <v>656.0</v>
      </c>
      <c r="D3" s="298" t="s">
        <v>663</v>
      </c>
      <c r="E3" s="298" t="s">
        <v>33</v>
      </c>
      <c r="F3" s="299">
        <v>44537.0</v>
      </c>
      <c r="G3" s="299">
        <v>44867.0</v>
      </c>
      <c r="H3" s="299">
        <v>44867.0</v>
      </c>
      <c r="I3" s="299">
        <v>44867.0</v>
      </c>
      <c r="J3" s="300">
        <v>20.99</v>
      </c>
      <c r="K3" s="300">
        <v>0.0</v>
      </c>
      <c r="L3" s="300">
        <v>20.99</v>
      </c>
      <c r="M3" s="298">
        <v>1.0</v>
      </c>
      <c r="N3" s="300">
        <v>0.0</v>
      </c>
    </row>
    <row r="4">
      <c r="A4" s="298" t="s">
        <v>57</v>
      </c>
      <c r="B4" s="298" t="s">
        <v>59</v>
      </c>
      <c r="C4" s="298">
        <v>861.0</v>
      </c>
      <c r="D4" s="298" t="s">
        <v>661</v>
      </c>
      <c r="E4" s="298" t="s">
        <v>33</v>
      </c>
      <c r="F4" s="299">
        <v>43942.0</v>
      </c>
      <c r="G4" s="299">
        <v>44335.0</v>
      </c>
      <c r="H4" s="299">
        <v>44336.0</v>
      </c>
      <c r="I4" s="299">
        <v>44336.0</v>
      </c>
      <c r="J4" s="300">
        <v>19.99</v>
      </c>
      <c r="K4" s="300">
        <v>0.0</v>
      </c>
      <c r="L4" s="300">
        <v>19.99</v>
      </c>
      <c r="M4" s="298">
        <v>2.0</v>
      </c>
      <c r="N4" s="300">
        <v>0.0</v>
      </c>
    </row>
    <row r="5">
      <c r="A5" s="298" t="s">
        <v>57</v>
      </c>
      <c r="B5" s="298" t="s">
        <v>60</v>
      </c>
      <c r="C5" s="298">
        <v>899.0</v>
      </c>
      <c r="D5" s="298" t="s">
        <v>662</v>
      </c>
      <c r="E5" s="298" t="s">
        <v>33</v>
      </c>
      <c r="F5" s="299">
        <v>44096.0</v>
      </c>
      <c r="G5" s="299">
        <v>44411.0</v>
      </c>
      <c r="H5" s="299">
        <v>44411.0</v>
      </c>
      <c r="I5" s="299">
        <v>44411.0</v>
      </c>
      <c r="J5" s="300">
        <v>49.99</v>
      </c>
      <c r="K5" s="300">
        <v>0.0</v>
      </c>
      <c r="L5" s="300">
        <v>49.99</v>
      </c>
      <c r="M5" s="298">
        <v>1.0</v>
      </c>
      <c r="N5" s="300">
        <v>0.0</v>
      </c>
    </row>
    <row r="6">
      <c r="A6" s="297" t="s">
        <v>57</v>
      </c>
      <c r="B6" s="298" t="s">
        <v>61</v>
      </c>
      <c r="C6" s="298">
        <v>1064.0</v>
      </c>
      <c r="D6" s="298" t="s">
        <v>669</v>
      </c>
      <c r="E6" s="298" t="s">
        <v>39</v>
      </c>
      <c r="F6" s="299">
        <v>44474.0</v>
      </c>
      <c r="G6" s="299">
        <v>44474.0</v>
      </c>
      <c r="H6" s="299">
        <v>45412.0</v>
      </c>
      <c r="I6" s="299">
        <v>45412.0</v>
      </c>
      <c r="J6" s="301">
        <v>39.99</v>
      </c>
      <c r="K6" s="301">
        <v>0.0</v>
      </c>
      <c r="L6" s="301">
        <v>39.99</v>
      </c>
      <c r="M6" s="298">
        <v>1.0</v>
      </c>
      <c r="N6" s="300">
        <v>0.0</v>
      </c>
    </row>
    <row r="7">
      <c r="A7" s="302" t="s">
        <v>57</v>
      </c>
      <c r="B7" s="298" t="s">
        <v>62</v>
      </c>
      <c r="C7" s="298">
        <v>572.0</v>
      </c>
      <c r="D7" s="298" t="s">
        <v>656</v>
      </c>
      <c r="E7" s="298" t="s">
        <v>33</v>
      </c>
      <c r="F7" s="299">
        <v>43053.0</v>
      </c>
      <c r="G7" s="299">
        <v>45256.0</v>
      </c>
      <c r="H7" s="299">
        <v>45256.0</v>
      </c>
      <c r="I7" s="299">
        <v>45256.0</v>
      </c>
      <c r="J7" s="300">
        <v>19.99</v>
      </c>
      <c r="K7" s="300">
        <v>3.99</v>
      </c>
      <c r="L7" s="300">
        <v>16.0</v>
      </c>
      <c r="M7" s="298">
        <v>1.0</v>
      </c>
      <c r="N7" s="300">
        <v>3.99</v>
      </c>
    </row>
    <row r="8">
      <c r="A8" s="298" t="s">
        <v>57</v>
      </c>
      <c r="B8" s="298" t="s">
        <v>63</v>
      </c>
      <c r="C8" s="298">
        <v>675.0</v>
      </c>
      <c r="D8" s="298" t="s">
        <v>659</v>
      </c>
      <c r="E8" s="298" t="s">
        <v>33</v>
      </c>
      <c r="F8" s="299">
        <v>43391.0</v>
      </c>
      <c r="G8" s="299">
        <v>44351.0</v>
      </c>
      <c r="H8" s="299">
        <v>44472.0</v>
      </c>
      <c r="I8" s="299">
        <v>44473.0</v>
      </c>
      <c r="J8" s="300">
        <v>17.99</v>
      </c>
      <c r="K8" s="300">
        <v>8.99</v>
      </c>
      <c r="L8" s="300">
        <v>9.0</v>
      </c>
      <c r="M8" s="298">
        <v>5.0</v>
      </c>
      <c r="N8" s="300">
        <v>1.8</v>
      </c>
    </row>
    <row r="9">
      <c r="A9" s="298" t="s">
        <v>57</v>
      </c>
      <c r="B9" s="298" t="s">
        <v>64</v>
      </c>
      <c r="C9" s="298">
        <v>845.0</v>
      </c>
      <c r="D9" s="301" t="s">
        <v>655</v>
      </c>
      <c r="E9" s="301" t="s">
        <v>33</v>
      </c>
      <c r="F9" s="299">
        <v>42962.0</v>
      </c>
      <c r="G9" s="299">
        <v>42939.0</v>
      </c>
      <c r="H9" s="299">
        <v>42962.0</v>
      </c>
      <c r="I9" s="299">
        <v>43008.0</v>
      </c>
      <c r="J9" s="300">
        <v>24.98</v>
      </c>
      <c r="K9" s="300">
        <v>24.98</v>
      </c>
      <c r="L9" s="300">
        <v>0.0</v>
      </c>
      <c r="M9" s="298">
        <v>20.0</v>
      </c>
      <c r="N9" s="300">
        <v>1.25</v>
      </c>
    </row>
    <row r="10">
      <c r="A10" s="298" t="s">
        <v>57</v>
      </c>
      <c r="B10" s="298" t="s">
        <v>65</v>
      </c>
      <c r="C10" s="298">
        <v>168.0</v>
      </c>
      <c r="D10" s="298" t="s">
        <v>647</v>
      </c>
      <c r="E10" s="298" t="s">
        <v>37</v>
      </c>
      <c r="F10" s="299">
        <v>41234.0</v>
      </c>
      <c r="G10" s="299">
        <v>42766.0</v>
      </c>
      <c r="H10" s="299">
        <v>43059.0</v>
      </c>
      <c r="I10" s="299">
        <v>44872.0</v>
      </c>
      <c r="J10" s="300">
        <v>5.58</v>
      </c>
      <c r="K10" s="300">
        <v>3.98</v>
      </c>
      <c r="L10" s="300">
        <v>1.6</v>
      </c>
      <c r="M10" s="298">
        <v>10.0</v>
      </c>
      <c r="N10" s="300">
        <v>0.4</v>
      </c>
    </row>
    <row r="11">
      <c r="A11" s="298"/>
      <c r="B11" s="298"/>
      <c r="C11" s="298">
        <v>1004.0</v>
      </c>
      <c r="D11" s="298" t="s">
        <v>665</v>
      </c>
      <c r="E11" s="298" t="s">
        <v>666</v>
      </c>
      <c r="F11" s="299">
        <v>42724.0</v>
      </c>
      <c r="G11" s="299">
        <v>43475.0</v>
      </c>
      <c r="H11" s="299">
        <v>43476.0</v>
      </c>
      <c r="I11" s="299">
        <v>44014.0</v>
      </c>
      <c r="J11" s="300">
        <v>16.99</v>
      </c>
      <c r="K11" s="300">
        <v>16.99</v>
      </c>
      <c r="L11" s="300">
        <v>0.0</v>
      </c>
      <c r="M11" s="298">
        <v>3.0</v>
      </c>
      <c r="N11" s="300">
        <v>5.66</v>
      </c>
    </row>
    <row r="12">
      <c r="A12" s="303"/>
      <c r="B12" s="303"/>
      <c r="C12" s="304"/>
      <c r="D12" s="305"/>
      <c r="E12" s="305"/>
      <c r="F12" s="305"/>
      <c r="G12" s="305"/>
      <c r="H12" s="305"/>
      <c r="I12" s="305"/>
      <c r="J12" s="306">
        <f t="shared" ref="J12:M12" si="1">SUM(J10:J11)</f>
        <v>22.57</v>
      </c>
      <c r="K12" s="306">
        <f t="shared" si="1"/>
        <v>20.97</v>
      </c>
      <c r="L12" s="306">
        <f t="shared" si="1"/>
        <v>1.6</v>
      </c>
      <c r="M12" s="305">
        <f t="shared" si="1"/>
        <v>13</v>
      </c>
      <c r="N12" s="306">
        <f>K12/M12</f>
        <v>1.613076923</v>
      </c>
    </row>
    <row r="13">
      <c r="A13" s="298" t="s">
        <v>57</v>
      </c>
      <c r="B13" s="298" t="s">
        <v>66</v>
      </c>
      <c r="C13" s="298">
        <v>787.0</v>
      </c>
      <c r="D13" s="298" t="s">
        <v>653</v>
      </c>
      <c r="E13" s="298" t="s">
        <v>33</v>
      </c>
      <c r="F13" s="299">
        <v>42542.0</v>
      </c>
      <c r="G13" s="299">
        <v>42650.0</v>
      </c>
      <c r="H13" s="299">
        <v>42650.0</v>
      </c>
      <c r="I13" s="299">
        <v>44388.0</v>
      </c>
      <c r="J13" s="300">
        <v>4.99</v>
      </c>
      <c r="K13" s="300">
        <v>4.99</v>
      </c>
      <c r="L13" s="300">
        <v>0.0</v>
      </c>
      <c r="M13" s="298">
        <v>24.0</v>
      </c>
      <c r="N13" s="300">
        <v>0.21</v>
      </c>
    </row>
    <row r="14">
      <c r="A14" s="298" t="s">
        <v>57</v>
      </c>
      <c r="B14" s="298" t="s">
        <v>67</v>
      </c>
      <c r="C14" s="298">
        <v>956.0</v>
      </c>
      <c r="D14" s="298" t="s">
        <v>660</v>
      </c>
      <c r="E14" s="298" t="s">
        <v>33</v>
      </c>
      <c r="F14" s="299">
        <v>43816.0</v>
      </c>
      <c r="G14" s="299">
        <v>43816.0</v>
      </c>
      <c r="H14" s="299">
        <v>43816.0</v>
      </c>
      <c r="I14" s="299">
        <v>43824.0</v>
      </c>
      <c r="J14" s="300">
        <v>19.99</v>
      </c>
      <c r="K14" s="300">
        <v>14.99</v>
      </c>
      <c r="L14" s="300">
        <v>5.0</v>
      </c>
      <c r="M14" s="298">
        <v>20.0</v>
      </c>
      <c r="N14" s="300">
        <v>0.75</v>
      </c>
    </row>
    <row r="15">
      <c r="A15" s="298" t="s">
        <v>57</v>
      </c>
      <c r="B15" s="298" t="s">
        <v>68</v>
      </c>
      <c r="C15" s="298">
        <v>931.0</v>
      </c>
      <c r="D15" s="298" t="s">
        <v>658</v>
      </c>
      <c r="E15" s="298" t="s">
        <v>33</v>
      </c>
      <c r="F15" s="299">
        <v>43368.0</v>
      </c>
      <c r="G15" s="299">
        <v>44431.0</v>
      </c>
      <c r="H15" s="299">
        <v>44432.0</v>
      </c>
      <c r="I15" s="299">
        <v>44432.0</v>
      </c>
      <c r="J15" s="300">
        <v>12.99</v>
      </c>
      <c r="K15" s="300">
        <v>2.59</v>
      </c>
      <c r="L15" s="300">
        <v>10.4</v>
      </c>
      <c r="M15" s="298">
        <v>2.0</v>
      </c>
      <c r="N15" s="300">
        <v>1.3</v>
      </c>
    </row>
    <row r="16">
      <c r="A16" s="297" t="s">
        <v>57</v>
      </c>
      <c r="B16" s="297" t="s">
        <v>69</v>
      </c>
      <c r="C16" s="298">
        <v>151.0</v>
      </c>
      <c r="D16" s="298" t="s">
        <v>644</v>
      </c>
      <c r="E16" s="298" t="s">
        <v>645</v>
      </c>
      <c r="F16" s="299">
        <v>37582.0</v>
      </c>
      <c r="G16" s="299">
        <v>45651.0</v>
      </c>
      <c r="H16" s="299">
        <v>45653.0</v>
      </c>
      <c r="I16" s="299">
        <v>45654.0</v>
      </c>
      <c r="J16" s="301">
        <v>26.99</v>
      </c>
      <c r="K16" s="301">
        <v>0.0</v>
      </c>
      <c r="L16" s="301">
        <v>26.99</v>
      </c>
      <c r="M16" s="298">
        <v>15.0</v>
      </c>
      <c r="N16" s="301">
        <v>0.0</v>
      </c>
    </row>
    <row r="17">
      <c r="A17" s="297"/>
      <c r="B17" s="297"/>
      <c r="C17" s="298">
        <v>152.0</v>
      </c>
      <c r="D17" s="298" t="s">
        <v>646</v>
      </c>
      <c r="E17" s="298" t="s">
        <v>645</v>
      </c>
      <c r="F17" s="299">
        <v>38296.0</v>
      </c>
      <c r="G17" s="299">
        <v>45662.0</v>
      </c>
      <c r="H17" s="299">
        <v>45663.0</v>
      </c>
      <c r="I17" s="299">
        <v>45677.0</v>
      </c>
      <c r="J17" s="301">
        <v>26.99</v>
      </c>
      <c r="K17" s="301">
        <v>2.85</v>
      </c>
      <c r="L17" s="301">
        <v>24.14</v>
      </c>
      <c r="M17" s="298">
        <v>10.0</v>
      </c>
      <c r="N17" s="301">
        <v>0.29</v>
      </c>
    </row>
    <row r="18">
      <c r="A18" s="303"/>
      <c r="B18" s="303"/>
      <c r="C18" s="304"/>
      <c r="D18" s="305"/>
      <c r="E18" s="305"/>
      <c r="F18" s="305"/>
      <c r="G18" s="305"/>
      <c r="H18" s="305"/>
      <c r="I18" s="305"/>
      <c r="J18" s="306">
        <f t="shared" ref="J18:M18" si="2">SUM(J16:J17)</f>
        <v>53.98</v>
      </c>
      <c r="K18" s="306">
        <f t="shared" si="2"/>
        <v>2.85</v>
      </c>
      <c r="L18" s="306">
        <f t="shared" si="2"/>
        <v>51.13</v>
      </c>
      <c r="M18" s="305">
        <f t="shared" si="2"/>
        <v>25</v>
      </c>
      <c r="N18" s="306">
        <f>K18/M18</f>
        <v>0.114</v>
      </c>
    </row>
    <row r="19">
      <c r="A19" s="298" t="s">
        <v>57</v>
      </c>
      <c r="B19" s="298" t="s">
        <v>70</v>
      </c>
      <c r="C19" s="298">
        <v>512.0</v>
      </c>
      <c r="D19" s="298" t="s">
        <v>651</v>
      </c>
      <c r="E19" s="298" t="s">
        <v>33</v>
      </c>
      <c r="F19" s="299">
        <v>42248.0</v>
      </c>
      <c r="G19" s="299">
        <v>42951.0</v>
      </c>
      <c r="H19" s="299">
        <v>42951.0</v>
      </c>
      <c r="I19" s="299">
        <v>42951.0</v>
      </c>
      <c r="J19" s="300">
        <v>19.99</v>
      </c>
      <c r="K19" s="300">
        <v>7.99</v>
      </c>
      <c r="L19" s="300">
        <v>12.0</v>
      </c>
      <c r="M19" s="298">
        <v>1.0</v>
      </c>
      <c r="N19" s="300">
        <v>7.99</v>
      </c>
    </row>
    <row r="20">
      <c r="A20" s="298" t="s">
        <v>57</v>
      </c>
      <c r="B20" s="298" t="s">
        <v>71</v>
      </c>
      <c r="C20" s="298">
        <v>563.0</v>
      </c>
      <c r="D20" s="298" t="s">
        <v>664</v>
      </c>
      <c r="E20" s="298" t="s">
        <v>33</v>
      </c>
      <c r="F20" s="299">
        <v>44784.0</v>
      </c>
      <c r="G20" s="299">
        <v>44894.0</v>
      </c>
      <c r="H20" s="299">
        <v>44894.0</v>
      </c>
      <c r="I20" s="299">
        <v>44896.0</v>
      </c>
      <c r="J20" s="300">
        <v>29.99</v>
      </c>
      <c r="K20" s="300">
        <v>23.99</v>
      </c>
      <c r="L20" s="300">
        <v>6.0</v>
      </c>
      <c r="M20" s="298">
        <v>24.0</v>
      </c>
      <c r="N20" s="300">
        <v>1.0</v>
      </c>
    </row>
    <row r="21">
      <c r="A21" s="298" t="s">
        <v>57</v>
      </c>
      <c r="B21" s="298" t="s">
        <v>72</v>
      </c>
      <c r="C21" s="298">
        <v>1035.0</v>
      </c>
      <c r="D21" s="298" t="s">
        <v>667</v>
      </c>
      <c r="E21" s="298" t="s">
        <v>666</v>
      </c>
      <c r="F21" s="299">
        <v>43173.0</v>
      </c>
      <c r="G21" s="299">
        <v>43564.0</v>
      </c>
      <c r="H21" s="299">
        <v>43565.0</v>
      </c>
      <c r="I21" s="299">
        <v>45151.0</v>
      </c>
      <c r="J21" s="300">
        <v>19.99</v>
      </c>
      <c r="K21" s="300">
        <v>7.99</v>
      </c>
      <c r="L21" s="300">
        <v>12.0</v>
      </c>
      <c r="M21" s="298">
        <v>4.0</v>
      </c>
      <c r="N21" s="300">
        <v>2.0</v>
      </c>
    </row>
    <row r="22">
      <c r="A22" s="298" t="s">
        <v>57</v>
      </c>
      <c r="B22" s="298" t="s">
        <v>73</v>
      </c>
      <c r="C22" s="298">
        <v>577.0</v>
      </c>
      <c r="D22" s="298" t="s">
        <v>654</v>
      </c>
      <c r="E22" s="298" t="s">
        <v>33</v>
      </c>
      <c r="F22" s="299">
        <v>42808.0</v>
      </c>
      <c r="G22" s="299">
        <v>43079.0</v>
      </c>
      <c r="H22" s="299">
        <v>43079.0</v>
      </c>
      <c r="I22" s="299">
        <v>43407.0</v>
      </c>
      <c r="J22" s="300">
        <v>13.99</v>
      </c>
      <c r="K22" s="300">
        <v>6.99</v>
      </c>
      <c r="L22" s="300">
        <v>7.0</v>
      </c>
      <c r="M22" s="298">
        <v>6.0</v>
      </c>
      <c r="N22" s="300">
        <v>1.17</v>
      </c>
    </row>
    <row r="23">
      <c r="A23" s="297" t="s">
        <v>57</v>
      </c>
      <c r="B23" s="298" t="s">
        <v>74</v>
      </c>
      <c r="C23" s="298">
        <v>277.0</v>
      </c>
      <c r="D23" s="298" t="s">
        <v>648</v>
      </c>
      <c r="E23" s="298" t="s">
        <v>649</v>
      </c>
      <c r="F23" s="299">
        <v>40683.0</v>
      </c>
      <c r="G23" s="299">
        <v>41559.0</v>
      </c>
      <c r="H23" s="299">
        <v>41559.0</v>
      </c>
      <c r="I23" s="299">
        <v>44790.0</v>
      </c>
      <c r="J23" s="300">
        <v>29.99</v>
      </c>
      <c r="K23" s="300">
        <v>29.99</v>
      </c>
      <c r="L23" s="300">
        <v>0.0</v>
      </c>
      <c r="M23" s="298">
        <v>55.0</v>
      </c>
      <c r="N23" s="300">
        <v>0.55</v>
      </c>
    </row>
    <row r="24">
      <c r="A24" s="298" t="s">
        <v>57</v>
      </c>
      <c r="B24" s="298" t="s">
        <v>75</v>
      </c>
      <c r="C24" s="298">
        <v>660.0</v>
      </c>
      <c r="D24" s="298" t="s">
        <v>657</v>
      </c>
      <c r="E24" s="298" t="s">
        <v>33</v>
      </c>
      <c r="F24" s="299">
        <v>43368.0</v>
      </c>
      <c r="G24" s="299">
        <v>44138.0</v>
      </c>
      <c r="H24" s="299">
        <v>44145.0</v>
      </c>
      <c r="I24" s="299">
        <v>44178.0</v>
      </c>
      <c r="J24" s="300">
        <v>14.49</v>
      </c>
      <c r="K24" s="300">
        <v>0.0</v>
      </c>
      <c r="L24" s="300">
        <v>14.49</v>
      </c>
      <c r="M24" s="298">
        <v>10.0</v>
      </c>
      <c r="N24" s="300">
        <v>0.0</v>
      </c>
    </row>
    <row r="25">
      <c r="A25" s="298" t="s">
        <v>57</v>
      </c>
      <c r="B25" s="298" t="s">
        <v>76</v>
      </c>
      <c r="C25" s="298">
        <v>1006.0</v>
      </c>
      <c r="D25" s="298" t="s">
        <v>668</v>
      </c>
      <c r="E25" s="298" t="s">
        <v>666</v>
      </c>
      <c r="F25" s="299">
        <v>43452.0</v>
      </c>
      <c r="G25" s="299">
        <v>43717.0</v>
      </c>
      <c r="H25" s="299">
        <v>43717.0</v>
      </c>
      <c r="I25" s="299">
        <v>43717.0</v>
      </c>
      <c r="J25" s="300">
        <v>24.99</v>
      </c>
      <c r="K25" s="300">
        <v>12.49</v>
      </c>
      <c r="L25" s="300">
        <v>12.5</v>
      </c>
      <c r="M25" s="298">
        <v>1.0</v>
      </c>
      <c r="N25" s="300">
        <v>12.49</v>
      </c>
    </row>
    <row r="26">
      <c r="A26" s="298" t="s">
        <v>57</v>
      </c>
      <c r="B26" s="298" t="s">
        <v>77</v>
      </c>
      <c r="C26" s="298">
        <v>517.0</v>
      </c>
      <c r="D26" s="298" t="s">
        <v>652</v>
      </c>
      <c r="E26" s="298" t="s">
        <v>33</v>
      </c>
      <c r="F26" s="299">
        <v>42437.0</v>
      </c>
      <c r="G26" s="299">
        <v>43268.0</v>
      </c>
      <c r="H26" s="299">
        <v>43268.0</v>
      </c>
      <c r="I26" s="299">
        <v>44355.0</v>
      </c>
      <c r="J26" s="300">
        <v>14.49</v>
      </c>
      <c r="K26" s="300">
        <v>3.99</v>
      </c>
      <c r="L26" s="300">
        <v>10.5</v>
      </c>
      <c r="M26" s="298">
        <v>4.0</v>
      </c>
      <c r="N26" s="300">
        <v>1.0</v>
      </c>
    </row>
    <row r="27">
      <c r="A27" s="307"/>
      <c r="B27" s="307"/>
      <c r="C27" s="308"/>
      <c r="D27" s="309"/>
      <c r="E27" s="309"/>
      <c r="F27" s="309"/>
      <c r="G27" s="309"/>
      <c r="H27" s="309"/>
      <c r="I27" s="309"/>
      <c r="J27" s="310"/>
      <c r="K27" s="310"/>
      <c r="L27" s="310"/>
      <c r="M27" s="309"/>
      <c r="N27" s="310"/>
    </row>
    <row r="28">
      <c r="A28" s="74" t="s">
        <v>79</v>
      </c>
      <c r="B28" s="74" t="s">
        <v>78</v>
      </c>
      <c r="C28" s="74">
        <v>906.0</v>
      </c>
      <c r="D28" s="74" t="s">
        <v>672</v>
      </c>
      <c r="E28" s="74" t="s">
        <v>33</v>
      </c>
      <c r="F28" s="311">
        <v>42205.0</v>
      </c>
      <c r="G28" s="311">
        <v>42859.0</v>
      </c>
      <c r="H28" s="311">
        <v>42860.0</v>
      </c>
      <c r="I28" s="311">
        <v>45183.0</v>
      </c>
      <c r="J28" s="312">
        <v>9.99</v>
      </c>
      <c r="K28" s="312">
        <v>4.99</v>
      </c>
      <c r="L28" s="312">
        <v>5.0</v>
      </c>
      <c r="M28" s="74">
        <v>2.0</v>
      </c>
      <c r="N28" s="312">
        <v>2.5</v>
      </c>
    </row>
    <row r="29">
      <c r="A29" s="74" t="s">
        <v>79</v>
      </c>
      <c r="B29" s="74" t="s">
        <v>80</v>
      </c>
      <c r="C29" s="74">
        <v>430.0</v>
      </c>
      <c r="D29" s="74" t="s">
        <v>670</v>
      </c>
      <c r="E29" s="74" t="s">
        <v>671</v>
      </c>
      <c r="F29" s="311">
        <v>40878.0</v>
      </c>
      <c r="G29" s="311">
        <v>43548.0</v>
      </c>
      <c r="H29" s="311">
        <v>43575.0</v>
      </c>
      <c r="I29" s="311">
        <v>45051.0</v>
      </c>
      <c r="J29" s="312">
        <v>9.99</v>
      </c>
      <c r="K29" s="312">
        <v>3.99</v>
      </c>
      <c r="L29" s="312">
        <v>6.0</v>
      </c>
      <c r="M29" s="74">
        <v>2.0</v>
      </c>
      <c r="N29" s="312">
        <v>2.0</v>
      </c>
    </row>
    <row r="30">
      <c r="A30" s="74" t="s">
        <v>79</v>
      </c>
      <c r="B30" s="74" t="s">
        <v>81</v>
      </c>
      <c r="C30" s="74">
        <v>851.0</v>
      </c>
      <c r="D30" s="74" t="s">
        <v>673</v>
      </c>
      <c r="E30" s="74" t="s">
        <v>33</v>
      </c>
      <c r="F30" s="311">
        <v>44005.0</v>
      </c>
      <c r="G30" s="311">
        <v>44431.0</v>
      </c>
      <c r="H30" s="311">
        <v>44443.0</v>
      </c>
      <c r="I30" s="311">
        <v>44447.0</v>
      </c>
      <c r="J30" s="312">
        <v>29.99</v>
      </c>
      <c r="K30" s="312">
        <v>17.99</v>
      </c>
      <c r="L30" s="312">
        <v>12.0</v>
      </c>
      <c r="M30" s="74">
        <v>15.0</v>
      </c>
      <c r="N30" s="312">
        <v>1.2</v>
      </c>
    </row>
    <row r="31">
      <c r="A31" s="74"/>
      <c r="B31" s="74"/>
      <c r="C31" s="74">
        <v>852.0</v>
      </c>
      <c r="D31" s="74" t="s">
        <v>674</v>
      </c>
      <c r="E31" s="74" t="s">
        <v>33</v>
      </c>
      <c r="F31" s="311">
        <v>44957.0</v>
      </c>
      <c r="G31" s="311">
        <v>45331.0</v>
      </c>
      <c r="H31" s="311">
        <v>45337.0</v>
      </c>
      <c r="I31" s="311">
        <v>45341.0</v>
      </c>
      <c r="J31" s="312">
        <v>39.99</v>
      </c>
      <c r="K31" s="312">
        <v>22.99</v>
      </c>
      <c r="L31" s="312">
        <v>17.0</v>
      </c>
      <c r="M31" s="74">
        <v>17.0</v>
      </c>
      <c r="N31" s="312">
        <v>1.35</v>
      </c>
    </row>
    <row r="32">
      <c r="A32" s="146"/>
      <c r="B32" s="146"/>
      <c r="C32" s="74">
        <v>590.0</v>
      </c>
      <c r="D32" s="74" t="s">
        <v>675</v>
      </c>
      <c r="E32" s="74" t="s">
        <v>33</v>
      </c>
      <c r="F32" s="311">
        <v>45558.0</v>
      </c>
      <c r="G32" s="311">
        <v>45662.0</v>
      </c>
      <c r="H32" s="311">
        <v>45676.0</v>
      </c>
      <c r="I32" s="311">
        <v>45823.0</v>
      </c>
      <c r="J32" s="313">
        <v>59.99</v>
      </c>
      <c r="K32" s="313">
        <v>29.99</v>
      </c>
      <c r="L32" s="312">
        <v>30.0</v>
      </c>
      <c r="M32" s="74">
        <v>4.0</v>
      </c>
      <c r="N32" s="312">
        <v>7.5</v>
      </c>
    </row>
    <row r="33">
      <c r="A33" s="314"/>
      <c r="B33" s="314"/>
      <c r="C33" s="315"/>
      <c r="D33" s="315"/>
      <c r="E33" s="316"/>
      <c r="F33" s="316"/>
      <c r="G33" s="316"/>
      <c r="H33" s="316"/>
      <c r="I33" s="316"/>
      <c r="J33" s="317">
        <f t="shared" ref="J33:M33" si="3">SUM(J30:J32)</f>
        <v>129.97</v>
      </c>
      <c r="K33" s="317">
        <f t="shared" si="3"/>
        <v>70.97</v>
      </c>
      <c r="L33" s="317">
        <f t="shared" si="3"/>
        <v>59</v>
      </c>
      <c r="M33" s="314">
        <f t="shared" si="3"/>
        <v>36</v>
      </c>
      <c r="N33" s="317">
        <f>K33/M33</f>
        <v>1.971388889</v>
      </c>
    </row>
    <row r="34">
      <c r="A34" s="318"/>
      <c r="B34" s="318"/>
      <c r="C34" s="319"/>
      <c r="D34" s="320"/>
      <c r="E34" s="318"/>
      <c r="F34" s="318"/>
      <c r="G34" s="318"/>
      <c r="H34" s="318"/>
      <c r="I34" s="318"/>
      <c r="J34" s="321"/>
      <c r="K34" s="321"/>
      <c r="L34" s="321"/>
      <c r="M34" s="320"/>
      <c r="N34" s="321"/>
    </row>
    <row r="35">
      <c r="A35" s="322" t="s">
        <v>83</v>
      </c>
      <c r="B35" s="322" t="s">
        <v>82</v>
      </c>
      <c r="C35" s="322">
        <v>646.0</v>
      </c>
      <c r="D35" s="322" t="s">
        <v>677</v>
      </c>
      <c r="E35" s="322" t="s">
        <v>33</v>
      </c>
      <c r="F35" s="323">
        <v>44672.0</v>
      </c>
      <c r="G35" s="323">
        <v>45048.0</v>
      </c>
      <c r="H35" s="323">
        <v>45048.0</v>
      </c>
      <c r="I35" s="323">
        <v>45048.0</v>
      </c>
      <c r="J35" s="324">
        <v>19.99</v>
      </c>
      <c r="K35" s="324">
        <v>7.99</v>
      </c>
      <c r="L35" s="324">
        <v>12.0</v>
      </c>
      <c r="M35" s="322">
        <v>1.0</v>
      </c>
      <c r="N35" s="324">
        <v>7.99</v>
      </c>
    </row>
    <row r="36">
      <c r="A36" s="322" t="s">
        <v>83</v>
      </c>
      <c r="B36" s="322" t="s">
        <v>84</v>
      </c>
      <c r="C36" s="322">
        <v>932.0</v>
      </c>
      <c r="D36" s="322" t="s">
        <v>676</v>
      </c>
      <c r="E36" s="322" t="s">
        <v>33</v>
      </c>
      <c r="F36" s="323">
        <v>42816.0</v>
      </c>
      <c r="G36" s="323">
        <v>43275.0</v>
      </c>
      <c r="H36" s="323">
        <v>43275.0</v>
      </c>
      <c r="I36" s="323">
        <v>43275.0</v>
      </c>
      <c r="J36" s="324">
        <v>19.99</v>
      </c>
      <c r="K36" s="324">
        <v>2.99</v>
      </c>
      <c r="L36" s="324">
        <v>17.0</v>
      </c>
      <c r="M36" s="322">
        <v>1.0</v>
      </c>
      <c r="N36" s="324">
        <v>2.99</v>
      </c>
    </row>
    <row r="37">
      <c r="A37" s="325"/>
      <c r="B37" s="325"/>
      <c r="C37" s="326"/>
      <c r="D37" s="327"/>
      <c r="E37" s="327"/>
      <c r="F37" s="327"/>
      <c r="G37" s="327"/>
      <c r="H37" s="327"/>
      <c r="I37" s="327"/>
      <c r="J37" s="328"/>
      <c r="K37" s="328"/>
      <c r="L37" s="328"/>
      <c r="M37" s="327"/>
      <c r="N37" s="328"/>
    </row>
    <row r="38">
      <c r="A38" s="329" t="s">
        <v>86</v>
      </c>
      <c r="B38" s="329" t="s">
        <v>85</v>
      </c>
      <c r="C38" s="329">
        <v>1031.0</v>
      </c>
      <c r="D38" s="329" t="s">
        <v>678</v>
      </c>
      <c r="E38" s="329" t="s">
        <v>666</v>
      </c>
      <c r="F38" s="330">
        <v>43020.0</v>
      </c>
      <c r="G38" s="330">
        <v>43468.0</v>
      </c>
      <c r="H38" s="330">
        <v>43468.0</v>
      </c>
      <c r="I38" s="330">
        <v>43468.0</v>
      </c>
      <c r="J38" s="331">
        <v>14.49</v>
      </c>
      <c r="K38" s="331">
        <v>11.59</v>
      </c>
      <c r="L38" s="331">
        <v>2.9</v>
      </c>
      <c r="M38" s="329">
        <v>1.0</v>
      </c>
      <c r="N38" s="331">
        <v>11.59</v>
      </c>
    </row>
    <row r="39">
      <c r="A39" s="332"/>
      <c r="B39" s="332"/>
      <c r="C39" s="333"/>
      <c r="D39" s="334"/>
      <c r="E39" s="334"/>
      <c r="F39" s="334"/>
      <c r="G39" s="334"/>
      <c r="H39" s="334"/>
      <c r="I39" s="334"/>
      <c r="J39" s="335"/>
      <c r="K39" s="335"/>
      <c r="L39" s="335"/>
      <c r="M39" s="334"/>
      <c r="N39" s="335"/>
    </row>
    <row r="40">
      <c r="A40" s="336" t="s">
        <v>88</v>
      </c>
      <c r="B40" s="336" t="s">
        <v>87</v>
      </c>
      <c r="C40" s="336">
        <v>985.0</v>
      </c>
      <c r="D40" s="336" t="s">
        <v>679</v>
      </c>
      <c r="E40" s="336" t="s">
        <v>666</v>
      </c>
      <c r="F40" s="337">
        <v>43901.0</v>
      </c>
      <c r="G40" s="337">
        <v>43903.0</v>
      </c>
      <c r="H40" s="337">
        <v>44019.0</v>
      </c>
      <c r="I40" s="337">
        <v>44020.0</v>
      </c>
      <c r="J40" s="338">
        <v>5.99</v>
      </c>
      <c r="K40" s="338">
        <v>5.99</v>
      </c>
      <c r="L40" s="338">
        <v>0.0</v>
      </c>
      <c r="M40" s="336">
        <v>3.0</v>
      </c>
      <c r="N40" s="338">
        <v>2.0</v>
      </c>
    </row>
    <row r="41">
      <c r="A41" s="307"/>
      <c r="B41" s="307"/>
      <c r="C41" s="307"/>
      <c r="D41" s="307"/>
      <c r="E41" s="309"/>
      <c r="F41" s="309"/>
      <c r="G41" s="309"/>
      <c r="H41" s="309"/>
      <c r="I41" s="309"/>
      <c r="J41" s="310"/>
      <c r="K41" s="310"/>
      <c r="L41" s="310"/>
      <c r="M41" s="309"/>
      <c r="N41" s="310"/>
    </row>
    <row r="42">
      <c r="A42" s="322" t="s">
        <v>90</v>
      </c>
      <c r="B42" s="322" t="s">
        <v>89</v>
      </c>
      <c r="C42" s="322">
        <v>944.0</v>
      </c>
      <c r="D42" s="322" t="s">
        <v>680</v>
      </c>
      <c r="E42" s="322" t="s">
        <v>33</v>
      </c>
      <c r="F42" s="323">
        <v>42118.0</v>
      </c>
      <c r="G42" s="323">
        <v>42969.0</v>
      </c>
      <c r="H42" s="323">
        <v>45798.0</v>
      </c>
      <c r="I42" s="323">
        <v>45803.0</v>
      </c>
      <c r="J42" s="324">
        <v>24.99</v>
      </c>
      <c r="K42" s="324">
        <v>9.99</v>
      </c>
      <c r="L42" s="324">
        <v>15.0</v>
      </c>
      <c r="M42" s="322">
        <v>28.0</v>
      </c>
      <c r="N42" s="324">
        <v>0.36</v>
      </c>
    </row>
    <row r="43">
      <c r="A43" s="318"/>
      <c r="B43" s="318"/>
      <c r="C43" s="319"/>
      <c r="D43" s="320"/>
      <c r="E43" s="320"/>
      <c r="F43" s="320"/>
      <c r="G43" s="320"/>
      <c r="H43" s="320"/>
      <c r="I43" s="320"/>
      <c r="J43" s="321"/>
      <c r="K43" s="321"/>
      <c r="L43" s="321"/>
      <c r="M43" s="320"/>
      <c r="N43" s="321"/>
    </row>
    <row r="44">
      <c r="A44" s="146" t="s">
        <v>92</v>
      </c>
      <c r="B44" s="74" t="s">
        <v>91</v>
      </c>
      <c r="C44" s="74">
        <v>718.0</v>
      </c>
      <c r="D44" s="74" t="s">
        <v>732</v>
      </c>
      <c r="E44" s="74" t="s">
        <v>33</v>
      </c>
      <c r="F44" s="311">
        <v>42409.0</v>
      </c>
      <c r="G44" s="311">
        <v>42875.0</v>
      </c>
      <c r="H44" s="311">
        <v>42882.0</v>
      </c>
      <c r="I44" s="311">
        <v>44085.0</v>
      </c>
      <c r="J44" s="312">
        <v>14.99</v>
      </c>
      <c r="K44" s="312">
        <v>4.99</v>
      </c>
      <c r="L44" s="312">
        <v>10.0</v>
      </c>
      <c r="M44" s="74">
        <v>16.0</v>
      </c>
      <c r="N44" s="312">
        <v>0.31</v>
      </c>
    </row>
    <row r="45">
      <c r="A45" s="146" t="s">
        <v>92</v>
      </c>
      <c r="B45" s="74" t="s">
        <v>93</v>
      </c>
      <c r="C45" s="74">
        <v>384.0</v>
      </c>
      <c r="D45" s="74" t="s">
        <v>706</v>
      </c>
      <c r="E45" s="74" t="s">
        <v>649</v>
      </c>
      <c r="F45" s="311">
        <v>41089.0</v>
      </c>
      <c r="G45" s="311">
        <v>44115.0</v>
      </c>
      <c r="H45" s="311">
        <v>45090.0</v>
      </c>
      <c r="I45" s="311">
        <v>45096.0</v>
      </c>
      <c r="J45" s="312">
        <v>49.99</v>
      </c>
      <c r="K45" s="312">
        <v>15.0</v>
      </c>
      <c r="L45" s="312">
        <v>34.99</v>
      </c>
      <c r="M45" s="74">
        <v>40.0</v>
      </c>
      <c r="N45" s="312">
        <v>0.38</v>
      </c>
    </row>
    <row r="46">
      <c r="A46" s="74"/>
      <c r="B46" s="74"/>
      <c r="C46" s="74">
        <v>560.0</v>
      </c>
      <c r="D46" s="313" t="s">
        <v>742</v>
      </c>
      <c r="E46" s="313" t="s">
        <v>33</v>
      </c>
      <c r="F46" s="311">
        <v>43637.0</v>
      </c>
      <c r="G46" s="311">
        <v>43441.0</v>
      </c>
      <c r="H46" s="311">
        <v>43637.0</v>
      </c>
      <c r="I46" s="311">
        <v>44129.0</v>
      </c>
      <c r="J46" s="312">
        <v>59.99</v>
      </c>
      <c r="K46" s="312">
        <v>59.99</v>
      </c>
      <c r="L46" s="312">
        <v>0.0</v>
      </c>
      <c r="M46" s="74">
        <v>168.0</v>
      </c>
      <c r="N46" s="312">
        <v>0.36</v>
      </c>
    </row>
    <row r="47">
      <c r="A47" s="314"/>
      <c r="B47" s="314"/>
      <c r="C47" s="315"/>
      <c r="D47" s="315"/>
      <c r="E47" s="316"/>
      <c r="F47" s="316"/>
      <c r="G47" s="316"/>
      <c r="H47" s="316"/>
      <c r="I47" s="316"/>
      <c r="J47" s="317">
        <f t="shared" ref="J47:M47" si="4">SUM(J45:J46)</f>
        <v>109.98</v>
      </c>
      <c r="K47" s="317">
        <f t="shared" si="4"/>
        <v>74.99</v>
      </c>
      <c r="L47" s="317">
        <f t="shared" si="4"/>
        <v>34.99</v>
      </c>
      <c r="M47" s="314">
        <f t="shared" si="4"/>
        <v>208</v>
      </c>
      <c r="N47" s="317">
        <f>K47/M47</f>
        <v>0.3605288462</v>
      </c>
    </row>
    <row r="48">
      <c r="A48" s="74" t="s">
        <v>92</v>
      </c>
      <c r="B48" s="74" t="s">
        <v>94</v>
      </c>
      <c r="C48" s="74">
        <v>35.0</v>
      </c>
      <c r="D48" s="74" t="s">
        <v>681</v>
      </c>
      <c r="E48" s="74" t="s">
        <v>682</v>
      </c>
      <c r="F48" s="311">
        <v>37288.0</v>
      </c>
      <c r="G48" s="311">
        <v>42877.0</v>
      </c>
      <c r="H48" s="311">
        <v>42877.0</v>
      </c>
      <c r="I48" s="311">
        <v>42877.0</v>
      </c>
      <c r="J48" s="312">
        <v>1.49</v>
      </c>
      <c r="K48" s="312">
        <v>1.49</v>
      </c>
      <c r="L48" s="312">
        <v>0.0</v>
      </c>
      <c r="M48" s="74">
        <v>20.0</v>
      </c>
      <c r="N48" s="312">
        <v>0.07</v>
      </c>
    </row>
    <row r="49">
      <c r="A49" s="146"/>
      <c r="B49" s="74"/>
      <c r="C49" s="74">
        <v>310.0</v>
      </c>
      <c r="D49" s="74" t="s">
        <v>694</v>
      </c>
      <c r="E49" s="74" t="s">
        <v>649</v>
      </c>
      <c r="F49" s="311">
        <v>40354.0</v>
      </c>
      <c r="G49" s="311">
        <v>44115.0</v>
      </c>
      <c r="H49" s="311">
        <v>44178.0</v>
      </c>
      <c r="I49" s="311">
        <v>44178.0</v>
      </c>
      <c r="J49" s="312">
        <v>14.99</v>
      </c>
      <c r="K49" s="312">
        <v>5.0</v>
      </c>
      <c r="L49" s="312">
        <v>9.99</v>
      </c>
      <c r="M49" s="74">
        <v>5.0</v>
      </c>
      <c r="N49" s="312">
        <v>1.0</v>
      </c>
    </row>
    <row r="50">
      <c r="A50" s="74"/>
      <c r="B50" s="74"/>
      <c r="C50" s="74">
        <v>729.0</v>
      </c>
      <c r="D50" s="74" t="s">
        <v>760</v>
      </c>
      <c r="E50" s="74" t="s">
        <v>33</v>
      </c>
      <c r="F50" s="311">
        <v>45020.0</v>
      </c>
      <c r="G50" s="311">
        <v>45020.0</v>
      </c>
      <c r="H50" s="311">
        <v>45020.0</v>
      </c>
      <c r="I50" s="311">
        <v>45020.0</v>
      </c>
      <c r="J50" s="312">
        <v>0.0</v>
      </c>
      <c r="K50" s="312">
        <v>0.0</v>
      </c>
      <c r="L50" s="312">
        <v>0.0</v>
      </c>
      <c r="M50" s="74">
        <v>1.0</v>
      </c>
      <c r="N50" s="312">
        <v>0.0</v>
      </c>
    </row>
    <row r="51">
      <c r="A51" s="314"/>
      <c r="B51" s="314"/>
      <c r="C51" s="315"/>
      <c r="D51" s="315"/>
      <c r="E51" s="316"/>
      <c r="F51" s="316"/>
      <c r="G51" s="316"/>
      <c r="H51" s="316"/>
      <c r="I51" s="316"/>
      <c r="J51" s="317">
        <f t="shared" ref="J51:M51" si="5">SUM(J48:J50)</f>
        <v>16.48</v>
      </c>
      <c r="K51" s="317">
        <f t="shared" si="5"/>
        <v>6.49</v>
      </c>
      <c r="L51" s="317">
        <f t="shared" si="5"/>
        <v>9.99</v>
      </c>
      <c r="M51" s="314">
        <f t="shared" si="5"/>
        <v>26</v>
      </c>
      <c r="N51" s="317">
        <f>K51/M51</f>
        <v>0.2496153846</v>
      </c>
    </row>
    <row r="52">
      <c r="A52" s="74" t="s">
        <v>92</v>
      </c>
      <c r="B52" s="74" t="s">
        <v>95</v>
      </c>
      <c r="C52" s="74">
        <v>448.0</v>
      </c>
      <c r="D52" s="74" t="s">
        <v>725</v>
      </c>
      <c r="E52" s="74" t="s">
        <v>671</v>
      </c>
      <c r="F52" s="311">
        <v>41061.0</v>
      </c>
      <c r="G52" s="311">
        <v>42666.0</v>
      </c>
      <c r="H52" s="311">
        <v>42666.0</v>
      </c>
      <c r="I52" s="311">
        <v>42666.0</v>
      </c>
      <c r="J52" s="312">
        <v>4.99</v>
      </c>
      <c r="K52" s="312">
        <v>1.99</v>
      </c>
      <c r="L52" s="312">
        <v>3.0</v>
      </c>
      <c r="M52" s="74">
        <v>1.0</v>
      </c>
      <c r="N52" s="312">
        <v>1.99</v>
      </c>
    </row>
    <row r="53">
      <c r="A53" s="146" t="s">
        <v>92</v>
      </c>
      <c r="B53" s="74" t="s">
        <v>96</v>
      </c>
      <c r="C53" s="74">
        <v>295.0</v>
      </c>
      <c r="D53" s="74" t="s">
        <v>697</v>
      </c>
      <c r="E53" s="74" t="s">
        <v>649</v>
      </c>
      <c r="F53" s="311">
        <v>40564.0</v>
      </c>
      <c r="G53" s="311">
        <v>44521.0</v>
      </c>
      <c r="H53" s="311">
        <v>45944.0</v>
      </c>
      <c r="I53" s="311">
        <v>45954.0</v>
      </c>
      <c r="J53" s="312">
        <v>23.0</v>
      </c>
      <c r="K53" s="312">
        <v>14.93</v>
      </c>
      <c r="L53" s="312">
        <v>8.07</v>
      </c>
      <c r="M53" s="74">
        <v>30.0</v>
      </c>
      <c r="N53" s="312">
        <v>0.5</v>
      </c>
    </row>
    <row r="54">
      <c r="A54" s="146" t="s">
        <v>92</v>
      </c>
      <c r="B54" s="146"/>
      <c r="C54" s="146">
        <v>296.0</v>
      </c>
      <c r="D54" s="146" t="s">
        <v>703</v>
      </c>
      <c r="E54" s="146" t="s">
        <v>649</v>
      </c>
      <c r="F54" s="147">
        <v>40977.0</v>
      </c>
      <c r="G54" s="147">
        <v>41374.0</v>
      </c>
      <c r="H54" s="147">
        <v>41374.0</v>
      </c>
      <c r="I54" s="147">
        <v>46017.0</v>
      </c>
      <c r="J54" s="339">
        <v>22.99</v>
      </c>
      <c r="K54" s="339">
        <v>14.93</v>
      </c>
      <c r="L54" s="339">
        <v>8.059999999999999</v>
      </c>
      <c r="M54" s="146">
        <v>15.0</v>
      </c>
      <c r="N54" s="339">
        <v>0.9953333333333333</v>
      </c>
    </row>
    <row r="55">
      <c r="A55" s="146"/>
      <c r="B55" s="74"/>
      <c r="C55" s="74">
        <v>294.0</v>
      </c>
      <c r="D55" s="74" t="s">
        <v>711</v>
      </c>
      <c r="E55" s="74" t="s">
        <v>649</v>
      </c>
      <c r="F55" s="311">
        <v>41250.0</v>
      </c>
      <c r="G55" s="311">
        <v>44521.0</v>
      </c>
      <c r="H55" s="311">
        <v>44718.0</v>
      </c>
      <c r="I55" s="311">
        <v>45943.0</v>
      </c>
      <c r="J55" s="312">
        <v>24.0</v>
      </c>
      <c r="K55" s="312">
        <v>14.93</v>
      </c>
      <c r="L55" s="312">
        <v>9.07</v>
      </c>
      <c r="M55" s="74">
        <v>43.0</v>
      </c>
      <c r="N55" s="312">
        <v>0.35</v>
      </c>
    </row>
    <row r="56">
      <c r="A56" s="314"/>
      <c r="B56" s="314"/>
      <c r="C56" s="315"/>
      <c r="D56" s="315"/>
      <c r="E56" s="316"/>
      <c r="F56" s="316"/>
      <c r="G56" s="316"/>
      <c r="H56" s="316"/>
      <c r="I56" s="316"/>
      <c r="J56" s="317">
        <f t="shared" ref="J56:M56" si="6">SUM(J53:J55)</f>
        <v>69.99</v>
      </c>
      <c r="K56" s="317">
        <f t="shared" si="6"/>
        <v>44.79</v>
      </c>
      <c r="L56" s="317">
        <f t="shared" si="6"/>
        <v>25.2</v>
      </c>
      <c r="M56" s="314">
        <f t="shared" si="6"/>
        <v>88</v>
      </c>
      <c r="N56" s="317">
        <f>K56/M56</f>
        <v>0.5089772727</v>
      </c>
    </row>
    <row r="57">
      <c r="A57" s="146" t="s">
        <v>92</v>
      </c>
      <c r="B57" s="74" t="s">
        <v>97</v>
      </c>
      <c r="C57" s="74">
        <v>361.0</v>
      </c>
      <c r="D57" s="74" t="s">
        <v>719</v>
      </c>
      <c r="E57" s="74" t="s">
        <v>649</v>
      </c>
      <c r="F57" s="311">
        <v>41906.0</v>
      </c>
      <c r="G57" s="311">
        <v>44139.0</v>
      </c>
      <c r="H57" s="311">
        <v>44139.0</v>
      </c>
      <c r="I57" s="311">
        <v>44139.0</v>
      </c>
      <c r="J57" s="312">
        <v>9.99</v>
      </c>
      <c r="K57" s="312">
        <v>1.49</v>
      </c>
      <c r="L57" s="312">
        <v>8.5</v>
      </c>
      <c r="M57" s="74">
        <v>1.0</v>
      </c>
      <c r="N57" s="312">
        <v>1.49</v>
      </c>
    </row>
    <row r="58">
      <c r="A58" s="74" t="s">
        <v>92</v>
      </c>
      <c r="B58" s="74" t="s">
        <v>98</v>
      </c>
      <c r="C58" s="74">
        <v>519.0</v>
      </c>
      <c r="D58" s="74" t="s">
        <v>751</v>
      </c>
      <c r="E58" s="74" t="s">
        <v>33</v>
      </c>
      <c r="F58" s="311">
        <v>44467.0</v>
      </c>
      <c r="G58" s="311">
        <v>44467.0</v>
      </c>
      <c r="H58" s="311">
        <v>44468.0</v>
      </c>
      <c r="I58" s="311">
        <v>44468.0</v>
      </c>
      <c r="J58" s="312">
        <v>29.99</v>
      </c>
      <c r="K58" s="312">
        <v>0.0</v>
      </c>
      <c r="L58" s="312">
        <v>29.99</v>
      </c>
      <c r="M58" s="74">
        <v>2.0</v>
      </c>
      <c r="N58" s="312">
        <v>0.0</v>
      </c>
    </row>
    <row r="59">
      <c r="A59" s="146" t="s">
        <v>92</v>
      </c>
      <c r="B59" s="74" t="s">
        <v>99</v>
      </c>
      <c r="C59" s="74">
        <v>220.0</v>
      </c>
      <c r="D59" s="74" t="s">
        <v>696</v>
      </c>
      <c r="E59" s="74" t="s">
        <v>649</v>
      </c>
      <c r="F59" s="311">
        <v>40445.0</v>
      </c>
      <c r="G59" s="311">
        <v>41856.0</v>
      </c>
      <c r="H59" s="311">
        <v>41856.0</v>
      </c>
      <c r="I59" s="311">
        <v>44811.0</v>
      </c>
      <c r="J59" s="312">
        <v>14.99</v>
      </c>
      <c r="K59" s="312">
        <v>3.5</v>
      </c>
      <c r="L59" s="312">
        <v>11.49</v>
      </c>
      <c r="M59" s="74">
        <v>5.0</v>
      </c>
      <c r="N59" s="312">
        <v>0.7</v>
      </c>
    </row>
    <row r="60">
      <c r="A60" s="74" t="s">
        <v>92</v>
      </c>
      <c r="B60" s="74" t="s">
        <v>100</v>
      </c>
      <c r="C60" s="74">
        <v>652.0</v>
      </c>
      <c r="D60" s="74" t="s">
        <v>761</v>
      </c>
      <c r="E60" s="74" t="s">
        <v>33</v>
      </c>
      <c r="F60" s="311">
        <v>45049.0</v>
      </c>
      <c r="G60" s="311">
        <v>45177.0</v>
      </c>
      <c r="H60" s="311">
        <v>45773.0</v>
      </c>
      <c r="I60" s="311">
        <v>45783.0</v>
      </c>
      <c r="J60" s="312">
        <v>19.99</v>
      </c>
      <c r="K60" s="312">
        <v>0.0</v>
      </c>
      <c r="L60" s="312">
        <v>19.99</v>
      </c>
      <c r="M60" s="74">
        <v>54.0</v>
      </c>
      <c r="N60" s="312">
        <v>0.0</v>
      </c>
    </row>
    <row r="61">
      <c r="A61" s="74" t="s">
        <v>92</v>
      </c>
      <c r="B61" s="74" t="s">
        <v>101</v>
      </c>
      <c r="C61" s="74">
        <v>348.0</v>
      </c>
      <c r="D61" s="74" t="s">
        <v>718</v>
      </c>
      <c r="E61" s="74" t="s">
        <v>649</v>
      </c>
      <c r="F61" s="311">
        <v>41850.0</v>
      </c>
      <c r="G61" s="311">
        <v>42750.0</v>
      </c>
      <c r="H61" s="311">
        <v>42822.0</v>
      </c>
      <c r="I61" s="311">
        <v>45422.0</v>
      </c>
      <c r="J61" s="312">
        <v>12.99</v>
      </c>
      <c r="K61" s="312">
        <v>4.99</v>
      </c>
      <c r="L61" s="312">
        <v>8.0</v>
      </c>
      <c r="M61" s="74">
        <v>15.0</v>
      </c>
      <c r="N61" s="312">
        <v>0.33</v>
      </c>
    </row>
    <row r="62">
      <c r="A62" s="146" t="s">
        <v>92</v>
      </c>
      <c r="B62" s="74" t="s">
        <v>102</v>
      </c>
      <c r="C62" s="74">
        <v>388.0</v>
      </c>
      <c r="D62" s="74" t="s">
        <v>702</v>
      </c>
      <c r="E62" s="74" t="s">
        <v>649</v>
      </c>
      <c r="F62" s="311">
        <v>40949.0</v>
      </c>
      <c r="G62" s="311">
        <v>44091.0</v>
      </c>
      <c r="H62" s="311">
        <v>45117.0</v>
      </c>
      <c r="I62" s="311">
        <v>45119.0</v>
      </c>
      <c r="J62" s="312">
        <v>29.99</v>
      </c>
      <c r="K62" s="312">
        <v>2.5</v>
      </c>
      <c r="L62" s="312">
        <v>27.49</v>
      </c>
      <c r="M62" s="74">
        <v>25.0</v>
      </c>
      <c r="N62" s="312">
        <v>0.1</v>
      </c>
    </row>
    <row r="63">
      <c r="A63" s="74"/>
      <c r="B63" s="74"/>
      <c r="C63" s="74">
        <v>959.0</v>
      </c>
      <c r="D63" s="74" t="s">
        <v>728</v>
      </c>
      <c r="E63" s="74" t="s">
        <v>33</v>
      </c>
      <c r="F63" s="311">
        <v>41607.0</v>
      </c>
      <c r="G63" s="311">
        <v>44334.0</v>
      </c>
      <c r="H63" s="311">
        <v>44334.0</v>
      </c>
      <c r="I63" s="311">
        <v>44334.0</v>
      </c>
      <c r="J63" s="312">
        <v>0.0</v>
      </c>
      <c r="K63" s="312">
        <v>0.0</v>
      </c>
      <c r="L63" s="312">
        <v>0.0</v>
      </c>
      <c r="M63" s="74">
        <v>1.0</v>
      </c>
      <c r="N63" s="312">
        <v>0.0</v>
      </c>
    </row>
    <row r="64">
      <c r="A64" s="314"/>
      <c r="B64" s="314"/>
      <c r="C64" s="315"/>
      <c r="D64" s="315"/>
      <c r="E64" s="316"/>
      <c r="F64" s="316"/>
      <c r="G64" s="316"/>
      <c r="H64" s="316"/>
      <c r="I64" s="316"/>
      <c r="J64" s="317">
        <f t="shared" ref="J64:M64" si="7">SUM(J62:J63)</f>
        <v>29.99</v>
      </c>
      <c r="K64" s="317">
        <f t="shared" si="7"/>
        <v>2.5</v>
      </c>
      <c r="L64" s="317">
        <f t="shared" si="7"/>
        <v>27.49</v>
      </c>
      <c r="M64" s="314">
        <f t="shared" si="7"/>
        <v>26</v>
      </c>
      <c r="N64" s="317">
        <f>K64/M64</f>
        <v>0.09615384615</v>
      </c>
    </row>
    <row r="65">
      <c r="A65" s="74" t="s">
        <v>92</v>
      </c>
      <c r="B65" s="74" t="s">
        <v>103</v>
      </c>
      <c r="C65" s="74">
        <v>443.0</v>
      </c>
      <c r="D65" s="74" t="s">
        <v>726</v>
      </c>
      <c r="E65" s="74" t="s">
        <v>671</v>
      </c>
      <c r="F65" s="311">
        <v>41955.0</v>
      </c>
      <c r="G65" s="311">
        <v>42045.0</v>
      </c>
      <c r="H65" s="311">
        <v>45044.0</v>
      </c>
      <c r="I65" s="311">
        <v>45048.0</v>
      </c>
      <c r="J65" s="312">
        <v>0.0</v>
      </c>
      <c r="K65" s="312">
        <v>0.0</v>
      </c>
      <c r="L65" s="312">
        <v>0.0</v>
      </c>
      <c r="M65" s="74">
        <v>10.0</v>
      </c>
      <c r="N65" s="312">
        <v>0.0</v>
      </c>
    </row>
    <row r="66">
      <c r="A66" s="74" t="s">
        <v>92</v>
      </c>
      <c r="B66" s="74" t="s">
        <v>104</v>
      </c>
      <c r="C66" s="74">
        <v>773.0</v>
      </c>
      <c r="D66" s="74" t="s">
        <v>755</v>
      </c>
      <c r="E66" s="74" t="s">
        <v>33</v>
      </c>
      <c r="F66" s="311">
        <v>44665.0</v>
      </c>
      <c r="G66" s="311">
        <v>45304.0</v>
      </c>
      <c r="H66" s="311">
        <v>45487.0</v>
      </c>
      <c r="I66" s="311">
        <v>45499.0</v>
      </c>
      <c r="J66" s="312">
        <v>24.99</v>
      </c>
      <c r="K66" s="312">
        <v>0.0</v>
      </c>
      <c r="L66" s="312">
        <v>24.99</v>
      </c>
      <c r="M66" s="74">
        <v>37.0</v>
      </c>
      <c r="N66" s="312">
        <v>0.0</v>
      </c>
    </row>
    <row r="67">
      <c r="A67" s="74" t="s">
        <v>92</v>
      </c>
      <c r="B67" s="74" t="s">
        <v>105</v>
      </c>
      <c r="C67" s="74">
        <v>529.0</v>
      </c>
      <c r="D67" s="74" t="s">
        <v>764</v>
      </c>
      <c r="E67" s="74" t="s">
        <v>33</v>
      </c>
      <c r="F67" s="311">
        <v>45349.0</v>
      </c>
      <c r="G67" s="311">
        <v>45482.0</v>
      </c>
      <c r="H67" s="311">
        <v>45484.0</v>
      </c>
      <c r="I67" s="311">
        <v>45484.0</v>
      </c>
      <c r="J67" s="312">
        <v>14.99</v>
      </c>
      <c r="K67" s="312">
        <v>9.89</v>
      </c>
      <c r="L67" s="312">
        <v>5.1</v>
      </c>
      <c r="M67" s="74">
        <v>2.0</v>
      </c>
      <c r="N67" s="312">
        <v>4.95</v>
      </c>
    </row>
    <row r="68">
      <c r="A68" s="146" t="s">
        <v>92</v>
      </c>
      <c r="B68" s="74" t="s">
        <v>106</v>
      </c>
      <c r="C68" s="74">
        <v>359.0</v>
      </c>
      <c r="D68" s="74" t="s">
        <v>691</v>
      </c>
      <c r="E68" s="74" t="s">
        <v>649</v>
      </c>
      <c r="F68" s="311">
        <v>39836.0</v>
      </c>
      <c r="G68" s="311">
        <v>40338.0</v>
      </c>
      <c r="H68" s="311">
        <v>40338.0</v>
      </c>
      <c r="I68" s="311">
        <v>40338.0</v>
      </c>
      <c r="J68" s="312">
        <v>19.99</v>
      </c>
      <c r="K68" s="312">
        <v>12.0</v>
      </c>
      <c r="L68" s="312">
        <v>7.99</v>
      </c>
      <c r="M68" s="74">
        <v>10.0</v>
      </c>
      <c r="N68" s="312">
        <v>1.2</v>
      </c>
    </row>
    <row r="69">
      <c r="A69" s="146"/>
      <c r="B69" s="74"/>
      <c r="C69" s="74">
        <v>313.0</v>
      </c>
      <c r="D69" s="74" t="s">
        <v>701</v>
      </c>
      <c r="E69" s="74" t="s">
        <v>649</v>
      </c>
      <c r="F69" s="311">
        <v>40865.0</v>
      </c>
      <c r="G69" s="311">
        <v>40885.0</v>
      </c>
      <c r="H69" s="311">
        <v>40885.0</v>
      </c>
      <c r="I69" s="311">
        <v>44750.0</v>
      </c>
      <c r="J69" s="312">
        <v>19.99</v>
      </c>
      <c r="K69" s="312">
        <v>4.0</v>
      </c>
      <c r="L69" s="312">
        <v>15.99</v>
      </c>
      <c r="M69" s="74">
        <v>15.0</v>
      </c>
      <c r="N69" s="312">
        <v>0.27</v>
      </c>
    </row>
    <row r="70">
      <c r="A70" s="314"/>
      <c r="B70" s="314"/>
      <c r="C70" s="315"/>
      <c r="D70" s="315"/>
      <c r="E70" s="316"/>
      <c r="F70" s="316"/>
      <c r="G70" s="316"/>
      <c r="H70" s="316"/>
      <c r="I70" s="316"/>
      <c r="J70" s="317">
        <f t="shared" ref="J70:M70" si="8">SUM(J68:J69)</f>
        <v>39.98</v>
      </c>
      <c r="K70" s="317">
        <f t="shared" si="8"/>
        <v>16</v>
      </c>
      <c r="L70" s="317">
        <f t="shared" si="8"/>
        <v>23.98</v>
      </c>
      <c r="M70" s="314">
        <f t="shared" si="8"/>
        <v>25</v>
      </c>
      <c r="N70" s="317">
        <f>K70/M70</f>
        <v>0.64</v>
      </c>
    </row>
    <row r="71">
      <c r="A71" s="146" t="s">
        <v>92</v>
      </c>
      <c r="B71" s="74" t="s">
        <v>107</v>
      </c>
      <c r="C71" s="74">
        <v>186.0</v>
      </c>
      <c r="D71" s="74" t="s">
        <v>689</v>
      </c>
      <c r="E71" s="74" t="s">
        <v>649</v>
      </c>
      <c r="F71" s="311">
        <v>39514.0</v>
      </c>
      <c r="G71" s="311">
        <v>44091.0</v>
      </c>
      <c r="H71" s="311">
        <v>44091.0</v>
      </c>
      <c r="I71" s="311">
        <v>44091.0</v>
      </c>
      <c r="J71" s="312">
        <v>14.99</v>
      </c>
      <c r="K71" s="312">
        <v>2.0</v>
      </c>
      <c r="L71" s="312">
        <v>12.99</v>
      </c>
      <c r="M71" s="74">
        <v>2.0</v>
      </c>
      <c r="N71" s="312">
        <v>1.0</v>
      </c>
    </row>
    <row r="72">
      <c r="A72" s="146" t="s">
        <v>92</v>
      </c>
      <c r="B72" s="74" t="s">
        <v>108</v>
      </c>
      <c r="C72" s="74">
        <v>246.0</v>
      </c>
      <c r="D72" s="74" t="s">
        <v>698</v>
      </c>
      <c r="E72" s="74" t="s">
        <v>649</v>
      </c>
      <c r="F72" s="311">
        <v>40606.0</v>
      </c>
      <c r="G72" s="311">
        <v>40732.0</v>
      </c>
      <c r="H72" s="311">
        <v>40732.0</v>
      </c>
      <c r="I72" s="311">
        <v>44750.0</v>
      </c>
      <c r="J72" s="312">
        <v>29.99</v>
      </c>
      <c r="K72" s="312">
        <v>15.0</v>
      </c>
      <c r="L72" s="312">
        <v>14.99</v>
      </c>
      <c r="M72" s="74">
        <v>15.0</v>
      </c>
      <c r="N72" s="312">
        <v>1.0</v>
      </c>
    </row>
    <row r="73">
      <c r="A73" s="146"/>
      <c r="B73" s="74"/>
      <c r="C73" s="74">
        <v>241.0</v>
      </c>
      <c r="D73" s="74" t="s">
        <v>704</v>
      </c>
      <c r="E73" s="74" t="s">
        <v>649</v>
      </c>
      <c r="F73" s="311">
        <v>40984.0</v>
      </c>
      <c r="G73" s="311">
        <v>42138.0</v>
      </c>
      <c r="H73" s="311">
        <v>42138.0</v>
      </c>
      <c r="I73" s="311">
        <v>42138.0</v>
      </c>
      <c r="J73" s="312">
        <v>29.99</v>
      </c>
      <c r="K73" s="312">
        <v>4.0</v>
      </c>
      <c r="L73" s="312">
        <v>25.99</v>
      </c>
      <c r="M73" s="74">
        <v>1.0</v>
      </c>
      <c r="N73" s="312">
        <v>4.0</v>
      </c>
    </row>
    <row r="74">
      <c r="A74" s="74"/>
      <c r="B74" s="74"/>
      <c r="C74" s="74">
        <v>242.0</v>
      </c>
      <c r="D74" s="74" t="s">
        <v>721</v>
      </c>
      <c r="E74" s="74" t="s">
        <v>649</v>
      </c>
      <c r="F74" s="311">
        <v>42272.0</v>
      </c>
      <c r="G74" s="311">
        <v>42272.0</v>
      </c>
      <c r="H74" s="311">
        <v>42272.0</v>
      </c>
      <c r="I74" s="311">
        <v>42272.0</v>
      </c>
      <c r="J74" s="312">
        <v>69.99</v>
      </c>
      <c r="K74" s="312">
        <v>69.99</v>
      </c>
      <c r="L74" s="312">
        <v>0.0</v>
      </c>
      <c r="M74" s="74">
        <v>11.0</v>
      </c>
      <c r="N74" s="312">
        <v>6.36</v>
      </c>
    </row>
    <row r="75">
      <c r="A75" s="74"/>
      <c r="B75" s="74"/>
      <c r="C75" s="74">
        <v>243.0</v>
      </c>
      <c r="D75" s="74" t="s">
        <v>722</v>
      </c>
      <c r="E75" s="74" t="s">
        <v>649</v>
      </c>
      <c r="F75" s="311">
        <v>42642.0</v>
      </c>
      <c r="G75" s="311">
        <v>42658.0</v>
      </c>
      <c r="H75" s="311">
        <v>42658.0</v>
      </c>
      <c r="I75" s="311">
        <v>42792.0</v>
      </c>
      <c r="J75" s="312">
        <v>69.99</v>
      </c>
      <c r="K75" s="312">
        <v>69.99</v>
      </c>
      <c r="L75" s="312">
        <v>0.0</v>
      </c>
      <c r="M75" s="74">
        <v>18.0</v>
      </c>
      <c r="N75" s="312">
        <v>3.89</v>
      </c>
    </row>
    <row r="76">
      <c r="A76" s="146"/>
      <c r="B76" s="74"/>
      <c r="C76" s="74">
        <v>244.0</v>
      </c>
      <c r="D76" s="74" t="s">
        <v>723</v>
      </c>
      <c r="E76" s="74" t="s">
        <v>649</v>
      </c>
      <c r="F76" s="311">
        <v>43007.0</v>
      </c>
      <c r="G76" s="311">
        <v>43007.0</v>
      </c>
      <c r="H76" s="311">
        <v>43008.0</v>
      </c>
      <c r="I76" s="311">
        <v>43073.0</v>
      </c>
      <c r="J76" s="312">
        <v>69.99</v>
      </c>
      <c r="K76" s="312">
        <v>69.99</v>
      </c>
      <c r="L76" s="312">
        <v>0.0</v>
      </c>
      <c r="M76" s="74">
        <v>14.0</v>
      </c>
      <c r="N76" s="312">
        <v>5.0</v>
      </c>
    </row>
    <row r="77">
      <c r="A77" s="146"/>
      <c r="B77" s="74"/>
      <c r="C77" s="74">
        <v>245.0</v>
      </c>
      <c r="D77" s="74" t="s">
        <v>724</v>
      </c>
      <c r="E77" s="74" t="s">
        <v>649</v>
      </c>
      <c r="F77" s="311">
        <v>43371.0</v>
      </c>
      <c r="G77" s="311">
        <v>43430.0</v>
      </c>
      <c r="H77" s="311">
        <v>43432.0</v>
      </c>
      <c r="I77" s="311">
        <v>43439.0</v>
      </c>
      <c r="J77" s="312">
        <v>69.99</v>
      </c>
      <c r="K77" s="312">
        <v>39.89</v>
      </c>
      <c r="L77" s="312">
        <v>30.1</v>
      </c>
      <c r="M77" s="74">
        <v>21.0</v>
      </c>
      <c r="N77" s="312">
        <v>1.9</v>
      </c>
    </row>
    <row r="78">
      <c r="A78" s="74"/>
      <c r="B78" s="74"/>
      <c r="C78" s="74">
        <v>625.0</v>
      </c>
      <c r="D78" s="74" t="s">
        <v>743</v>
      </c>
      <c r="E78" s="74" t="s">
        <v>33</v>
      </c>
      <c r="F78" s="311">
        <v>43735.0</v>
      </c>
      <c r="G78" s="311">
        <v>43922.0</v>
      </c>
      <c r="H78" s="311">
        <v>43974.0</v>
      </c>
      <c r="I78" s="311">
        <v>43981.0</v>
      </c>
      <c r="J78" s="312">
        <v>69.99</v>
      </c>
      <c r="K78" s="312">
        <v>27.99</v>
      </c>
      <c r="L78" s="312">
        <v>42.0</v>
      </c>
      <c r="M78" s="74">
        <v>28.0</v>
      </c>
      <c r="N78" s="312">
        <v>1.0</v>
      </c>
    </row>
    <row r="79">
      <c r="A79" s="74"/>
      <c r="B79" s="74"/>
      <c r="C79" s="74">
        <v>603.0</v>
      </c>
      <c r="D79" s="74" t="s">
        <v>745</v>
      </c>
      <c r="E79" s="74" t="s">
        <v>33</v>
      </c>
      <c r="F79" s="311">
        <v>44057.0</v>
      </c>
      <c r="G79" s="311">
        <v>44593.0</v>
      </c>
      <c r="H79" s="311">
        <v>44593.0</v>
      </c>
      <c r="I79" s="311">
        <v>44593.0</v>
      </c>
      <c r="J79" s="312">
        <v>69.99</v>
      </c>
      <c r="K79" s="312">
        <v>0.0</v>
      </c>
      <c r="L79" s="312">
        <v>69.99</v>
      </c>
      <c r="M79" s="74">
        <v>1.0</v>
      </c>
      <c r="N79" s="312">
        <v>0.0</v>
      </c>
    </row>
    <row r="80">
      <c r="A80" s="74"/>
      <c r="B80" s="74"/>
      <c r="C80" s="74">
        <v>626.0</v>
      </c>
      <c r="D80" s="74" t="s">
        <v>747</v>
      </c>
      <c r="E80" s="74" t="s">
        <v>33</v>
      </c>
      <c r="F80" s="311">
        <v>44113.0</v>
      </c>
      <c r="G80" s="311">
        <v>44334.0</v>
      </c>
      <c r="H80" s="311">
        <v>44339.0</v>
      </c>
      <c r="I80" s="311">
        <v>44339.0</v>
      </c>
      <c r="J80" s="312">
        <v>89.99</v>
      </c>
      <c r="K80" s="312">
        <v>24.29</v>
      </c>
      <c r="L80" s="312">
        <v>65.7</v>
      </c>
      <c r="M80" s="74">
        <v>4.0</v>
      </c>
      <c r="N80" s="312">
        <v>6.07</v>
      </c>
    </row>
    <row r="81">
      <c r="A81" s="74"/>
      <c r="B81" s="74"/>
      <c r="C81" s="74">
        <v>627.0</v>
      </c>
      <c r="D81" s="74" t="s">
        <v>752</v>
      </c>
      <c r="E81" s="74" t="s">
        <v>33</v>
      </c>
      <c r="F81" s="311">
        <v>44470.0</v>
      </c>
      <c r="G81" s="311">
        <v>44684.0</v>
      </c>
      <c r="H81" s="311">
        <v>44694.0</v>
      </c>
      <c r="I81" s="311">
        <v>44694.0</v>
      </c>
      <c r="J81" s="312">
        <v>79.99</v>
      </c>
      <c r="K81" s="312">
        <v>0.0</v>
      </c>
      <c r="L81" s="312">
        <v>79.99</v>
      </c>
      <c r="M81" s="74">
        <v>25.0</v>
      </c>
      <c r="N81" s="312">
        <v>0.0</v>
      </c>
    </row>
    <row r="82">
      <c r="A82" s="74"/>
      <c r="B82" s="74"/>
      <c r="C82" s="74">
        <v>628.0</v>
      </c>
      <c r="D82" s="74" t="s">
        <v>758</v>
      </c>
      <c r="E82" s="74" t="s">
        <v>33</v>
      </c>
      <c r="F82" s="311">
        <v>44834.0</v>
      </c>
      <c r="G82" s="311">
        <v>45070.0</v>
      </c>
      <c r="H82" s="311">
        <v>45070.0</v>
      </c>
      <c r="I82" s="311">
        <v>45070.0</v>
      </c>
      <c r="J82" s="312">
        <v>79.99</v>
      </c>
      <c r="K82" s="312">
        <v>31.99</v>
      </c>
      <c r="L82" s="312">
        <v>48.0</v>
      </c>
      <c r="M82" s="74">
        <v>2.0</v>
      </c>
      <c r="N82" s="312">
        <v>16.0</v>
      </c>
    </row>
    <row r="83">
      <c r="A83" s="74"/>
      <c r="B83" s="74"/>
      <c r="C83" s="74">
        <v>602.0</v>
      </c>
      <c r="D83" s="74" t="s">
        <v>762</v>
      </c>
      <c r="E83" s="74" t="s">
        <v>33</v>
      </c>
      <c r="F83" s="311">
        <v>45198.0</v>
      </c>
      <c r="G83" s="311">
        <v>45377.0</v>
      </c>
      <c r="H83" s="311">
        <v>45385.0</v>
      </c>
      <c r="I83" s="311">
        <v>45467.0</v>
      </c>
      <c r="J83" s="312">
        <v>79.99</v>
      </c>
      <c r="K83" s="312">
        <v>15.99</v>
      </c>
      <c r="L83" s="312">
        <v>64.0</v>
      </c>
      <c r="M83" s="74">
        <v>8.0</v>
      </c>
      <c r="N83" s="312">
        <v>2.0</v>
      </c>
    </row>
    <row r="84">
      <c r="A84" s="74"/>
      <c r="B84" s="74"/>
      <c r="C84" s="74">
        <v>767.0</v>
      </c>
      <c r="D84" s="74" t="s">
        <v>763</v>
      </c>
      <c r="E84" s="74" t="s">
        <v>33</v>
      </c>
      <c r="F84" s="311">
        <v>45205.0</v>
      </c>
      <c r="G84" s="311">
        <v>45475.0</v>
      </c>
      <c r="H84" s="311">
        <v>45475.0</v>
      </c>
      <c r="I84" s="311">
        <v>45475.0</v>
      </c>
      <c r="J84" s="312">
        <v>79.99</v>
      </c>
      <c r="K84" s="312">
        <v>0.0</v>
      </c>
      <c r="L84" s="312">
        <v>79.99</v>
      </c>
      <c r="M84" s="74">
        <v>1.0</v>
      </c>
      <c r="N84" s="312">
        <v>0.0</v>
      </c>
    </row>
    <row r="85">
      <c r="A85" s="314"/>
      <c r="B85" s="314"/>
      <c r="C85" s="315"/>
      <c r="D85" s="315"/>
      <c r="E85" s="316"/>
      <c r="F85" s="316"/>
      <c r="G85" s="316"/>
      <c r="H85" s="316"/>
      <c r="I85" s="316"/>
      <c r="J85" s="317">
        <f t="shared" ref="J85:M85" si="9">SUM(J72:J84)</f>
        <v>889.87</v>
      </c>
      <c r="K85" s="317">
        <f t="shared" si="9"/>
        <v>369.12</v>
      </c>
      <c r="L85" s="317">
        <f t="shared" si="9"/>
        <v>520.75</v>
      </c>
      <c r="M85" s="314">
        <f t="shared" si="9"/>
        <v>149</v>
      </c>
      <c r="N85" s="317">
        <f>K85/M85</f>
        <v>2.477315436</v>
      </c>
    </row>
    <row r="86">
      <c r="A86" s="146" t="s">
        <v>92</v>
      </c>
      <c r="B86" s="74" t="s">
        <v>109</v>
      </c>
      <c r="C86" s="74">
        <v>225.0</v>
      </c>
      <c r="D86" s="74" t="s">
        <v>699</v>
      </c>
      <c r="E86" s="74" t="s">
        <v>649</v>
      </c>
      <c r="F86" s="311">
        <v>40781.0</v>
      </c>
      <c r="G86" s="311">
        <v>44091.0</v>
      </c>
      <c r="H86" s="311">
        <v>44404.0</v>
      </c>
      <c r="I86" s="311">
        <v>44405.0</v>
      </c>
      <c r="J86" s="312">
        <v>14.99</v>
      </c>
      <c r="K86" s="312">
        <v>6.0</v>
      </c>
      <c r="L86" s="312">
        <v>8.99</v>
      </c>
      <c r="M86" s="74">
        <v>10.0</v>
      </c>
      <c r="N86" s="312">
        <v>0.6</v>
      </c>
    </row>
    <row r="87">
      <c r="A87" s="74"/>
      <c r="B87" s="74"/>
      <c r="C87" s="74">
        <v>833.0</v>
      </c>
      <c r="D87" s="74" t="s">
        <v>740</v>
      </c>
      <c r="E87" s="74" t="s">
        <v>33</v>
      </c>
      <c r="F87" s="311">
        <v>43357.0</v>
      </c>
      <c r="G87" s="311">
        <v>45014.0</v>
      </c>
      <c r="H87" s="311">
        <v>45264.0</v>
      </c>
      <c r="I87" s="311">
        <v>45316.0</v>
      </c>
      <c r="J87" s="312">
        <v>39.99</v>
      </c>
      <c r="K87" s="312">
        <v>6.98</v>
      </c>
      <c r="L87" s="312">
        <v>33.01</v>
      </c>
      <c r="M87" s="74">
        <v>44.0</v>
      </c>
      <c r="N87" s="312">
        <v>0.16</v>
      </c>
    </row>
    <row r="88">
      <c r="A88" s="314"/>
      <c r="B88" s="314"/>
      <c r="C88" s="315"/>
      <c r="D88" s="315"/>
      <c r="E88" s="316"/>
      <c r="F88" s="316"/>
      <c r="G88" s="316"/>
      <c r="H88" s="316"/>
      <c r="I88" s="316"/>
      <c r="J88" s="317">
        <f t="shared" ref="J88:M88" si="10">SUM(J86:J87)</f>
        <v>54.98</v>
      </c>
      <c r="K88" s="317">
        <f t="shared" si="10"/>
        <v>12.98</v>
      </c>
      <c r="L88" s="317">
        <f t="shared" si="10"/>
        <v>42</v>
      </c>
      <c r="M88" s="314">
        <f t="shared" si="10"/>
        <v>54</v>
      </c>
      <c r="N88" s="317">
        <f>K88/M88</f>
        <v>0.2403703704</v>
      </c>
    </row>
    <row r="89">
      <c r="A89" s="74" t="s">
        <v>92</v>
      </c>
      <c r="B89" s="74" t="s">
        <v>110</v>
      </c>
      <c r="C89" s="74">
        <v>427.0</v>
      </c>
      <c r="D89" s="74" t="s">
        <v>713</v>
      </c>
      <c r="E89" s="74" t="s">
        <v>649</v>
      </c>
      <c r="F89" s="311">
        <v>41395.0</v>
      </c>
      <c r="G89" s="311">
        <v>43345.0</v>
      </c>
      <c r="H89" s="311">
        <v>44284.0</v>
      </c>
      <c r="I89" s="311">
        <v>44294.0</v>
      </c>
      <c r="J89" s="312">
        <v>6.19</v>
      </c>
      <c r="K89" s="312">
        <v>6.19</v>
      </c>
      <c r="L89" s="312">
        <v>0.0</v>
      </c>
      <c r="M89" s="74">
        <v>5.0</v>
      </c>
      <c r="N89" s="312">
        <v>1.24</v>
      </c>
    </row>
    <row r="90">
      <c r="A90" s="74" t="s">
        <v>92</v>
      </c>
      <c r="B90" s="74" t="s">
        <v>111</v>
      </c>
      <c r="C90" s="74">
        <v>502.0</v>
      </c>
      <c r="D90" s="74" t="s">
        <v>734</v>
      </c>
      <c r="E90" s="74" t="s">
        <v>33</v>
      </c>
      <c r="F90" s="311">
        <v>42611.0</v>
      </c>
      <c r="G90" s="311">
        <v>42766.0</v>
      </c>
      <c r="H90" s="311">
        <v>42850.0</v>
      </c>
      <c r="I90" s="311">
        <v>44671.0</v>
      </c>
      <c r="J90" s="312">
        <v>11.99</v>
      </c>
      <c r="K90" s="312">
        <v>7.99</v>
      </c>
      <c r="L90" s="312">
        <v>4.0</v>
      </c>
      <c r="M90" s="74">
        <v>9.0</v>
      </c>
      <c r="N90" s="312">
        <v>0.89</v>
      </c>
    </row>
    <row r="91">
      <c r="A91" s="74"/>
      <c r="B91" s="74"/>
      <c r="C91" s="74">
        <v>515.0</v>
      </c>
      <c r="D91" s="74" t="s">
        <v>753</v>
      </c>
      <c r="E91" s="74" t="s">
        <v>33</v>
      </c>
      <c r="F91" s="311">
        <v>44475.0</v>
      </c>
      <c r="G91" s="311">
        <v>44623.0</v>
      </c>
      <c r="H91" s="311">
        <v>44664.0</v>
      </c>
      <c r="I91" s="311">
        <v>44684.0</v>
      </c>
      <c r="J91" s="312">
        <v>20.99</v>
      </c>
      <c r="K91" s="312">
        <v>13.64</v>
      </c>
      <c r="L91" s="312">
        <v>7.35</v>
      </c>
      <c r="M91" s="74">
        <v>42.0</v>
      </c>
      <c r="N91" s="312">
        <v>0.32</v>
      </c>
    </row>
    <row r="92">
      <c r="A92" s="314"/>
      <c r="B92" s="314"/>
      <c r="C92" s="315"/>
      <c r="D92" s="315"/>
      <c r="E92" s="316"/>
      <c r="F92" s="316"/>
      <c r="G92" s="316"/>
      <c r="H92" s="316"/>
      <c r="I92" s="316"/>
      <c r="J92" s="317">
        <f t="shared" ref="J92:M92" si="11">SUM(J90:J91)</f>
        <v>32.98</v>
      </c>
      <c r="K92" s="317">
        <f t="shared" si="11"/>
        <v>21.63</v>
      </c>
      <c r="L92" s="317">
        <f t="shared" si="11"/>
        <v>11.35</v>
      </c>
      <c r="M92" s="314">
        <f t="shared" si="11"/>
        <v>51</v>
      </c>
      <c r="N92" s="317">
        <f>K92/M92</f>
        <v>0.4241176471</v>
      </c>
    </row>
    <row r="93">
      <c r="A93" s="146" t="s">
        <v>92</v>
      </c>
      <c r="B93" s="146" t="s">
        <v>112</v>
      </c>
      <c r="C93" s="146">
        <v>589.0</v>
      </c>
      <c r="D93" s="146" t="s">
        <v>756</v>
      </c>
      <c r="E93" s="146" t="s">
        <v>33</v>
      </c>
      <c r="F93" s="147">
        <v>44810.0</v>
      </c>
      <c r="G93" s="147">
        <v>44883.0</v>
      </c>
      <c r="H93" s="147">
        <v>44901.0</v>
      </c>
      <c r="I93" s="147">
        <v>46022.0</v>
      </c>
      <c r="J93" s="339">
        <v>29.99</v>
      </c>
      <c r="K93" s="339">
        <v>23.99</v>
      </c>
      <c r="L93" s="339">
        <v>6.0</v>
      </c>
      <c r="M93" s="146">
        <v>195.0</v>
      </c>
      <c r="N93" s="339">
        <v>0.12302564102564102</v>
      </c>
    </row>
    <row r="94">
      <c r="A94" s="74" t="s">
        <v>92</v>
      </c>
      <c r="B94" s="74" t="s">
        <v>113</v>
      </c>
      <c r="C94" s="74">
        <v>766.0</v>
      </c>
      <c r="D94" s="74" t="s">
        <v>759</v>
      </c>
      <c r="E94" s="74" t="s">
        <v>33</v>
      </c>
      <c r="F94" s="311">
        <v>44855.0</v>
      </c>
      <c r="G94" s="311">
        <v>45058.0</v>
      </c>
      <c r="H94" s="311">
        <v>45242.0</v>
      </c>
      <c r="I94" s="311">
        <v>45243.0</v>
      </c>
      <c r="J94" s="312">
        <v>39.99</v>
      </c>
      <c r="K94" s="312">
        <v>19.99</v>
      </c>
      <c r="L94" s="312">
        <v>20.0</v>
      </c>
      <c r="M94" s="74">
        <v>13.0</v>
      </c>
      <c r="N94" s="312">
        <v>1.54</v>
      </c>
    </row>
    <row r="95">
      <c r="A95" s="74" t="s">
        <v>92</v>
      </c>
      <c r="B95" s="74" t="s">
        <v>114</v>
      </c>
      <c r="C95" s="74">
        <v>792.0</v>
      </c>
      <c r="D95" s="74" t="s">
        <v>746</v>
      </c>
      <c r="E95" s="74" t="s">
        <v>33</v>
      </c>
      <c r="F95" s="311">
        <v>44064.0</v>
      </c>
      <c r="G95" s="311">
        <v>44474.0</v>
      </c>
      <c r="H95" s="311">
        <v>44474.0</v>
      </c>
      <c r="I95" s="311">
        <v>44474.0</v>
      </c>
      <c r="J95" s="312">
        <v>59.99</v>
      </c>
      <c r="K95" s="312">
        <v>0.0</v>
      </c>
      <c r="L95" s="312">
        <v>59.99</v>
      </c>
      <c r="M95" s="74">
        <v>1.0</v>
      </c>
      <c r="N95" s="312">
        <v>0.0</v>
      </c>
    </row>
    <row r="96">
      <c r="A96" s="146" t="s">
        <v>92</v>
      </c>
      <c r="B96" s="74" t="s">
        <v>115</v>
      </c>
      <c r="C96" s="74">
        <v>224.0</v>
      </c>
      <c r="D96" s="74" t="s">
        <v>700</v>
      </c>
      <c r="E96" s="74" t="s">
        <v>649</v>
      </c>
      <c r="F96" s="311">
        <v>40786.0</v>
      </c>
      <c r="G96" s="311">
        <v>44292.0</v>
      </c>
      <c r="H96" s="311">
        <v>45072.0</v>
      </c>
      <c r="I96" s="311">
        <v>45075.0</v>
      </c>
      <c r="J96" s="312">
        <v>12.99</v>
      </c>
      <c r="K96" s="312">
        <v>12.99</v>
      </c>
      <c r="L96" s="312">
        <v>0.0</v>
      </c>
      <c r="M96" s="74">
        <v>30.0</v>
      </c>
      <c r="N96" s="312">
        <v>0.43</v>
      </c>
    </row>
    <row r="97">
      <c r="A97" s="74" t="s">
        <v>92</v>
      </c>
      <c r="B97" s="74" t="s">
        <v>116</v>
      </c>
      <c r="C97" s="74">
        <v>946.0</v>
      </c>
      <c r="D97" s="74" t="s">
        <v>757</v>
      </c>
      <c r="E97" s="74" t="s">
        <v>33</v>
      </c>
      <c r="F97" s="311">
        <v>44831.0</v>
      </c>
      <c r="G97" s="311">
        <v>45050.0</v>
      </c>
      <c r="H97" s="311">
        <v>45511.0</v>
      </c>
      <c r="I97" s="311">
        <v>45511.0</v>
      </c>
      <c r="J97" s="312">
        <v>29.99</v>
      </c>
      <c r="K97" s="312">
        <v>0.0</v>
      </c>
      <c r="L97" s="312">
        <v>29.99</v>
      </c>
      <c r="M97" s="74">
        <v>2.0</v>
      </c>
      <c r="N97" s="312">
        <v>0.0</v>
      </c>
    </row>
    <row r="98">
      <c r="A98" s="74" t="s">
        <v>92</v>
      </c>
      <c r="B98" s="74" t="s">
        <v>117</v>
      </c>
      <c r="C98" s="74">
        <v>592.0</v>
      </c>
      <c r="D98" s="74" t="s">
        <v>729</v>
      </c>
      <c r="E98" s="74" t="s">
        <v>33</v>
      </c>
      <c r="F98" s="311">
        <v>41647.0</v>
      </c>
      <c r="G98" s="311">
        <v>45048.0</v>
      </c>
      <c r="H98" s="311">
        <v>45048.0</v>
      </c>
      <c r="I98" s="311">
        <v>45048.0</v>
      </c>
      <c r="J98" s="312">
        <v>13.99</v>
      </c>
      <c r="K98" s="312">
        <v>3.49</v>
      </c>
      <c r="L98" s="312">
        <v>10.5</v>
      </c>
      <c r="M98" s="74">
        <v>1.0</v>
      </c>
      <c r="N98" s="312">
        <v>3.49</v>
      </c>
    </row>
    <row r="99">
      <c r="A99" s="74" t="s">
        <v>92</v>
      </c>
      <c r="B99" s="74" t="s">
        <v>118</v>
      </c>
      <c r="C99" s="74">
        <v>543.0</v>
      </c>
      <c r="D99" s="74" t="s">
        <v>738</v>
      </c>
      <c r="E99" s="74" t="s">
        <v>33</v>
      </c>
      <c r="F99" s="311">
        <v>43125.0</v>
      </c>
      <c r="G99" s="311">
        <v>43335.0</v>
      </c>
      <c r="H99" s="311">
        <v>43338.0</v>
      </c>
      <c r="I99" s="311">
        <v>43338.0</v>
      </c>
      <c r="J99" s="312">
        <v>19.99</v>
      </c>
      <c r="K99" s="312">
        <v>11.99</v>
      </c>
      <c r="L99" s="312">
        <v>8.0</v>
      </c>
      <c r="M99" s="74">
        <v>2.0</v>
      </c>
      <c r="N99" s="312">
        <v>6.0</v>
      </c>
    </row>
    <row r="100">
      <c r="A100" s="74" t="s">
        <v>92</v>
      </c>
      <c r="B100" s="74" t="s">
        <v>119</v>
      </c>
      <c r="C100" s="74">
        <v>1057.0</v>
      </c>
      <c r="D100" s="74" t="s">
        <v>769</v>
      </c>
      <c r="E100" s="74" t="s">
        <v>39</v>
      </c>
      <c r="F100" s="311">
        <v>44953.0</v>
      </c>
      <c r="G100" s="311">
        <v>45520.0</v>
      </c>
      <c r="H100" s="311">
        <v>45531.0</v>
      </c>
      <c r="I100" s="311">
        <v>45535.0</v>
      </c>
      <c r="J100" s="313">
        <v>79.99</v>
      </c>
      <c r="K100" s="313">
        <v>27.99</v>
      </c>
      <c r="L100" s="313">
        <v>52.0</v>
      </c>
      <c r="M100" s="74">
        <v>5.0</v>
      </c>
      <c r="N100" s="312">
        <v>5.6</v>
      </c>
    </row>
    <row r="101">
      <c r="A101" s="74" t="s">
        <v>92</v>
      </c>
      <c r="B101" s="74" t="s">
        <v>120</v>
      </c>
      <c r="C101" s="74">
        <v>679.0</v>
      </c>
      <c r="D101" s="74" t="s">
        <v>735</v>
      </c>
      <c r="E101" s="74" t="s">
        <v>33</v>
      </c>
      <c r="F101" s="311">
        <v>42633.0</v>
      </c>
      <c r="G101" s="311">
        <v>42951.0</v>
      </c>
      <c r="H101" s="311">
        <v>42974.0</v>
      </c>
      <c r="I101" s="311">
        <v>44844.0</v>
      </c>
      <c r="J101" s="312">
        <v>17.99</v>
      </c>
      <c r="K101" s="312">
        <v>4.99</v>
      </c>
      <c r="L101" s="312">
        <v>13.0</v>
      </c>
      <c r="M101" s="74">
        <v>4.0</v>
      </c>
      <c r="N101" s="312">
        <v>1.25</v>
      </c>
    </row>
    <row r="102">
      <c r="A102" s="74" t="s">
        <v>92</v>
      </c>
      <c r="B102" s="74" t="s">
        <v>121</v>
      </c>
      <c r="C102" s="74">
        <v>941.0</v>
      </c>
      <c r="D102" s="74" t="s">
        <v>750</v>
      </c>
      <c r="E102" s="74" t="s">
        <v>33</v>
      </c>
      <c r="F102" s="311">
        <v>44404.0</v>
      </c>
      <c r="G102" s="311">
        <v>44684.0</v>
      </c>
      <c r="H102" s="311">
        <v>44684.0</v>
      </c>
      <c r="I102" s="311">
        <v>44684.0</v>
      </c>
      <c r="J102" s="312">
        <v>19.99</v>
      </c>
      <c r="K102" s="312">
        <v>0.0</v>
      </c>
      <c r="L102" s="312">
        <v>19.99</v>
      </c>
      <c r="M102" s="74">
        <v>1.0</v>
      </c>
      <c r="N102" s="312">
        <v>0.0</v>
      </c>
    </row>
    <row r="103">
      <c r="A103" s="74" t="s">
        <v>92</v>
      </c>
      <c r="B103" s="74" t="s">
        <v>122</v>
      </c>
      <c r="C103" s="74">
        <v>426.0</v>
      </c>
      <c r="D103" s="74" t="s">
        <v>715</v>
      </c>
      <c r="E103" s="74" t="s">
        <v>649</v>
      </c>
      <c r="F103" s="311">
        <v>41752.0</v>
      </c>
      <c r="G103" s="311">
        <v>41769.0</v>
      </c>
      <c r="H103" s="311">
        <v>41769.0</v>
      </c>
      <c r="I103" s="311">
        <v>41985.0</v>
      </c>
      <c r="J103" s="312">
        <v>9.99</v>
      </c>
      <c r="K103" s="312">
        <v>9.99</v>
      </c>
      <c r="L103" s="312">
        <v>0.0</v>
      </c>
      <c r="M103" s="74">
        <v>30.0</v>
      </c>
      <c r="N103" s="312">
        <v>0.33</v>
      </c>
    </row>
    <row r="104">
      <c r="A104" s="74"/>
      <c r="B104" s="74"/>
      <c r="C104" s="74">
        <v>979.0</v>
      </c>
      <c r="D104" s="74" t="s">
        <v>731</v>
      </c>
      <c r="E104" s="74" t="s">
        <v>33</v>
      </c>
      <c r="F104" s="311">
        <v>42216.0</v>
      </c>
      <c r="G104" s="311">
        <v>42257.0</v>
      </c>
      <c r="H104" s="311">
        <v>42258.0</v>
      </c>
      <c r="I104" s="311">
        <v>44094.0</v>
      </c>
      <c r="J104" s="312">
        <v>19.99</v>
      </c>
      <c r="K104" s="312">
        <v>19.99</v>
      </c>
      <c r="L104" s="312">
        <v>0.0</v>
      </c>
      <c r="M104" s="74">
        <v>40.0</v>
      </c>
      <c r="N104" s="312">
        <v>0.5</v>
      </c>
    </row>
    <row r="105">
      <c r="A105" s="314"/>
      <c r="B105" s="314"/>
      <c r="C105" s="315"/>
      <c r="D105" s="315"/>
      <c r="E105" s="316"/>
      <c r="F105" s="316"/>
      <c r="G105" s="316"/>
      <c r="H105" s="316"/>
      <c r="I105" s="316"/>
      <c r="J105" s="317">
        <f t="shared" ref="J105:M105" si="12">SUM(J103:J104)</f>
        <v>29.98</v>
      </c>
      <c r="K105" s="317">
        <f t="shared" si="12"/>
        <v>29.98</v>
      </c>
      <c r="L105" s="317">
        <f t="shared" si="12"/>
        <v>0</v>
      </c>
      <c r="M105" s="314">
        <f t="shared" si="12"/>
        <v>70</v>
      </c>
      <c r="N105" s="317">
        <f>K105/M105</f>
        <v>0.4282857143</v>
      </c>
    </row>
    <row r="106">
      <c r="A106" s="74" t="s">
        <v>92</v>
      </c>
      <c r="B106" s="74" t="s">
        <v>123</v>
      </c>
      <c r="C106" s="74">
        <v>1017.0</v>
      </c>
      <c r="D106" s="74" t="s">
        <v>768</v>
      </c>
      <c r="E106" s="74" t="s">
        <v>666</v>
      </c>
      <c r="F106" s="311">
        <v>43270.0</v>
      </c>
      <c r="G106" s="311">
        <v>43804.0</v>
      </c>
      <c r="H106" s="311">
        <v>43804.0</v>
      </c>
      <c r="I106" s="311">
        <v>43804.0</v>
      </c>
      <c r="J106" s="312">
        <v>19.99</v>
      </c>
      <c r="K106" s="312">
        <v>3.99</v>
      </c>
      <c r="L106" s="312">
        <v>16.0</v>
      </c>
      <c r="M106" s="74">
        <v>1.0</v>
      </c>
      <c r="N106" s="312">
        <v>3.99</v>
      </c>
    </row>
    <row r="107">
      <c r="A107" s="74" t="s">
        <v>92</v>
      </c>
      <c r="B107" s="74" t="s">
        <v>124</v>
      </c>
      <c r="C107" s="74">
        <v>240.0</v>
      </c>
      <c r="D107" s="74" t="s">
        <v>714</v>
      </c>
      <c r="E107" s="74" t="s">
        <v>649</v>
      </c>
      <c r="F107" s="311">
        <v>41723.0</v>
      </c>
      <c r="G107" s="311">
        <v>42939.0</v>
      </c>
      <c r="H107" s="311">
        <v>42945.0</v>
      </c>
      <c r="I107" s="311">
        <v>44871.0</v>
      </c>
      <c r="J107" s="312">
        <v>9.99</v>
      </c>
      <c r="K107" s="312">
        <v>1.99</v>
      </c>
      <c r="L107" s="312">
        <v>8.0</v>
      </c>
      <c r="M107" s="74">
        <v>2.0</v>
      </c>
      <c r="N107" s="312">
        <v>1.0</v>
      </c>
    </row>
    <row r="108">
      <c r="A108" s="340" t="s">
        <v>92</v>
      </c>
      <c r="B108" s="74" t="s">
        <v>125</v>
      </c>
      <c r="C108" s="74">
        <v>82.0</v>
      </c>
      <c r="D108" s="74" t="s">
        <v>683</v>
      </c>
      <c r="E108" s="74" t="s">
        <v>645</v>
      </c>
      <c r="F108" s="311">
        <v>37602.0</v>
      </c>
      <c r="G108" s="311">
        <v>42875.0</v>
      </c>
      <c r="H108" s="311">
        <v>43681.0</v>
      </c>
      <c r="I108" s="311">
        <v>45006.0</v>
      </c>
      <c r="J108" s="312">
        <v>13.98</v>
      </c>
      <c r="K108" s="312">
        <v>7.98</v>
      </c>
      <c r="L108" s="312">
        <v>6.0</v>
      </c>
      <c r="M108" s="74">
        <v>10.0</v>
      </c>
      <c r="N108" s="312">
        <v>0.8</v>
      </c>
    </row>
    <row r="109">
      <c r="A109" s="146" t="s">
        <v>92</v>
      </c>
      <c r="B109" s="74" t="s">
        <v>126</v>
      </c>
      <c r="C109" s="74">
        <v>366.0</v>
      </c>
      <c r="D109" s="74" t="s">
        <v>707</v>
      </c>
      <c r="E109" s="74" t="s">
        <v>649</v>
      </c>
      <c r="F109" s="311">
        <v>41136.0</v>
      </c>
      <c r="G109" s="311">
        <v>42925.0</v>
      </c>
      <c r="H109" s="311">
        <v>45054.0</v>
      </c>
      <c r="I109" s="311">
        <v>45054.0</v>
      </c>
      <c r="J109" s="312">
        <v>14.99</v>
      </c>
      <c r="K109" s="312">
        <v>3.99</v>
      </c>
      <c r="L109" s="312">
        <v>11.0</v>
      </c>
      <c r="M109" s="74">
        <v>5.0</v>
      </c>
      <c r="N109" s="312">
        <v>0.8</v>
      </c>
    </row>
    <row r="110">
      <c r="A110" s="146" t="s">
        <v>92</v>
      </c>
      <c r="B110" s="74" t="s">
        <v>127</v>
      </c>
      <c r="C110" s="74">
        <v>326.0</v>
      </c>
      <c r="D110" s="74" t="s">
        <v>692</v>
      </c>
      <c r="E110" s="74" t="s">
        <v>649</v>
      </c>
      <c r="F110" s="311">
        <v>39976.0</v>
      </c>
      <c r="G110" s="311">
        <v>41553.0</v>
      </c>
      <c r="H110" s="311">
        <v>41553.0</v>
      </c>
      <c r="I110" s="311">
        <v>41745.0</v>
      </c>
      <c r="J110" s="312">
        <v>24.99</v>
      </c>
      <c r="K110" s="312">
        <v>7.99</v>
      </c>
      <c r="L110" s="312">
        <v>17.0</v>
      </c>
      <c r="M110" s="74">
        <v>1.0</v>
      </c>
      <c r="N110" s="312">
        <v>7.99</v>
      </c>
    </row>
    <row r="111">
      <c r="A111" s="146"/>
      <c r="B111" s="74"/>
      <c r="C111" s="74">
        <v>327.0</v>
      </c>
      <c r="D111" s="74" t="s">
        <v>705</v>
      </c>
      <c r="E111" s="74" t="s">
        <v>649</v>
      </c>
      <c r="F111" s="311">
        <v>41026.0</v>
      </c>
      <c r="G111" s="311">
        <v>42969.0</v>
      </c>
      <c r="H111" s="311">
        <v>42969.0</v>
      </c>
      <c r="I111" s="311">
        <v>42969.0</v>
      </c>
      <c r="J111" s="312">
        <v>24.99</v>
      </c>
      <c r="K111" s="312">
        <v>7.99</v>
      </c>
      <c r="L111" s="312">
        <v>17.0</v>
      </c>
      <c r="M111" s="74">
        <v>1.0</v>
      </c>
      <c r="N111" s="312">
        <v>7.99</v>
      </c>
    </row>
    <row r="112">
      <c r="A112" s="314"/>
      <c r="B112" s="314"/>
      <c r="C112" s="315"/>
      <c r="D112" s="315"/>
      <c r="E112" s="316"/>
      <c r="F112" s="316"/>
      <c r="G112" s="316"/>
      <c r="H112" s="316"/>
      <c r="I112" s="316"/>
      <c r="J112" s="317">
        <f t="shared" ref="J112:M112" si="13">SUM(J110:J111)</f>
        <v>49.98</v>
      </c>
      <c r="K112" s="317">
        <f t="shared" si="13"/>
        <v>15.98</v>
      </c>
      <c r="L112" s="317">
        <f t="shared" si="13"/>
        <v>34</v>
      </c>
      <c r="M112" s="314">
        <f t="shared" si="13"/>
        <v>2</v>
      </c>
      <c r="N112" s="317">
        <f>K112/M112</f>
        <v>7.99</v>
      </c>
    </row>
    <row r="113">
      <c r="A113" s="74" t="s">
        <v>92</v>
      </c>
      <c r="B113" s="74" t="s">
        <v>128</v>
      </c>
      <c r="C113" s="74">
        <v>781.0</v>
      </c>
      <c r="D113" s="74" t="s">
        <v>730</v>
      </c>
      <c r="E113" s="74" t="s">
        <v>33</v>
      </c>
      <c r="F113" s="311">
        <v>41675.0</v>
      </c>
      <c r="G113" s="311">
        <v>44071.0</v>
      </c>
      <c r="H113" s="311">
        <v>44071.0</v>
      </c>
      <c r="I113" s="311">
        <v>44071.0</v>
      </c>
      <c r="J113" s="312">
        <v>18.99</v>
      </c>
      <c r="K113" s="312">
        <v>3.79</v>
      </c>
      <c r="L113" s="312">
        <v>15.2</v>
      </c>
      <c r="M113" s="74">
        <v>1.0</v>
      </c>
      <c r="N113" s="312">
        <v>3.79</v>
      </c>
    </row>
    <row r="114">
      <c r="A114" s="340" t="s">
        <v>92</v>
      </c>
      <c r="B114" s="74" t="s">
        <v>129</v>
      </c>
      <c r="C114" s="74">
        <v>144.0</v>
      </c>
      <c r="D114" s="74" t="s">
        <v>686</v>
      </c>
      <c r="E114" s="74" t="s">
        <v>645</v>
      </c>
      <c r="F114" s="311">
        <v>38646.0</v>
      </c>
      <c r="G114" s="311">
        <v>42950.0</v>
      </c>
      <c r="H114" s="311">
        <v>44687.0</v>
      </c>
      <c r="I114" s="311">
        <v>44694.0</v>
      </c>
      <c r="J114" s="312">
        <v>13.99</v>
      </c>
      <c r="K114" s="312">
        <v>5.99</v>
      </c>
      <c r="L114" s="312">
        <v>8.0</v>
      </c>
      <c r="M114" s="74">
        <v>36.0</v>
      </c>
      <c r="N114" s="312">
        <v>0.17</v>
      </c>
    </row>
    <row r="115">
      <c r="A115" s="340" t="s">
        <v>92</v>
      </c>
      <c r="B115" s="74" t="s">
        <v>130</v>
      </c>
      <c r="C115" s="74">
        <v>81.0</v>
      </c>
      <c r="D115" s="74" t="s">
        <v>688</v>
      </c>
      <c r="E115" s="74" t="s">
        <v>645</v>
      </c>
      <c r="F115" s="311">
        <v>39015.0</v>
      </c>
      <c r="G115" s="311">
        <v>42950.0</v>
      </c>
      <c r="H115" s="311">
        <v>43240.0</v>
      </c>
      <c r="I115" s="311">
        <v>43336.0</v>
      </c>
      <c r="J115" s="312">
        <v>23.98</v>
      </c>
      <c r="K115" s="312">
        <v>15.98</v>
      </c>
      <c r="L115" s="312">
        <v>8.0</v>
      </c>
      <c r="M115" s="74">
        <v>29.0</v>
      </c>
      <c r="N115" s="312">
        <v>0.55</v>
      </c>
    </row>
    <row r="116">
      <c r="A116" s="74" t="s">
        <v>92</v>
      </c>
      <c r="B116" s="74" t="s">
        <v>131</v>
      </c>
      <c r="C116" s="74">
        <v>957.0</v>
      </c>
      <c r="D116" s="74" t="s">
        <v>736</v>
      </c>
      <c r="E116" s="74" t="s">
        <v>33</v>
      </c>
      <c r="F116" s="311">
        <v>42647.0</v>
      </c>
      <c r="G116" s="311">
        <v>42648.0</v>
      </c>
      <c r="H116" s="311">
        <v>42648.0</v>
      </c>
      <c r="I116" s="311">
        <v>42648.0</v>
      </c>
      <c r="J116" s="312">
        <v>14.99</v>
      </c>
      <c r="K116" s="312">
        <v>5.99</v>
      </c>
      <c r="L116" s="312">
        <v>9.0</v>
      </c>
      <c r="M116" s="74">
        <v>1.0</v>
      </c>
      <c r="N116" s="312">
        <v>5.99</v>
      </c>
    </row>
    <row r="117">
      <c r="A117" s="74" t="s">
        <v>92</v>
      </c>
      <c r="B117" s="74" t="s">
        <v>132</v>
      </c>
      <c r="C117" s="74">
        <v>1014.0</v>
      </c>
      <c r="D117" s="74" t="s">
        <v>765</v>
      </c>
      <c r="E117" s="74" t="s">
        <v>666</v>
      </c>
      <c r="F117" s="311">
        <v>42656.0</v>
      </c>
      <c r="G117" s="311">
        <v>44623.0</v>
      </c>
      <c r="H117" s="311">
        <v>44623.0</v>
      </c>
      <c r="I117" s="311">
        <v>44623.0</v>
      </c>
      <c r="J117" s="312">
        <v>14.99</v>
      </c>
      <c r="K117" s="312">
        <v>7.49</v>
      </c>
      <c r="L117" s="312">
        <v>7.5</v>
      </c>
      <c r="M117" s="74">
        <v>1.0</v>
      </c>
      <c r="N117" s="312">
        <v>7.49</v>
      </c>
    </row>
    <row r="118">
      <c r="A118" s="74" t="s">
        <v>92</v>
      </c>
      <c r="B118" s="74" t="s">
        <v>133</v>
      </c>
      <c r="C118" s="74">
        <v>451.0</v>
      </c>
      <c r="D118" s="74" t="s">
        <v>727</v>
      </c>
      <c r="E118" s="74" t="s">
        <v>671</v>
      </c>
      <c r="F118" s="311">
        <v>42423.0</v>
      </c>
      <c r="G118" s="311">
        <v>42832.0</v>
      </c>
      <c r="H118" s="311">
        <v>42832.0</v>
      </c>
      <c r="I118" s="311">
        <v>42832.0</v>
      </c>
      <c r="J118" s="312">
        <v>5.99</v>
      </c>
      <c r="K118" s="312">
        <v>1.99</v>
      </c>
      <c r="L118" s="312">
        <v>4.0</v>
      </c>
      <c r="M118" s="74">
        <v>1.0</v>
      </c>
      <c r="N118" s="312">
        <v>1.99</v>
      </c>
    </row>
    <row r="119">
      <c r="A119" s="146" t="s">
        <v>92</v>
      </c>
      <c r="B119" s="146" t="s">
        <v>134</v>
      </c>
      <c r="C119" s="146">
        <v>1098.0</v>
      </c>
      <c r="D119" s="146" t="s">
        <v>744</v>
      </c>
      <c r="E119" s="146" t="s">
        <v>33</v>
      </c>
      <c r="F119" s="147">
        <v>43858.0</v>
      </c>
      <c r="G119" s="147">
        <v>46005.0</v>
      </c>
      <c r="H119" s="147">
        <v>46013.0</v>
      </c>
      <c r="I119" s="147">
        <v>46017.0</v>
      </c>
      <c r="J119" s="148">
        <v>29.99</v>
      </c>
      <c r="K119" s="148">
        <v>5.99</v>
      </c>
      <c r="L119" s="148">
        <v>24.0</v>
      </c>
      <c r="M119" s="146">
        <v>25.0</v>
      </c>
      <c r="N119" s="148">
        <v>0.2396</v>
      </c>
    </row>
    <row r="120">
      <c r="A120" s="340" t="s">
        <v>92</v>
      </c>
      <c r="B120" s="74" t="s">
        <v>135</v>
      </c>
      <c r="C120" s="74">
        <v>120.0</v>
      </c>
      <c r="D120" s="74" t="s">
        <v>684</v>
      </c>
      <c r="E120" s="74" t="s">
        <v>645</v>
      </c>
      <c r="F120" s="311">
        <v>37946.0</v>
      </c>
      <c r="G120" s="311">
        <v>44285.0</v>
      </c>
      <c r="H120" s="311">
        <v>45061.0</v>
      </c>
      <c r="I120" s="311">
        <v>45061.0</v>
      </c>
      <c r="J120" s="312">
        <v>5.0</v>
      </c>
      <c r="K120" s="312">
        <v>5.0</v>
      </c>
      <c r="L120" s="312">
        <v>0.0</v>
      </c>
      <c r="M120" s="74">
        <v>5.0</v>
      </c>
      <c r="N120" s="312">
        <v>1.0</v>
      </c>
    </row>
    <row r="121">
      <c r="A121" s="340"/>
      <c r="B121" s="74"/>
      <c r="C121" s="74">
        <v>121.0</v>
      </c>
      <c r="D121" s="74" t="s">
        <v>685</v>
      </c>
      <c r="E121" s="74" t="s">
        <v>645</v>
      </c>
      <c r="F121" s="311">
        <v>38324.0</v>
      </c>
      <c r="G121" s="311">
        <v>44285.0</v>
      </c>
      <c r="H121" s="311">
        <v>44285.0</v>
      </c>
      <c r="I121" s="311">
        <v>44285.0</v>
      </c>
      <c r="J121" s="312">
        <v>5.0</v>
      </c>
      <c r="K121" s="312">
        <v>5.0</v>
      </c>
      <c r="L121" s="312">
        <v>0.0</v>
      </c>
      <c r="M121" s="74">
        <v>1.0</v>
      </c>
      <c r="N121" s="312">
        <v>5.0</v>
      </c>
    </row>
    <row r="122">
      <c r="A122" s="340"/>
      <c r="B122" s="74"/>
      <c r="C122" s="74">
        <v>122.0</v>
      </c>
      <c r="D122" s="74" t="s">
        <v>687</v>
      </c>
      <c r="E122" s="74" t="s">
        <v>645</v>
      </c>
      <c r="F122" s="311">
        <v>38688.0</v>
      </c>
      <c r="G122" s="311">
        <v>44285.0</v>
      </c>
      <c r="H122" s="311">
        <v>44285.0</v>
      </c>
      <c r="I122" s="311">
        <v>44285.0</v>
      </c>
      <c r="J122" s="312">
        <v>4.99</v>
      </c>
      <c r="K122" s="312">
        <v>4.99</v>
      </c>
      <c r="L122" s="312">
        <v>0.0</v>
      </c>
      <c r="M122" s="74">
        <v>1.0</v>
      </c>
      <c r="N122" s="312">
        <v>4.99</v>
      </c>
    </row>
    <row r="123">
      <c r="A123" s="146"/>
      <c r="B123" s="74"/>
      <c r="C123" s="74">
        <v>235.0</v>
      </c>
      <c r="D123" s="74" t="s">
        <v>690</v>
      </c>
      <c r="E123" s="74" t="s">
        <v>649</v>
      </c>
      <c r="F123" s="311">
        <v>39745.0</v>
      </c>
      <c r="G123" s="311">
        <v>41448.0</v>
      </c>
      <c r="H123" s="311">
        <v>41448.0</v>
      </c>
      <c r="I123" s="311">
        <v>44141.0</v>
      </c>
      <c r="J123" s="312">
        <v>14.99</v>
      </c>
      <c r="K123" s="312">
        <v>2.0</v>
      </c>
      <c r="L123" s="312">
        <v>12.99</v>
      </c>
      <c r="M123" s="74">
        <v>50.0</v>
      </c>
      <c r="N123" s="312">
        <v>0.04</v>
      </c>
    </row>
    <row r="124">
      <c r="A124" s="146"/>
      <c r="B124" s="74"/>
      <c r="C124" s="74">
        <v>355.0</v>
      </c>
      <c r="D124" s="74" t="s">
        <v>695</v>
      </c>
      <c r="E124" s="74" t="s">
        <v>649</v>
      </c>
      <c r="F124" s="311">
        <v>40401.0</v>
      </c>
      <c r="G124" s="311">
        <v>44431.0</v>
      </c>
      <c r="H124" s="311">
        <v>45310.0</v>
      </c>
      <c r="I124" s="311">
        <v>45316.0</v>
      </c>
      <c r="J124" s="312">
        <v>14.99</v>
      </c>
      <c r="K124" s="312">
        <v>8.99</v>
      </c>
      <c r="L124" s="312">
        <v>6.0</v>
      </c>
      <c r="M124" s="74">
        <v>2.0</v>
      </c>
      <c r="N124" s="312">
        <v>4.5</v>
      </c>
    </row>
    <row r="125">
      <c r="A125" s="146"/>
      <c r="B125" s="74"/>
      <c r="C125" s="74">
        <v>236.0</v>
      </c>
      <c r="D125" s="74" t="s">
        <v>710</v>
      </c>
      <c r="E125" s="74" t="s">
        <v>649</v>
      </c>
      <c r="F125" s="311">
        <v>41242.0</v>
      </c>
      <c r="G125" s="311">
        <v>43519.0</v>
      </c>
      <c r="H125" s="311">
        <v>43540.0</v>
      </c>
      <c r="I125" s="311">
        <v>43552.0</v>
      </c>
      <c r="J125" s="312">
        <v>29.99</v>
      </c>
      <c r="K125" s="312">
        <v>17.99</v>
      </c>
      <c r="L125" s="312">
        <v>12.0</v>
      </c>
      <c r="M125" s="74">
        <v>36.0</v>
      </c>
      <c r="N125" s="312">
        <v>0.5</v>
      </c>
    </row>
    <row r="126">
      <c r="A126" s="74"/>
      <c r="B126" s="74"/>
      <c r="C126" s="74">
        <v>211.0</v>
      </c>
      <c r="D126" s="74" t="s">
        <v>716</v>
      </c>
      <c r="E126" s="74" t="s">
        <v>649</v>
      </c>
      <c r="F126" s="311">
        <v>41759.0</v>
      </c>
      <c r="G126" s="311">
        <v>42635.0</v>
      </c>
      <c r="H126" s="311">
        <v>43331.0</v>
      </c>
      <c r="I126" s="311">
        <v>43334.0</v>
      </c>
      <c r="J126" s="312">
        <v>14.99</v>
      </c>
      <c r="K126" s="312">
        <v>4.99</v>
      </c>
      <c r="L126" s="312">
        <v>10.0</v>
      </c>
      <c r="M126" s="74">
        <v>7.0</v>
      </c>
      <c r="N126" s="312">
        <v>0.71</v>
      </c>
    </row>
    <row r="127">
      <c r="A127" s="146"/>
      <c r="B127" s="74"/>
      <c r="C127" s="74">
        <v>419.0</v>
      </c>
      <c r="D127" s="74" t="s">
        <v>717</v>
      </c>
      <c r="E127" s="74" t="s">
        <v>649</v>
      </c>
      <c r="F127" s="311">
        <v>41786.0</v>
      </c>
      <c r="G127" s="311">
        <v>42818.0</v>
      </c>
      <c r="H127" s="311">
        <v>42818.0</v>
      </c>
      <c r="I127" s="311">
        <v>45635.0</v>
      </c>
      <c r="J127" s="312">
        <v>19.99</v>
      </c>
      <c r="K127" s="312">
        <v>7.99</v>
      </c>
      <c r="L127" s="312">
        <v>12.0</v>
      </c>
      <c r="M127" s="74">
        <v>71.0</v>
      </c>
      <c r="N127" s="312">
        <v>0.11</v>
      </c>
    </row>
    <row r="128">
      <c r="A128" s="146"/>
      <c r="B128" s="340"/>
      <c r="C128" s="74">
        <v>237.0</v>
      </c>
      <c r="D128" s="74" t="s">
        <v>720</v>
      </c>
      <c r="E128" s="74" t="s">
        <v>649</v>
      </c>
      <c r="F128" s="311">
        <v>41961.0</v>
      </c>
      <c r="G128" s="311">
        <v>43519.0</v>
      </c>
      <c r="H128" s="311">
        <v>43915.0</v>
      </c>
      <c r="I128" s="311">
        <v>43922.0</v>
      </c>
      <c r="J128" s="312">
        <v>24.99</v>
      </c>
      <c r="K128" s="312">
        <v>7.99</v>
      </c>
      <c r="L128" s="312">
        <v>17.0</v>
      </c>
      <c r="M128" s="74">
        <v>42.0</v>
      </c>
      <c r="N128" s="312">
        <v>0.19</v>
      </c>
    </row>
    <row r="129">
      <c r="A129" s="74"/>
      <c r="B129" s="74"/>
      <c r="C129" s="74">
        <v>619.0</v>
      </c>
      <c r="D129" s="74" t="s">
        <v>733</v>
      </c>
      <c r="E129" s="74" t="s">
        <v>33</v>
      </c>
      <c r="F129" s="311">
        <v>42423.0</v>
      </c>
      <c r="G129" s="311">
        <v>43519.0</v>
      </c>
      <c r="H129" s="311">
        <v>45392.0</v>
      </c>
      <c r="I129" s="311">
        <v>45404.0</v>
      </c>
      <c r="J129" s="312">
        <v>24.99</v>
      </c>
      <c r="K129" s="312">
        <v>7.99</v>
      </c>
      <c r="L129" s="312">
        <v>17.0</v>
      </c>
      <c r="M129" s="74">
        <v>30.0</v>
      </c>
      <c r="N129" s="312">
        <v>0.27</v>
      </c>
    </row>
    <row r="130">
      <c r="A130" s="74"/>
      <c r="B130" s="74"/>
      <c r="C130" s="74">
        <v>960.0</v>
      </c>
      <c r="D130" s="74" t="s">
        <v>737</v>
      </c>
      <c r="E130" s="74" t="s">
        <v>33</v>
      </c>
      <c r="F130" s="311">
        <v>42689.0</v>
      </c>
      <c r="G130" s="311">
        <v>43668.0</v>
      </c>
      <c r="H130" s="311">
        <v>43675.0</v>
      </c>
      <c r="I130" s="311">
        <v>45636.0</v>
      </c>
      <c r="J130" s="312">
        <v>69.99</v>
      </c>
      <c r="K130" s="312">
        <v>14.99</v>
      </c>
      <c r="L130" s="312">
        <v>55.0</v>
      </c>
      <c r="M130" s="74">
        <v>56.0</v>
      </c>
      <c r="N130" s="312">
        <v>0.27</v>
      </c>
    </row>
    <row r="131">
      <c r="A131" s="74"/>
      <c r="B131" s="74"/>
      <c r="C131" s="74">
        <v>620.0</v>
      </c>
      <c r="D131" s="74" t="s">
        <v>739</v>
      </c>
      <c r="E131" s="74" t="s">
        <v>33</v>
      </c>
      <c r="F131" s="311">
        <v>43186.0</v>
      </c>
      <c r="G131" s="311">
        <v>43372.0</v>
      </c>
      <c r="H131" s="311">
        <v>43373.0</v>
      </c>
      <c r="I131" s="311">
        <v>43987.0</v>
      </c>
      <c r="J131" s="312">
        <v>99.98</v>
      </c>
      <c r="K131" s="312">
        <v>49.98</v>
      </c>
      <c r="L131" s="312">
        <v>50.0</v>
      </c>
      <c r="M131" s="74">
        <v>103.0</v>
      </c>
      <c r="N131" s="312">
        <v>0.49</v>
      </c>
    </row>
    <row r="132">
      <c r="A132" s="74"/>
      <c r="B132" s="74"/>
      <c r="C132" s="74">
        <v>621.0</v>
      </c>
      <c r="D132" s="74" t="s">
        <v>741</v>
      </c>
      <c r="E132" s="74" t="s">
        <v>33</v>
      </c>
      <c r="F132" s="311">
        <v>43511.0</v>
      </c>
      <c r="G132" s="311">
        <v>43548.0</v>
      </c>
      <c r="H132" s="311">
        <v>43618.0</v>
      </c>
      <c r="I132" s="311">
        <v>45310.0</v>
      </c>
      <c r="J132" s="312">
        <v>54.99</v>
      </c>
      <c r="K132" s="312">
        <v>27.49</v>
      </c>
      <c r="L132" s="312">
        <v>27.5</v>
      </c>
      <c r="M132" s="74">
        <v>51.0</v>
      </c>
      <c r="N132" s="312">
        <v>0.54</v>
      </c>
    </row>
    <row r="133">
      <c r="A133" s="74"/>
      <c r="B133" s="74"/>
      <c r="C133" s="74">
        <v>516.0</v>
      </c>
      <c r="D133" s="74" t="s">
        <v>749</v>
      </c>
      <c r="E133" s="74" t="s">
        <v>33</v>
      </c>
      <c r="F133" s="311">
        <v>44145.0</v>
      </c>
      <c r="G133" s="311">
        <v>44521.0</v>
      </c>
      <c r="H133" s="311">
        <v>44927.0</v>
      </c>
      <c r="I133" s="311">
        <v>44936.0</v>
      </c>
      <c r="J133" s="312">
        <v>119.99</v>
      </c>
      <c r="K133" s="312">
        <v>59.99</v>
      </c>
      <c r="L133" s="312">
        <v>60.0</v>
      </c>
      <c r="M133" s="74">
        <v>22.0</v>
      </c>
      <c r="N133" s="312">
        <v>2.73</v>
      </c>
    </row>
    <row r="134">
      <c r="A134" s="74"/>
      <c r="B134" s="74"/>
      <c r="C134" s="74">
        <v>1000.0</v>
      </c>
      <c r="D134" s="74" t="s">
        <v>766</v>
      </c>
      <c r="E134" s="74" t="s">
        <v>666</v>
      </c>
      <c r="F134" s="311">
        <v>42682.0</v>
      </c>
      <c r="G134" s="311">
        <v>43466.0</v>
      </c>
      <c r="H134" s="311">
        <v>43467.0</v>
      </c>
      <c r="I134" s="311">
        <v>43467.0</v>
      </c>
      <c r="J134" s="312">
        <v>39.99</v>
      </c>
      <c r="K134" s="312">
        <v>12.99</v>
      </c>
      <c r="L134" s="312">
        <v>27.0</v>
      </c>
      <c r="M134" s="74">
        <v>1.0</v>
      </c>
      <c r="N134" s="312">
        <v>12.99</v>
      </c>
    </row>
    <row r="135">
      <c r="A135" s="314"/>
      <c r="B135" s="314"/>
      <c r="C135" s="315"/>
      <c r="D135" s="315"/>
      <c r="E135" s="316"/>
      <c r="F135" s="316"/>
      <c r="G135" s="316"/>
      <c r="H135" s="316"/>
      <c r="I135" s="316"/>
      <c r="J135" s="317">
        <f t="shared" ref="J135:M135" si="14">SUM(J120:J134)</f>
        <v>544.86</v>
      </c>
      <c r="K135" s="317">
        <f t="shared" si="14"/>
        <v>238.37</v>
      </c>
      <c r="L135" s="317">
        <f t="shared" si="14"/>
        <v>306.49</v>
      </c>
      <c r="M135" s="314">
        <f t="shared" si="14"/>
        <v>478</v>
      </c>
      <c r="N135" s="317">
        <f>K135/M135</f>
        <v>0.4986820084</v>
      </c>
    </row>
    <row r="136">
      <c r="A136" s="74" t="s">
        <v>92</v>
      </c>
      <c r="B136" s="74" t="s">
        <v>136</v>
      </c>
      <c r="C136" s="74">
        <v>961.0</v>
      </c>
      <c r="D136" s="74" t="s">
        <v>748</v>
      </c>
      <c r="E136" s="74" t="s">
        <v>33</v>
      </c>
      <c r="F136" s="311">
        <v>44133.0</v>
      </c>
      <c r="G136" s="311">
        <v>44349.0</v>
      </c>
      <c r="H136" s="311">
        <v>44351.0</v>
      </c>
      <c r="I136" s="311">
        <v>45641.0</v>
      </c>
      <c r="J136" s="312">
        <v>69.99</v>
      </c>
      <c r="K136" s="312">
        <v>34.99</v>
      </c>
      <c r="L136" s="312">
        <v>35.0</v>
      </c>
      <c r="M136" s="74">
        <v>79.0</v>
      </c>
      <c r="N136" s="312">
        <v>0.44</v>
      </c>
    </row>
    <row r="137">
      <c r="A137" s="74"/>
      <c r="B137" s="74"/>
      <c r="C137" s="74">
        <v>622.0</v>
      </c>
      <c r="D137" s="74" t="s">
        <v>754</v>
      </c>
      <c r="E137" s="74" t="s">
        <v>33</v>
      </c>
      <c r="F137" s="311">
        <v>44476.0</v>
      </c>
      <c r="G137" s="311">
        <v>44594.0</v>
      </c>
      <c r="H137" s="311">
        <v>44598.0</v>
      </c>
      <c r="I137" s="311">
        <v>44607.0</v>
      </c>
      <c r="J137" s="312">
        <v>99.99</v>
      </c>
      <c r="K137" s="312">
        <v>59.99</v>
      </c>
      <c r="L137" s="312">
        <v>40.0</v>
      </c>
      <c r="M137" s="74">
        <v>55.0</v>
      </c>
      <c r="N137" s="312">
        <v>1.09</v>
      </c>
    </row>
    <row r="138">
      <c r="A138" s="314"/>
      <c r="B138" s="314"/>
      <c r="C138" s="315"/>
      <c r="D138" s="315"/>
      <c r="E138" s="316"/>
      <c r="F138" s="316"/>
      <c r="G138" s="316"/>
      <c r="H138" s="316"/>
      <c r="I138" s="316"/>
      <c r="J138" s="317">
        <f t="shared" ref="J138:M138" si="15">SUM(J136:J137)</f>
        <v>169.98</v>
      </c>
      <c r="K138" s="317">
        <f t="shared" si="15"/>
        <v>94.98</v>
      </c>
      <c r="L138" s="317">
        <f t="shared" si="15"/>
        <v>75</v>
      </c>
      <c r="M138" s="314">
        <f t="shared" si="15"/>
        <v>134</v>
      </c>
      <c r="N138" s="317">
        <f>K138/M138</f>
        <v>0.7088059701</v>
      </c>
    </row>
    <row r="139">
      <c r="A139" s="146" t="s">
        <v>92</v>
      </c>
      <c r="B139" s="74" t="s">
        <v>137</v>
      </c>
      <c r="C139" s="74">
        <v>301.0</v>
      </c>
      <c r="D139" s="74" t="s">
        <v>693</v>
      </c>
      <c r="E139" s="74" t="s">
        <v>649</v>
      </c>
      <c r="F139" s="311">
        <v>40319.0</v>
      </c>
      <c r="G139" s="311">
        <v>40335.0</v>
      </c>
      <c r="H139" s="311">
        <v>40335.0</v>
      </c>
      <c r="I139" s="311">
        <v>44739.0</v>
      </c>
      <c r="J139" s="312">
        <v>14.99</v>
      </c>
      <c r="K139" s="312">
        <v>6.0</v>
      </c>
      <c r="L139" s="312">
        <v>8.99</v>
      </c>
      <c r="M139" s="74">
        <v>50.0</v>
      </c>
      <c r="N139" s="312">
        <v>0.12</v>
      </c>
    </row>
    <row r="140">
      <c r="A140" s="146"/>
      <c r="B140" s="74"/>
      <c r="C140" s="74">
        <v>360.0</v>
      </c>
      <c r="D140" s="74" t="s">
        <v>708</v>
      </c>
      <c r="E140" s="74" t="s">
        <v>649</v>
      </c>
      <c r="F140" s="311">
        <v>41138.0</v>
      </c>
      <c r="G140" s="311">
        <v>43652.0</v>
      </c>
      <c r="H140" s="311">
        <v>43659.0</v>
      </c>
      <c r="I140" s="311">
        <v>45203.0</v>
      </c>
      <c r="J140" s="312">
        <v>29.99</v>
      </c>
      <c r="K140" s="312">
        <v>4.49</v>
      </c>
      <c r="L140" s="312">
        <v>25.5</v>
      </c>
      <c r="M140" s="74">
        <v>42.0</v>
      </c>
      <c r="N140" s="312">
        <v>0.11</v>
      </c>
    </row>
    <row r="141">
      <c r="A141" s="146"/>
      <c r="B141" s="74"/>
      <c r="C141" s="74">
        <v>288.0</v>
      </c>
      <c r="D141" s="74" t="s">
        <v>709</v>
      </c>
      <c r="E141" s="74" t="s">
        <v>649</v>
      </c>
      <c r="F141" s="311">
        <v>41220.0</v>
      </c>
      <c r="G141" s="311">
        <v>41458.0</v>
      </c>
      <c r="H141" s="311">
        <v>41458.0</v>
      </c>
      <c r="I141" s="311">
        <v>44775.0</v>
      </c>
      <c r="J141" s="312">
        <v>19.99</v>
      </c>
      <c r="K141" s="312">
        <v>14.99</v>
      </c>
      <c r="L141" s="312">
        <v>5.0</v>
      </c>
      <c r="M141" s="74">
        <v>25.0</v>
      </c>
      <c r="N141" s="312">
        <v>0.6</v>
      </c>
    </row>
    <row r="142">
      <c r="A142" s="314"/>
      <c r="B142" s="314"/>
      <c r="C142" s="315"/>
      <c r="D142" s="315"/>
      <c r="E142" s="316"/>
      <c r="F142" s="316"/>
      <c r="G142" s="316"/>
      <c r="H142" s="316"/>
      <c r="I142" s="316"/>
      <c r="J142" s="317">
        <f t="shared" ref="J142:M142" si="16">SUM(J139:J141)</f>
        <v>64.97</v>
      </c>
      <c r="K142" s="317">
        <f t="shared" si="16"/>
        <v>25.48</v>
      </c>
      <c r="L142" s="317">
        <f t="shared" si="16"/>
        <v>39.49</v>
      </c>
      <c r="M142" s="314">
        <f t="shared" si="16"/>
        <v>117</v>
      </c>
      <c r="N142" s="317">
        <f>K142/M142</f>
        <v>0.2177777778</v>
      </c>
    </row>
    <row r="143">
      <c r="A143" s="146" t="s">
        <v>92</v>
      </c>
      <c r="B143" s="74" t="s">
        <v>138</v>
      </c>
      <c r="C143" s="74">
        <v>346.0</v>
      </c>
      <c r="D143" s="74" t="s">
        <v>712</v>
      </c>
      <c r="E143" s="74" t="s">
        <v>649</v>
      </c>
      <c r="F143" s="311">
        <v>41290.0</v>
      </c>
      <c r="G143" s="311">
        <v>42623.0</v>
      </c>
      <c r="H143" s="311">
        <v>42715.0</v>
      </c>
      <c r="I143" s="311">
        <v>44185.0</v>
      </c>
      <c r="J143" s="312">
        <v>9.99</v>
      </c>
      <c r="K143" s="312">
        <v>4.99</v>
      </c>
      <c r="L143" s="312">
        <v>5.0</v>
      </c>
      <c r="M143" s="74">
        <v>3.0</v>
      </c>
      <c r="N143" s="312">
        <v>1.66</v>
      </c>
    </row>
    <row r="144">
      <c r="A144" s="74" t="s">
        <v>92</v>
      </c>
      <c r="B144" s="74" t="s">
        <v>139</v>
      </c>
      <c r="C144" s="74">
        <v>1020.0</v>
      </c>
      <c r="D144" s="74" t="s">
        <v>767</v>
      </c>
      <c r="E144" s="74" t="s">
        <v>666</v>
      </c>
      <c r="F144" s="311">
        <v>42787.0</v>
      </c>
      <c r="G144" s="311">
        <v>43466.0</v>
      </c>
      <c r="H144" s="311">
        <v>43543.0</v>
      </c>
      <c r="I144" s="311">
        <v>43543.0</v>
      </c>
      <c r="J144" s="312">
        <v>15.99</v>
      </c>
      <c r="K144" s="312">
        <v>4.99</v>
      </c>
      <c r="L144" s="312">
        <v>11.0</v>
      </c>
      <c r="M144" s="74">
        <v>1.0</v>
      </c>
      <c r="N144" s="312">
        <v>4.99</v>
      </c>
    </row>
    <row r="145">
      <c r="A145" s="315"/>
      <c r="B145" s="315"/>
      <c r="C145" s="341"/>
      <c r="D145" s="316"/>
      <c r="E145" s="316"/>
      <c r="F145" s="316"/>
      <c r="G145" s="316"/>
      <c r="H145" s="316"/>
      <c r="I145" s="316"/>
      <c r="J145" s="342"/>
      <c r="K145" s="342"/>
      <c r="L145" s="342"/>
      <c r="M145" s="316"/>
      <c r="N145" s="342"/>
    </row>
    <row r="146">
      <c r="A146" s="74" t="s">
        <v>141</v>
      </c>
      <c r="B146" s="74" t="s">
        <v>140</v>
      </c>
      <c r="C146" s="74">
        <v>983.0</v>
      </c>
      <c r="D146" s="74" t="s">
        <v>773</v>
      </c>
      <c r="E146" s="74" t="s">
        <v>666</v>
      </c>
      <c r="F146" s="311">
        <v>43242.0</v>
      </c>
      <c r="G146" s="311">
        <v>43912.0</v>
      </c>
      <c r="H146" s="311">
        <v>44019.0</v>
      </c>
      <c r="I146" s="311">
        <v>44019.0</v>
      </c>
      <c r="J146" s="312">
        <v>14.99</v>
      </c>
      <c r="K146" s="312">
        <v>4.99</v>
      </c>
      <c r="L146" s="312">
        <v>10.0</v>
      </c>
      <c r="M146" s="74">
        <v>2.0</v>
      </c>
      <c r="N146" s="312">
        <v>2.5</v>
      </c>
    </row>
    <row r="147">
      <c r="A147" s="74" t="s">
        <v>141</v>
      </c>
      <c r="B147" s="74" t="s">
        <v>142</v>
      </c>
      <c r="C147" s="74">
        <v>639.0</v>
      </c>
      <c r="D147" s="74" t="s">
        <v>774</v>
      </c>
      <c r="E147" s="74" t="s">
        <v>33</v>
      </c>
      <c r="F147" s="311">
        <v>44102.0</v>
      </c>
      <c r="G147" s="311">
        <v>44334.0</v>
      </c>
      <c r="H147" s="311">
        <v>44334.0</v>
      </c>
      <c r="I147" s="311">
        <v>44334.0</v>
      </c>
      <c r="J147" s="312">
        <v>0.0</v>
      </c>
      <c r="K147" s="312">
        <v>0.0</v>
      </c>
      <c r="L147" s="312">
        <v>0.0</v>
      </c>
      <c r="M147" s="74">
        <v>1.0</v>
      </c>
      <c r="N147" s="312">
        <v>0.0</v>
      </c>
    </row>
    <row r="148">
      <c r="A148" s="146" t="s">
        <v>141</v>
      </c>
      <c r="B148" s="74" t="s">
        <v>143</v>
      </c>
      <c r="C148" s="74">
        <v>181.0</v>
      </c>
      <c r="D148" s="74" t="s">
        <v>772</v>
      </c>
      <c r="E148" s="74" t="s">
        <v>649</v>
      </c>
      <c r="F148" s="311">
        <v>40710.0</v>
      </c>
      <c r="G148" s="311">
        <v>44237.0</v>
      </c>
      <c r="H148" s="311">
        <v>44244.0</v>
      </c>
      <c r="I148" s="311">
        <v>44261.0</v>
      </c>
      <c r="J148" s="312">
        <v>19.99</v>
      </c>
      <c r="K148" s="312">
        <v>19.99</v>
      </c>
      <c r="L148" s="312">
        <v>0.0</v>
      </c>
      <c r="M148" s="74">
        <v>30.0</v>
      </c>
      <c r="N148" s="312">
        <v>0.67</v>
      </c>
    </row>
    <row r="149">
      <c r="A149" s="146" t="s">
        <v>141</v>
      </c>
      <c r="B149" s="74" t="s">
        <v>144</v>
      </c>
      <c r="C149" s="74">
        <v>417.0</v>
      </c>
      <c r="D149" s="74" t="s">
        <v>771</v>
      </c>
      <c r="E149" s="74" t="s">
        <v>649</v>
      </c>
      <c r="F149" s="311">
        <v>40087.0</v>
      </c>
      <c r="G149" s="311">
        <v>44539.0</v>
      </c>
      <c r="H149" s="311">
        <v>44539.0</v>
      </c>
      <c r="I149" s="311">
        <v>44539.0</v>
      </c>
      <c r="J149" s="312">
        <v>19.99</v>
      </c>
      <c r="K149" s="312">
        <v>7.99</v>
      </c>
      <c r="L149" s="312">
        <v>12.0</v>
      </c>
      <c r="M149" s="74">
        <v>1.0</v>
      </c>
      <c r="N149" s="312">
        <v>7.99</v>
      </c>
    </row>
    <row r="150">
      <c r="A150" s="340" t="s">
        <v>141</v>
      </c>
      <c r="B150" s="74" t="s">
        <v>145</v>
      </c>
      <c r="C150" s="74">
        <v>44.0</v>
      </c>
      <c r="D150" s="74" t="s">
        <v>770</v>
      </c>
      <c r="E150" s="74" t="s">
        <v>682</v>
      </c>
      <c r="F150" s="311">
        <v>36777.0</v>
      </c>
      <c r="G150" s="311">
        <v>41763.0</v>
      </c>
      <c r="H150" s="311">
        <v>41763.0</v>
      </c>
      <c r="I150" s="311">
        <v>41763.0</v>
      </c>
      <c r="J150" s="312">
        <v>4.99</v>
      </c>
      <c r="K150" s="312">
        <v>4.99</v>
      </c>
      <c r="L150" s="312">
        <v>0.0</v>
      </c>
      <c r="M150" s="74">
        <v>35.0</v>
      </c>
      <c r="N150" s="312">
        <v>0.14</v>
      </c>
    </row>
    <row r="151">
      <c r="A151" s="146" t="s">
        <v>141</v>
      </c>
      <c r="B151" s="146" t="s">
        <v>146</v>
      </c>
      <c r="C151" s="74">
        <v>1084.0</v>
      </c>
      <c r="D151" s="74" t="s">
        <v>775</v>
      </c>
      <c r="E151" s="74" t="s">
        <v>39</v>
      </c>
      <c r="F151" s="311">
        <v>45699.0</v>
      </c>
      <c r="G151" s="311">
        <v>45800.0</v>
      </c>
      <c r="H151" s="311">
        <v>45800.0</v>
      </c>
      <c r="I151" s="311">
        <v>45800.0</v>
      </c>
      <c r="J151" s="313">
        <v>16.99</v>
      </c>
      <c r="K151" s="313">
        <v>11.04</v>
      </c>
      <c r="L151" s="313">
        <v>5.95</v>
      </c>
      <c r="M151" s="74">
        <v>1.0</v>
      </c>
      <c r="N151" s="313">
        <v>11.04</v>
      </c>
    </row>
    <row r="152">
      <c r="A152" s="341"/>
      <c r="B152" s="315"/>
      <c r="C152" s="315"/>
      <c r="D152" s="315"/>
      <c r="E152" s="316"/>
      <c r="F152" s="316"/>
      <c r="G152" s="316"/>
      <c r="H152" s="316"/>
      <c r="I152" s="316"/>
      <c r="J152" s="342"/>
      <c r="K152" s="342"/>
      <c r="L152" s="342"/>
      <c r="M152" s="316"/>
      <c r="N152" s="342"/>
    </row>
    <row r="153">
      <c r="A153" s="343" t="s">
        <v>148</v>
      </c>
      <c r="B153" s="343" t="s">
        <v>147</v>
      </c>
      <c r="C153" s="343">
        <v>458.0</v>
      </c>
      <c r="D153" s="343" t="s">
        <v>776</v>
      </c>
      <c r="E153" s="343" t="s">
        <v>671</v>
      </c>
      <c r="F153" s="344">
        <v>42206.0</v>
      </c>
      <c r="G153" s="344">
        <v>42887.0</v>
      </c>
      <c r="H153" s="344">
        <v>42904.0</v>
      </c>
      <c r="I153" s="344">
        <v>44841.0</v>
      </c>
      <c r="J153" s="345">
        <v>7.99</v>
      </c>
      <c r="K153" s="345">
        <v>2.99</v>
      </c>
      <c r="L153" s="345">
        <v>5.0</v>
      </c>
      <c r="M153" s="343">
        <v>6.0</v>
      </c>
      <c r="N153" s="345">
        <v>0.5</v>
      </c>
    </row>
    <row r="154">
      <c r="A154" s="346"/>
      <c r="B154" s="346"/>
      <c r="C154" s="347"/>
      <c r="D154" s="348"/>
      <c r="E154" s="346"/>
      <c r="F154" s="346"/>
      <c r="G154" s="346"/>
      <c r="H154" s="346"/>
      <c r="I154" s="346"/>
      <c r="J154" s="349"/>
      <c r="K154" s="349"/>
      <c r="L154" s="349"/>
      <c r="M154" s="348"/>
      <c r="N154" s="349"/>
    </row>
    <row r="155">
      <c r="A155" s="350" t="s">
        <v>150</v>
      </c>
      <c r="B155" s="350" t="s">
        <v>149</v>
      </c>
      <c r="C155" s="85">
        <v>356.0</v>
      </c>
      <c r="D155" s="85" t="s">
        <v>777</v>
      </c>
      <c r="E155" s="85" t="s">
        <v>649</v>
      </c>
      <c r="F155" s="351">
        <v>41772.0</v>
      </c>
      <c r="G155" s="351">
        <v>45700.0</v>
      </c>
      <c r="H155" s="351">
        <v>45700.0</v>
      </c>
      <c r="I155" s="351">
        <v>45700.0</v>
      </c>
      <c r="J155" s="352">
        <v>9.99</v>
      </c>
      <c r="K155" s="352">
        <v>1.49</v>
      </c>
      <c r="L155" s="352">
        <v>8.5</v>
      </c>
      <c r="M155" s="85">
        <v>1.0</v>
      </c>
      <c r="N155" s="352">
        <v>1.49</v>
      </c>
    </row>
    <row r="156">
      <c r="A156" s="350" t="s">
        <v>150</v>
      </c>
      <c r="B156" s="350"/>
      <c r="C156" s="85">
        <v>926.0</v>
      </c>
      <c r="D156" s="85" t="s">
        <v>778</v>
      </c>
      <c r="E156" s="85" t="s">
        <v>33</v>
      </c>
      <c r="F156" s="351">
        <v>42290.0</v>
      </c>
      <c r="G156" s="351">
        <v>45707.0</v>
      </c>
      <c r="H156" s="351">
        <v>45707.0</v>
      </c>
      <c r="I156" s="351">
        <v>45707.0</v>
      </c>
      <c r="J156" s="352">
        <v>29.99</v>
      </c>
      <c r="K156" s="352">
        <v>4.49</v>
      </c>
      <c r="L156" s="352">
        <v>25.5</v>
      </c>
      <c r="M156" s="85">
        <v>1.0</v>
      </c>
      <c r="N156" s="352">
        <v>4.49</v>
      </c>
    </row>
    <row r="157">
      <c r="A157" s="350" t="s">
        <v>150</v>
      </c>
      <c r="B157" s="350"/>
      <c r="C157" s="85">
        <v>831.0</v>
      </c>
      <c r="D157" s="85" t="s">
        <v>780</v>
      </c>
      <c r="E157" s="85" t="s">
        <v>33</v>
      </c>
      <c r="F157" s="351">
        <v>43893.0</v>
      </c>
      <c r="G157" s="351">
        <v>45700.0</v>
      </c>
      <c r="H157" s="351">
        <v>45736.0</v>
      </c>
      <c r="I157" s="351">
        <v>45737.0</v>
      </c>
      <c r="J157" s="352">
        <v>10.0</v>
      </c>
      <c r="K157" s="352">
        <v>1.5</v>
      </c>
      <c r="L157" s="352">
        <v>8.5</v>
      </c>
      <c r="M157" s="85">
        <v>2.0</v>
      </c>
      <c r="N157" s="352">
        <v>0.75</v>
      </c>
    </row>
    <row r="158">
      <c r="A158" s="84" t="s">
        <v>150</v>
      </c>
      <c r="B158" s="84"/>
      <c r="C158" s="85">
        <v>832.0</v>
      </c>
      <c r="D158" s="85" t="s">
        <v>781</v>
      </c>
      <c r="E158" s="85" t="s">
        <v>33</v>
      </c>
      <c r="F158" s="351">
        <v>43893.0</v>
      </c>
      <c r="G158" s="351">
        <v>45700.0</v>
      </c>
      <c r="H158" s="351">
        <v>45700.0</v>
      </c>
      <c r="I158" s="351">
        <v>45700.0</v>
      </c>
      <c r="J158" s="352">
        <v>10.0</v>
      </c>
      <c r="K158" s="352">
        <v>1.5</v>
      </c>
      <c r="L158" s="352">
        <v>8.5</v>
      </c>
      <c r="M158" s="85">
        <v>1.0</v>
      </c>
      <c r="N158" s="352">
        <v>1.5</v>
      </c>
    </row>
    <row r="159">
      <c r="A159" s="315"/>
      <c r="B159" s="315"/>
      <c r="C159" s="341"/>
      <c r="D159" s="316"/>
      <c r="E159" s="316"/>
      <c r="F159" s="316"/>
      <c r="G159" s="316"/>
      <c r="H159" s="316"/>
      <c r="I159" s="316"/>
      <c r="J159" s="349">
        <f t="shared" ref="J159:M159" si="17">SUM(J155:J158)</f>
        <v>59.98</v>
      </c>
      <c r="K159" s="349">
        <f t="shared" si="17"/>
        <v>8.98</v>
      </c>
      <c r="L159" s="349">
        <f t="shared" si="17"/>
        <v>51</v>
      </c>
      <c r="M159" s="348">
        <f t="shared" si="17"/>
        <v>5</v>
      </c>
      <c r="N159" s="349">
        <f>K159/M159</f>
        <v>1.796</v>
      </c>
    </row>
    <row r="160">
      <c r="A160" s="85" t="s">
        <v>150</v>
      </c>
      <c r="B160" s="85" t="s">
        <v>151</v>
      </c>
      <c r="C160" s="85">
        <v>526.0</v>
      </c>
      <c r="D160" s="85" t="s">
        <v>779</v>
      </c>
      <c r="E160" s="85" t="s">
        <v>33</v>
      </c>
      <c r="F160" s="351">
        <v>43655.0</v>
      </c>
      <c r="G160" s="351">
        <v>43867.0</v>
      </c>
      <c r="H160" s="351">
        <v>43867.0</v>
      </c>
      <c r="I160" s="351">
        <v>43867.0</v>
      </c>
      <c r="J160" s="353">
        <v>14.99</v>
      </c>
      <c r="K160" s="353">
        <v>7.49</v>
      </c>
      <c r="L160" s="353">
        <v>7.5</v>
      </c>
      <c r="M160" s="85">
        <v>2.0</v>
      </c>
      <c r="N160" s="353">
        <v>3.75</v>
      </c>
    </row>
    <row r="161">
      <c r="A161" s="315"/>
      <c r="B161" s="315"/>
      <c r="C161" s="341"/>
      <c r="D161" s="316"/>
      <c r="E161" s="316"/>
      <c r="F161" s="316"/>
      <c r="G161" s="316"/>
      <c r="H161" s="316"/>
      <c r="I161" s="316"/>
      <c r="J161" s="342"/>
      <c r="K161" s="342"/>
      <c r="L161" s="342"/>
      <c r="M161" s="316"/>
      <c r="N161" s="342"/>
    </row>
    <row r="162">
      <c r="A162" s="346" t="s">
        <v>153</v>
      </c>
      <c r="B162" s="346" t="s">
        <v>152</v>
      </c>
      <c r="C162" s="346">
        <v>292.0</v>
      </c>
      <c r="D162" s="346" t="s">
        <v>782</v>
      </c>
      <c r="E162" s="346" t="s">
        <v>649</v>
      </c>
      <c r="F162" s="354">
        <v>40417.0</v>
      </c>
      <c r="G162" s="354">
        <v>41495.0</v>
      </c>
      <c r="H162" s="354">
        <v>41495.0</v>
      </c>
      <c r="I162" s="354">
        <v>44781.0</v>
      </c>
      <c r="J162" s="355">
        <v>29.99</v>
      </c>
      <c r="K162" s="355">
        <v>10.0</v>
      </c>
      <c r="L162" s="355">
        <v>19.99</v>
      </c>
      <c r="M162" s="346">
        <v>45.0</v>
      </c>
      <c r="N162" s="355">
        <v>0.22</v>
      </c>
    </row>
    <row r="163">
      <c r="A163" s="346" t="s">
        <v>153</v>
      </c>
      <c r="B163" s="346" t="s">
        <v>154</v>
      </c>
      <c r="C163" s="346">
        <v>989.0</v>
      </c>
      <c r="D163" s="346" t="s">
        <v>785</v>
      </c>
      <c r="E163" s="346" t="s">
        <v>666</v>
      </c>
      <c r="F163" s="354">
        <v>43221.0</v>
      </c>
      <c r="G163" s="354">
        <v>43475.0</v>
      </c>
      <c r="H163" s="354">
        <v>43479.0</v>
      </c>
      <c r="I163" s="354">
        <v>43481.0</v>
      </c>
      <c r="J163" s="355">
        <v>29.99</v>
      </c>
      <c r="K163" s="355">
        <v>29.99</v>
      </c>
      <c r="L163" s="355">
        <v>0.0</v>
      </c>
      <c r="M163" s="346">
        <v>1.0</v>
      </c>
      <c r="N163" s="355">
        <v>29.99</v>
      </c>
    </row>
    <row r="164">
      <c r="A164" s="346" t="s">
        <v>153</v>
      </c>
      <c r="B164" s="346" t="s">
        <v>155</v>
      </c>
      <c r="C164" s="346">
        <v>586.0</v>
      </c>
      <c r="D164" s="346" t="s">
        <v>784</v>
      </c>
      <c r="E164" s="346" t="s">
        <v>33</v>
      </c>
      <c r="F164" s="354">
        <v>42563.0</v>
      </c>
      <c r="G164" s="354">
        <v>42844.0</v>
      </c>
      <c r="H164" s="354">
        <v>44846.0</v>
      </c>
      <c r="I164" s="354">
        <v>44847.0</v>
      </c>
      <c r="J164" s="355">
        <v>19.99</v>
      </c>
      <c r="K164" s="355">
        <v>9.99</v>
      </c>
      <c r="L164" s="355">
        <v>10.0</v>
      </c>
      <c r="M164" s="346">
        <v>17.0</v>
      </c>
      <c r="N164" s="355">
        <v>0.59</v>
      </c>
    </row>
    <row r="165">
      <c r="A165" s="348" t="s">
        <v>153</v>
      </c>
      <c r="B165" s="346" t="s">
        <v>156</v>
      </c>
      <c r="C165" s="346">
        <v>268.0</v>
      </c>
      <c r="D165" s="346" t="s">
        <v>783</v>
      </c>
      <c r="E165" s="346" t="s">
        <v>649</v>
      </c>
      <c r="F165" s="354">
        <v>41919.0</v>
      </c>
      <c r="G165" s="354">
        <v>43295.0</v>
      </c>
      <c r="H165" s="354">
        <v>43423.0</v>
      </c>
      <c r="I165" s="354">
        <v>44872.0</v>
      </c>
      <c r="J165" s="355">
        <v>6.99</v>
      </c>
      <c r="K165" s="355">
        <v>6.99</v>
      </c>
      <c r="L165" s="355">
        <v>0.0</v>
      </c>
      <c r="M165" s="346">
        <v>3.0</v>
      </c>
      <c r="N165" s="355">
        <v>2.33</v>
      </c>
    </row>
    <row r="166">
      <c r="A166" s="348" t="s">
        <v>153</v>
      </c>
      <c r="B166" s="348" t="s">
        <v>157</v>
      </c>
      <c r="C166" s="346">
        <v>1056.0</v>
      </c>
      <c r="D166" s="346" t="s">
        <v>786</v>
      </c>
      <c r="E166" s="346" t="s">
        <v>39</v>
      </c>
      <c r="F166" s="354">
        <v>45092.0</v>
      </c>
      <c r="G166" s="354">
        <v>45719.0</v>
      </c>
      <c r="H166" s="354">
        <v>45719.0</v>
      </c>
      <c r="I166" s="354">
        <v>45719.0</v>
      </c>
      <c r="J166" s="356">
        <v>19.99</v>
      </c>
      <c r="K166" s="356">
        <v>4.99</v>
      </c>
      <c r="L166" s="356">
        <v>15.0</v>
      </c>
      <c r="M166" s="346">
        <v>1.0</v>
      </c>
      <c r="N166" s="356">
        <v>4.99</v>
      </c>
    </row>
    <row r="167">
      <c r="A167" s="348"/>
      <c r="B167" s="346"/>
      <c r="C167" s="347"/>
      <c r="D167" s="348"/>
      <c r="E167" s="348"/>
      <c r="F167" s="348"/>
      <c r="G167" s="348"/>
      <c r="H167" s="348"/>
      <c r="I167" s="348"/>
      <c r="J167" s="349"/>
      <c r="K167" s="349"/>
      <c r="L167" s="349"/>
      <c r="M167" s="348"/>
      <c r="N167" s="349"/>
    </row>
    <row r="168">
      <c r="A168" s="74" t="s">
        <v>159</v>
      </c>
      <c r="B168" s="74" t="s">
        <v>158</v>
      </c>
      <c r="C168" s="74">
        <v>16.0</v>
      </c>
      <c r="D168" s="74" t="s">
        <v>787</v>
      </c>
      <c r="E168" s="74" t="s">
        <v>682</v>
      </c>
      <c r="F168" s="311">
        <v>35765.0</v>
      </c>
      <c r="G168" s="311">
        <v>42363.0</v>
      </c>
      <c r="H168" s="311">
        <v>43123.0</v>
      </c>
      <c r="I168" s="311">
        <v>44022.0</v>
      </c>
      <c r="J168" s="312">
        <v>22.98</v>
      </c>
      <c r="K168" s="312">
        <v>8.98</v>
      </c>
      <c r="L168" s="312">
        <v>14.0</v>
      </c>
      <c r="M168" s="74">
        <v>1.0</v>
      </c>
      <c r="N168" s="312">
        <v>8.98</v>
      </c>
    </row>
    <row r="169">
      <c r="A169" s="74" t="s">
        <v>159</v>
      </c>
      <c r="B169" s="74" t="s">
        <v>160</v>
      </c>
      <c r="C169" s="74">
        <v>860.0</v>
      </c>
      <c r="D169" s="74" t="s">
        <v>791</v>
      </c>
      <c r="E169" s="74" t="s">
        <v>33</v>
      </c>
      <c r="F169" s="311">
        <v>42465.0</v>
      </c>
      <c r="G169" s="311">
        <v>43964.0</v>
      </c>
      <c r="H169" s="311">
        <v>44039.0</v>
      </c>
      <c r="I169" s="311">
        <v>44039.0</v>
      </c>
      <c r="J169" s="312">
        <v>9.99</v>
      </c>
      <c r="K169" s="312">
        <v>4.49</v>
      </c>
      <c r="L169" s="312">
        <v>5.5</v>
      </c>
      <c r="M169" s="74">
        <v>2.0</v>
      </c>
      <c r="N169" s="312">
        <v>2.25</v>
      </c>
    </row>
    <row r="170">
      <c r="A170" s="339" t="s">
        <v>159</v>
      </c>
      <c r="B170" s="146" t="s">
        <v>161</v>
      </c>
      <c r="C170" s="146">
        <v>1093.0</v>
      </c>
      <c r="D170" s="146" t="s">
        <v>796</v>
      </c>
      <c r="E170" s="146" t="s">
        <v>33</v>
      </c>
      <c r="F170" s="311">
        <v>45198.0</v>
      </c>
      <c r="G170" s="311">
        <v>45937.0</v>
      </c>
      <c r="H170" s="311">
        <v>45937.0</v>
      </c>
      <c r="I170" s="311">
        <v>45937.0</v>
      </c>
      <c r="J170" s="148">
        <v>24.99</v>
      </c>
      <c r="K170" s="148">
        <v>0.0</v>
      </c>
      <c r="L170" s="148">
        <f>J170-K170</f>
        <v>24.99</v>
      </c>
      <c r="M170" s="340">
        <v>1.0</v>
      </c>
      <c r="N170" s="148">
        <f>K170/M170</f>
        <v>0</v>
      </c>
    </row>
    <row r="171">
      <c r="A171" s="74" t="s">
        <v>159</v>
      </c>
      <c r="B171" s="74" t="s">
        <v>162</v>
      </c>
      <c r="C171" s="74">
        <v>580.0</v>
      </c>
      <c r="D171" s="74" t="s">
        <v>795</v>
      </c>
      <c r="E171" s="74" t="s">
        <v>33</v>
      </c>
      <c r="F171" s="311">
        <v>44565.0</v>
      </c>
      <c r="G171" s="311">
        <v>44565.0</v>
      </c>
      <c r="H171" s="311">
        <v>44565.0</v>
      </c>
      <c r="I171" s="311">
        <v>44565.0</v>
      </c>
      <c r="J171" s="312">
        <v>29.99</v>
      </c>
      <c r="K171" s="312">
        <v>0.0</v>
      </c>
      <c r="L171" s="312">
        <v>29.99</v>
      </c>
      <c r="M171" s="74">
        <v>1.0</v>
      </c>
      <c r="N171" s="312">
        <v>0.0</v>
      </c>
    </row>
    <row r="172">
      <c r="A172" s="74" t="s">
        <v>159</v>
      </c>
      <c r="B172" s="74" t="s">
        <v>163</v>
      </c>
      <c r="C172" s="74">
        <v>631.0</v>
      </c>
      <c r="D172" s="74" t="s">
        <v>794</v>
      </c>
      <c r="E172" s="74" t="s">
        <v>33</v>
      </c>
      <c r="F172" s="311">
        <v>44502.0</v>
      </c>
      <c r="G172" s="311">
        <v>44502.0</v>
      </c>
      <c r="H172" s="311">
        <v>44502.0</v>
      </c>
      <c r="I172" s="311">
        <v>44502.0</v>
      </c>
      <c r="J172" s="312">
        <v>19.99</v>
      </c>
      <c r="K172" s="312">
        <v>0.0</v>
      </c>
      <c r="L172" s="312">
        <v>19.99</v>
      </c>
      <c r="M172" s="74">
        <v>1.0</v>
      </c>
      <c r="N172" s="312">
        <v>0.0</v>
      </c>
    </row>
    <row r="173">
      <c r="A173" s="146" t="s">
        <v>159</v>
      </c>
      <c r="B173" s="74" t="s">
        <v>164</v>
      </c>
      <c r="C173" s="74">
        <v>272.0</v>
      </c>
      <c r="D173" s="74" t="s">
        <v>788</v>
      </c>
      <c r="E173" s="74" t="s">
        <v>649</v>
      </c>
      <c r="F173" s="311">
        <v>39409.0</v>
      </c>
      <c r="G173" s="311">
        <v>44091.0</v>
      </c>
      <c r="H173" s="311">
        <v>44091.0</v>
      </c>
      <c r="I173" s="311">
        <v>44091.0</v>
      </c>
      <c r="J173" s="312">
        <v>19.99</v>
      </c>
      <c r="K173" s="312">
        <v>2.0</v>
      </c>
      <c r="L173" s="312">
        <v>17.99</v>
      </c>
      <c r="M173" s="74">
        <v>1.0</v>
      </c>
      <c r="N173" s="312">
        <v>2.0</v>
      </c>
    </row>
    <row r="174">
      <c r="A174" s="146" t="s">
        <v>159</v>
      </c>
      <c r="B174" s="74"/>
      <c r="C174" s="74">
        <v>273.0</v>
      </c>
      <c r="D174" s="74" t="s">
        <v>789</v>
      </c>
      <c r="E174" s="74" t="s">
        <v>649</v>
      </c>
      <c r="F174" s="311">
        <v>40410.0</v>
      </c>
      <c r="G174" s="311">
        <v>44091.0</v>
      </c>
      <c r="H174" s="311">
        <v>44091.0</v>
      </c>
      <c r="I174" s="311">
        <v>44091.0</v>
      </c>
      <c r="J174" s="312">
        <v>21.99</v>
      </c>
      <c r="K174" s="312">
        <v>2.0</v>
      </c>
      <c r="L174" s="312">
        <v>19.99</v>
      </c>
      <c r="M174" s="74">
        <v>1.0</v>
      </c>
      <c r="N174" s="312">
        <v>2.0</v>
      </c>
    </row>
    <row r="175">
      <c r="A175" s="146" t="s">
        <v>159</v>
      </c>
      <c r="B175" s="74"/>
      <c r="C175" s="74">
        <v>260.0</v>
      </c>
      <c r="D175" s="74" t="s">
        <v>790</v>
      </c>
      <c r="E175" s="74" t="s">
        <v>649</v>
      </c>
      <c r="F175" s="311">
        <v>41233.0</v>
      </c>
      <c r="G175" s="311">
        <v>44115.0</v>
      </c>
      <c r="H175" s="311">
        <v>45134.0</v>
      </c>
      <c r="I175" s="311">
        <v>45134.0</v>
      </c>
      <c r="J175" s="312">
        <v>19.99</v>
      </c>
      <c r="K175" s="312">
        <v>5.0</v>
      </c>
      <c r="L175" s="312">
        <v>14.99</v>
      </c>
      <c r="M175" s="74">
        <v>5.0</v>
      </c>
      <c r="N175" s="312">
        <v>1.0</v>
      </c>
    </row>
    <row r="176">
      <c r="A176" s="74" t="s">
        <v>159</v>
      </c>
      <c r="B176" s="74"/>
      <c r="C176" s="74">
        <v>659.0</v>
      </c>
      <c r="D176" s="74" t="s">
        <v>792</v>
      </c>
      <c r="E176" s="74" t="s">
        <v>33</v>
      </c>
      <c r="F176" s="311">
        <v>43417.0</v>
      </c>
      <c r="G176" s="311">
        <v>44461.0</v>
      </c>
      <c r="H176" s="311">
        <v>45937.0</v>
      </c>
      <c r="I176" s="311">
        <v>45937.0</v>
      </c>
      <c r="J176" s="312">
        <v>69.99</v>
      </c>
      <c r="K176" s="312">
        <v>0.0</v>
      </c>
      <c r="L176" s="312">
        <v>69.99</v>
      </c>
      <c r="M176" s="74">
        <v>2.0</v>
      </c>
      <c r="N176" s="312">
        <v>0.0</v>
      </c>
    </row>
    <row r="177">
      <c r="A177" s="40"/>
      <c r="B177" s="40"/>
      <c r="C177" s="357"/>
      <c r="D177" s="358"/>
      <c r="E177" s="40"/>
      <c r="F177" s="40"/>
      <c r="G177" s="40"/>
      <c r="H177" s="40"/>
      <c r="I177" s="40"/>
      <c r="J177" s="359">
        <f t="shared" ref="J177:M177" si="18">SUM(J173:J176)</f>
        <v>131.96</v>
      </c>
      <c r="K177" s="359">
        <f t="shared" si="18"/>
        <v>9</v>
      </c>
      <c r="L177" s="359">
        <f t="shared" si="18"/>
        <v>122.96</v>
      </c>
      <c r="M177" s="358">
        <f t="shared" si="18"/>
        <v>9</v>
      </c>
      <c r="N177" s="317">
        <f>K177/M177</f>
        <v>1</v>
      </c>
    </row>
    <row r="178">
      <c r="A178" s="74" t="s">
        <v>159</v>
      </c>
      <c r="B178" s="74" t="s">
        <v>165</v>
      </c>
      <c r="C178" s="74">
        <v>643.0</v>
      </c>
      <c r="D178" s="74" t="s">
        <v>793</v>
      </c>
      <c r="E178" s="74" t="s">
        <v>33</v>
      </c>
      <c r="F178" s="311">
        <v>44131.0</v>
      </c>
      <c r="G178" s="311">
        <v>44621.0</v>
      </c>
      <c r="H178" s="311">
        <v>44621.0</v>
      </c>
      <c r="I178" s="311">
        <v>44621.0</v>
      </c>
      <c r="J178" s="312">
        <v>29.99</v>
      </c>
      <c r="K178" s="312">
        <v>0.0</v>
      </c>
      <c r="L178" s="312">
        <v>29.99</v>
      </c>
      <c r="M178" s="74">
        <v>2.0</v>
      </c>
      <c r="N178" s="312">
        <v>0.0</v>
      </c>
    </row>
    <row r="179">
      <c r="A179" s="318"/>
      <c r="B179" s="318"/>
      <c r="C179" s="319"/>
      <c r="D179" s="320"/>
      <c r="E179" s="318"/>
      <c r="F179" s="318"/>
      <c r="G179" s="318"/>
      <c r="H179" s="318"/>
      <c r="I179" s="318"/>
      <c r="J179" s="321"/>
      <c r="K179" s="321"/>
      <c r="L179" s="321"/>
      <c r="M179" s="320"/>
      <c r="N179" s="321"/>
    </row>
    <row r="180">
      <c r="A180" s="85" t="s">
        <v>167</v>
      </c>
      <c r="B180" s="85" t="s">
        <v>166</v>
      </c>
      <c r="C180" s="85">
        <v>433.0</v>
      </c>
      <c r="D180" s="85" t="s">
        <v>797</v>
      </c>
      <c r="E180" s="85" t="s">
        <v>671</v>
      </c>
      <c r="F180" s="351">
        <v>43732.0</v>
      </c>
      <c r="G180" s="351">
        <v>43912.0</v>
      </c>
      <c r="H180" s="351">
        <v>44911.0</v>
      </c>
      <c r="I180" s="351">
        <v>44912.0</v>
      </c>
      <c r="J180" s="353">
        <v>1.99</v>
      </c>
      <c r="K180" s="353">
        <v>1.99</v>
      </c>
      <c r="L180" s="353">
        <v>0.0</v>
      </c>
      <c r="M180" s="85">
        <v>2.0</v>
      </c>
      <c r="N180" s="353">
        <v>1.0</v>
      </c>
    </row>
    <row r="181">
      <c r="A181" s="346"/>
      <c r="B181" s="346"/>
      <c r="C181" s="347"/>
      <c r="D181" s="348"/>
      <c r="E181" s="348"/>
      <c r="F181" s="348"/>
      <c r="G181" s="348"/>
      <c r="H181" s="348"/>
      <c r="I181" s="348"/>
      <c r="J181" s="349"/>
      <c r="K181" s="349"/>
      <c r="L181" s="349"/>
      <c r="M181" s="348"/>
      <c r="N181" s="349"/>
    </row>
    <row r="182">
      <c r="A182" s="40" t="s">
        <v>25</v>
      </c>
      <c r="B182" s="40" t="s">
        <v>168</v>
      </c>
      <c r="C182" s="40">
        <v>578.0</v>
      </c>
      <c r="D182" s="40" t="s">
        <v>947</v>
      </c>
      <c r="E182" s="40" t="s">
        <v>33</v>
      </c>
      <c r="F182" s="360">
        <v>44523.0</v>
      </c>
      <c r="G182" s="360">
        <v>45140.0</v>
      </c>
      <c r="H182" s="360">
        <v>45809.0</v>
      </c>
      <c r="I182" s="360">
        <v>45809.0</v>
      </c>
      <c r="J182" s="361">
        <v>19.99</v>
      </c>
      <c r="K182" s="361">
        <v>0.0</v>
      </c>
      <c r="L182" s="361">
        <v>19.99</v>
      </c>
      <c r="M182" s="40">
        <v>2.0</v>
      </c>
      <c r="N182" s="361">
        <v>0.0</v>
      </c>
    </row>
    <row r="183">
      <c r="A183" s="40" t="s">
        <v>25</v>
      </c>
      <c r="B183" s="40" t="s">
        <v>169</v>
      </c>
      <c r="C183" s="40">
        <v>1082.0</v>
      </c>
      <c r="D183" s="40" t="s">
        <v>975</v>
      </c>
      <c r="E183" s="40" t="s">
        <v>39</v>
      </c>
      <c r="F183" s="360">
        <v>45552.0</v>
      </c>
      <c r="G183" s="360">
        <v>45554.0</v>
      </c>
      <c r="H183" s="360">
        <v>45555.0</v>
      </c>
      <c r="I183" s="360">
        <v>45559.0</v>
      </c>
      <c r="J183" s="362">
        <v>29.99</v>
      </c>
      <c r="K183" s="362">
        <v>0.0</v>
      </c>
      <c r="L183" s="362">
        <v>29.99</v>
      </c>
      <c r="M183" s="40">
        <v>10.0</v>
      </c>
      <c r="N183" s="361">
        <v>0.0</v>
      </c>
    </row>
    <row r="184">
      <c r="A184" s="40" t="s">
        <v>25</v>
      </c>
      <c r="B184" s="40" t="s">
        <v>170</v>
      </c>
      <c r="C184" s="40">
        <v>535.0</v>
      </c>
      <c r="D184" s="40" t="s">
        <v>938</v>
      </c>
      <c r="E184" s="40" t="s">
        <v>33</v>
      </c>
      <c r="F184" s="360">
        <v>44165.0</v>
      </c>
      <c r="G184" s="360">
        <v>45070.0</v>
      </c>
      <c r="H184" s="360">
        <v>45070.0</v>
      </c>
      <c r="I184" s="360">
        <v>45070.0</v>
      </c>
      <c r="J184" s="361">
        <v>10.99</v>
      </c>
      <c r="K184" s="361">
        <v>0.54</v>
      </c>
      <c r="L184" s="361">
        <v>10.45</v>
      </c>
      <c r="M184" s="40">
        <v>1.0</v>
      </c>
      <c r="N184" s="361">
        <v>0.54</v>
      </c>
    </row>
    <row r="185">
      <c r="A185" s="358" t="s">
        <v>25</v>
      </c>
      <c r="B185" s="358" t="s">
        <v>171</v>
      </c>
      <c r="C185" s="358">
        <v>1091.0</v>
      </c>
      <c r="D185" s="358" t="s">
        <v>801</v>
      </c>
      <c r="E185" s="358" t="s">
        <v>682</v>
      </c>
      <c r="F185" s="360">
        <v>35699.0</v>
      </c>
      <c r="G185" s="360">
        <v>45920.0</v>
      </c>
      <c r="H185" s="360">
        <v>45921.0</v>
      </c>
      <c r="I185" s="360">
        <v>45922.0</v>
      </c>
      <c r="J185" s="363">
        <v>29.99</v>
      </c>
      <c r="K185" s="363">
        <v>0.0</v>
      </c>
      <c r="L185" s="363">
        <f>J185-K185</f>
        <v>29.99</v>
      </c>
      <c r="M185" s="358">
        <v>6.0</v>
      </c>
      <c r="N185" s="363">
        <f>K185/M185</f>
        <v>0</v>
      </c>
    </row>
    <row r="186">
      <c r="A186" s="40" t="s">
        <v>25</v>
      </c>
      <c r="B186" s="40" t="s">
        <v>172</v>
      </c>
      <c r="C186" s="40">
        <v>476.0</v>
      </c>
      <c r="D186" s="40" t="s">
        <v>889</v>
      </c>
      <c r="E186" s="40" t="s">
        <v>671</v>
      </c>
      <c r="F186" s="360">
        <v>41990.0</v>
      </c>
      <c r="G186" s="360">
        <v>42363.0</v>
      </c>
      <c r="H186" s="360">
        <v>42363.0</v>
      </c>
      <c r="I186" s="360">
        <v>42363.0</v>
      </c>
      <c r="J186" s="361">
        <v>10.99</v>
      </c>
      <c r="K186" s="361">
        <v>3.99</v>
      </c>
      <c r="L186" s="361">
        <v>7.0</v>
      </c>
      <c r="M186" s="40">
        <v>1.0</v>
      </c>
      <c r="N186" s="361">
        <v>3.99</v>
      </c>
    </row>
    <row r="187">
      <c r="A187" s="358" t="s">
        <v>25</v>
      </c>
      <c r="B187" s="40" t="s">
        <v>173</v>
      </c>
      <c r="C187" s="40">
        <v>401.0</v>
      </c>
      <c r="D187" s="40" t="s">
        <v>865</v>
      </c>
      <c r="E187" s="40" t="s">
        <v>649</v>
      </c>
      <c r="F187" s="360">
        <v>41388.0</v>
      </c>
      <c r="G187" s="360">
        <v>41410.0</v>
      </c>
      <c r="H187" s="360">
        <v>41410.0</v>
      </c>
      <c r="I187" s="360">
        <v>44764.0</v>
      </c>
      <c r="J187" s="361">
        <v>7.99</v>
      </c>
      <c r="K187" s="361">
        <v>0.0</v>
      </c>
      <c r="L187" s="361">
        <v>7.99</v>
      </c>
      <c r="M187" s="40">
        <v>2.0</v>
      </c>
      <c r="N187" s="361">
        <v>0.0</v>
      </c>
    </row>
    <row r="188">
      <c r="A188" s="40" t="s">
        <v>25</v>
      </c>
      <c r="B188" s="40"/>
      <c r="C188" s="40">
        <v>958.0</v>
      </c>
      <c r="D188" s="40" t="s">
        <v>902</v>
      </c>
      <c r="E188" s="40" t="s">
        <v>33</v>
      </c>
      <c r="F188" s="360">
        <v>42234.0</v>
      </c>
      <c r="G188" s="360">
        <v>42950.0</v>
      </c>
      <c r="H188" s="360">
        <v>43082.0</v>
      </c>
      <c r="I188" s="360">
        <v>44957.0</v>
      </c>
      <c r="J188" s="361">
        <v>17.99</v>
      </c>
      <c r="K188" s="361">
        <v>4.99</v>
      </c>
      <c r="L188" s="361">
        <v>13.0</v>
      </c>
      <c r="M188" s="40">
        <v>5.0</v>
      </c>
      <c r="N188" s="361">
        <v>1.0</v>
      </c>
    </row>
    <row r="189">
      <c r="A189" s="146"/>
      <c r="B189" s="146"/>
      <c r="C189" s="340"/>
      <c r="D189" s="146"/>
      <c r="E189" s="146"/>
      <c r="F189" s="146"/>
      <c r="G189" s="146"/>
      <c r="H189" s="146"/>
      <c r="I189" s="146"/>
      <c r="J189" s="339">
        <f t="shared" ref="J189:M189" si="19">SUM(J187:J188)</f>
        <v>25.98</v>
      </c>
      <c r="K189" s="339">
        <f t="shared" si="19"/>
        <v>4.99</v>
      </c>
      <c r="L189" s="339">
        <f t="shared" si="19"/>
        <v>20.99</v>
      </c>
      <c r="M189" s="146">
        <f t="shared" si="19"/>
        <v>7</v>
      </c>
      <c r="N189" s="339">
        <f>K189/M189</f>
        <v>0.7128571429</v>
      </c>
    </row>
    <row r="190">
      <c r="A190" s="358" t="s">
        <v>25</v>
      </c>
      <c r="B190" s="40" t="s">
        <v>174</v>
      </c>
      <c r="C190" s="40">
        <v>200.0</v>
      </c>
      <c r="D190" s="40" t="s">
        <v>845</v>
      </c>
      <c r="E190" s="40" t="s">
        <v>649</v>
      </c>
      <c r="F190" s="360">
        <v>40326.0</v>
      </c>
      <c r="G190" s="360">
        <v>40327.0</v>
      </c>
      <c r="H190" s="360">
        <v>40327.0</v>
      </c>
      <c r="I190" s="360">
        <v>40331.0</v>
      </c>
      <c r="J190" s="361">
        <v>19.99</v>
      </c>
      <c r="K190" s="361">
        <v>18.0</v>
      </c>
      <c r="L190" s="361">
        <v>1.99</v>
      </c>
      <c r="M190" s="40">
        <v>25.0</v>
      </c>
      <c r="N190" s="361">
        <v>0.72</v>
      </c>
    </row>
    <row r="191">
      <c r="A191" s="40" t="s">
        <v>25</v>
      </c>
      <c r="B191" s="40" t="s">
        <v>175</v>
      </c>
      <c r="C191" s="40">
        <v>877.0</v>
      </c>
      <c r="D191" s="40" t="s">
        <v>897</v>
      </c>
      <c r="E191" s="40" t="s">
        <v>33</v>
      </c>
      <c r="F191" s="360">
        <v>41864.0</v>
      </c>
      <c r="G191" s="360">
        <v>43804.0</v>
      </c>
      <c r="H191" s="360">
        <v>43809.0</v>
      </c>
      <c r="I191" s="360">
        <v>43809.0</v>
      </c>
      <c r="J191" s="361">
        <v>30.98</v>
      </c>
      <c r="K191" s="361">
        <v>24.98</v>
      </c>
      <c r="L191" s="361">
        <v>6.0</v>
      </c>
      <c r="M191" s="40">
        <v>5.0</v>
      </c>
      <c r="N191" s="361">
        <v>5.0</v>
      </c>
    </row>
    <row r="192">
      <c r="A192" s="40" t="s">
        <v>25</v>
      </c>
      <c r="B192" s="40"/>
      <c r="C192" s="40">
        <v>671.0</v>
      </c>
      <c r="D192" s="40" t="s">
        <v>903</v>
      </c>
      <c r="E192" s="40" t="s">
        <v>33</v>
      </c>
      <c r="F192" s="360">
        <v>42241.0</v>
      </c>
      <c r="G192" s="360">
        <v>44640.0</v>
      </c>
      <c r="H192" s="360">
        <v>44837.0</v>
      </c>
      <c r="I192" s="360">
        <v>44837.0</v>
      </c>
      <c r="J192" s="361">
        <v>12.99</v>
      </c>
      <c r="K192" s="361">
        <v>2.59</v>
      </c>
      <c r="L192" s="361">
        <v>10.4</v>
      </c>
      <c r="M192" s="40">
        <v>1.0</v>
      </c>
      <c r="N192" s="361">
        <v>2.59</v>
      </c>
    </row>
    <row r="193">
      <c r="A193" s="146"/>
      <c r="B193" s="146"/>
      <c r="C193" s="340"/>
      <c r="D193" s="146"/>
      <c r="E193" s="146"/>
      <c r="F193" s="146"/>
      <c r="G193" s="146"/>
      <c r="H193" s="146"/>
      <c r="I193" s="146"/>
      <c r="J193" s="339">
        <f t="shared" ref="J193:M193" si="20">SUM(J191:J192)</f>
        <v>43.97</v>
      </c>
      <c r="K193" s="339">
        <f t="shared" si="20"/>
        <v>27.57</v>
      </c>
      <c r="L193" s="339">
        <f t="shared" si="20"/>
        <v>16.4</v>
      </c>
      <c r="M193" s="146">
        <f t="shared" si="20"/>
        <v>6</v>
      </c>
      <c r="N193" s="339">
        <f>K193/M193</f>
        <v>4.595</v>
      </c>
    </row>
    <row r="194">
      <c r="A194" s="40" t="s">
        <v>25</v>
      </c>
      <c r="B194" s="40" t="s">
        <v>176</v>
      </c>
      <c r="C194" s="40">
        <v>797.0</v>
      </c>
      <c r="D194" s="40" t="s">
        <v>932</v>
      </c>
      <c r="E194" s="40" t="s">
        <v>33</v>
      </c>
      <c r="F194" s="360">
        <v>43921.0</v>
      </c>
      <c r="G194" s="360">
        <v>44609.0</v>
      </c>
      <c r="H194" s="360">
        <v>44610.0</v>
      </c>
      <c r="I194" s="360">
        <v>45631.0</v>
      </c>
      <c r="J194" s="361">
        <v>17.99</v>
      </c>
      <c r="K194" s="361">
        <v>8.99</v>
      </c>
      <c r="L194" s="361">
        <v>9.0</v>
      </c>
      <c r="M194" s="40">
        <v>11.0</v>
      </c>
      <c r="N194" s="361">
        <v>0.82</v>
      </c>
    </row>
    <row r="195">
      <c r="A195" s="358" t="s">
        <v>25</v>
      </c>
      <c r="B195" s="40" t="s">
        <v>177</v>
      </c>
      <c r="C195" s="40">
        <v>420.0</v>
      </c>
      <c r="D195" s="40" t="s">
        <v>861</v>
      </c>
      <c r="E195" s="40" t="s">
        <v>649</v>
      </c>
      <c r="F195" s="360">
        <v>41219.0</v>
      </c>
      <c r="G195" s="360">
        <v>44422.0</v>
      </c>
      <c r="H195" s="360">
        <v>45060.0</v>
      </c>
      <c r="I195" s="360">
        <v>45068.0</v>
      </c>
      <c r="J195" s="361">
        <v>4.99</v>
      </c>
      <c r="K195" s="361">
        <v>4.99</v>
      </c>
      <c r="L195" s="361">
        <v>0.0</v>
      </c>
      <c r="M195" s="40">
        <v>5.0</v>
      </c>
      <c r="N195" s="361">
        <v>1.0</v>
      </c>
    </row>
    <row r="196">
      <c r="A196" s="40" t="s">
        <v>25</v>
      </c>
      <c r="B196" s="40" t="s">
        <v>178</v>
      </c>
      <c r="C196" s="40">
        <v>873.0</v>
      </c>
      <c r="D196" s="40" t="s">
        <v>941</v>
      </c>
      <c r="E196" s="40" t="s">
        <v>33</v>
      </c>
      <c r="F196" s="360">
        <v>44273.0</v>
      </c>
      <c r="G196" s="360">
        <v>44335.0</v>
      </c>
      <c r="H196" s="360">
        <v>44424.0</v>
      </c>
      <c r="I196" s="360">
        <v>44427.0</v>
      </c>
      <c r="J196" s="361">
        <v>5.99</v>
      </c>
      <c r="K196" s="361">
        <v>4.19</v>
      </c>
      <c r="L196" s="361">
        <v>1.8</v>
      </c>
      <c r="M196" s="40">
        <v>5.0</v>
      </c>
      <c r="N196" s="361">
        <v>0.84</v>
      </c>
    </row>
    <row r="197">
      <c r="A197" s="358" t="s">
        <v>25</v>
      </c>
      <c r="B197" s="40" t="s">
        <v>24</v>
      </c>
      <c r="C197" s="358">
        <v>1101.0</v>
      </c>
      <c r="D197" s="358" t="s">
        <v>32</v>
      </c>
      <c r="E197" s="358" t="s">
        <v>33</v>
      </c>
      <c r="F197" s="364">
        <v>45505.0</v>
      </c>
      <c r="G197" s="364">
        <v>46016.0</v>
      </c>
      <c r="H197" s="364">
        <v>46016.0</v>
      </c>
      <c r="I197" s="364">
        <v>46016.0</v>
      </c>
      <c r="J197" s="363">
        <v>17.99</v>
      </c>
      <c r="K197" s="363">
        <v>0.0</v>
      </c>
      <c r="L197" s="363">
        <v>17.99</v>
      </c>
      <c r="M197" s="358">
        <v>1.0</v>
      </c>
      <c r="N197" s="363">
        <v>0.0</v>
      </c>
    </row>
    <row r="198">
      <c r="A198" s="40" t="s">
        <v>25</v>
      </c>
      <c r="B198" s="40" t="s">
        <v>179</v>
      </c>
      <c r="C198" s="40">
        <v>6.0</v>
      </c>
      <c r="D198" s="40" t="s">
        <v>805</v>
      </c>
      <c r="E198" s="40" t="s">
        <v>682</v>
      </c>
      <c r="F198" s="360">
        <v>35991.0</v>
      </c>
      <c r="G198" s="360">
        <v>40538.0</v>
      </c>
      <c r="H198" s="360">
        <v>40538.0</v>
      </c>
      <c r="I198" s="360">
        <v>40538.0</v>
      </c>
      <c r="J198" s="361">
        <v>9.99</v>
      </c>
      <c r="K198" s="361">
        <v>9.99</v>
      </c>
      <c r="L198" s="361">
        <v>0.0</v>
      </c>
      <c r="M198" s="40">
        <v>70.0</v>
      </c>
      <c r="N198" s="361">
        <v>0.14</v>
      </c>
    </row>
    <row r="199">
      <c r="A199" s="40" t="s">
        <v>25</v>
      </c>
      <c r="B199" s="40"/>
      <c r="C199" s="40">
        <v>750.0</v>
      </c>
      <c r="D199" s="40" t="s">
        <v>922</v>
      </c>
      <c r="E199" s="40" t="s">
        <v>33</v>
      </c>
      <c r="F199" s="360">
        <v>42916.0</v>
      </c>
      <c r="G199" s="360">
        <v>42810.0</v>
      </c>
      <c r="H199" s="360">
        <v>42916.0</v>
      </c>
      <c r="I199" s="360">
        <v>42916.0</v>
      </c>
      <c r="J199" s="361">
        <v>39.99</v>
      </c>
      <c r="K199" s="361">
        <v>26.99</v>
      </c>
      <c r="L199" s="361">
        <v>13.0</v>
      </c>
      <c r="M199" s="40">
        <v>1.0</v>
      </c>
      <c r="N199" s="361">
        <v>26.99</v>
      </c>
    </row>
    <row r="200">
      <c r="A200" s="40" t="s">
        <v>25</v>
      </c>
      <c r="B200" s="40"/>
      <c r="C200" s="40">
        <v>587.0</v>
      </c>
      <c r="D200" s="40" t="s">
        <v>935</v>
      </c>
      <c r="E200" s="40" t="s">
        <v>33</v>
      </c>
      <c r="F200" s="360">
        <v>44141.0</v>
      </c>
      <c r="G200" s="360">
        <v>44565.0</v>
      </c>
      <c r="H200" s="360">
        <v>44565.0</v>
      </c>
      <c r="I200" s="360">
        <v>44565.0</v>
      </c>
      <c r="J200" s="361">
        <v>69.99</v>
      </c>
      <c r="K200" s="361">
        <v>0.0</v>
      </c>
      <c r="L200" s="361">
        <v>69.99</v>
      </c>
      <c r="M200" s="40">
        <v>1.0</v>
      </c>
      <c r="N200" s="361">
        <v>0.0</v>
      </c>
    </row>
    <row r="201">
      <c r="A201" s="40" t="s">
        <v>25</v>
      </c>
      <c r="B201" s="40"/>
      <c r="C201" s="40">
        <v>613.0</v>
      </c>
      <c r="D201" s="40" t="s">
        <v>944</v>
      </c>
      <c r="E201" s="40" t="s">
        <v>33</v>
      </c>
      <c r="F201" s="360">
        <v>44393.0</v>
      </c>
      <c r="G201" s="360">
        <v>44446.0</v>
      </c>
      <c r="H201" s="360">
        <v>44448.0</v>
      </c>
      <c r="I201" s="360">
        <v>44469.0</v>
      </c>
      <c r="J201" s="361">
        <v>69.99</v>
      </c>
      <c r="K201" s="361">
        <v>0.0</v>
      </c>
      <c r="L201" s="361">
        <v>69.99</v>
      </c>
      <c r="M201" s="40">
        <v>103.0</v>
      </c>
      <c r="N201" s="361">
        <v>0.0</v>
      </c>
    </row>
    <row r="202">
      <c r="A202" s="40" t="s">
        <v>25</v>
      </c>
      <c r="B202" s="40"/>
      <c r="C202" s="40">
        <v>651.0</v>
      </c>
      <c r="D202" s="40" t="s">
        <v>949</v>
      </c>
      <c r="E202" s="40" t="s">
        <v>33</v>
      </c>
      <c r="F202" s="360">
        <v>44617.0</v>
      </c>
      <c r="G202" s="360">
        <v>45048.0</v>
      </c>
      <c r="H202" s="360">
        <v>45236.0</v>
      </c>
      <c r="I202" s="360">
        <v>45246.0</v>
      </c>
      <c r="J202" s="361">
        <v>69.99</v>
      </c>
      <c r="K202" s="361">
        <v>0.0</v>
      </c>
      <c r="L202" s="361">
        <v>69.99</v>
      </c>
      <c r="M202" s="40">
        <v>60.0</v>
      </c>
      <c r="N202" s="361">
        <v>0.0</v>
      </c>
    </row>
    <row r="203">
      <c r="A203" s="40" t="s">
        <v>25</v>
      </c>
      <c r="B203" s="40"/>
      <c r="C203" s="40">
        <v>614.0</v>
      </c>
      <c r="D203" s="362" t="s">
        <v>957</v>
      </c>
      <c r="E203" s="362" t="s">
        <v>33</v>
      </c>
      <c r="F203" s="360">
        <v>45093.0</v>
      </c>
      <c r="G203" s="360">
        <v>45356.0</v>
      </c>
      <c r="H203" s="360">
        <v>45356.0</v>
      </c>
      <c r="I203" s="360">
        <v>45369.0</v>
      </c>
      <c r="J203" s="361">
        <v>79.99</v>
      </c>
      <c r="K203" s="361">
        <v>0.0</v>
      </c>
      <c r="L203" s="361">
        <v>79.99</v>
      </c>
      <c r="M203" s="40">
        <v>82.0</v>
      </c>
      <c r="N203" s="361">
        <v>0.0</v>
      </c>
    </row>
    <row r="204">
      <c r="A204" s="146"/>
      <c r="B204" s="146"/>
      <c r="C204" s="340"/>
      <c r="D204" s="146"/>
      <c r="E204" s="146"/>
      <c r="F204" s="146"/>
      <c r="G204" s="146"/>
      <c r="H204" s="146"/>
      <c r="I204" s="146"/>
      <c r="J204" s="339">
        <f t="shared" ref="J204:M204" si="21">SUM(J198:J203)</f>
        <v>339.94</v>
      </c>
      <c r="K204" s="339">
        <f t="shared" si="21"/>
        <v>36.98</v>
      </c>
      <c r="L204" s="339">
        <f t="shared" si="21"/>
        <v>302.96</v>
      </c>
      <c r="M204" s="146">
        <f t="shared" si="21"/>
        <v>317</v>
      </c>
      <c r="N204" s="339">
        <f>K204/M204</f>
        <v>0.1166561514</v>
      </c>
    </row>
    <row r="205">
      <c r="A205" s="358" t="s">
        <v>25</v>
      </c>
      <c r="B205" s="40" t="s">
        <v>180</v>
      </c>
      <c r="C205" s="40">
        <v>232.0</v>
      </c>
      <c r="D205" s="40" t="s">
        <v>863</v>
      </c>
      <c r="E205" s="40" t="s">
        <v>649</v>
      </c>
      <c r="F205" s="360">
        <v>41229.0</v>
      </c>
      <c r="G205" s="360">
        <v>41374.0</v>
      </c>
      <c r="H205" s="360">
        <v>41375.0</v>
      </c>
      <c r="I205" s="360">
        <v>44764.0</v>
      </c>
      <c r="J205" s="361">
        <v>24.99</v>
      </c>
      <c r="K205" s="361">
        <v>9.99</v>
      </c>
      <c r="L205" s="361">
        <v>15.0</v>
      </c>
      <c r="M205" s="40">
        <v>25.0</v>
      </c>
      <c r="N205" s="361">
        <v>0.4</v>
      </c>
    </row>
    <row r="206">
      <c r="A206" s="358" t="s">
        <v>25</v>
      </c>
      <c r="B206" s="40" t="s">
        <v>181</v>
      </c>
      <c r="C206" s="40">
        <v>194.0</v>
      </c>
      <c r="D206" s="40" t="s">
        <v>852</v>
      </c>
      <c r="E206" s="40" t="s">
        <v>649</v>
      </c>
      <c r="F206" s="360">
        <v>40834.0</v>
      </c>
      <c r="G206" s="360">
        <v>40944.0</v>
      </c>
      <c r="H206" s="360">
        <v>40944.0</v>
      </c>
      <c r="I206" s="360">
        <v>44762.0</v>
      </c>
      <c r="J206" s="361">
        <v>6.99</v>
      </c>
      <c r="K206" s="361">
        <v>6.99</v>
      </c>
      <c r="L206" s="361">
        <v>0.0</v>
      </c>
      <c r="M206" s="40">
        <v>20.0</v>
      </c>
      <c r="N206" s="361">
        <v>0.35</v>
      </c>
    </row>
    <row r="207">
      <c r="A207" s="357" t="s">
        <v>25</v>
      </c>
      <c r="B207" s="40" t="s">
        <v>182</v>
      </c>
      <c r="C207" s="40">
        <v>154.0</v>
      </c>
      <c r="D207" s="40" t="s">
        <v>827</v>
      </c>
      <c r="E207" s="40" t="s">
        <v>37</v>
      </c>
      <c r="F207" s="360">
        <v>38611.0</v>
      </c>
      <c r="G207" s="360">
        <v>43373.0</v>
      </c>
      <c r="H207" s="360">
        <v>43373.0</v>
      </c>
      <c r="I207" s="360">
        <v>43373.0</v>
      </c>
      <c r="J207" s="361">
        <v>9.99</v>
      </c>
      <c r="K207" s="361">
        <v>9.99</v>
      </c>
      <c r="L207" s="361">
        <v>0.0</v>
      </c>
      <c r="M207" s="40">
        <v>1.0</v>
      </c>
      <c r="N207" s="361">
        <v>9.99</v>
      </c>
    </row>
    <row r="208">
      <c r="A208" s="358" t="s">
        <v>25</v>
      </c>
      <c r="B208" s="357"/>
      <c r="C208" s="40">
        <v>206.0</v>
      </c>
      <c r="D208" s="40" t="s">
        <v>837</v>
      </c>
      <c r="E208" s="40" t="s">
        <v>649</v>
      </c>
      <c r="F208" s="360">
        <v>39472.0</v>
      </c>
      <c r="G208" s="360">
        <v>40705.0</v>
      </c>
      <c r="H208" s="360">
        <v>40705.0</v>
      </c>
      <c r="I208" s="360">
        <v>45675.0</v>
      </c>
      <c r="J208" s="361">
        <v>59.98</v>
      </c>
      <c r="K208" s="361">
        <v>9.99</v>
      </c>
      <c r="L208" s="361">
        <v>49.99</v>
      </c>
      <c r="M208" s="40">
        <v>17.0</v>
      </c>
      <c r="N208" s="361">
        <v>0.59</v>
      </c>
    </row>
    <row r="209">
      <c r="A209" s="358" t="s">
        <v>25</v>
      </c>
      <c r="B209" s="358"/>
      <c r="C209" s="40">
        <v>312.0</v>
      </c>
      <c r="D209" s="40" t="s">
        <v>848</v>
      </c>
      <c r="E209" s="40" t="s">
        <v>649</v>
      </c>
      <c r="F209" s="360">
        <v>40501.0</v>
      </c>
      <c r="G209" s="360">
        <v>45664.0</v>
      </c>
      <c r="H209" s="360">
        <v>45822.0</v>
      </c>
      <c r="I209" s="360">
        <v>45830.0</v>
      </c>
      <c r="J209" s="362">
        <v>39.99</v>
      </c>
      <c r="K209" s="362">
        <v>0.0</v>
      </c>
      <c r="L209" s="361">
        <v>39.99</v>
      </c>
      <c r="M209" s="40">
        <v>30.0</v>
      </c>
      <c r="N209" s="361">
        <v>0.0</v>
      </c>
    </row>
    <row r="210">
      <c r="A210" s="358" t="s">
        <v>25</v>
      </c>
      <c r="B210" s="40"/>
      <c r="C210" s="40">
        <v>314.0</v>
      </c>
      <c r="D210" s="40" t="s">
        <v>860</v>
      </c>
      <c r="E210" s="40" t="s">
        <v>649</v>
      </c>
      <c r="F210" s="360">
        <v>41215.0</v>
      </c>
      <c r="G210" s="360">
        <v>41493.0</v>
      </c>
      <c r="H210" s="360">
        <v>41494.0</v>
      </c>
      <c r="I210" s="360">
        <v>44783.0</v>
      </c>
      <c r="J210" s="362">
        <v>19.99</v>
      </c>
      <c r="K210" s="362">
        <v>0.0</v>
      </c>
      <c r="L210" s="361">
        <v>19.99</v>
      </c>
      <c r="M210" s="40">
        <v>25.0</v>
      </c>
      <c r="N210" s="361">
        <v>0.0</v>
      </c>
    </row>
    <row r="211">
      <c r="A211" s="146"/>
      <c r="B211" s="146"/>
      <c r="C211" s="340"/>
      <c r="D211" s="146"/>
      <c r="E211" s="146"/>
      <c r="F211" s="146"/>
      <c r="G211" s="146"/>
      <c r="H211" s="146"/>
      <c r="I211" s="146"/>
      <c r="J211" s="339">
        <f t="shared" ref="J211:M211" si="22">SUM(J207:J210)</f>
        <v>129.95</v>
      </c>
      <c r="K211" s="339">
        <f t="shared" si="22"/>
        <v>19.98</v>
      </c>
      <c r="L211" s="339">
        <f t="shared" si="22"/>
        <v>109.97</v>
      </c>
      <c r="M211" s="146">
        <f t="shared" si="22"/>
        <v>73</v>
      </c>
      <c r="N211" s="339">
        <f>K211/M211</f>
        <v>0.2736986301</v>
      </c>
    </row>
    <row r="212">
      <c r="A212" s="358" t="s">
        <v>25</v>
      </c>
      <c r="B212" s="40" t="s">
        <v>183</v>
      </c>
      <c r="C212" s="40">
        <v>370.0</v>
      </c>
      <c r="D212" s="40" t="s">
        <v>866</v>
      </c>
      <c r="E212" s="40" t="s">
        <v>649</v>
      </c>
      <c r="F212" s="360">
        <v>41479.0</v>
      </c>
      <c r="G212" s="360">
        <v>41522.0</v>
      </c>
      <c r="H212" s="360">
        <v>41522.0</v>
      </c>
      <c r="I212" s="360">
        <v>44791.0</v>
      </c>
      <c r="J212" s="361">
        <v>8.49</v>
      </c>
      <c r="K212" s="361">
        <v>2.49</v>
      </c>
      <c r="L212" s="361">
        <v>6.0</v>
      </c>
      <c r="M212" s="40">
        <v>5.0</v>
      </c>
      <c r="N212" s="361">
        <v>0.5</v>
      </c>
    </row>
    <row r="213">
      <c r="A213" s="358" t="s">
        <v>25</v>
      </c>
      <c r="B213" s="40"/>
      <c r="C213" s="40">
        <v>371.0</v>
      </c>
      <c r="D213" s="40" t="s">
        <v>874</v>
      </c>
      <c r="E213" s="40" t="s">
        <v>649</v>
      </c>
      <c r="F213" s="360">
        <v>42102.0</v>
      </c>
      <c r="G213" s="360">
        <v>42811.0</v>
      </c>
      <c r="H213" s="360">
        <v>43189.0</v>
      </c>
      <c r="I213" s="360">
        <v>44791.0</v>
      </c>
      <c r="J213" s="361">
        <v>8.49</v>
      </c>
      <c r="K213" s="361">
        <v>2.49</v>
      </c>
      <c r="L213" s="361">
        <v>6.0</v>
      </c>
      <c r="M213" s="40">
        <v>1.0</v>
      </c>
      <c r="N213" s="361">
        <v>2.49</v>
      </c>
    </row>
    <row r="214">
      <c r="A214" s="146"/>
      <c r="B214" s="146"/>
      <c r="C214" s="340"/>
      <c r="D214" s="146"/>
      <c r="E214" s="146"/>
      <c r="F214" s="146"/>
      <c r="G214" s="146"/>
      <c r="H214" s="146"/>
      <c r="I214" s="146"/>
      <c r="J214" s="339">
        <f t="shared" ref="J214:M214" si="23">SUM(J212:J213)</f>
        <v>16.98</v>
      </c>
      <c r="K214" s="339">
        <f t="shared" si="23"/>
        <v>4.98</v>
      </c>
      <c r="L214" s="339">
        <f t="shared" si="23"/>
        <v>12</v>
      </c>
      <c r="M214" s="146">
        <f t="shared" si="23"/>
        <v>6</v>
      </c>
      <c r="N214" s="339">
        <f>K214/M214</f>
        <v>0.83</v>
      </c>
    </row>
    <row r="215">
      <c r="A215" s="40" t="s">
        <v>25</v>
      </c>
      <c r="B215" s="40" t="s">
        <v>184</v>
      </c>
      <c r="C215" s="40">
        <v>575.0</v>
      </c>
      <c r="D215" s="40" t="s">
        <v>955</v>
      </c>
      <c r="E215" s="40" t="s">
        <v>33</v>
      </c>
      <c r="F215" s="360">
        <v>45037.0</v>
      </c>
      <c r="G215" s="360">
        <v>45491.0</v>
      </c>
      <c r="H215" s="360">
        <v>45496.0</v>
      </c>
      <c r="I215" s="360">
        <v>45514.0</v>
      </c>
      <c r="J215" s="361">
        <v>69.99</v>
      </c>
      <c r="K215" s="361">
        <v>34.99</v>
      </c>
      <c r="L215" s="361">
        <v>35.0</v>
      </c>
      <c r="M215" s="40">
        <v>42.0</v>
      </c>
      <c r="N215" s="361">
        <v>0.83</v>
      </c>
    </row>
    <row r="216">
      <c r="A216" s="40" t="s">
        <v>25</v>
      </c>
      <c r="B216" s="40" t="s">
        <v>185</v>
      </c>
      <c r="C216" s="40">
        <v>27.0</v>
      </c>
      <c r="D216" s="40" t="s">
        <v>802</v>
      </c>
      <c r="E216" s="40" t="s">
        <v>682</v>
      </c>
      <c r="F216" s="360">
        <v>35748.0</v>
      </c>
      <c r="G216" s="360">
        <v>42655.0</v>
      </c>
      <c r="H216" s="360">
        <v>42655.0</v>
      </c>
      <c r="I216" s="360">
        <v>42655.0</v>
      </c>
      <c r="J216" s="361">
        <v>1.99</v>
      </c>
      <c r="K216" s="361">
        <v>1.99</v>
      </c>
      <c r="L216" s="361">
        <v>0.0</v>
      </c>
      <c r="M216" s="40">
        <v>1.0</v>
      </c>
      <c r="N216" s="361">
        <v>1.99</v>
      </c>
    </row>
    <row r="217">
      <c r="A217" s="40" t="s">
        <v>25</v>
      </c>
      <c r="B217" s="40"/>
      <c r="C217" s="40">
        <v>11.0</v>
      </c>
      <c r="D217" s="40" t="s">
        <v>816</v>
      </c>
      <c r="E217" s="40" t="s">
        <v>682</v>
      </c>
      <c r="F217" s="360">
        <v>36859.0</v>
      </c>
      <c r="G217" s="360">
        <v>40538.0</v>
      </c>
      <c r="H217" s="360">
        <v>40538.0</v>
      </c>
      <c r="I217" s="360">
        <v>40538.0</v>
      </c>
      <c r="J217" s="361">
        <v>9.99</v>
      </c>
      <c r="K217" s="361">
        <v>9.99</v>
      </c>
      <c r="L217" s="361">
        <v>0.0</v>
      </c>
      <c r="M217" s="40">
        <v>45.0</v>
      </c>
      <c r="N217" s="361">
        <v>0.22</v>
      </c>
    </row>
    <row r="218">
      <c r="A218" s="146"/>
      <c r="B218" s="146"/>
      <c r="C218" s="340"/>
      <c r="D218" s="146"/>
      <c r="E218" s="146"/>
      <c r="F218" s="146"/>
      <c r="G218" s="146"/>
      <c r="H218" s="146"/>
      <c r="I218" s="146"/>
      <c r="J218" s="339">
        <f t="shared" ref="J218:M218" si="24">SUM(J216:J217)</f>
        <v>11.98</v>
      </c>
      <c r="K218" s="339">
        <f t="shared" si="24"/>
        <v>11.98</v>
      </c>
      <c r="L218" s="339">
        <f t="shared" si="24"/>
        <v>0</v>
      </c>
      <c r="M218" s="146">
        <f t="shared" si="24"/>
        <v>46</v>
      </c>
      <c r="N218" s="339">
        <f>K218/M218</f>
        <v>0.2604347826</v>
      </c>
    </row>
    <row r="219">
      <c r="A219" s="358" t="s">
        <v>25</v>
      </c>
      <c r="B219" s="40" t="s">
        <v>186</v>
      </c>
      <c r="C219" s="40">
        <v>307.0</v>
      </c>
      <c r="D219" s="40" t="s">
        <v>840</v>
      </c>
      <c r="E219" s="40" t="s">
        <v>649</v>
      </c>
      <c r="F219" s="360">
        <v>39759.0</v>
      </c>
      <c r="G219" s="360">
        <v>40302.0</v>
      </c>
      <c r="H219" s="360">
        <v>40302.0</v>
      </c>
      <c r="I219" s="360">
        <v>44735.0</v>
      </c>
      <c r="J219" s="361">
        <v>5.0</v>
      </c>
      <c r="K219" s="361">
        <v>5.0</v>
      </c>
      <c r="L219" s="361">
        <v>0.0</v>
      </c>
      <c r="M219" s="40">
        <v>20.0</v>
      </c>
      <c r="N219" s="361">
        <v>0.25</v>
      </c>
    </row>
    <row r="220">
      <c r="A220" s="358" t="s">
        <v>25</v>
      </c>
      <c r="B220" s="40"/>
      <c r="C220" s="40">
        <v>308.0</v>
      </c>
      <c r="D220" s="40" t="s">
        <v>850</v>
      </c>
      <c r="E220" s="40" t="s">
        <v>649</v>
      </c>
      <c r="F220" s="360">
        <v>40633.0</v>
      </c>
      <c r="G220" s="360">
        <v>41392.0</v>
      </c>
      <c r="H220" s="360">
        <v>41392.0</v>
      </c>
      <c r="I220" s="360">
        <v>44778.0</v>
      </c>
      <c r="J220" s="361">
        <v>14.99</v>
      </c>
      <c r="K220" s="361">
        <v>14.99</v>
      </c>
      <c r="L220" s="361">
        <v>0.0</v>
      </c>
      <c r="M220" s="40">
        <v>10.0</v>
      </c>
      <c r="N220" s="361">
        <v>1.5</v>
      </c>
    </row>
    <row r="221">
      <c r="A221" s="358" t="s">
        <v>25</v>
      </c>
      <c r="B221" s="40"/>
      <c r="C221" s="40">
        <v>309.0</v>
      </c>
      <c r="D221" s="40" t="s">
        <v>855</v>
      </c>
      <c r="E221" s="40" t="s">
        <v>649</v>
      </c>
      <c r="F221" s="360">
        <v>40961.0</v>
      </c>
      <c r="G221" s="360">
        <v>43014.0</v>
      </c>
      <c r="H221" s="360">
        <v>44110.0</v>
      </c>
      <c r="I221" s="360">
        <v>44872.0</v>
      </c>
      <c r="J221" s="361">
        <v>8.99</v>
      </c>
      <c r="K221" s="361">
        <v>3.99</v>
      </c>
      <c r="L221" s="361">
        <v>5.0</v>
      </c>
      <c r="M221" s="40">
        <v>25.0</v>
      </c>
      <c r="N221" s="361">
        <v>0.16</v>
      </c>
    </row>
    <row r="222">
      <c r="A222" s="40" t="s">
        <v>25</v>
      </c>
      <c r="B222" s="40"/>
      <c r="C222" s="40">
        <v>998.0</v>
      </c>
      <c r="D222" s="40" t="s">
        <v>962</v>
      </c>
      <c r="E222" s="40" t="s">
        <v>666</v>
      </c>
      <c r="F222" s="360">
        <v>42656.0</v>
      </c>
      <c r="G222" s="360">
        <v>43475.0</v>
      </c>
      <c r="H222" s="360">
        <v>43537.0</v>
      </c>
      <c r="I222" s="360">
        <v>43537.0</v>
      </c>
      <c r="J222" s="361">
        <v>19.99</v>
      </c>
      <c r="K222" s="361">
        <v>19.99</v>
      </c>
      <c r="L222" s="361">
        <v>0.0</v>
      </c>
      <c r="M222" s="40">
        <v>2.0</v>
      </c>
      <c r="N222" s="361">
        <v>10.0</v>
      </c>
    </row>
    <row r="223">
      <c r="A223" s="146"/>
      <c r="B223" s="146"/>
      <c r="C223" s="340"/>
      <c r="D223" s="146"/>
      <c r="E223" s="146"/>
      <c r="F223" s="146"/>
      <c r="G223" s="146"/>
      <c r="H223" s="146"/>
      <c r="I223" s="146"/>
      <c r="J223" s="339">
        <f t="shared" ref="J223:M223" si="25">SUM(J219:J222)</f>
        <v>48.97</v>
      </c>
      <c r="K223" s="339">
        <f t="shared" si="25"/>
        <v>43.97</v>
      </c>
      <c r="L223" s="339">
        <f t="shared" si="25"/>
        <v>5</v>
      </c>
      <c r="M223" s="146">
        <f t="shared" si="25"/>
        <v>57</v>
      </c>
      <c r="N223" s="339">
        <f>K223/M223</f>
        <v>0.7714035088</v>
      </c>
    </row>
    <row r="224">
      <c r="A224" s="40" t="s">
        <v>25</v>
      </c>
      <c r="B224" s="40" t="s">
        <v>187</v>
      </c>
      <c r="C224" s="40">
        <v>459.0</v>
      </c>
      <c r="D224" s="40" t="s">
        <v>878</v>
      </c>
      <c r="E224" s="40" t="s">
        <v>671</v>
      </c>
      <c r="F224" s="360">
        <v>41365.0</v>
      </c>
      <c r="G224" s="360">
        <v>42840.0</v>
      </c>
      <c r="H224" s="360">
        <v>42868.0</v>
      </c>
      <c r="I224" s="360">
        <v>44871.0</v>
      </c>
      <c r="J224" s="361">
        <v>3.59</v>
      </c>
      <c r="K224" s="361">
        <v>3.59</v>
      </c>
      <c r="L224" s="361">
        <v>0.0</v>
      </c>
      <c r="M224" s="40">
        <v>5.0</v>
      </c>
      <c r="N224" s="361">
        <v>0.72</v>
      </c>
    </row>
    <row r="225">
      <c r="A225" s="40" t="s">
        <v>25</v>
      </c>
      <c r="B225" s="40" t="s">
        <v>188</v>
      </c>
      <c r="C225" s="40">
        <v>669.0</v>
      </c>
      <c r="D225" s="40" t="s">
        <v>914</v>
      </c>
      <c r="E225" s="40" t="s">
        <v>33</v>
      </c>
      <c r="F225" s="360">
        <v>42612.0</v>
      </c>
      <c r="G225" s="360">
        <v>42811.0</v>
      </c>
      <c r="H225" s="360">
        <v>42822.0</v>
      </c>
      <c r="I225" s="360">
        <v>42824.0</v>
      </c>
      <c r="J225" s="361">
        <v>14.99</v>
      </c>
      <c r="K225" s="361">
        <v>4.99</v>
      </c>
      <c r="L225" s="361">
        <v>10.0</v>
      </c>
      <c r="M225" s="40">
        <v>10.0</v>
      </c>
      <c r="N225" s="361">
        <v>0.5</v>
      </c>
    </row>
    <row r="226">
      <c r="A226" s="40" t="s">
        <v>25</v>
      </c>
      <c r="B226" s="40" t="s">
        <v>189</v>
      </c>
      <c r="C226" s="40">
        <v>920.0</v>
      </c>
      <c r="D226" s="40" t="s">
        <v>924</v>
      </c>
      <c r="E226" s="40" t="s">
        <v>33</v>
      </c>
      <c r="F226" s="360">
        <v>43305.0</v>
      </c>
      <c r="G226" s="360">
        <v>44590.0</v>
      </c>
      <c r="H226" s="360">
        <v>44590.0</v>
      </c>
      <c r="I226" s="360">
        <v>44590.0</v>
      </c>
      <c r="J226" s="361">
        <v>29.99</v>
      </c>
      <c r="K226" s="361">
        <v>0.0</v>
      </c>
      <c r="L226" s="361">
        <v>29.99</v>
      </c>
      <c r="M226" s="40">
        <v>1.0</v>
      </c>
      <c r="N226" s="361">
        <v>0.0</v>
      </c>
    </row>
    <row r="227">
      <c r="A227" s="40" t="s">
        <v>25</v>
      </c>
      <c r="B227" s="40" t="s">
        <v>190</v>
      </c>
      <c r="C227" s="40">
        <v>499.0</v>
      </c>
      <c r="D227" s="40" t="s">
        <v>908</v>
      </c>
      <c r="E227" s="40" t="s">
        <v>33</v>
      </c>
      <c r="F227" s="360">
        <v>42451.0</v>
      </c>
      <c r="G227" s="360">
        <v>42932.0</v>
      </c>
      <c r="H227" s="360">
        <v>42932.0</v>
      </c>
      <c r="I227" s="360">
        <v>42932.0</v>
      </c>
      <c r="J227" s="361">
        <v>9.99</v>
      </c>
      <c r="K227" s="361">
        <v>4.99</v>
      </c>
      <c r="L227" s="361">
        <v>5.0</v>
      </c>
      <c r="M227" s="40">
        <v>1.0</v>
      </c>
      <c r="N227" s="361">
        <v>4.99</v>
      </c>
    </row>
    <row r="228">
      <c r="A228" s="358" t="s">
        <v>25</v>
      </c>
      <c r="B228" s="358" t="s">
        <v>191</v>
      </c>
      <c r="C228" s="358">
        <v>1089.0</v>
      </c>
      <c r="D228" s="358" t="s">
        <v>942</v>
      </c>
      <c r="E228" s="358" t="s">
        <v>33</v>
      </c>
      <c r="F228" s="360">
        <v>44274.0</v>
      </c>
      <c r="G228" s="360">
        <v>45920.0</v>
      </c>
      <c r="H228" s="360">
        <v>45922.0</v>
      </c>
      <c r="I228" s="360">
        <v>45936.0</v>
      </c>
      <c r="J228" s="362">
        <v>5.0</v>
      </c>
      <c r="K228" s="362">
        <v>0.0</v>
      </c>
      <c r="L228" s="362">
        <v>5.0</v>
      </c>
      <c r="M228" s="40">
        <v>6.0</v>
      </c>
      <c r="N228" s="362">
        <v>0.0</v>
      </c>
    </row>
    <row r="229">
      <c r="A229" s="358" t="s">
        <v>25</v>
      </c>
      <c r="B229" s="358"/>
      <c r="C229" s="358">
        <v>1090.0</v>
      </c>
      <c r="D229" s="358" t="s">
        <v>943</v>
      </c>
      <c r="E229" s="358" t="s">
        <v>33</v>
      </c>
      <c r="F229" s="360">
        <v>44274.0</v>
      </c>
      <c r="G229" s="360">
        <v>45920.0</v>
      </c>
      <c r="H229" s="360">
        <v>45922.0</v>
      </c>
      <c r="I229" s="360">
        <v>45936.0</v>
      </c>
      <c r="J229" s="362">
        <v>4.99</v>
      </c>
      <c r="K229" s="362">
        <v>0.0</v>
      </c>
      <c r="L229" s="362">
        <v>4.99</v>
      </c>
      <c r="M229" s="40">
        <v>5.0</v>
      </c>
      <c r="N229" s="362">
        <v>0.0</v>
      </c>
    </row>
    <row r="230">
      <c r="A230" s="74"/>
      <c r="B230" s="74"/>
      <c r="C230" s="146"/>
      <c r="D230" s="146"/>
      <c r="E230" s="146"/>
      <c r="F230" s="146"/>
      <c r="G230" s="146"/>
      <c r="H230" s="146"/>
      <c r="I230" s="146"/>
      <c r="J230" s="46">
        <f t="shared" ref="J230:M230" si="26">SUM(J228:J229)</f>
        <v>9.99</v>
      </c>
      <c r="K230" s="46">
        <f t="shared" si="26"/>
        <v>0</v>
      </c>
      <c r="L230" s="46">
        <f t="shared" si="26"/>
        <v>9.99</v>
      </c>
      <c r="M230" s="43">
        <f t="shared" si="26"/>
        <v>11</v>
      </c>
      <c r="N230" s="339">
        <f>K230/M230</f>
        <v>0</v>
      </c>
    </row>
    <row r="231">
      <c r="A231" s="358" t="s">
        <v>25</v>
      </c>
      <c r="B231" s="358" t="s">
        <v>192</v>
      </c>
      <c r="C231" s="40">
        <v>145.0</v>
      </c>
      <c r="D231" s="40" t="s">
        <v>819</v>
      </c>
      <c r="E231" s="40" t="s">
        <v>645</v>
      </c>
      <c r="F231" s="360">
        <v>36854.0</v>
      </c>
      <c r="G231" s="360">
        <v>45586.0</v>
      </c>
      <c r="H231" s="360">
        <v>45586.0</v>
      </c>
      <c r="I231" s="360">
        <v>45586.0</v>
      </c>
      <c r="J231" s="362">
        <v>9.99</v>
      </c>
      <c r="K231" s="362">
        <v>6.99</v>
      </c>
      <c r="L231" s="362">
        <v>3.0</v>
      </c>
      <c r="M231" s="40">
        <v>1.0</v>
      </c>
      <c r="N231" s="361">
        <v>6.99</v>
      </c>
    </row>
    <row r="232">
      <c r="A232" s="358" t="s">
        <v>25</v>
      </c>
      <c r="B232" s="358"/>
      <c r="C232" s="40">
        <v>146.0</v>
      </c>
      <c r="D232" s="40" t="s">
        <v>820</v>
      </c>
      <c r="E232" s="40" t="s">
        <v>645</v>
      </c>
      <c r="F232" s="360">
        <v>37547.0</v>
      </c>
      <c r="G232" s="360">
        <v>45586.0</v>
      </c>
      <c r="H232" s="360">
        <v>45586.0</v>
      </c>
      <c r="I232" s="360">
        <v>45586.0</v>
      </c>
      <c r="J232" s="362">
        <v>9.99</v>
      </c>
      <c r="K232" s="362">
        <v>6.99</v>
      </c>
      <c r="L232" s="362">
        <v>3.0</v>
      </c>
      <c r="M232" s="40">
        <v>1.0</v>
      </c>
      <c r="N232" s="361">
        <v>6.99</v>
      </c>
    </row>
    <row r="233">
      <c r="A233" s="358" t="s">
        <v>25</v>
      </c>
      <c r="B233" s="358"/>
      <c r="C233" s="40">
        <v>147.0</v>
      </c>
      <c r="D233" s="40" t="s">
        <v>822</v>
      </c>
      <c r="E233" s="40" t="s">
        <v>645</v>
      </c>
      <c r="F233" s="360">
        <v>38435.0</v>
      </c>
      <c r="G233" s="360">
        <v>45586.0</v>
      </c>
      <c r="H233" s="360">
        <v>45586.0</v>
      </c>
      <c r="I233" s="360">
        <v>45586.0</v>
      </c>
      <c r="J233" s="362">
        <v>9.99</v>
      </c>
      <c r="K233" s="362">
        <v>6.99</v>
      </c>
      <c r="L233" s="362">
        <v>3.0</v>
      </c>
      <c r="M233" s="40">
        <v>1.0</v>
      </c>
      <c r="N233" s="361">
        <v>6.99</v>
      </c>
    </row>
    <row r="234">
      <c r="A234" s="146"/>
      <c r="B234" s="146"/>
      <c r="C234" s="340"/>
      <c r="D234" s="146"/>
      <c r="E234" s="146"/>
      <c r="F234" s="146"/>
      <c r="G234" s="146"/>
      <c r="H234" s="146"/>
      <c r="I234" s="146"/>
      <c r="J234" s="339">
        <f t="shared" ref="J234:M234" si="27">SUM(J231:J233)</f>
        <v>29.97</v>
      </c>
      <c r="K234" s="339">
        <f t="shared" si="27"/>
        <v>20.97</v>
      </c>
      <c r="L234" s="339">
        <f t="shared" si="27"/>
        <v>9</v>
      </c>
      <c r="M234" s="146">
        <f t="shared" si="27"/>
        <v>3</v>
      </c>
      <c r="N234" s="339">
        <f>K234/M234</f>
        <v>6.99</v>
      </c>
    </row>
    <row r="235">
      <c r="A235" s="40" t="s">
        <v>25</v>
      </c>
      <c r="B235" s="40" t="s">
        <v>193</v>
      </c>
      <c r="C235" s="40">
        <v>793.0</v>
      </c>
      <c r="D235" s="40" t="s">
        <v>936</v>
      </c>
      <c r="E235" s="40" t="s">
        <v>33</v>
      </c>
      <c r="F235" s="360">
        <v>44145.0</v>
      </c>
      <c r="G235" s="360">
        <v>44593.0</v>
      </c>
      <c r="H235" s="360">
        <v>44593.0</v>
      </c>
      <c r="I235" s="360">
        <v>44593.0</v>
      </c>
      <c r="J235" s="361">
        <v>44.99</v>
      </c>
      <c r="K235" s="361">
        <v>0.0</v>
      </c>
      <c r="L235" s="361">
        <v>44.99</v>
      </c>
      <c r="M235" s="40">
        <v>1.0</v>
      </c>
      <c r="N235" s="361">
        <v>0.0</v>
      </c>
    </row>
    <row r="236">
      <c r="A236" s="40" t="s">
        <v>25</v>
      </c>
      <c r="B236" s="40"/>
      <c r="C236" s="40">
        <v>681.0</v>
      </c>
      <c r="D236" s="40" t="s">
        <v>946</v>
      </c>
      <c r="E236" s="40" t="s">
        <v>33</v>
      </c>
      <c r="F236" s="360">
        <v>44509.0</v>
      </c>
      <c r="G236" s="360">
        <v>45083.0</v>
      </c>
      <c r="H236" s="360">
        <v>45083.0</v>
      </c>
      <c r="I236" s="360">
        <v>45083.0</v>
      </c>
      <c r="J236" s="361">
        <v>59.99</v>
      </c>
      <c r="K236" s="361">
        <v>0.0</v>
      </c>
      <c r="L236" s="361">
        <v>59.99</v>
      </c>
      <c r="M236" s="40">
        <v>1.0</v>
      </c>
      <c r="N236" s="361">
        <v>0.0</v>
      </c>
    </row>
    <row r="237">
      <c r="A237" s="40" t="s">
        <v>25</v>
      </c>
      <c r="B237" s="40"/>
      <c r="C237" s="40">
        <v>615.0</v>
      </c>
      <c r="D237" s="40" t="s">
        <v>953</v>
      </c>
      <c r="E237" s="40" t="s">
        <v>33</v>
      </c>
      <c r="F237" s="360">
        <v>44803.0</v>
      </c>
      <c r="G237" s="360">
        <v>44922.0</v>
      </c>
      <c r="H237" s="360">
        <v>45357.0</v>
      </c>
      <c r="I237" s="360">
        <v>45357.0</v>
      </c>
      <c r="J237" s="361">
        <v>54.99</v>
      </c>
      <c r="K237" s="361">
        <v>0.0</v>
      </c>
      <c r="L237" s="361">
        <v>54.99</v>
      </c>
      <c r="M237" s="40">
        <v>2.0</v>
      </c>
      <c r="N237" s="361">
        <v>0.0</v>
      </c>
    </row>
    <row r="238">
      <c r="A238" s="358" t="s">
        <v>25</v>
      </c>
      <c r="B238" s="40"/>
      <c r="C238" s="40">
        <v>1072.0</v>
      </c>
      <c r="D238" s="40" t="s">
        <v>974</v>
      </c>
      <c r="E238" s="40" t="s">
        <v>39</v>
      </c>
      <c r="F238" s="360">
        <v>45377.0</v>
      </c>
      <c r="G238" s="360">
        <v>45445.0</v>
      </c>
      <c r="H238" s="360">
        <v>45445.0</v>
      </c>
      <c r="I238" s="360">
        <v>45445.0</v>
      </c>
      <c r="J238" s="362">
        <v>74.98</v>
      </c>
      <c r="K238" s="362">
        <v>65.48</v>
      </c>
      <c r="L238" s="361">
        <v>9.5</v>
      </c>
      <c r="M238" s="40">
        <v>1.0</v>
      </c>
      <c r="N238" s="361">
        <v>65.48</v>
      </c>
    </row>
    <row r="239">
      <c r="A239" s="146"/>
      <c r="B239" s="146"/>
      <c r="C239" s="340"/>
      <c r="D239" s="146"/>
      <c r="E239" s="146"/>
      <c r="F239" s="146"/>
      <c r="G239" s="146"/>
      <c r="H239" s="146"/>
      <c r="I239" s="146"/>
      <c r="J239" s="339">
        <f t="shared" ref="J239:M239" si="28">SUM(J235:J238)</f>
        <v>234.95</v>
      </c>
      <c r="K239" s="339">
        <f t="shared" si="28"/>
        <v>65.48</v>
      </c>
      <c r="L239" s="339">
        <f t="shared" si="28"/>
        <v>169.47</v>
      </c>
      <c r="M239" s="146">
        <f t="shared" si="28"/>
        <v>5</v>
      </c>
      <c r="N239" s="339">
        <f>K239/M239</f>
        <v>13.096</v>
      </c>
    </row>
    <row r="240">
      <c r="A240" s="358" t="s">
        <v>25</v>
      </c>
      <c r="B240" s="40" t="s">
        <v>194</v>
      </c>
      <c r="C240" s="40">
        <v>386.0</v>
      </c>
      <c r="D240" s="40" t="s">
        <v>862</v>
      </c>
      <c r="E240" s="40" t="s">
        <v>649</v>
      </c>
      <c r="F240" s="360">
        <v>41229.0</v>
      </c>
      <c r="G240" s="360">
        <v>44299.0</v>
      </c>
      <c r="H240" s="360">
        <v>44377.0</v>
      </c>
      <c r="I240" s="360">
        <v>44377.0</v>
      </c>
      <c r="J240" s="361">
        <v>9.99</v>
      </c>
      <c r="K240" s="361">
        <v>9.99</v>
      </c>
      <c r="L240" s="361">
        <v>0.0</v>
      </c>
      <c r="M240" s="40">
        <v>2.0</v>
      </c>
      <c r="N240" s="361">
        <v>5.0</v>
      </c>
    </row>
    <row r="241">
      <c r="A241" s="40" t="s">
        <v>25</v>
      </c>
      <c r="B241" s="40" t="s">
        <v>195</v>
      </c>
      <c r="C241" s="40">
        <v>489.0</v>
      </c>
      <c r="D241" s="40" t="s">
        <v>879</v>
      </c>
      <c r="E241" s="40" t="s">
        <v>671</v>
      </c>
      <c r="F241" s="360">
        <v>41409.0</v>
      </c>
      <c r="G241" s="360">
        <v>42224.0</v>
      </c>
      <c r="H241" s="360">
        <v>42224.0</v>
      </c>
      <c r="I241" s="360">
        <v>44866.0</v>
      </c>
      <c r="J241" s="361">
        <v>7.99</v>
      </c>
      <c r="K241" s="361">
        <v>7.99</v>
      </c>
      <c r="L241" s="361">
        <v>0.0</v>
      </c>
      <c r="M241" s="40">
        <v>5.0</v>
      </c>
      <c r="N241" s="361">
        <v>1.6</v>
      </c>
    </row>
    <row r="242">
      <c r="A242" s="358" t="s">
        <v>25</v>
      </c>
      <c r="B242" s="40"/>
      <c r="C242" s="40">
        <v>475.0</v>
      </c>
      <c r="D242" s="40" t="s">
        <v>881</v>
      </c>
      <c r="E242" s="40" t="s">
        <v>671</v>
      </c>
      <c r="F242" s="360">
        <v>41675.0</v>
      </c>
      <c r="G242" s="360">
        <v>43373.0</v>
      </c>
      <c r="H242" s="360">
        <v>43423.0</v>
      </c>
      <c r="I242" s="360">
        <v>44948.0</v>
      </c>
      <c r="J242" s="361">
        <v>4.99</v>
      </c>
      <c r="K242" s="361">
        <v>4.99</v>
      </c>
      <c r="L242" s="361">
        <v>0.0</v>
      </c>
      <c r="M242" s="40">
        <v>5.0</v>
      </c>
      <c r="N242" s="361">
        <v>1.0</v>
      </c>
    </row>
    <row r="243">
      <c r="A243" s="358" t="s">
        <v>25</v>
      </c>
      <c r="B243" s="40"/>
      <c r="C243" s="40">
        <v>490.0</v>
      </c>
      <c r="D243" s="40" t="s">
        <v>887</v>
      </c>
      <c r="E243" s="40" t="s">
        <v>671</v>
      </c>
      <c r="F243" s="360">
        <v>41885.0</v>
      </c>
      <c r="G243" s="360">
        <v>42326.0</v>
      </c>
      <c r="H243" s="360">
        <v>42326.0</v>
      </c>
      <c r="I243" s="360">
        <v>42326.0</v>
      </c>
      <c r="J243" s="361">
        <v>15.99</v>
      </c>
      <c r="K243" s="361">
        <v>6.4</v>
      </c>
      <c r="L243" s="361">
        <v>9.59</v>
      </c>
      <c r="M243" s="40">
        <v>5.0</v>
      </c>
      <c r="N243" s="361">
        <v>1.28</v>
      </c>
    </row>
    <row r="244">
      <c r="A244" s="40" t="s">
        <v>25</v>
      </c>
      <c r="B244" s="40"/>
      <c r="C244" s="40">
        <v>801.0</v>
      </c>
      <c r="D244" s="40" t="s">
        <v>954</v>
      </c>
      <c r="E244" s="40" t="s">
        <v>33</v>
      </c>
      <c r="F244" s="360">
        <v>44957.0</v>
      </c>
      <c r="G244" s="360">
        <v>45265.0</v>
      </c>
      <c r="H244" s="360">
        <v>45265.0</v>
      </c>
      <c r="I244" s="360">
        <v>45506.0</v>
      </c>
      <c r="J244" s="361">
        <v>32.98</v>
      </c>
      <c r="K244" s="361">
        <v>2.99</v>
      </c>
      <c r="L244" s="361">
        <v>29.99</v>
      </c>
      <c r="M244" s="40">
        <v>76.0</v>
      </c>
      <c r="N244" s="361">
        <v>0.04</v>
      </c>
    </row>
    <row r="245">
      <c r="A245" s="40" t="s">
        <v>25</v>
      </c>
      <c r="B245" s="40"/>
      <c r="C245" s="40">
        <v>1040.0</v>
      </c>
      <c r="D245" s="40" t="s">
        <v>967</v>
      </c>
      <c r="E245" s="40" t="s">
        <v>666</v>
      </c>
      <c r="F245" s="360">
        <v>42941.0</v>
      </c>
      <c r="G245" s="360">
        <v>43475.0</v>
      </c>
      <c r="H245" s="360">
        <v>43543.0</v>
      </c>
      <c r="I245" s="360">
        <v>43543.0</v>
      </c>
      <c r="J245" s="361">
        <v>15.99</v>
      </c>
      <c r="K245" s="361">
        <v>15.99</v>
      </c>
      <c r="L245" s="361">
        <v>0.0</v>
      </c>
      <c r="M245" s="40">
        <v>1.0</v>
      </c>
      <c r="N245" s="361">
        <v>15.99</v>
      </c>
    </row>
    <row r="246">
      <c r="A246" s="146"/>
      <c r="B246" s="146"/>
      <c r="C246" s="340"/>
      <c r="D246" s="146"/>
      <c r="E246" s="146"/>
      <c r="F246" s="146"/>
      <c r="G246" s="146"/>
      <c r="H246" s="146"/>
      <c r="I246" s="146"/>
      <c r="J246" s="339">
        <f t="shared" ref="J246:M246" si="29">SUM(J241:J245)</f>
        <v>77.94</v>
      </c>
      <c r="K246" s="339">
        <f t="shared" si="29"/>
        <v>38.36</v>
      </c>
      <c r="L246" s="339">
        <f t="shared" si="29"/>
        <v>39.58</v>
      </c>
      <c r="M246" s="146">
        <f t="shared" si="29"/>
        <v>92</v>
      </c>
      <c r="N246" s="339">
        <f>K246/M246</f>
        <v>0.4169565217</v>
      </c>
    </row>
    <row r="247">
      <c r="A247" s="40" t="s">
        <v>25</v>
      </c>
      <c r="B247" s="40" t="s">
        <v>196</v>
      </c>
      <c r="C247" s="40">
        <v>782.0</v>
      </c>
      <c r="D247" s="40" t="s">
        <v>911</v>
      </c>
      <c r="E247" s="40" t="s">
        <v>33</v>
      </c>
      <c r="F247" s="360">
        <v>42584.0</v>
      </c>
      <c r="G247" s="360">
        <v>42859.0</v>
      </c>
      <c r="H247" s="360">
        <v>42862.0</v>
      </c>
      <c r="I247" s="360">
        <v>44345.0</v>
      </c>
      <c r="J247" s="361">
        <v>64.22</v>
      </c>
      <c r="K247" s="361">
        <v>47.43</v>
      </c>
      <c r="L247" s="361">
        <v>16.79</v>
      </c>
      <c r="M247" s="40">
        <v>7.0</v>
      </c>
      <c r="N247" s="361">
        <v>6.78</v>
      </c>
    </row>
    <row r="248">
      <c r="A248" s="40" t="s">
        <v>25</v>
      </c>
      <c r="B248" s="40"/>
      <c r="C248" s="40">
        <v>783.0</v>
      </c>
      <c r="D248" s="362" t="s">
        <v>925</v>
      </c>
      <c r="E248" s="362" t="s">
        <v>33</v>
      </c>
      <c r="F248" s="360">
        <v>43319.0</v>
      </c>
      <c r="G248" s="360">
        <v>43268.0</v>
      </c>
      <c r="H248" s="360">
        <v>43323.0</v>
      </c>
      <c r="I248" s="360">
        <v>44345.0</v>
      </c>
      <c r="J248" s="361">
        <v>64.22</v>
      </c>
      <c r="K248" s="361">
        <v>47.42</v>
      </c>
      <c r="L248" s="361">
        <v>16.8</v>
      </c>
      <c r="M248" s="40">
        <v>4.0</v>
      </c>
      <c r="N248" s="361">
        <v>11.86</v>
      </c>
    </row>
    <row r="249">
      <c r="A249" s="146"/>
      <c r="B249" s="146"/>
      <c r="C249" s="340"/>
      <c r="D249" s="146"/>
      <c r="E249" s="146"/>
      <c r="F249" s="146"/>
      <c r="G249" s="146"/>
      <c r="H249" s="146"/>
      <c r="I249" s="146"/>
      <c r="J249" s="339">
        <f t="shared" ref="J249:M249" si="30">SUM(J247:J248)</f>
        <v>128.44</v>
      </c>
      <c r="K249" s="339">
        <f t="shared" si="30"/>
        <v>94.85</v>
      </c>
      <c r="L249" s="339">
        <f t="shared" si="30"/>
        <v>33.59</v>
      </c>
      <c r="M249" s="146">
        <f t="shared" si="30"/>
        <v>11</v>
      </c>
      <c r="N249" s="339">
        <f>K249/M249</f>
        <v>8.622727273</v>
      </c>
    </row>
    <row r="250">
      <c r="A250" s="40" t="s">
        <v>25</v>
      </c>
      <c r="B250" s="40" t="s">
        <v>197</v>
      </c>
      <c r="C250" s="40">
        <v>32.0</v>
      </c>
      <c r="D250" s="40" t="s">
        <v>806</v>
      </c>
      <c r="E250" s="40" t="s">
        <v>682</v>
      </c>
      <c r="F250" s="360">
        <v>36077.0</v>
      </c>
      <c r="G250" s="360">
        <v>41551.0</v>
      </c>
      <c r="H250" s="360">
        <v>45479.0</v>
      </c>
      <c r="I250" s="360">
        <v>45483.0</v>
      </c>
      <c r="J250" s="361">
        <v>4.99</v>
      </c>
      <c r="K250" s="361">
        <v>4.99</v>
      </c>
      <c r="L250" s="361">
        <v>0.0</v>
      </c>
      <c r="M250" s="40">
        <v>15.0</v>
      </c>
      <c r="N250" s="361">
        <v>0.33</v>
      </c>
    </row>
    <row r="251">
      <c r="A251" s="40" t="s">
        <v>25</v>
      </c>
      <c r="B251" s="40"/>
      <c r="C251" s="40">
        <v>33.0</v>
      </c>
      <c r="D251" s="40" t="s">
        <v>813</v>
      </c>
      <c r="E251" s="40" t="s">
        <v>682</v>
      </c>
      <c r="F251" s="360">
        <v>36637.0</v>
      </c>
      <c r="G251" s="360">
        <v>45800.0</v>
      </c>
      <c r="H251" s="360">
        <v>45805.0</v>
      </c>
      <c r="I251" s="360">
        <v>45807.0</v>
      </c>
      <c r="J251" s="362">
        <v>9.99</v>
      </c>
      <c r="K251" s="362">
        <v>4.99</v>
      </c>
      <c r="L251" s="362">
        <v>5.0</v>
      </c>
      <c r="M251" s="40">
        <v>11.0</v>
      </c>
      <c r="N251" s="362">
        <v>0.45</v>
      </c>
    </row>
    <row r="252">
      <c r="A252" s="40" t="s">
        <v>25</v>
      </c>
      <c r="B252" s="40"/>
      <c r="C252" s="40">
        <v>119.0</v>
      </c>
      <c r="D252" s="40" t="s">
        <v>821</v>
      </c>
      <c r="E252" s="40" t="s">
        <v>645</v>
      </c>
      <c r="F252" s="360">
        <v>37722.0</v>
      </c>
      <c r="G252" s="360">
        <v>45177.0</v>
      </c>
      <c r="H252" s="360">
        <v>45797.0</v>
      </c>
      <c r="I252" s="360">
        <v>45798.0</v>
      </c>
      <c r="J252" s="361">
        <v>9.99</v>
      </c>
      <c r="K252" s="361">
        <v>0.0</v>
      </c>
      <c r="L252" s="361">
        <v>9.99</v>
      </c>
      <c r="M252" s="40">
        <v>2.0</v>
      </c>
      <c r="N252" s="361">
        <v>0.0</v>
      </c>
    </row>
    <row r="253">
      <c r="A253" s="40" t="s">
        <v>25</v>
      </c>
      <c r="B253" s="40"/>
      <c r="C253" s="40">
        <v>1027.0</v>
      </c>
      <c r="D253" s="40" t="s">
        <v>963</v>
      </c>
      <c r="E253" s="40" t="s">
        <v>666</v>
      </c>
      <c r="F253" s="360">
        <v>42656.0</v>
      </c>
      <c r="G253" s="360">
        <v>43466.0</v>
      </c>
      <c r="H253" s="360">
        <v>43480.0</v>
      </c>
      <c r="I253" s="360">
        <v>43480.0</v>
      </c>
      <c r="J253" s="361">
        <v>19.99</v>
      </c>
      <c r="K253" s="361">
        <v>9.99</v>
      </c>
      <c r="L253" s="361">
        <v>10.0</v>
      </c>
      <c r="M253" s="40">
        <v>1.0</v>
      </c>
      <c r="N253" s="361">
        <v>9.99</v>
      </c>
    </row>
    <row r="254">
      <c r="A254" s="146"/>
      <c r="B254" s="146"/>
      <c r="C254" s="340"/>
      <c r="D254" s="146"/>
      <c r="E254" s="146"/>
      <c r="F254" s="146"/>
      <c r="G254" s="146"/>
      <c r="H254" s="146"/>
      <c r="I254" s="146"/>
      <c r="J254" s="339">
        <f t="shared" ref="J254:M254" si="31">SUM(J250:J253)</f>
        <v>44.96</v>
      </c>
      <c r="K254" s="339">
        <f t="shared" si="31"/>
        <v>19.97</v>
      </c>
      <c r="L254" s="339">
        <f t="shared" si="31"/>
        <v>24.99</v>
      </c>
      <c r="M254" s="146">
        <f t="shared" si="31"/>
        <v>29</v>
      </c>
      <c r="N254" s="339">
        <f>K254/M254</f>
        <v>0.6886206897</v>
      </c>
    </row>
    <row r="255">
      <c r="A255" s="358" t="s">
        <v>25</v>
      </c>
      <c r="B255" s="40" t="s">
        <v>198</v>
      </c>
      <c r="C255" s="40">
        <v>270.0</v>
      </c>
      <c r="D255" s="40" t="s">
        <v>858</v>
      </c>
      <c r="E255" s="40" t="s">
        <v>649</v>
      </c>
      <c r="F255" s="360">
        <v>41192.0</v>
      </c>
      <c r="G255" s="360">
        <v>41373.0</v>
      </c>
      <c r="H255" s="360">
        <v>41373.0</v>
      </c>
      <c r="I255" s="360">
        <v>44754.0</v>
      </c>
      <c r="J255" s="361">
        <v>12.99</v>
      </c>
      <c r="K255" s="361">
        <v>12.99</v>
      </c>
      <c r="L255" s="361">
        <v>0.0</v>
      </c>
      <c r="M255" s="40">
        <v>7.0</v>
      </c>
      <c r="N255" s="361">
        <v>1.86</v>
      </c>
    </row>
    <row r="256">
      <c r="A256" s="40" t="s">
        <v>25</v>
      </c>
      <c r="B256" s="40"/>
      <c r="C256" s="40">
        <v>772.0</v>
      </c>
      <c r="D256" s="40" t="s">
        <v>912</v>
      </c>
      <c r="E256" s="40" t="s">
        <v>33</v>
      </c>
      <c r="F256" s="360">
        <v>42592.0</v>
      </c>
      <c r="G256" s="360">
        <v>44349.0</v>
      </c>
      <c r="H256" s="360">
        <v>44350.0</v>
      </c>
      <c r="I256" s="360">
        <v>44350.0</v>
      </c>
      <c r="J256" s="361">
        <v>49.99</v>
      </c>
      <c r="K256" s="361">
        <v>24.99</v>
      </c>
      <c r="L256" s="361">
        <v>25.0</v>
      </c>
      <c r="M256" s="40">
        <v>5.0</v>
      </c>
      <c r="N256" s="361">
        <v>5.0</v>
      </c>
    </row>
    <row r="257">
      <c r="A257" s="146"/>
      <c r="B257" s="146"/>
      <c r="C257" s="340"/>
      <c r="D257" s="146"/>
      <c r="E257" s="146"/>
      <c r="F257" s="146"/>
      <c r="G257" s="146"/>
      <c r="H257" s="146"/>
      <c r="I257" s="146"/>
      <c r="J257" s="339">
        <f t="shared" ref="J257:M257" si="32">SUM(J255:J256)</f>
        <v>62.98</v>
      </c>
      <c r="K257" s="339">
        <f t="shared" si="32"/>
        <v>37.98</v>
      </c>
      <c r="L257" s="339">
        <f t="shared" si="32"/>
        <v>25</v>
      </c>
      <c r="M257" s="146">
        <f t="shared" si="32"/>
        <v>12</v>
      </c>
      <c r="N257" s="339">
        <f>K257/M257</f>
        <v>3.165</v>
      </c>
    </row>
    <row r="258">
      <c r="A258" s="40" t="s">
        <v>25</v>
      </c>
      <c r="B258" s="40" t="s">
        <v>199</v>
      </c>
      <c r="C258" s="40">
        <v>261.0</v>
      </c>
      <c r="D258" s="40" t="s">
        <v>871</v>
      </c>
      <c r="E258" s="40" t="s">
        <v>649</v>
      </c>
      <c r="F258" s="360">
        <v>41864.0</v>
      </c>
      <c r="G258" s="360">
        <v>42925.0</v>
      </c>
      <c r="H258" s="360">
        <v>42925.0</v>
      </c>
      <c r="I258" s="360">
        <v>42925.0</v>
      </c>
      <c r="J258" s="361">
        <v>12.99</v>
      </c>
      <c r="K258" s="361">
        <v>3.99</v>
      </c>
      <c r="L258" s="361">
        <v>9.0</v>
      </c>
      <c r="M258" s="40">
        <v>1.0</v>
      </c>
      <c r="N258" s="361">
        <v>3.99</v>
      </c>
    </row>
    <row r="259">
      <c r="A259" s="40" t="s">
        <v>25</v>
      </c>
      <c r="B259" s="40" t="s">
        <v>200</v>
      </c>
      <c r="C259" s="40">
        <v>28.0</v>
      </c>
      <c r="D259" s="40" t="s">
        <v>814</v>
      </c>
      <c r="E259" s="40" t="s">
        <v>682</v>
      </c>
      <c r="F259" s="360">
        <v>36763.0</v>
      </c>
      <c r="G259" s="360">
        <v>40538.0</v>
      </c>
      <c r="H259" s="360">
        <v>40538.0</v>
      </c>
      <c r="I259" s="360">
        <v>40538.0</v>
      </c>
      <c r="J259" s="361">
        <v>9.99</v>
      </c>
      <c r="K259" s="361">
        <v>9.99</v>
      </c>
      <c r="L259" s="361">
        <v>0.0</v>
      </c>
      <c r="M259" s="40">
        <v>70.0</v>
      </c>
      <c r="N259" s="361">
        <v>0.14</v>
      </c>
    </row>
    <row r="260">
      <c r="A260" s="40" t="s">
        <v>25</v>
      </c>
      <c r="B260" s="40" t="s">
        <v>201</v>
      </c>
      <c r="C260" s="40">
        <v>465.0</v>
      </c>
      <c r="D260" s="40" t="s">
        <v>885</v>
      </c>
      <c r="E260" s="40" t="s">
        <v>671</v>
      </c>
      <c r="F260" s="360">
        <v>41829.0</v>
      </c>
      <c r="G260" s="360">
        <v>42832.0</v>
      </c>
      <c r="H260" s="360">
        <v>42832.0</v>
      </c>
      <c r="I260" s="360">
        <v>43574.0</v>
      </c>
      <c r="J260" s="361">
        <v>3.99</v>
      </c>
      <c r="K260" s="361">
        <v>3.99</v>
      </c>
      <c r="L260" s="361">
        <v>0.0</v>
      </c>
      <c r="M260" s="40">
        <v>2.0</v>
      </c>
      <c r="N260" s="361">
        <v>2.0</v>
      </c>
    </row>
    <row r="261">
      <c r="A261" s="358" t="s">
        <v>25</v>
      </c>
      <c r="B261" s="358" t="s">
        <v>202</v>
      </c>
      <c r="C261" s="358">
        <v>1099.0</v>
      </c>
      <c r="D261" s="358" t="s">
        <v>958</v>
      </c>
      <c r="E261" s="358" t="s">
        <v>33</v>
      </c>
      <c r="F261" s="364">
        <v>45337.0</v>
      </c>
      <c r="G261" s="364">
        <v>46005.0</v>
      </c>
      <c r="H261" s="364">
        <v>46013.0</v>
      </c>
      <c r="I261" s="364">
        <v>46022.0</v>
      </c>
      <c r="J261" s="363">
        <v>19.99</v>
      </c>
      <c r="K261" s="363">
        <v>3.99</v>
      </c>
      <c r="L261" s="363">
        <v>15.999999999999998</v>
      </c>
      <c r="M261" s="358">
        <v>6.0</v>
      </c>
      <c r="N261" s="363">
        <v>0.665</v>
      </c>
    </row>
    <row r="262">
      <c r="A262" s="358" t="s">
        <v>25</v>
      </c>
      <c r="B262" s="40" t="s">
        <v>203</v>
      </c>
      <c r="C262" s="40">
        <v>258.0</v>
      </c>
      <c r="D262" s="40" t="s">
        <v>844</v>
      </c>
      <c r="E262" s="40" t="s">
        <v>649</v>
      </c>
      <c r="F262" s="360">
        <v>40141.0</v>
      </c>
      <c r="G262" s="360">
        <v>42236.0</v>
      </c>
      <c r="H262" s="360">
        <v>45062.0</v>
      </c>
      <c r="I262" s="360">
        <v>45066.0</v>
      </c>
      <c r="J262" s="361">
        <v>3.99</v>
      </c>
      <c r="K262" s="361">
        <v>3.99</v>
      </c>
      <c r="L262" s="361">
        <v>0.0</v>
      </c>
      <c r="M262" s="40">
        <v>10.0</v>
      </c>
      <c r="N262" s="361">
        <v>0.4</v>
      </c>
    </row>
    <row r="263">
      <c r="A263" s="40" t="s">
        <v>25</v>
      </c>
      <c r="B263" s="40"/>
      <c r="C263" s="40">
        <v>776.0</v>
      </c>
      <c r="D263" s="40" t="s">
        <v>896</v>
      </c>
      <c r="E263" s="40" t="s">
        <v>33</v>
      </c>
      <c r="F263" s="360">
        <v>41843.0</v>
      </c>
      <c r="G263" s="360">
        <v>42123.0</v>
      </c>
      <c r="H263" s="360">
        <v>42123.0</v>
      </c>
      <c r="I263" s="360">
        <v>44140.0</v>
      </c>
      <c r="J263" s="361">
        <v>23.58</v>
      </c>
      <c r="K263" s="361">
        <v>20.98</v>
      </c>
      <c r="L263" s="361">
        <v>2.6</v>
      </c>
      <c r="M263" s="40">
        <v>58.0</v>
      </c>
      <c r="N263" s="361">
        <v>0.36</v>
      </c>
    </row>
    <row r="264">
      <c r="A264" s="40" t="s">
        <v>25</v>
      </c>
      <c r="B264" s="40"/>
      <c r="C264" s="40">
        <v>1030.0</v>
      </c>
      <c r="D264" s="40" t="s">
        <v>971</v>
      </c>
      <c r="E264" s="40" t="s">
        <v>666</v>
      </c>
      <c r="F264" s="360">
        <v>44385.0</v>
      </c>
      <c r="G264" s="360">
        <v>44708.0</v>
      </c>
      <c r="H264" s="360">
        <v>44708.0</v>
      </c>
      <c r="I264" s="360">
        <v>44708.0</v>
      </c>
      <c r="J264" s="361">
        <v>29.99</v>
      </c>
      <c r="K264" s="361">
        <v>13.49</v>
      </c>
      <c r="L264" s="361">
        <v>16.5</v>
      </c>
      <c r="M264" s="40">
        <v>1.0</v>
      </c>
      <c r="N264" s="361">
        <v>13.49</v>
      </c>
    </row>
    <row r="265">
      <c r="A265" s="146"/>
      <c r="B265" s="146"/>
      <c r="C265" s="340"/>
      <c r="D265" s="146"/>
      <c r="E265" s="146"/>
      <c r="F265" s="146"/>
      <c r="G265" s="146"/>
      <c r="H265" s="146"/>
      <c r="I265" s="146"/>
      <c r="J265" s="339">
        <f t="shared" ref="J265:M265" si="33">SUM(J262:J264)</f>
        <v>57.56</v>
      </c>
      <c r="K265" s="339">
        <f t="shared" si="33"/>
        <v>38.46</v>
      </c>
      <c r="L265" s="339">
        <f t="shared" si="33"/>
        <v>19.1</v>
      </c>
      <c r="M265" s="146">
        <f t="shared" si="33"/>
        <v>69</v>
      </c>
      <c r="N265" s="339">
        <f>K265/M265</f>
        <v>0.5573913043</v>
      </c>
    </row>
    <row r="266">
      <c r="A266" s="357" t="s">
        <v>25</v>
      </c>
      <c r="B266" s="40" t="s">
        <v>204</v>
      </c>
      <c r="C266" s="40">
        <v>62.0</v>
      </c>
      <c r="D266" s="40" t="s">
        <v>804</v>
      </c>
      <c r="E266" s="40" t="s">
        <v>682</v>
      </c>
      <c r="F266" s="360">
        <v>35827.0</v>
      </c>
      <c r="G266" s="360">
        <v>40696.0</v>
      </c>
      <c r="H266" s="360">
        <v>40696.0</v>
      </c>
      <c r="I266" s="360">
        <v>40696.0</v>
      </c>
      <c r="J266" s="361">
        <v>4.99</v>
      </c>
      <c r="K266" s="361">
        <v>4.99</v>
      </c>
      <c r="L266" s="361">
        <v>0.0</v>
      </c>
      <c r="M266" s="40">
        <v>1.0</v>
      </c>
      <c r="N266" s="361">
        <v>4.99</v>
      </c>
    </row>
    <row r="267">
      <c r="A267" s="40" t="s">
        <v>25</v>
      </c>
      <c r="B267" s="40" t="s">
        <v>205</v>
      </c>
      <c r="C267" s="40">
        <v>664.0</v>
      </c>
      <c r="D267" s="40" t="s">
        <v>906</v>
      </c>
      <c r="E267" s="40" t="s">
        <v>33</v>
      </c>
      <c r="F267" s="360">
        <v>42263.0</v>
      </c>
      <c r="G267" s="360">
        <v>42859.0</v>
      </c>
      <c r="H267" s="360">
        <v>43060.0</v>
      </c>
      <c r="I267" s="360">
        <v>45425.0</v>
      </c>
      <c r="J267" s="361">
        <v>6.99</v>
      </c>
      <c r="K267" s="361">
        <v>1.99</v>
      </c>
      <c r="L267" s="361">
        <v>5.0</v>
      </c>
      <c r="M267" s="40">
        <v>1.0</v>
      </c>
      <c r="N267" s="361">
        <v>1.99</v>
      </c>
    </row>
    <row r="268">
      <c r="A268" s="40" t="s">
        <v>25</v>
      </c>
      <c r="B268" s="40" t="s">
        <v>206</v>
      </c>
      <c r="C268" s="40">
        <v>439.0</v>
      </c>
      <c r="D268" s="40" t="s">
        <v>892</v>
      </c>
      <c r="E268" s="40" t="s">
        <v>671</v>
      </c>
      <c r="F268" s="360">
        <v>42074.0</v>
      </c>
      <c r="G268" s="360">
        <v>43373.0</v>
      </c>
      <c r="H268" s="360">
        <v>43373.0</v>
      </c>
      <c r="I268" s="360">
        <v>43373.0</v>
      </c>
      <c r="J268" s="361">
        <v>9.99</v>
      </c>
      <c r="K268" s="361">
        <v>9.99</v>
      </c>
      <c r="L268" s="361">
        <v>0.0</v>
      </c>
      <c r="M268" s="40">
        <v>1.0</v>
      </c>
      <c r="N268" s="361">
        <v>9.99</v>
      </c>
    </row>
    <row r="269">
      <c r="A269" s="40" t="s">
        <v>25</v>
      </c>
      <c r="B269" s="40" t="s">
        <v>207</v>
      </c>
      <c r="C269" s="40">
        <v>456.0</v>
      </c>
      <c r="D269" s="40" t="s">
        <v>894</v>
      </c>
      <c r="E269" s="40" t="s">
        <v>671</v>
      </c>
      <c r="F269" s="360">
        <v>43214.0</v>
      </c>
      <c r="G269" s="360">
        <v>43414.0</v>
      </c>
      <c r="H269" s="360">
        <v>43427.0</v>
      </c>
      <c r="I269" s="360">
        <v>44952.0</v>
      </c>
      <c r="J269" s="361">
        <v>7.99</v>
      </c>
      <c r="K269" s="361">
        <v>3.99</v>
      </c>
      <c r="L269" s="361">
        <v>4.0</v>
      </c>
      <c r="M269" s="40">
        <v>15.0</v>
      </c>
      <c r="N269" s="361">
        <v>0.27</v>
      </c>
    </row>
    <row r="270">
      <c r="A270" s="40" t="s">
        <v>25</v>
      </c>
      <c r="B270" s="40" t="s">
        <v>208</v>
      </c>
      <c r="C270" s="40">
        <v>484.0</v>
      </c>
      <c r="D270" s="40" t="s">
        <v>882</v>
      </c>
      <c r="E270" s="40" t="s">
        <v>671</v>
      </c>
      <c r="F270" s="360">
        <v>41682.0</v>
      </c>
      <c r="G270" s="360">
        <v>42363.0</v>
      </c>
      <c r="H270" s="360">
        <v>42363.0</v>
      </c>
      <c r="I270" s="360">
        <v>42363.0</v>
      </c>
      <c r="J270" s="361">
        <v>6.99</v>
      </c>
      <c r="K270" s="361">
        <v>6.99</v>
      </c>
      <c r="L270" s="361">
        <v>0.0</v>
      </c>
      <c r="M270" s="40">
        <v>1.0</v>
      </c>
      <c r="N270" s="361">
        <v>6.99</v>
      </c>
    </row>
    <row r="271">
      <c r="A271" s="40" t="s">
        <v>25</v>
      </c>
      <c r="B271" s="40"/>
      <c r="C271" s="40">
        <v>796.0</v>
      </c>
      <c r="D271" s="40" t="s">
        <v>920</v>
      </c>
      <c r="E271" s="40" t="s">
        <v>33</v>
      </c>
      <c r="F271" s="360">
        <v>42864.0</v>
      </c>
      <c r="G271" s="360">
        <v>43155.0</v>
      </c>
      <c r="H271" s="360">
        <v>43189.0</v>
      </c>
      <c r="I271" s="360">
        <v>43468.0</v>
      </c>
      <c r="J271" s="361">
        <v>16.99</v>
      </c>
      <c r="K271" s="361">
        <v>4.99</v>
      </c>
      <c r="L271" s="361">
        <v>12.0</v>
      </c>
      <c r="M271" s="40">
        <v>1.0</v>
      </c>
      <c r="N271" s="361">
        <v>4.99</v>
      </c>
    </row>
    <row r="272">
      <c r="A272" s="146"/>
      <c r="B272" s="146"/>
      <c r="C272" s="340"/>
      <c r="D272" s="146"/>
      <c r="E272" s="146"/>
      <c r="F272" s="146"/>
      <c r="G272" s="146"/>
      <c r="H272" s="146"/>
      <c r="I272" s="146"/>
      <c r="J272" s="339">
        <f t="shared" ref="J272:M272" si="34">SUM(J270:J271)</f>
        <v>23.98</v>
      </c>
      <c r="K272" s="339">
        <f t="shared" si="34"/>
        <v>11.98</v>
      </c>
      <c r="L272" s="339">
        <f t="shared" si="34"/>
        <v>12</v>
      </c>
      <c r="M272" s="146">
        <f t="shared" si="34"/>
        <v>2</v>
      </c>
      <c r="N272" s="339">
        <f>K272/M272</f>
        <v>5.99</v>
      </c>
    </row>
    <row r="273">
      <c r="A273" s="40" t="s">
        <v>25</v>
      </c>
      <c r="B273" s="40" t="s">
        <v>209</v>
      </c>
      <c r="C273" s="40">
        <v>1023.0</v>
      </c>
      <c r="D273" s="40" t="s">
        <v>960</v>
      </c>
      <c r="E273" s="40" t="s">
        <v>666</v>
      </c>
      <c r="F273" s="360">
        <v>42653.0</v>
      </c>
      <c r="G273" s="360">
        <v>43463.0</v>
      </c>
      <c r="H273" s="360">
        <v>43463.0</v>
      </c>
      <c r="I273" s="360">
        <v>45150.0</v>
      </c>
      <c r="J273" s="361">
        <v>29.99</v>
      </c>
      <c r="K273" s="361">
        <v>0.0</v>
      </c>
      <c r="L273" s="361">
        <v>29.99</v>
      </c>
      <c r="M273" s="40">
        <v>11.0</v>
      </c>
      <c r="N273" s="361">
        <v>0.0</v>
      </c>
    </row>
    <row r="274">
      <c r="A274" s="40" t="s">
        <v>25</v>
      </c>
      <c r="B274" s="40" t="s">
        <v>210</v>
      </c>
      <c r="C274" s="40">
        <v>251.0</v>
      </c>
      <c r="D274" s="40" t="s">
        <v>872</v>
      </c>
      <c r="E274" s="40" t="s">
        <v>649</v>
      </c>
      <c r="F274" s="360">
        <v>41968.0</v>
      </c>
      <c r="G274" s="360">
        <v>42887.0</v>
      </c>
      <c r="H274" s="360">
        <v>42904.0</v>
      </c>
      <c r="I274" s="360">
        <v>45426.0</v>
      </c>
      <c r="J274" s="361">
        <v>14.99</v>
      </c>
      <c r="K274" s="361">
        <v>3.99</v>
      </c>
      <c r="L274" s="361">
        <v>11.0</v>
      </c>
      <c r="M274" s="40">
        <v>5.0</v>
      </c>
      <c r="N274" s="361">
        <v>0.8</v>
      </c>
    </row>
    <row r="275">
      <c r="A275" s="358" t="s">
        <v>25</v>
      </c>
      <c r="B275" s="40" t="s">
        <v>211</v>
      </c>
      <c r="C275" s="40">
        <v>286.0</v>
      </c>
      <c r="D275" s="40" t="s">
        <v>839</v>
      </c>
      <c r="E275" s="40" t="s">
        <v>649</v>
      </c>
      <c r="F275" s="360">
        <v>39757.0</v>
      </c>
      <c r="G275" s="360">
        <v>40178.0</v>
      </c>
      <c r="H275" s="360">
        <v>40178.0</v>
      </c>
      <c r="I275" s="360">
        <v>44777.0</v>
      </c>
      <c r="J275" s="361">
        <v>14.99</v>
      </c>
      <c r="K275" s="361">
        <v>10.5</v>
      </c>
      <c r="L275" s="361">
        <v>4.49</v>
      </c>
      <c r="M275" s="40">
        <v>20.0</v>
      </c>
      <c r="N275" s="361">
        <v>0.53</v>
      </c>
    </row>
    <row r="276">
      <c r="A276" s="358" t="s">
        <v>25</v>
      </c>
      <c r="B276" s="40"/>
      <c r="C276" s="40">
        <v>287.0</v>
      </c>
      <c r="D276" s="40" t="s">
        <v>849</v>
      </c>
      <c r="E276" s="40" t="s">
        <v>649</v>
      </c>
      <c r="F276" s="360">
        <v>40562.0</v>
      </c>
      <c r="G276" s="360">
        <v>40895.0</v>
      </c>
      <c r="H276" s="360">
        <v>40895.0</v>
      </c>
      <c r="I276" s="360">
        <v>44777.0</v>
      </c>
      <c r="J276" s="361">
        <v>29.99</v>
      </c>
      <c r="K276" s="361">
        <v>19.49</v>
      </c>
      <c r="L276" s="361">
        <v>10.5</v>
      </c>
      <c r="M276" s="40">
        <v>20.0</v>
      </c>
      <c r="N276" s="361">
        <v>0.97</v>
      </c>
    </row>
    <row r="277">
      <c r="A277" s="40" t="s">
        <v>25</v>
      </c>
      <c r="B277" s="40"/>
      <c r="C277" s="40">
        <v>883.0</v>
      </c>
      <c r="D277" s="40" t="s">
        <v>905</v>
      </c>
      <c r="E277" s="40" t="s">
        <v>33</v>
      </c>
      <c r="F277" s="360">
        <v>42256.0</v>
      </c>
      <c r="G277" s="360">
        <v>42954.0</v>
      </c>
      <c r="H277" s="360">
        <v>42954.0</v>
      </c>
      <c r="I277" s="360">
        <v>42954.0</v>
      </c>
      <c r="J277" s="361">
        <v>19.99</v>
      </c>
      <c r="K277" s="361">
        <v>11.99</v>
      </c>
      <c r="L277" s="361">
        <v>8.0</v>
      </c>
      <c r="M277" s="40">
        <v>1.0</v>
      </c>
      <c r="N277" s="361">
        <v>11.99</v>
      </c>
    </row>
    <row r="278">
      <c r="A278" s="40" t="s">
        <v>25</v>
      </c>
      <c r="B278" s="40"/>
      <c r="C278" s="40">
        <v>598.0</v>
      </c>
      <c r="D278" s="40" t="s">
        <v>930</v>
      </c>
      <c r="E278" s="40" t="s">
        <v>33</v>
      </c>
      <c r="F278" s="360">
        <v>43875.0</v>
      </c>
      <c r="G278" s="360">
        <v>43907.0</v>
      </c>
      <c r="H278" s="360">
        <v>43907.0</v>
      </c>
      <c r="I278" s="360">
        <v>43907.0</v>
      </c>
      <c r="J278" s="361">
        <v>39.99</v>
      </c>
      <c r="K278" s="361">
        <v>29.99</v>
      </c>
      <c r="L278" s="361">
        <v>10.0</v>
      </c>
      <c r="M278" s="40">
        <v>1.0</v>
      </c>
      <c r="N278" s="361">
        <v>29.99</v>
      </c>
    </row>
    <row r="279">
      <c r="A279" s="146"/>
      <c r="B279" s="146"/>
      <c r="C279" s="340"/>
      <c r="D279" s="146"/>
      <c r="E279" s="146"/>
      <c r="F279" s="146"/>
      <c r="G279" s="146"/>
      <c r="H279" s="146"/>
      <c r="I279" s="146"/>
      <c r="J279" s="339">
        <f t="shared" ref="J279:M279" si="35">SUM(J275:J278)</f>
        <v>104.96</v>
      </c>
      <c r="K279" s="339">
        <f t="shared" si="35"/>
        <v>71.97</v>
      </c>
      <c r="L279" s="339">
        <f t="shared" si="35"/>
        <v>32.99</v>
      </c>
      <c r="M279" s="146">
        <f t="shared" si="35"/>
        <v>42</v>
      </c>
      <c r="N279" s="339">
        <f>K279/M279</f>
        <v>1.713571429</v>
      </c>
    </row>
    <row r="280">
      <c r="A280" s="40" t="s">
        <v>25</v>
      </c>
      <c r="B280" s="40" t="s">
        <v>212</v>
      </c>
      <c r="C280" s="40">
        <v>447.0</v>
      </c>
      <c r="D280" s="40" t="s">
        <v>893</v>
      </c>
      <c r="E280" s="40" t="s">
        <v>671</v>
      </c>
      <c r="F280" s="360">
        <v>42207.0</v>
      </c>
      <c r="G280" s="360">
        <v>42875.0</v>
      </c>
      <c r="H280" s="360">
        <v>42875.0</v>
      </c>
      <c r="I280" s="360">
        <v>42875.0</v>
      </c>
      <c r="J280" s="361">
        <v>9.99</v>
      </c>
      <c r="K280" s="361">
        <v>2.99</v>
      </c>
      <c r="L280" s="361">
        <v>7.0</v>
      </c>
      <c r="M280" s="40">
        <v>1.0</v>
      </c>
      <c r="N280" s="361">
        <v>2.99</v>
      </c>
    </row>
    <row r="281">
      <c r="A281" s="40" t="s">
        <v>25</v>
      </c>
      <c r="B281" s="40"/>
      <c r="C281" s="40">
        <v>616.0</v>
      </c>
      <c r="D281" s="40" t="s">
        <v>934</v>
      </c>
      <c r="E281" s="40" t="s">
        <v>33</v>
      </c>
      <c r="F281" s="360">
        <v>44047.0</v>
      </c>
      <c r="G281" s="360">
        <v>44058.0</v>
      </c>
      <c r="H281" s="360">
        <v>44058.0</v>
      </c>
      <c r="I281" s="360">
        <v>45809.0</v>
      </c>
      <c r="J281" s="361">
        <v>19.99</v>
      </c>
      <c r="K281" s="361">
        <v>0.0</v>
      </c>
      <c r="L281" s="361">
        <v>19.99</v>
      </c>
      <c r="M281" s="40">
        <v>55.0</v>
      </c>
      <c r="N281" s="361">
        <v>0.0</v>
      </c>
    </row>
    <row r="282">
      <c r="A282" s="146"/>
      <c r="B282" s="146"/>
      <c r="C282" s="340"/>
      <c r="D282" s="146"/>
      <c r="E282" s="146"/>
      <c r="F282" s="146"/>
      <c r="G282" s="146"/>
      <c r="H282" s="146"/>
      <c r="I282" s="146"/>
      <c r="J282" s="339">
        <f t="shared" ref="J282:M282" si="36">SUM(J280:J281)</f>
        <v>29.98</v>
      </c>
      <c r="K282" s="339">
        <f t="shared" si="36"/>
        <v>2.99</v>
      </c>
      <c r="L282" s="339">
        <f t="shared" si="36"/>
        <v>26.99</v>
      </c>
      <c r="M282" s="146">
        <f t="shared" si="36"/>
        <v>56</v>
      </c>
      <c r="N282" s="339">
        <f>K282/M282</f>
        <v>0.05339285714</v>
      </c>
    </row>
    <row r="283">
      <c r="A283" s="358" t="s">
        <v>25</v>
      </c>
      <c r="B283" s="358" t="s">
        <v>213</v>
      </c>
      <c r="C283" s="40">
        <v>696.0</v>
      </c>
      <c r="D283" s="40" t="s">
        <v>899</v>
      </c>
      <c r="E283" s="40" t="s">
        <v>33</v>
      </c>
      <c r="F283" s="360">
        <v>42116.0</v>
      </c>
      <c r="G283" s="360">
        <v>42811.0</v>
      </c>
      <c r="H283" s="360">
        <v>45623.0</v>
      </c>
      <c r="I283" s="360">
        <v>45624.0</v>
      </c>
      <c r="J283" s="361">
        <v>13.99</v>
      </c>
      <c r="K283" s="361">
        <v>2.99</v>
      </c>
      <c r="L283" s="361">
        <v>11.0</v>
      </c>
      <c r="M283" s="40">
        <v>6.0</v>
      </c>
      <c r="N283" s="361">
        <v>0.5</v>
      </c>
    </row>
    <row r="284">
      <c r="A284" s="40" t="s">
        <v>25</v>
      </c>
      <c r="B284" s="40" t="s">
        <v>214</v>
      </c>
      <c r="C284" s="40">
        <v>912.0</v>
      </c>
      <c r="D284" s="40" t="s">
        <v>900</v>
      </c>
      <c r="E284" s="40" t="s">
        <v>33</v>
      </c>
      <c r="F284" s="360">
        <v>42153.0</v>
      </c>
      <c r="G284" s="360">
        <v>42754.0</v>
      </c>
      <c r="H284" s="360">
        <v>43080.0</v>
      </c>
      <c r="I284" s="360">
        <v>45172.0</v>
      </c>
      <c r="J284" s="361">
        <v>17.99</v>
      </c>
      <c r="K284" s="361">
        <v>6.99</v>
      </c>
      <c r="L284" s="361">
        <v>11.0</v>
      </c>
      <c r="M284" s="40">
        <v>9.0</v>
      </c>
      <c r="N284" s="361">
        <v>0.78</v>
      </c>
    </row>
    <row r="285">
      <c r="A285" s="40" t="s">
        <v>25</v>
      </c>
      <c r="B285" s="40"/>
      <c r="C285" s="40">
        <v>925.0</v>
      </c>
      <c r="D285" s="40" t="s">
        <v>940</v>
      </c>
      <c r="E285" s="40" t="s">
        <v>33</v>
      </c>
      <c r="F285" s="360">
        <v>44196.0</v>
      </c>
      <c r="G285" s="360">
        <v>45382.0</v>
      </c>
      <c r="H285" s="360">
        <v>45382.0</v>
      </c>
      <c r="I285" s="360">
        <v>45382.0</v>
      </c>
      <c r="J285" s="361">
        <v>26.48</v>
      </c>
      <c r="K285" s="361">
        <v>0.0</v>
      </c>
      <c r="L285" s="361">
        <v>26.48</v>
      </c>
      <c r="M285" s="40">
        <v>1.0</v>
      </c>
      <c r="N285" s="361">
        <v>0.0</v>
      </c>
    </row>
    <row r="286">
      <c r="A286" s="146"/>
      <c r="B286" s="146"/>
      <c r="C286" s="340"/>
      <c r="D286" s="146"/>
      <c r="E286" s="146"/>
      <c r="F286" s="146"/>
      <c r="G286" s="146"/>
      <c r="H286" s="146"/>
      <c r="I286" s="146"/>
      <c r="J286" s="339">
        <f t="shared" ref="J286:M286" si="37">SUM(J284:J285)</f>
        <v>44.47</v>
      </c>
      <c r="K286" s="339">
        <f t="shared" si="37"/>
        <v>6.99</v>
      </c>
      <c r="L286" s="339">
        <f t="shared" si="37"/>
        <v>37.48</v>
      </c>
      <c r="M286" s="146">
        <f t="shared" si="37"/>
        <v>10</v>
      </c>
      <c r="N286" s="339">
        <f>K286/M286</f>
        <v>0.699</v>
      </c>
    </row>
    <row r="287">
      <c r="A287" s="40" t="s">
        <v>25</v>
      </c>
      <c r="B287" s="40" t="s">
        <v>215</v>
      </c>
      <c r="C287" s="40">
        <v>1029.0</v>
      </c>
      <c r="D287" s="40" t="s">
        <v>969</v>
      </c>
      <c r="E287" s="40" t="s">
        <v>666</v>
      </c>
      <c r="F287" s="360">
        <v>43119.0</v>
      </c>
      <c r="G287" s="360">
        <v>43468.0</v>
      </c>
      <c r="H287" s="360">
        <v>43543.0</v>
      </c>
      <c r="I287" s="360">
        <v>44027.0</v>
      </c>
      <c r="J287" s="361">
        <v>19.99</v>
      </c>
      <c r="K287" s="361">
        <v>11.99</v>
      </c>
      <c r="L287" s="361">
        <v>8.0</v>
      </c>
      <c r="M287" s="40">
        <v>18.0</v>
      </c>
      <c r="N287" s="361">
        <v>0.67</v>
      </c>
    </row>
    <row r="288">
      <c r="A288" s="358" t="s">
        <v>25</v>
      </c>
      <c r="B288" s="358" t="s">
        <v>216</v>
      </c>
      <c r="C288" s="40">
        <v>879.0</v>
      </c>
      <c r="D288" s="40" t="s">
        <v>945</v>
      </c>
      <c r="E288" s="40" t="s">
        <v>33</v>
      </c>
      <c r="F288" s="360">
        <v>44456.0</v>
      </c>
      <c r="G288" s="360">
        <v>45020.0</v>
      </c>
      <c r="H288" s="360">
        <v>45754.0</v>
      </c>
      <c r="I288" s="360">
        <v>45757.0</v>
      </c>
      <c r="J288" s="361">
        <v>24.99</v>
      </c>
      <c r="K288" s="361">
        <v>0.0</v>
      </c>
      <c r="L288" s="361">
        <v>24.99</v>
      </c>
      <c r="M288" s="40">
        <v>15.0</v>
      </c>
      <c r="N288" s="361">
        <v>0.0</v>
      </c>
    </row>
    <row r="289">
      <c r="A289" s="40" t="s">
        <v>25</v>
      </c>
      <c r="B289" s="40" t="s">
        <v>217</v>
      </c>
      <c r="C289" s="40">
        <v>479.0</v>
      </c>
      <c r="D289" s="40" t="s">
        <v>886</v>
      </c>
      <c r="E289" s="40" t="s">
        <v>671</v>
      </c>
      <c r="F289" s="360">
        <v>41856.0</v>
      </c>
      <c r="G289" s="360">
        <v>43749.0</v>
      </c>
      <c r="H289" s="360">
        <v>43749.0</v>
      </c>
      <c r="I289" s="360">
        <v>45007.0</v>
      </c>
      <c r="J289" s="361">
        <v>2.99</v>
      </c>
      <c r="K289" s="361">
        <v>2.99</v>
      </c>
      <c r="L289" s="361">
        <v>0.0</v>
      </c>
      <c r="M289" s="40">
        <v>25.0</v>
      </c>
      <c r="N289" s="361">
        <v>0.12</v>
      </c>
    </row>
    <row r="290">
      <c r="A290" s="40" t="s">
        <v>25</v>
      </c>
      <c r="B290" s="40"/>
      <c r="C290" s="40">
        <v>878.0</v>
      </c>
      <c r="D290" s="40" t="s">
        <v>909</v>
      </c>
      <c r="E290" s="40" t="s">
        <v>33</v>
      </c>
      <c r="F290" s="360">
        <v>42493.0</v>
      </c>
      <c r="G290" s="360">
        <v>43749.0</v>
      </c>
      <c r="H290" s="360">
        <v>44035.0</v>
      </c>
      <c r="I290" s="360">
        <v>44037.0</v>
      </c>
      <c r="J290" s="361">
        <v>12.98</v>
      </c>
      <c r="K290" s="361">
        <v>12.98</v>
      </c>
      <c r="L290" s="361">
        <v>0.0</v>
      </c>
      <c r="M290" s="40">
        <v>14.0</v>
      </c>
      <c r="N290" s="361">
        <v>0.93</v>
      </c>
    </row>
    <row r="291">
      <c r="A291" s="146"/>
      <c r="B291" s="146"/>
      <c r="C291" s="340"/>
      <c r="D291" s="146"/>
      <c r="E291" s="146"/>
      <c r="F291" s="146"/>
      <c r="G291" s="146"/>
      <c r="H291" s="146"/>
      <c r="I291" s="146"/>
      <c r="J291" s="339">
        <f t="shared" ref="J291:M291" si="38">SUM(J289:J290)</f>
        <v>15.97</v>
      </c>
      <c r="K291" s="339">
        <f t="shared" si="38"/>
        <v>15.97</v>
      </c>
      <c r="L291" s="339">
        <f t="shared" si="38"/>
        <v>0</v>
      </c>
      <c r="M291" s="146">
        <f t="shared" si="38"/>
        <v>39</v>
      </c>
      <c r="N291" s="339">
        <f>K291/M291</f>
        <v>0.4094871795</v>
      </c>
    </row>
    <row r="292">
      <c r="A292" s="40" t="s">
        <v>25</v>
      </c>
      <c r="B292" s="40" t="s">
        <v>218</v>
      </c>
      <c r="C292" s="40">
        <v>977.0</v>
      </c>
      <c r="D292" s="40" t="s">
        <v>919</v>
      </c>
      <c r="E292" s="40" t="s">
        <v>33</v>
      </c>
      <c r="F292" s="360">
        <v>42836.0</v>
      </c>
      <c r="G292" s="360">
        <v>43519.0</v>
      </c>
      <c r="H292" s="360">
        <v>43521.0</v>
      </c>
      <c r="I292" s="360">
        <v>43847.0</v>
      </c>
      <c r="J292" s="361">
        <v>39.99</v>
      </c>
      <c r="K292" s="361">
        <v>11.99</v>
      </c>
      <c r="L292" s="361">
        <v>28.0</v>
      </c>
      <c r="M292" s="40">
        <v>3.0</v>
      </c>
      <c r="N292" s="361">
        <v>4.0</v>
      </c>
    </row>
    <row r="293">
      <c r="A293" s="40" t="s">
        <v>25</v>
      </c>
      <c r="B293" s="40"/>
      <c r="C293" s="40">
        <v>978.0</v>
      </c>
      <c r="D293" s="40" t="s">
        <v>929</v>
      </c>
      <c r="E293" s="40" t="s">
        <v>33</v>
      </c>
      <c r="F293" s="360">
        <v>43746.0</v>
      </c>
      <c r="G293" s="360">
        <v>43824.0</v>
      </c>
      <c r="H293" s="360">
        <v>43831.0</v>
      </c>
      <c r="I293" s="360">
        <v>43834.0</v>
      </c>
      <c r="J293" s="361">
        <v>29.99</v>
      </c>
      <c r="K293" s="361">
        <v>0.0</v>
      </c>
      <c r="L293" s="361">
        <v>29.99</v>
      </c>
      <c r="M293" s="40">
        <v>21.0</v>
      </c>
      <c r="N293" s="361">
        <v>0.0</v>
      </c>
    </row>
    <row r="294">
      <c r="A294" s="146"/>
      <c r="B294" s="146"/>
      <c r="C294" s="340"/>
      <c r="D294" s="146"/>
      <c r="E294" s="146"/>
      <c r="F294" s="146"/>
      <c r="G294" s="146"/>
      <c r="H294" s="146"/>
      <c r="I294" s="146"/>
      <c r="J294" s="339">
        <f t="shared" ref="J294:M294" si="39">SUM(J292:J293)</f>
        <v>69.98</v>
      </c>
      <c r="K294" s="339">
        <f t="shared" si="39"/>
        <v>11.99</v>
      </c>
      <c r="L294" s="339">
        <f t="shared" si="39"/>
        <v>57.99</v>
      </c>
      <c r="M294" s="146">
        <f t="shared" si="39"/>
        <v>24</v>
      </c>
      <c r="N294" s="339">
        <f>K294/M294</f>
        <v>0.4995833333</v>
      </c>
    </row>
    <row r="295">
      <c r="A295" s="40" t="s">
        <v>25</v>
      </c>
      <c r="B295" s="40" t="s">
        <v>219</v>
      </c>
      <c r="C295" s="40">
        <v>951.0</v>
      </c>
      <c r="D295" s="40" t="s">
        <v>915</v>
      </c>
      <c r="E295" s="40" t="s">
        <v>33</v>
      </c>
      <c r="F295" s="360">
        <v>42618.0</v>
      </c>
      <c r="G295" s="360">
        <v>44708.0</v>
      </c>
      <c r="H295" s="360">
        <v>44713.0</v>
      </c>
      <c r="I295" s="360">
        <v>44719.0</v>
      </c>
      <c r="J295" s="361">
        <v>24.99</v>
      </c>
      <c r="K295" s="361">
        <v>4.99</v>
      </c>
      <c r="L295" s="361">
        <v>20.0</v>
      </c>
      <c r="M295" s="40">
        <v>2.0</v>
      </c>
      <c r="N295" s="361">
        <v>2.5</v>
      </c>
    </row>
    <row r="296">
      <c r="A296" s="358" t="s">
        <v>25</v>
      </c>
      <c r="B296" s="40" t="s">
        <v>220</v>
      </c>
      <c r="C296" s="40">
        <v>403.0</v>
      </c>
      <c r="D296" s="40" t="s">
        <v>835</v>
      </c>
      <c r="E296" s="40" t="s">
        <v>649</v>
      </c>
      <c r="F296" s="360">
        <v>38789.0</v>
      </c>
      <c r="G296" s="360">
        <v>42811.0</v>
      </c>
      <c r="H296" s="360">
        <v>42837.0</v>
      </c>
      <c r="I296" s="360">
        <v>45406.0</v>
      </c>
      <c r="J296" s="361">
        <v>9.99</v>
      </c>
      <c r="K296" s="361">
        <v>9.99</v>
      </c>
      <c r="L296" s="361">
        <v>0.0</v>
      </c>
      <c r="M296" s="40">
        <v>3.0</v>
      </c>
      <c r="N296" s="361">
        <v>3.33</v>
      </c>
    </row>
    <row r="297">
      <c r="A297" s="358" t="s">
        <v>25</v>
      </c>
      <c r="B297" s="40"/>
      <c r="C297" s="40">
        <v>413.0</v>
      </c>
      <c r="D297" s="40" t="s">
        <v>864</v>
      </c>
      <c r="E297" s="40" t="s">
        <v>649</v>
      </c>
      <c r="F297" s="360">
        <v>41351.0</v>
      </c>
      <c r="G297" s="360">
        <v>42811.0</v>
      </c>
      <c r="H297" s="360">
        <v>42828.0</v>
      </c>
      <c r="I297" s="360">
        <v>45408.0</v>
      </c>
      <c r="J297" s="361">
        <v>9.99</v>
      </c>
      <c r="K297" s="361">
        <v>9.99</v>
      </c>
      <c r="L297" s="361">
        <v>0.0</v>
      </c>
      <c r="M297" s="40">
        <v>5.0</v>
      </c>
      <c r="N297" s="361">
        <v>2.0</v>
      </c>
    </row>
    <row r="298">
      <c r="A298" s="146"/>
      <c r="B298" s="146"/>
      <c r="C298" s="340"/>
      <c r="D298" s="146"/>
      <c r="E298" s="146"/>
      <c r="F298" s="146"/>
      <c r="G298" s="146"/>
      <c r="H298" s="146"/>
      <c r="I298" s="146"/>
      <c r="J298" s="339">
        <f t="shared" ref="J298:M298" si="40">SUM(J296:J297)</f>
        <v>19.98</v>
      </c>
      <c r="K298" s="339">
        <f t="shared" si="40"/>
        <v>19.98</v>
      </c>
      <c r="L298" s="339">
        <f t="shared" si="40"/>
        <v>0</v>
      </c>
      <c r="M298" s="146">
        <f t="shared" si="40"/>
        <v>8</v>
      </c>
      <c r="N298" s="339">
        <f>K298/M298</f>
        <v>2.4975</v>
      </c>
    </row>
    <row r="299">
      <c r="A299" s="357" t="s">
        <v>25</v>
      </c>
      <c r="B299" s="40" t="s">
        <v>221</v>
      </c>
      <c r="C299" s="40">
        <v>63.0</v>
      </c>
      <c r="D299" s="40" t="s">
        <v>800</v>
      </c>
      <c r="E299" s="40" t="s">
        <v>682</v>
      </c>
      <c r="F299" s="365">
        <v>35391.0</v>
      </c>
      <c r="G299" s="365">
        <v>42806.0</v>
      </c>
      <c r="H299" s="365">
        <v>42806.0</v>
      </c>
      <c r="I299" s="365">
        <v>42806.0</v>
      </c>
      <c r="J299" s="366">
        <v>15.99</v>
      </c>
      <c r="K299" s="367">
        <v>3.99</v>
      </c>
      <c r="L299" s="367">
        <v>12.0</v>
      </c>
      <c r="M299" s="368">
        <v>1.0</v>
      </c>
      <c r="N299" s="369">
        <v>3.99</v>
      </c>
    </row>
    <row r="300">
      <c r="A300" s="357" t="s">
        <v>25</v>
      </c>
      <c r="B300" s="40"/>
      <c r="C300" s="40">
        <v>64.0</v>
      </c>
      <c r="D300" s="40" t="s">
        <v>803</v>
      </c>
      <c r="E300" s="40" t="s">
        <v>682</v>
      </c>
      <c r="F300" s="365">
        <v>35755.0</v>
      </c>
      <c r="G300" s="365">
        <v>42806.0</v>
      </c>
      <c r="H300" s="365">
        <v>42806.0</v>
      </c>
      <c r="I300" s="365">
        <v>42806.0</v>
      </c>
      <c r="J300" s="370">
        <v>15.99</v>
      </c>
      <c r="K300" s="371">
        <v>3.99</v>
      </c>
      <c r="L300" s="371">
        <v>12.0</v>
      </c>
      <c r="M300" s="372">
        <v>1.0</v>
      </c>
      <c r="N300" s="373">
        <v>3.99</v>
      </c>
    </row>
    <row r="301">
      <c r="A301" s="357" t="s">
        <v>25</v>
      </c>
      <c r="B301" s="40"/>
      <c r="C301" s="40">
        <v>65.0</v>
      </c>
      <c r="D301" s="40" t="s">
        <v>807</v>
      </c>
      <c r="E301" s="40" t="s">
        <v>682</v>
      </c>
      <c r="F301" s="365">
        <v>36119.0</v>
      </c>
      <c r="G301" s="365">
        <v>42806.0</v>
      </c>
      <c r="H301" s="365">
        <v>42806.0</v>
      </c>
      <c r="I301" s="365">
        <v>42806.0</v>
      </c>
      <c r="J301" s="370">
        <v>15.98</v>
      </c>
      <c r="K301" s="371">
        <v>3.98</v>
      </c>
      <c r="L301" s="371">
        <v>12.0</v>
      </c>
      <c r="M301" s="372">
        <v>1.0</v>
      </c>
      <c r="N301" s="373">
        <v>3.98</v>
      </c>
    </row>
    <row r="302">
      <c r="A302" s="357" t="s">
        <v>25</v>
      </c>
      <c r="B302" s="40"/>
      <c r="C302" s="40">
        <v>66.0</v>
      </c>
      <c r="D302" s="40" t="s">
        <v>811</v>
      </c>
      <c r="E302" s="40" t="s">
        <v>682</v>
      </c>
      <c r="F302" s="360">
        <v>36497.0</v>
      </c>
      <c r="G302" s="360">
        <v>42806.0</v>
      </c>
      <c r="H302" s="360">
        <v>42806.0</v>
      </c>
      <c r="I302" s="360">
        <v>42806.0</v>
      </c>
      <c r="J302" s="361">
        <v>5.99</v>
      </c>
      <c r="K302" s="361">
        <v>1.99</v>
      </c>
      <c r="L302" s="361">
        <v>4.0</v>
      </c>
      <c r="M302" s="40">
        <v>1.0</v>
      </c>
      <c r="N302" s="361">
        <v>1.99</v>
      </c>
    </row>
    <row r="303">
      <c r="A303" s="357" t="s">
        <v>25</v>
      </c>
      <c r="B303" s="40"/>
      <c r="C303" s="40">
        <v>67.0</v>
      </c>
      <c r="D303" s="40" t="s">
        <v>815</v>
      </c>
      <c r="E303" s="40" t="s">
        <v>682</v>
      </c>
      <c r="F303" s="360">
        <v>36847.0</v>
      </c>
      <c r="G303" s="360">
        <v>42806.0</v>
      </c>
      <c r="H303" s="360">
        <v>42806.0</v>
      </c>
      <c r="I303" s="360">
        <v>42806.0</v>
      </c>
      <c r="J303" s="361">
        <v>5.99</v>
      </c>
      <c r="K303" s="361">
        <v>1.99</v>
      </c>
      <c r="L303" s="361">
        <v>4.0</v>
      </c>
      <c r="M303" s="40">
        <v>1.0</v>
      </c>
      <c r="N303" s="361">
        <v>1.99</v>
      </c>
    </row>
    <row r="304">
      <c r="A304" s="40" t="s">
        <v>25</v>
      </c>
      <c r="B304" s="40"/>
      <c r="C304" s="40">
        <v>363.0</v>
      </c>
      <c r="D304" s="40" t="s">
        <v>856</v>
      </c>
      <c r="E304" s="40" t="s">
        <v>649</v>
      </c>
      <c r="F304" s="360">
        <v>41033.0</v>
      </c>
      <c r="G304" s="360">
        <v>44708.0</v>
      </c>
      <c r="H304" s="360">
        <v>44708.0</v>
      </c>
      <c r="I304" s="360">
        <v>44708.0</v>
      </c>
      <c r="J304" s="361">
        <v>34.99</v>
      </c>
      <c r="K304" s="361">
        <v>3.49</v>
      </c>
      <c r="L304" s="361">
        <v>31.5</v>
      </c>
      <c r="M304" s="40">
        <v>1.0</v>
      </c>
      <c r="N304" s="361">
        <v>3.49</v>
      </c>
    </row>
    <row r="305">
      <c r="A305" s="146"/>
      <c r="B305" s="146"/>
      <c r="C305" s="340"/>
      <c r="D305" s="146"/>
      <c r="E305" s="146"/>
      <c r="F305" s="146"/>
      <c r="G305" s="146"/>
      <c r="H305" s="146"/>
      <c r="I305" s="146"/>
      <c r="J305" s="339">
        <f t="shared" ref="J305:M305" si="41">SUM(J299:J304)</f>
        <v>94.93</v>
      </c>
      <c r="K305" s="339">
        <f t="shared" si="41"/>
        <v>19.43</v>
      </c>
      <c r="L305" s="339">
        <f t="shared" si="41"/>
        <v>75.5</v>
      </c>
      <c r="M305" s="146">
        <f t="shared" si="41"/>
        <v>6</v>
      </c>
      <c r="N305" s="339">
        <f>K305/M305</f>
        <v>3.238333333</v>
      </c>
    </row>
    <row r="306">
      <c r="A306" s="40" t="s">
        <v>25</v>
      </c>
      <c r="B306" s="40" t="s">
        <v>222</v>
      </c>
      <c r="C306" s="40">
        <v>449.0</v>
      </c>
      <c r="D306" s="40" t="s">
        <v>890</v>
      </c>
      <c r="E306" s="40" t="s">
        <v>671</v>
      </c>
      <c r="F306" s="360">
        <v>42045.0</v>
      </c>
      <c r="G306" s="360">
        <v>42832.0</v>
      </c>
      <c r="H306" s="360">
        <v>42832.0</v>
      </c>
      <c r="I306" s="360">
        <v>45025.0</v>
      </c>
      <c r="J306" s="361">
        <v>4.49</v>
      </c>
      <c r="K306" s="361">
        <v>3.49</v>
      </c>
      <c r="L306" s="361">
        <v>1.0</v>
      </c>
      <c r="M306" s="40">
        <v>2.0</v>
      </c>
      <c r="N306" s="361">
        <v>1.75</v>
      </c>
    </row>
    <row r="307">
      <c r="A307" s="358" t="s">
        <v>25</v>
      </c>
      <c r="B307" s="40" t="s">
        <v>223</v>
      </c>
      <c r="C307" s="40">
        <v>207.0</v>
      </c>
      <c r="D307" s="40" t="s">
        <v>843</v>
      </c>
      <c r="E307" s="40" t="s">
        <v>649</v>
      </c>
      <c r="F307" s="360">
        <v>40116.0</v>
      </c>
      <c r="G307" s="360">
        <v>40317.0</v>
      </c>
      <c r="H307" s="360">
        <v>40317.0</v>
      </c>
      <c r="I307" s="360">
        <v>44125.0</v>
      </c>
      <c r="J307" s="361">
        <v>29.99</v>
      </c>
      <c r="K307" s="361">
        <v>29.99</v>
      </c>
      <c r="L307" s="361">
        <v>0.0</v>
      </c>
      <c r="M307" s="40">
        <v>5.0</v>
      </c>
      <c r="N307" s="361">
        <v>6.0</v>
      </c>
    </row>
    <row r="308">
      <c r="A308" s="358" t="s">
        <v>25</v>
      </c>
      <c r="B308" s="358" t="s">
        <v>224</v>
      </c>
      <c r="C308" s="40">
        <v>635.0</v>
      </c>
      <c r="D308" s="40" t="s">
        <v>933</v>
      </c>
      <c r="E308" s="40" t="s">
        <v>33</v>
      </c>
      <c r="F308" s="360">
        <v>43965.0</v>
      </c>
      <c r="G308" s="360">
        <v>44708.0</v>
      </c>
      <c r="H308" s="360">
        <v>45626.0</v>
      </c>
      <c r="I308" s="360">
        <v>45627.0</v>
      </c>
      <c r="J308" s="361">
        <v>5.99</v>
      </c>
      <c r="K308" s="361">
        <v>3.59</v>
      </c>
      <c r="L308" s="361">
        <v>2.4</v>
      </c>
      <c r="M308" s="40">
        <v>2.0</v>
      </c>
      <c r="N308" s="361">
        <v>1.8</v>
      </c>
    </row>
    <row r="309">
      <c r="A309" s="40" t="s">
        <v>25</v>
      </c>
      <c r="B309" s="40" t="s">
        <v>225</v>
      </c>
      <c r="C309" s="40">
        <v>164.0</v>
      </c>
      <c r="D309" s="40" t="s">
        <v>828</v>
      </c>
      <c r="E309" s="40" t="s">
        <v>37</v>
      </c>
      <c r="F309" s="360">
        <v>38660.0</v>
      </c>
      <c r="G309" s="360">
        <v>42700.0</v>
      </c>
      <c r="H309" s="360">
        <v>42700.0</v>
      </c>
      <c r="I309" s="360">
        <v>42700.0</v>
      </c>
      <c r="J309" s="361">
        <v>11.66</v>
      </c>
      <c r="K309" s="361">
        <v>4.99</v>
      </c>
      <c r="L309" s="361">
        <v>6.67</v>
      </c>
      <c r="M309" s="40">
        <v>1.0</v>
      </c>
      <c r="N309" s="361">
        <v>4.99</v>
      </c>
    </row>
    <row r="310">
      <c r="A310" s="357" t="s">
        <v>25</v>
      </c>
      <c r="B310" s="357"/>
      <c r="C310" s="40">
        <v>165.0</v>
      </c>
      <c r="D310" s="40" t="s">
        <v>830</v>
      </c>
      <c r="E310" s="40" t="s">
        <v>37</v>
      </c>
      <c r="F310" s="360">
        <v>39024.0</v>
      </c>
      <c r="G310" s="360">
        <v>42700.0</v>
      </c>
      <c r="H310" s="360">
        <v>45685.0</v>
      </c>
      <c r="I310" s="360">
        <v>45688.0</v>
      </c>
      <c r="J310" s="361">
        <v>11.66</v>
      </c>
      <c r="K310" s="361">
        <v>5.0</v>
      </c>
      <c r="L310" s="361">
        <v>6.66</v>
      </c>
      <c r="M310" s="40">
        <v>3.0</v>
      </c>
      <c r="N310" s="361">
        <v>1.67</v>
      </c>
    </row>
    <row r="311">
      <c r="A311" s="40" t="s">
        <v>25</v>
      </c>
      <c r="B311" s="40"/>
      <c r="C311" s="40">
        <v>166.0</v>
      </c>
      <c r="D311" s="40" t="s">
        <v>832</v>
      </c>
      <c r="E311" s="40" t="s">
        <v>37</v>
      </c>
      <c r="F311" s="360">
        <v>40109.0</v>
      </c>
      <c r="G311" s="360">
        <v>42700.0</v>
      </c>
      <c r="H311" s="360">
        <v>42700.0</v>
      </c>
      <c r="I311" s="360">
        <v>42700.0</v>
      </c>
      <c r="J311" s="361">
        <v>11.66</v>
      </c>
      <c r="K311" s="361">
        <v>5.0</v>
      </c>
      <c r="L311" s="361">
        <v>6.66</v>
      </c>
      <c r="M311" s="40">
        <v>1.0</v>
      </c>
      <c r="N311" s="361">
        <v>5.0</v>
      </c>
    </row>
    <row r="312">
      <c r="A312" s="146"/>
      <c r="B312" s="146"/>
      <c r="C312" s="340"/>
      <c r="D312" s="146"/>
      <c r="E312" s="146"/>
      <c r="F312" s="146"/>
      <c r="G312" s="146"/>
      <c r="H312" s="146"/>
      <c r="I312" s="146"/>
      <c r="J312" s="339">
        <f t="shared" ref="J312:M312" si="42">SUM(J309:J311)</f>
        <v>34.98</v>
      </c>
      <c r="K312" s="339">
        <f t="shared" si="42"/>
        <v>14.99</v>
      </c>
      <c r="L312" s="339">
        <f t="shared" si="42"/>
        <v>19.99</v>
      </c>
      <c r="M312" s="146">
        <f t="shared" si="42"/>
        <v>5</v>
      </c>
      <c r="N312" s="339">
        <f>K312/M312</f>
        <v>2.998</v>
      </c>
    </row>
    <row r="313">
      <c r="A313" s="358" t="s">
        <v>25</v>
      </c>
      <c r="B313" s="40" t="s">
        <v>226</v>
      </c>
      <c r="C313" s="40">
        <v>190.0</v>
      </c>
      <c r="D313" s="40" t="s">
        <v>841</v>
      </c>
      <c r="E313" s="40" t="s">
        <v>649</v>
      </c>
      <c r="F313" s="360">
        <v>40053.0</v>
      </c>
      <c r="G313" s="360">
        <v>43922.0</v>
      </c>
      <c r="H313" s="360">
        <v>43927.0</v>
      </c>
      <c r="I313" s="360">
        <v>45647.0</v>
      </c>
      <c r="J313" s="361">
        <v>19.99</v>
      </c>
      <c r="K313" s="361">
        <v>7.99</v>
      </c>
      <c r="L313" s="361">
        <v>12.0</v>
      </c>
      <c r="M313" s="40">
        <v>22.0</v>
      </c>
      <c r="N313" s="361">
        <v>0.36</v>
      </c>
    </row>
    <row r="314">
      <c r="A314" s="358" t="s">
        <v>25</v>
      </c>
      <c r="B314" s="40"/>
      <c r="C314" s="40">
        <v>191.0</v>
      </c>
      <c r="D314" s="40" t="s">
        <v>853</v>
      </c>
      <c r="E314" s="40" t="s">
        <v>649</v>
      </c>
      <c r="F314" s="360">
        <v>40837.0</v>
      </c>
      <c r="G314" s="360">
        <v>43922.0</v>
      </c>
      <c r="H314" s="360">
        <v>43976.0</v>
      </c>
      <c r="I314" s="360">
        <v>45648.0</v>
      </c>
      <c r="J314" s="361">
        <v>19.99</v>
      </c>
      <c r="K314" s="361">
        <v>7.99</v>
      </c>
      <c r="L314" s="361">
        <v>12.0</v>
      </c>
      <c r="M314" s="40">
        <v>20.0</v>
      </c>
      <c r="N314" s="361">
        <v>0.4</v>
      </c>
    </row>
    <row r="315">
      <c r="A315" s="40" t="s">
        <v>25</v>
      </c>
      <c r="B315" s="40"/>
      <c r="C315" s="40">
        <v>523.0</v>
      </c>
      <c r="D315" s="40" t="s">
        <v>901</v>
      </c>
      <c r="E315" s="40" t="s">
        <v>33</v>
      </c>
      <c r="F315" s="360">
        <v>42178.0</v>
      </c>
      <c r="G315" s="360">
        <v>43922.0</v>
      </c>
      <c r="H315" s="360">
        <v>43922.0</v>
      </c>
      <c r="I315" s="360">
        <v>43922.0</v>
      </c>
      <c r="J315" s="361">
        <v>19.99</v>
      </c>
      <c r="K315" s="361">
        <v>7.99</v>
      </c>
      <c r="L315" s="361">
        <v>12.0</v>
      </c>
      <c r="M315" s="40">
        <v>1.0</v>
      </c>
      <c r="N315" s="361">
        <v>7.99</v>
      </c>
    </row>
    <row r="316">
      <c r="A316" s="40" t="s">
        <v>25</v>
      </c>
      <c r="B316" s="40"/>
      <c r="C316" s="40">
        <v>988.0</v>
      </c>
      <c r="D316" s="40" t="s">
        <v>961</v>
      </c>
      <c r="E316" s="40" t="s">
        <v>666</v>
      </c>
      <c r="F316" s="360">
        <v>42654.0</v>
      </c>
      <c r="G316" s="360">
        <v>43472.0</v>
      </c>
      <c r="H316" s="360">
        <v>44034.0</v>
      </c>
      <c r="I316" s="360">
        <v>44035.0</v>
      </c>
      <c r="J316" s="361">
        <v>19.99</v>
      </c>
      <c r="K316" s="361">
        <v>9.99</v>
      </c>
      <c r="L316" s="361">
        <v>10.0</v>
      </c>
      <c r="M316" s="40">
        <v>4.0</v>
      </c>
      <c r="N316" s="361">
        <v>2.5</v>
      </c>
    </row>
    <row r="317">
      <c r="A317" s="146"/>
      <c r="B317" s="146"/>
      <c r="C317" s="340"/>
      <c r="D317" s="146"/>
      <c r="E317" s="146"/>
      <c r="F317" s="146"/>
      <c r="G317" s="146"/>
      <c r="H317" s="146"/>
      <c r="I317" s="146"/>
      <c r="J317" s="339">
        <f t="shared" ref="J317:M317" si="43">SUM(J313:J316)</f>
        <v>79.96</v>
      </c>
      <c r="K317" s="339">
        <f t="shared" si="43"/>
        <v>33.96</v>
      </c>
      <c r="L317" s="339">
        <f t="shared" si="43"/>
        <v>46</v>
      </c>
      <c r="M317" s="146">
        <f t="shared" si="43"/>
        <v>47</v>
      </c>
      <c r="N317" s="339">
        <f>K317/M317</f>
        <v>0.7225531915</v>
      </c>
    </row>
    <row r="318">
      <c r="A318" s="40" t="s">
        <v>25</v>
      </c>
      <c r="B318" s="40" t="s">
        <v>227</v>
      </c>
      <c r="C318" s="40">
        <v>453.0</v>
      </c>
      <c r="D318" s="40" t="s">
        <v>880</v>
      </c>
      <c r="E318" s="40" t="s">
        <v>671</v>
      </c>
      <c r="F318" s="360">
        <v>41661.0</v>
      </c>
      <c r="G318" s="360">
        <v>42791.0</v>
      </c>
      <c r="H318" s="360">
        <v>42791.0</v>
      </c>
      <c r="I318" s="360">
        <v>42791.0</v>
      </c>
      <c r="J318" s="361">
        <v>24.99</v>
      </c>
      <c r="K318" s="361">
        <v>9.99</v>
      </c>
      <c r="L318" s="361">
        <v>15.0</v>
      </c>
      <c r="M318" s="40">
        <v>1.0</v>
      </c>
      <c r="N318" s="361">
        <v>9.99</v>
      </c>
    </row>
    <row r="319">
      <c r="A319" s="40" t="s">
        <v>25</v>
      </c>
      <c r="B319" s="40"/>
      <c r="C319" s="40">
        <v>454.0</v>
      </c>
      <c r="D319" s="40" t="s">
        <v>891</v>
      </c>
      <c r="E319" s="40" t="s">
        <v>671</v>
      </c>
      <c r="F319" s="360">
        <v>42067.0</v>
      </c>
      <c r="G319" s="360">
        <v>42791.0</v>
      </c>
      <c r="H319" s="360">
        <v>42791.0</v>
      </c>
      <c r="I319" s="360">
        <v>42791.0</v>
      </c>
      <c r="J319" s="361">
        <v>12.99</v>
      </c>
      <c r="K319" s="361">
        <v>6.49</v>
      </c>
      <c r="L319" s="361">
        <v>6.5</v>
      </c>
      <c r="M319" s="40">
        <v>1.0</v>
      </c>
      <c r="N319" s="361">
        <v>6.49</v>
      </c>
    </row>
    <row r="320">
      <c r="A320" s="40" t="s">
        <v>25</v>
      </c>
      <c r="B320" s="40"/>
      <c r="C320" s="40">
        <v>778.0</v>
      </c>
      <c r="D320" s="40" t="s">
        <v>948</v>
      </c>
      <c r="E320" s="40" t="s">
        <v>33</v>
      </c>
      <c r="F320" s="360">
        <v>44600.0</v>
      </c>
      <c r="G320" s="360">
        <v>44923.0</v>
      </c>
      <c r="H320" s="360">
        <v>45475.0</v>
      </c>
      <c r="I320" s="360">
        <v>45475.0</v>
      </c>
      <c r="J320" s="361">
        <v>29.99</v>
      </c>
      <c r="K320" s="361">
        <v>9.89</v>
      </c>
      <c r="L320" s="361">
        <v>20.1</v>
      </c>
      <c r="M320" s="40">
        <v>2.0</v>
      </c>
      <c r="N320" s="361">
        <v>4.95</v>
      </c>
    </row>
    <row r="321">
      <c r="A321" s="40" t="s">
        <v>25</v>
      </c>
      <c r="B321" s="40"/>
      <c r="C321" s="40">
        <v>821.0</v>
      </c>
      <c r="D321" s="40" t="s">
        <v>952</v>
      </c>
      <c r="E321" s="40" t="s">
        <v>33</v>
      </c>
      <c r="F321" s="360">
        <v>44789.0</v>
      </c>
      <c r="G321" s="360">
        <v>45328.0</v>
      </c>
      <c r="H321" s="360">
        <v>45328.0</v>
      </c>
      <c r="I321" s="360">
        <v>45328.0</v>
      </c>
      <c r="J321" s="361">
        <v>29.99</v>
      </c>
      <c r="K321" s="361">
        <v>0.0</v>
      </c>
      <c r="L321" s="361">
        <v>29.99</v>
      </c>
      <c r="M321" s="40">
        <v>1.0</v>
      </c>
      <c r="N321" s="361">
        <v>0.0</v>
      </c>
    </row>
    <row r="322">
      <c r="A322" s="146"/>
      <c r="B322" s="146"/>
      <c r="C322" s="340"/>
      <c r="D322" s="146"/>
      <c r="E322" s="146"/>
      <c r="F322" s="146"/>
      <c r="G322" s="146"/>
      <c r="H322" s="146"/>
      <c r="I322" s="146"/>
      <c r="J322" s="339">
        <f t="shared" ref="J322:M322" si="44">SUM(J318:J321)</f>
        <v>97.96</v>
      </c>
      <c r="K322" s="339">
        <f t="shared" si="44"/>
        <v>26.37</v>
      </c>
      <c r="L322" s="339">
        <f t="shared" si="44"/>
        <v>71.59</v>
      </c>
      <c r="M322" s="146">
        <f t="shared" si="44"/>
        <v>5</v>
      </c>
      <c r="N322" s="339">
        <f>K322/M322</f>
        <v>5.274</v>
      </c>
    </row>
    <row r="323">
      <c r="A323" s="40" t="s">
        <v>25</v>
      </c>
      <c r="B323" s="40" t="s">
        <v>228</v>
      </c>
      <c r="C323" s="40">
        <v>901.0</v>
      </c>
      <c r="D323" s="40" t="s">
        <v>916</v>
      </c>
      <c r="E323" s="40" t="s">
        <v>33</v>
      </c>
      <c r="F323" s="360">
        <v>42668.0</v>
      </c>
      <c r="G323" s="360">
        <v>42710.0</v>
      </c>
      <c r="H323" s="360">
        <v>42710.0</v>
      </c>
      <c r="I323" s="360">
        <v>42710.0</v>
      </c>
      <c r="J323" s="361">
        <v>28.49</v>
      </c>
      <c r="K323" s="361">
        <v>28.49</v>
      </c>
      <c r="L323" s="361">
        <v>0.0</v>
      </c>
      <c r="M323" s="40">
        <v>1.0</v>
      </c>
      <c r="N323" s="361">
        <v>28.49</v>
      </c>
    </row>
    <row r="324">
      <c r="A324" s="358" t="s">
        <v>25</v>
      </c>
      <c r="B324" s="40" t="s">
        <v>229</v>
      </c>
      <c r="C324" s="40">
        <v>1076.0</v>
      </c>
      <c r="D324" s="40" t="s">
        <v>972</v>
      </c>
      <c r="E324" s="40" t="s">
        <v>39</v>
      </c>
      <c r="F324" s="360">
        <v>44894.0</v>
      </c>
      <c r="G324" s="360">
        <v>45265.0</v>
      </c>
      <c r="H324" s="360">
        <v>45265.0</v>
      </c>
      <c r="I324" s="360">
        <v>45265.0</v>
      </c>
      <c r="J324" s="362">
        <v>24.99</v>
      </c>
      <c r="K324" s="362">
        <v>0.0</v>
      </c>
      <c r="L324" s="362">
        <v>24.99</v>
      </c>
      <c r="M324" s="40">
        <v>1.0</v>
      </c>
      <c r="N324" s="361">
        <v>0.0</v>
      </c>
    </row>
    <row r="325">
      <c r="A325" s="358" t="s">
        <v>25</v>
      </c>
      <c r="B325" s="40" t="s">
        <v>230</v>
      </c>
      <c r="C325" s="40">
        <v>311.0</v>
      </c>
      <c r="D325" s="40" t="s">
        <v>842</v>
      </c>
      <c r="E325" s="40" t="s">
        <v>649</v>
      </c>
      <c r="F325" s="360">
        <v>40073.0</v>
      </c>
      <c r="G325" s="360">
        <v>40140.0</v>
      </c>
      <c r="H325" s="360">
        <v>40140.0</v>
      </c>
      <c r="I325" s="360">
        <v>44727.0</v>
      </c>
      <c r="J325" s="361">
        <v>19.99</v>
      </c>
      <c r="K325" s="361">
        <v>4.0</v>
      </c>
      <c r="L325" s="361">
        <v>15.99</v>
      </c>
      <c r="M325" s="40">
        <v>60.0</v>
      </c>
      <c r="N325" s="361">
        <v>0.07</v>
      </c>
    </row>
    <row r="326">
      <c r="A326" s="40" t="s">
        <v>25</v>
      </c>
      <c r="B326" s="40" t="s">
        <v>231</v>
      </c>
      <c r="C326" s="40">
        <v>457.0</v>
      </c>
      <c r="D326" s="40" t="s">
        <v>884</v>
      </c>
      <c r="E326" s="40" t="s">
        <v>671</v>
      </c>
      <c r="F326" s="360">
        <v>41796.0</v>
      </c>
      <c r="G326" s="360">
        <v>42218.0</v>
      </c>
      <c r="H326" s="360">
        <v>42235.0</v>
      </c>
      <c r="I326" s="360">
        <v>44960.0</v>
      </c>
      <c r="J326" s="361">
        <v>24.99</v>
      </c>
      <c r="K326" s="361">
        <v>9.99</v>
      </c>
      <c r="L326" s="361">
        <v>15.0</v>
      </c>
      <c r="M326" s="40">
        <v>25.0</v>
      </c>
      <c r="N326" s="361">
        <v>0.4</v>
      </c>
    </row>
    <row r="327">
      <c r="A327" s="358" t="s">
        <v>25</v>
      </c>
      <c r="B327" s="40" t="s">
        <v>232</v>
      </c>
      <c r="C327" s="40">
        <v>204.0</v>
      </c>
      <c r="D327" s="40" t="s">
        <v>851</v>
      </c>
      <c r="E327" s="40" t="s">
        <v>649</v>
      </c>
      <c r="F327" s="360">
        <v>40676.0</v>
      </c>
      <c r="G327" s="360">
        <v>41632.0</v>
      </c>
      <c r="H327" s="360">
        <v>41632.0</v>
      </c>
      <c r="I327" s="360">
        <v>44792.0</v>
      </c>
      <c r="J327" s="361">
        <v>19.99</v>
      </c>
      <c r="K327" s="361">
        <v>0.5</v>
      </c>
      <c r="L327" s="361">
        <v>19.49</v>
      </c>
      <c r="M327" s="40">
        <v>7.0</v>
      </c>
      <c r="N327" s="361">
        <v>0.07</v>
      </c>
    </row>
    <row r="328">
      <c r="A328" s="40" t="s">
        <v>25</v>
      </c>
      <c r="B328" s="40" t="s">
        <v>233</v>
      </c>
      <c r="C328" s="40">
        <v>440.0</v>
      </c>
      <c r="D328" s="40" t="s">
        <v>883</v>
      </c>
      <c r="E328" s="40" t="s">
        <v>671</v>
      </c>
      <c r="F328" s="360">
        <v>41740.0</v>
      </c>
      <c r="G328" s="360">
        <v>41791.0</v>
      </c>
      <c r="H328" s="360">
        <v>41791.0</v>
      </c>
      <c r="I328" s="360">
        <v>41791.0</v>
      </c>
      <c r="J328" s="361">
        <v>39.99</v>
      </c>
      <c r="K328" s="361">
        <v>39.99</v>
      </c>
      <c r="L328" s="361">
        <v>0.0</v>
      </c>
      <c r="M328" s="40">
        <v>1.0</v>
      </c>
      <c r="N328" s="361">
        <v>39.99</v>
      </c>
    </row>
    <row r="329">
      <c r="A329" s="359" t="s">
        <v>25</v>
      </c>
      <c r="B329" s="357"/>
      <c r="C329" s="40">
        <v>1060.0</v>
      </c>
      <c r="D329" s="40" t="s">
        <v>973</v>
      </c>
      <c r="E329" s="40" t="s">
        <v>39</v>
      </c>
      <c r="F329" s="360">
        <v>45267.0</v>
      </c>
      <c r="G329" s="360">
        <v>45734.0</v>
      </c>
      <c r="H329" s="360">
        <v>45734.0</v>
      </c>
      <c r="I329" s="360">
        <v>45734.0</v>
      </c>
      <c r="J329" s="362">
        <v>59.99</v>
      </c>
      <c r="K329" s="362">
        <v>23.99</v>
      </c>
      <c r="L329" s="362">
        <v>36.0</v>
      </c>
      <c r="M329" s="40">
        <v>1.0</v>
      </c>
      <c r="N329" s="362">
        <v>23.99</v>
      </c>
    </row>
    <row r="330">
      <c r="A330" s="146"/>
      <c r="B330" s="146"/>
      <c r="C330" s="340"/>
      <c r="D330" s="146"/>
      <c r="E330" s="146"/>
      <c r="F330" s="146"/>
      <c r="G330" s="146"/>
      <c r="H330" s="146"/>
      <c r="I330" s="146"/>
      <c r="J330" s="339">
        <f t="shared" ref="J330:M330" si="45">SUM(J328:J329)</f>
        <v>99.98</v>
      </c>
      <c r="K330" s="339">
        <f t="shared" si="45"/>
        <v>63.98</v>
      </c>
      <c r="L330" s="339">
        <f t="shared" si="45"/>
        <v>36</v>
      </c>
      <c r="M330" s="146">
        <f t="shared" si="45"/>
        <v>2</v>
      </c>
      <c r="N330" s="339">
        <f>K330/M330</f>
        <v>31.99</v>
      </c>
    </row>
    <row r="331">
      <c r="A331" s="357" t="s">
        <v>25</v>
      </c>
      <c r="B331" s="40" t="s">
        <v>234</v>
      </c>
      <c r="C331" s="40">
        <v>75.0</v>
      </c>
      <c r="D331" s="40" t="s">
        <v>798</v>
      </c>
      <c r="E331" s="40" t="s">
        <v>682</v>
      </c>
      <c r="F331" s="360">
        <v>34971.0</v>
      </c>
      <c r="G331" s="360">
        <v>43014.0</v>
      </c>
      <c r="H331" s="360">
        <v>43014.0</v>
      </c>
      <c r="I331" s="360">
        <v>43014.0</v>
      </c>
      <c r="J331" s="361">
        <v>9.99</v>
      </c>
      <c r="K331" s="361">
        <v>1.99</v>
      </c>
      <c r="L331" s="361">
        <v>8.0</v>
      </c>
      <c r="M331" s="40">
        <v>1.0</v>
      </c>
      <c r="N331" s="361">
        <v>1.99</v>
      </c>
    </row>
    <row r="332">
      <c r="A332" s="40" t="s">
        <v>25</v>
      </c>
      <c r="B332" s="40"/>
      <c r="C332" s="40">
        <v>179.0</v>
      </c>
      <c r="D332" s="40" t="s">
        <v>831</v>
      </c>
      <c r="E332" s="40" t="s">
        <v>37</v>
      </c>
      <c r="F332" s="360">
        <v>39430.0</v>
      </c>
      <c r="G332" s="360">
        <v>43014.0</v>
      </c>
      <c r="H332" s="360">
        <v>43014.0</v>
      </c>
      <c r="I332" s="360">
        <v>43014.0</v>
      </c>
      <c r="J332" s="361">
        <v>7.99</v>
      </c>
      <c r="K332" s="361">
        <v>7.99</v>
      </c>
      <c r="L332" s="361">
        <v>0.0</v>
      </c>
      <c r="M332" s="40">
        <v>1.0</v>
      </c>
      <c r="N332" s="361">
        <v>7.99</v>
      </c>
    </row>
    <row r="333">
      <c r="A333" s="358" t="s">
        <v>25</v>
      </c>
      <c r="B333" s="40"/>
      <c r="C333" s="40">
        <v>421.0</v>
      </c>
      <c r="D333" s="40" t="s">
        <v>838</v>
      </c>
      <c r="E333" s="40" t="s">
        <v>649</v>
      </c>
      <c r="F333" s="360">
        <v>39716.0</v>
      </c>
      <c r="G333" s="360">
        <v>43463.0</v>
      </c>
      <c r="H333" s="360">
        <v>43463.0</v>
      </c>
      <c r="I333" s="360">
        <v>43463.0</v>
      </c>
      <c r="J333" s="361">
        <v>22.49</v>
      </c>
      <c r="K333" s="361">
        <v>5.0</v>
      </c>
      <c r="L333" s="361">
        <v>17.49</v>
      </c>
      <c r="M333" s="40">
        <v>5.0</v>
      </c>
      <c r="N333" s="361">
        <v>1.0</v>
      </c>
    </row>
    <row r="334">
      <c r="A334" s="358" t="s">
        <v>25</v>
      </c>
      <c r="B334" s="40"/>
      <c r="C334" s="40">
        <v>493.0</v>
      </c>
      <c r="D334" s="40" t="s">
        <v>876</v>
      </c>
      <c r="E334" s="40" t="s">
        <v>671</v>
      </c>
      <c r="F334" s="360">
        <v>40961.0</v>
      </c>
      <c r="G334" s="360">
        <v>43463.0</v>
      </c>
      <c r="H334" s="360">
        <v>43463.0</v>
      </c>
      <c r="I334" s="360">
        <v>43463.0</v>
      </c>
      <c r="J334" s="361">
        <v>22.49</v>
      </c>
      <c r="K334" s="361">
        <v>4.99</v>
      </c>
      <c r="L334" s="361">
        <v>17.5</v>
      </c>
      <c r="M334" s="40">
        <v>10.0</v>
      </c>
      <c r="N334" s="361">
        <v>0.5</v>
      </c>
    </row>
    <row r="335">
      <c r="A335" s="146"/>
      <c r="B335" s="146"/>
      <c r="C335" s="340"/>
      <c r="D335" s="146"/>
      <c r="E335" s="146"/>
      <c r="F335" s="146"/>
      <c r="G335" s="146"/>
      <c r="H335" s="146"/>
      <c r="I335" s="146"/>
      <c r="J335" s="339">
        <f t="shared" ref="J335:M335" si="46">SUM(J331:J334)</f>
        <v>62.96</v>
      </c>
      <c r="K335" s="339">
        <f t="shared" si="46"/>
        <v>19.97</v>
      </c>
      <c r="L335" s="339">
        <f t="shared" si="46"/>
        <v>42.99</v>
      </c>
      <c r="M335" s="146">
        <f t="shared" si="46"/>
        <v>17</v>
      </c>
      <c r="N335" s="339">
        <f>K335/M335</f>
        <v>1.174705882</v>
      </c>
    </row>
    <row r="336">
      <c r="A336" s="358" t="s">
        <v>25</v>
      </c>
      <c r="B336" s="40" t="s">
        <v>235</v>
      </c>
      <c r="C336" s="40">
        <v>374.0</v>
      </c>
      <c r="D336" s="40" t="s">
        <v>836</v>
      </c>
      <c r="E336" s="40" t="s">
        <v>649</v>
      </c>
      <c r="F336" s="360">
        <v>39178.0</v>
      </c>
      <c r="G336" s="360">
        <v>44299.0</v>
      </c>
      <c r="H336" s="360">
        <v>44299.0</v>
      </c>
      <c r="I336" s="360">
        <v>44299.0</v>
      </c>
      <c r="J336" s="361">
        <v>4.99</v>
      </c>
      <c r="K336" s="361">
        <v>4.99</v>
      </c>
      <c r="L336" s="361">
        <v>0.0</v>
      </c>
      <c r="M336" s="40">
        <v>1.0</v>
      </c>
      <c r="N336" s="361">
        <v>4.99</v>
      </c>
    </row>
    <row r="337">
      <c r="A337" s="358" t="s">
        <v>25</v>
      </c>
      <c r="B337" s="40"/>
      <c r="C337" s="40">
        <v>289.0</v>
      </c>
      <c r="D337" s="40" t="s">
        <v>873</v>
      </c>
      <c r="E337" s="40" t="s">
        <v>649</v>
      </c>
      <c r="F337" s="360">
        <v>41969.0</v>
      </c>
      <c r="G337" s="360">
        <v>43014.0</v>
      </c>
      <c r="H337" s="360">
        <v>43014.0</v>
      </c>
      <c r="I337" s="360">
        <v>43014.0</v>
      </c>
      <c r="J337" s="361">
        <v>49.99</v>
      </c>
      <c r="K337" s="361">
        <v>9.99</v>
      </c>
      <c r="L337" s="361">
        <v>40.0</v>
      </c>
      <c r="M337" s="40">
        <v>1.0</v>
      </c>
      <c r="N337" s="361">
        <v>9.99</v>
      </c>
    </row>
    <row r="338">
      <c r="A338" s="40" t="s">
        <v>25</v>
      </c>
      <c r="B338" s="40"/>
      <c r="C338" s="40">
        <v>882.0</v>
      </c>
      <c r="D338" s="40" t="s">
        <v>928</v>
      </c>
      <c r="E338" s="40" t="s">
        <v>33</v>
      </c>
      <c r="F338" s="360">
        <v>43606.0</v>
      </c>
      <c r="G338" s="360">
        <v>44621.0</v>
      </c>
      <c r="H338" s="360">
        <v>44897.0</v>
      </c>
      <c r="I338" s="360">
        <v>44897.0</v>
      </c>
      <c r="J338" s="361">
        <v>39.99</v>
      </c>
      <c r="K338" s="361">
        <v>0.0</v>
      </c>
      <c r="L338" s="361">
        <v>39.99</v>
      </c>
      <c r="M338" s="40">
        <v>2.0</v>
      </c>
      <c r="N338" s="361">
        <v>0.0</v>
      </c>
    </row>
    <row r="339">
      <c r="A339" s="40" t="s">
        <v>25</v>
      </c>
      <c r="B339" s="40"/>
      <c r="C339" s="40">
        <v>825.0</v>
      </c>
      <c r="D339" s="40" t="s">
        <v>937</v>
      </c>
      <c r="E339" s="40" t="s">
        <v>33</v>
      </c>
      <c r="F339" s="360">
        <v>44147.0</v>
      </c>
      <c r="G339" s="360">
        <v>44883.0</v>
      </c>
      <c r="H339" s="360">
        <v>44885.0</v>
      </c>
      <c r="I339" s="360">
        <v>44889.0</v>
      </c>
      <c r="J339" s="361">
        <v>69.99</v>
      </c>
      <c r="K339" s="361">
        <v>29.39</v>
      </c>
      <c r="L339" s="361">
        <v>40.6</v>
      </c>
      <c r="M339" s="40">
        <v>30.0</v>
      </c>
      <c r="N339" s="361">
        <v>0.98</v>
      </c>
    </row>
    <row r="340">
      <c r="A340" s="146"/>
      <c r="B340" s="146"/>
      <c r="C340" s="340"/>
      <c r="D340" s="146"/>
      <c r="E340" s="146"/>
      <c r="F340" s="146"/>
      <c r="G340" s="146"/>
      <c r="H340" s="146"/>
      <c r="I340" s="146"/>
      <c r="J340" s="339">
        <f t="shared" ref="J340:M340" si="47">SUM(J336:J339)</f>
        <v>164.96</v>
      </c>
      <c r="K340" s="339">
        <f t="shared" si="47"/>
        <v>44.37</v>
      </c>
      <c r="L340" s="339">
        <f t="shared" si="47"/>
        <v>120.59</v>
      </c>
      <c r="M340" s="146">
        <f t="shared" si="47"/>
        <v>34</v>
      </c>
      <c r="N340" s="339">
        <f>K340/M340</f>
        <v>1.305</v>
      </c>
    </row>
    <row r="341">
      <c r="A341" s="358" t="s">
        <v>25</v>
      </c>
      <c r="B341" s="40" t="s">
        <v>236</v>
      </c>
      <c r="C341" s="40">
        <v>291.0</v>
      </c>
      <c r="D341" s="40" t="s">
        <v>868</v>
      </c>
      <c r="E341" s="40" t="s">
        <v>649</v>
      </c>
      <c r="F341" s="360">
        <v>41542.0</v>
      </c>
      <c r="G341" s="360">
        <v>43373.0</v>
      </c>
      <c r="H341" s="360">
        <v>43373.0</v>
      </c>
      <c r="I341" s="360">
        <v>43373.0</v>
      </c>
      <c r="J341" s="361">
        <v>9.99</v>
      </c>
      <c r="K341" s="361">
        <v>9.99</v>
      </c>
      <c r="L341" s="361">
        <v>0.0</v>
      </c>
      <c r="M341" s="40">
        <v>1.0</v>
      </c>
      <c r="N341" s="361">
        <v>9.99</v>
      </c>
    </row>
    <row r="342">
      <c r="A342" s="40" t="s">
        <v>25</v>
      </c>
      <c r="B342" s="40" t="s">
        <v>237</v>
      </c>
      <c r="C342" s="40">
        <v>955.0</v>
      </c>
      <c r="D342" s="40" t="s">
        <v>904</v>
      </c>
      <c r="E342" s="40" t="s">
        <v>33</v>
      </c>
      <c r="F342" s="360">
        <v>42242.0</v>
      </c>
      <c r="G342" s="360">
        <v>42273.0</v>
      </c>
      <c r="H342" s="360">
        <v>42273.0</v>
      </c>
      <c r="I342" s="360">
        <v>44479.0</v>
      </c>
      <c r="J342" s="361">
        <v>59.99</v>
      </c>
      <c r="K342" s="361">
        <v>34.99</v>
      </c>
      <c r="L342" s="361">
        <v>25.0</v>
      </c>
      <c r="M342" s="40">
        <v>70.0</v>
      </c>
      <c r="N342" s="361">
        <v>0.5</v>
      </c>
    </row>
    <row r="343">
      <c r="A343" s="40" t="s">
        <v>25</v>
      </c>
      <c r="B343" s="40"/>
      <c r="C343" s="40">
        <v>1043.0</v>
      </c>
      <c r="D343" s="40" t="s">
        <v>964</v>
      </c>
      <c r="E343" s="40" t="s">
        <v>666</v>
      </c>
      <c r="F343" s="360">
        <v>42656.0</v>
      </c>
      <c r="G343" s="360">
        <v>43466.0</v>
      </c>
      <c r="H343" s="360">
        <v>43543.0</v>
      </c>
      <c r="I343" s="360">
        <v>43543.0</v>
      </c>
      <c r="J343" s="361">
        <v>9.99</v>
      </c>
      <c r="K343" s="361">
        <v>3.99</v>
      </c>
      <c r="L343" s="361">
        <v>6.0</v>
      </c>
      <c r="M343" s="40">
        <v>1.0</v>
      </c>
      <c r="N343" s="361">
        <v>3.99</v>
      </c>
    </row>
    <row r="344">
      <c r="A344" s="40" t="s">
        <v>25</v>
      </c>
      <c r="B344" s="40"/>
      <c r="C344" s="40">
        <v>1045.0</v>
      </c>
      <c r="D344" s="40" t="s">
        <v>965</v>
      </c>
      <c r="E344" s="40" t="s">
        <v>666</v>
      </c>
      <c r="F344" s="360">
        <v>42656.0</v>
      </c>
      <c r="G344" s="360">
        <v>43468.0</v>
      </c>
      <c r="H344" s="360">
        <v>43477.0</v>
      </c>
      <c r="I344" s="360">
        <v>43896.0</v>
      </c>
      <c r="J344" s="361">
        <v>19.99</v>
      </c>
      <c r="K344" s="361">
        <v>9.99</v>
      </c>
      <c r="L344" s="361">
        <v>10.0</v>
      </c>
      <c r="M344" s="40">
        <v>1.0</v>
      </c>
      <c r="N344" s="361">
        <v>9.99</v>
      </c>
    </row>
    <row r="345">
      <c r="A345" s="146"/>
      <c r="B345" s="146"/>
      <c r="C345" s="340"/>
      <c r="D345" s="146"/>
      <c r="E345" s="146"/>
      <c r="F345" s="146"/>
      <c r="G345" s="146"/>
      <c r="H345" s="146"/>
      <c r="I345" s="146"/>
      <c r="J345" s="339">
        <f t="shared" ref="J345:M345" si="48">SUM(J342:J344)</f>
        <v>89.97</v>
      </c>
      <c r="K345" s="339">
        <f t="shared" si="48"/>
        <v>48.97</v>
      </c>
      <c r="L345" s="339">
        <f t="shared" si="48"/>
        <v>41</v>
      </c>
      <c r="M345" s="146">
        <f t="shared" si="48"/>
        <v>72</v>
      </c>
      <c r="N345" s="339">
        <f>K345/M345</f>
        <v>0.6801388889</v>
      </c>
    </row>
    <row r="346">
      <c r="A346" s="357" t="s">
        <v>25</v>
      </c>
      <c r="B346" s="40" t="s">
        <v>238</v>
      </c>
      <c r="C346" s="40">
        <v>41.0</v>
      </c>
      <c r="D346" s="40" t="s">
        <v>810</v>
      </c>
      <c r="E346" s="40" t="s">
        <v>682</v>
      </c>
      <c r="F346" s="360">
        <v>36455.0</v>
      </c>
      <c r="G346" s="360">
        <v>41568.0</v>
      </c>
      <c r="H346" s="360">
        <v>41568.0</v>
      </c>
      <c r="I346" s="360">
        <v>41568.0</v>
      </c>
      <c r="J346" s="361">
        <v>4.99</v>
      </c>
      <c r="K346" s="361">
        <v>4.99</v>
      </c>
      <c r="L346" s="361">
        <v>0.0</v>
      </c>
      <c r="M346" s="40">
        <v>50.0</v>
      </c>
      <c r="N346" s="361">
        <v>0.1</v>
      </c>
    </row>
    <row r="347">
      <c r="A347" s="40" t="s">
        <v>25</v>
      </c>
      <c r="B347" s="40" t="s">
        <v>239</v>
      </c>
      <c r="C347" s="40">
        <v>329.0</v>
      </c>
      <c r="D347" s="40" t="s">
        <v>870</v>
      </c>
      <c r="E347" s="40" t="s">
        <v>649</v>
      </c>
      <c r="F347" s="360">
        <v>41607.0</v>
      </c>
      <c r="G347" s="360">
        <v>43433.0</v>
      </c>
      <c r="H347" s="360">
        <v>43434.0</v>
      </c>
      <c r="I347" s="360">
        <v>44442.0</v>
      </c>
      <c r="J347" s="361">
        <v>24.99</v>
      </c>
      <c r="K347" s="361">
        <v>6.99</v>
      </c>
      <c r="L347" s="361">
        <v>18.0</v>
      </c>
      <c r="M347" s="40">
        <v>9.0</v>
      </c>
      <c r="N347" s="361">
        <v>0.78</v>
      </c>
    </row>
    <row r="348">
      <c r="A348" s="40" t="s">
        <v>25</v>
      </c>
      <c r="B348" s="40" t="s">
        <v>240</v>
      </c>
      <c r="C348" s="40">
        <v>172.0</v>
      </c>
      <c r="D348" s="40" t="s">
        <v>829</v>
      </c>
      <c r="E348" s="40" t="s">
        <v>37</v>
      </c>
      <c r="F348" s="360">
        <v>38786.0</v>
      </c>
      <c r="G348" s="360">
        <v>43373.0</v>
      </c>
      <c r="H348" s="360">
        <v>43373.0</v>
      </c>
      <c r="I348" s="360">
        <v>43373.0</v>
      </c>
      <c r="J348" s="361">
        <v>12.98</v>
      </c>
      <c r="K348" s="361">
        <v>12.98</v>
      </c>
      <c r="L348" s="361">
        <v>0.0</v>
      </c>
      <c r="M348" s="40">
        <v>1.0</v>
      </c>
      <c r="N348" s="361">
        <v>12.98</v>
      </c>
    </row>
    <row r="349">
      <c r="A349" s="358" t="s">
        <v>25</v>
      </c>
      <c r="B349" s="40"/>
      <c r="C349" s="40">
        <v>423.0</v>
      </c>
      <c r="D349" s="40" t="s">
        <v>859</v>
      </c>
      <c r="E349" s="40" t="s">
        <v>649</v>
      </c>
      <c r="F349" s="360">
        <v>41192.0</v>
      </c>
      <c r="G349" s="360">
        <v>42201.0</v>
      </c>
      <c r="H349" s="360">
        <v>42201.0</v>
      </c>
      <c r="I349" s="360">
        <v>44861.0</v>
      </c>
      <c r="J349" s="361">
        <v>14.99</v>
      </c>
      <c r="K349" s="361">
        <v>0.0</v>
      </c>
      <c r="L349" s="361">
        <v>14.99</v>
      </c>
      <c r="M349" s="40">
        <v>5.0</v>
      </c>
      <c r="N349" s="361">
        <v>0.0</v>
      </c>
    </row>
    <row r="350">
      <c r="A350" s="358" t="s">
        <v>25</v>
      </c>
      <c r="B350" s="40"/>
      <c r="C350" s="40">
        <v>376.0</v>
      </c>
      <c r="D350" s="40" t="s">
        <v>867</v>
      </c>
      <c r="E350" s="40" t="s">
        <v>649</v>
      </c>
      <c r="F350" s="360">
        <v>41486.0</v>
      </c>
      <c r="G350" s="360">
        <v>41558.0</v>
      </c>
      <c r="H350" s="360">
        <v>41558.0</v>
      </c>
      <c r="I350" s="360">
        <v>44793.0</v>
      </c>
      <c r="J350" s="361">
        <v>9.99</v>
      </c>
      <c r="K350" s="361">
        <v>9.99</v>
      </c>
      <c r="L350" s="361">
        <v>0.0</v>
      </c>
      <c r="M350" s="40">
        <v>30.0</v>
      </c>
      <c r="N350" s="361">
        <v>0.33</v>
      </c>
    </row>
    <row r="351">
      <c r="A351" s="40" t="s">
        <v>25</v>
      </c>
      <c r="B351" s="40"/>
      <c r="C351" s="40">
        <v>969.0</v>
      </c>
      <c r="D351" s="40" t="s">
        <v>895</v>
      </c>
      <c r="E351" s="40" t="s">
        <v>33</v>
      </c>
      <c r="F351" s="360">
        <v>41789.0</v>
      </c>
      <c r="G351" s="360">
        <v>42969.0</v>
      </c>
      <c r="H351" s="360">
        <v>42970.0</v>
      </c>
      <c r="I351" s="360">
        <v>43089.0</v>
      </c>
      <c r="J351" s="361">
        <v>17.49</v>
      </c>
      <c r="K351" s="361">
        <v>8.99</v>
      </c>
      <c r="L351" s="361">
        <v>8.5</v>
      </c>
      <c r="M351" s="40">
        <v>1.0</v>
      </c>
      <c r="N351" s="361">
        <v>8.99</v>
      </c>
    </row>
    <row r="352">
      <c r="A352" s="40" t="s">
        <v>25</v>
      </c>
      <c r="B352" s="40"/>
      <c r="C352" s="40">
        <v>634.0</v>
      </c>
      <c r="D352" s="40" t="s">
        <v>898</v>
      </c>
      <c r="E352" s="40" t="s">
        <v>33</v>
      </c>
      <c r="F352" s="360">
        <v>41901.0</v>
      </c>
      <c r="G352" s="360">
        <v>42811.0</v>
      </c>
      <c r="H352" s="360">
        <v>42811.0</v>
      </c>
      <c r="I352" s="360">
        <v>42811.0</v>
      </c>
      <c r="J352" s="361">
        <v>24.99</v>
      </c>
      <c r="K352" s="361">
        <v>4.99</v>
      </c>
      <c r="L352" s="361">
        <v>20.0</v>
      </c>
      <c r="M352" s="40">
        <v>1.0</v>
      </c>
      <c r="N352" s="361">
        <v>4.99</v>
      </c>
    </row>
    <row r="353">
      <c r="A353" s="40" t="s">
        <v>25</v>
      </c>
      <c r="B353" s="40"/>
      <c r="C353" s="40">
        <v>970.0</v>
      </c>
      <c r="D353" s="40" t="s">
        <v>913</v>
      </c>
      <c r="E353" s="40" t="s">
        <v>33</v>
      </c>
      <c r="F353" s="360">
        <v>42605.0</v>
      </c>
      <c r="G353" s="360">
        <v>42969.0</v>
      </c>
      <c r="H353" s="360">
        <v>42969.0</v>
      </c>
      <c r="I353" s="360">
        <v>42969.0</v>
      </c>
      <c r="J353" s="361">
        <v>17.49</v>
      </c>
      <c r="K353" s="361">
        <v>8.99</v>
      </c>
      <c r="L353" s="361">
        <v>8.5</v>
      </c>
      <c r="M353" s="40">
        <v>1.0</v>
      </c>
      <c r="N353" s="361">
        <v>8.99</v>
      </c>
    </row>
    <row r="354">
      <c r="A354" s="40" t="s">
        <v>25</v>
      </c>
      <c r="B354" s="40"/>
      <c r="C354" s="40">
        <v>971.0</v>
      </c>
      <c r="D354" s="40" t="s">
        <v>939</v>
      </c>
      <c r="E354" s="40" t="s">
        <v>33</v>
      </c>
      <c r="F354" s="360">
        <v>44166.0</v>
      </c>
      <c r="G354" s="360">
        <v>44335.0</v>
      </c>
      <c r="H354" s="360">
        <v>44335.0</v>
      </c>
      <c r="I354" s="360">
        <v>44335.0</v>
      </c>
      <c r="J354" s="361">
        <v>14.99</v>
      </c>
      <c r="K354" s="361">
        <v>9.74</v>
      </c>
      <c r="L354" s="361">
        <v>5.25</v>
      </c>
      <c r="M354" s="40">
        <v>1.0</v>
      </c>
      <c r="N354" s="361">
        <v>9.74</v>
      </c>
    </row>
    <row r="355">
      <c r="A355" s="358" t="s">
        <v>25</v>
      </c>
      <c r="B355" s="358"/>
      <c r="C355" s="40">
        <v>688.0</v>
      </c>
      <c r="D355" s="40" t="s">
        <v>956</v>
      </c>
      <c r="E355" s="40" t="s">
        <v>33</v>
      </c>
      <c r="F355" s="360">
        <v>45078.0</v>
      </c>
      <c r="G355" s="360">
        <v>45734.0</v>
      </c>
      <c r="H355" s="360">
        <v>45743.0</v>
      </c>
      <c r="I355" s="360">
        <v>45743.0</v>
      </c>
      <c r="J355" s="362">
        <v>24.99</v>
      </c>
      <c r="K355" s="362">
        <v>8.49</v>
      </c>
      <c r="L355" s="362">
        <v>16.5</v>
      </c>
      <c r="M355" s="40">
        <v>3.0</v>
      </c>
      <c r="N355" s="362">
        <v>2.83</v>
      </c>
    </row>
    <row r="356">
      <c r="A356" s="146"/>
      <c r="B356" s="146"/>
      <c r="C356" s="340"/>
      <c r="D356" s="146"/>
      <c r="E356" s="146"/>
      <c r="F356" s="146"/>
      <c r="G356" s="146"/>
      <c r="H356" s="146"/>
      <c r="I356" s="146"/>
      <c r="J356" s="339">
        <f t="shared" ref="J356:M356" si="49">SUM(J348:J355)</f>
        <v>137.91</v>
      </c>
      <c r="K356" s="339">
        <f t="shared" si="49"/>
        <v>64.17</v>
      </c>
      <c r="L356" s="339">
        <f t="shared" si="49"/>
        <v>73.74</v>
      </c>
      <c r="M356" s="146">
        <f t="shared" si="49"/>
        <v>43</v>
      </c>
      <c r="N356" s="339">
        <f>K356/M356</f>
        <v>1.492325581</v>
      </c>
    </row>
    <row r="357">
      <c r="A357" s="40" t="s">
        <v>25</v>
      </c>
      <c r="B357" s="40" t="s">
        <v>241</v>
      </c>
      <c r="C357" s="40">
        <v>508.0</v>
      </c>
      <c r="D357" s="40" t="s">
        <v>917</v>
      </c>
      <c r="E357" s="40" t="s">
        <v>33</v>
      </c>
      <c r="F357" s="360">
        <v>42696.0</v>
      </c>
      <c r="G357" s="360">
        <v>44139.0</v>
      </c>
      <c r="H357" s="360">
        <v>44139.0</v>
      </c>
      <c r="I357" s="360">
        <v>44139.0</v>
      </c>
      <c r="J357" s="361">
        <v>14.24</v>
      </c>
      <c r="K357" s="361">
        <v>1.56</v>
      </c>
      <c r="L357" s="361">
        <v>12.68</v>
      </c>
      <c r="M357" s="40">
        <v>1.0</v>
      </c>
      <c r="N357" s="361">
        <v>1.56</v>
      </c>
    </row>
    <row r="358">
      <c r="A358" s="40" t="s">
        <v>25</v>
      </c>
      <c r="B358" s="40" t="s">
        <v>242</v>
      </c>
      <c r="C358" s="40">
        <v>566.0</v>
      </c>
      <c r="D358" s="40" t="s">
        <v>910</v>
      </c>
      <c r="E358" s="40" t="s">
        <v>33</v>
      </c>
      <c r="F358" s="360">
        <v>42524.0</v>
      </c>
      <c r="G358" s="360">
        <v>43519.0</v>
      </c>
      <c r="H358" s="360">
        <v>43526.0</v>
      </c>
      <c r="I358" s="360">
        <v>43526.0</v>
      </c>
      <c r="J358" s="361">
        <v>7.99</v>
      </c>
      <c r="K358" s="361">
        <v>2.99</v>
      </c>
      <c r="L358" s="361">
        <v>5.0</v>
      </c>
      <c r="M358" s="40">
        <v>1.0</v>
      </c>
      <c r="N358" s="361">
        <v>2.99</v>
      </c>
    </row>
    <row r="359">
      <c r="A359" s="40" t="s">
        <v>25</v>
      </c>
      <c r="B359" s="40"/>
      <c r="C359" s="40">
        <v>567.0</v>
      </c>
      <c r="D359" s="40" t="s">
        <v>921</v>
      </c>
      <c r="E359" s="40" t="s">
        <v>33</v>
      </c>
      <c r="F359" s="360">
        <v>42885.0</v>
      </c>
      <c r="G359" s="360">
        <v>43519.0</v>
      </c>
      <c r="H359" s="360">
        <v>43520.0</v>
      </c>
      <c r="I359" s="360">
        <v>43520.0</v>
      </c>
      <c r="J359" s="361">
        <v>10.99</v>
      </c>
      <c r="K359" s="361">
        <v>2.99</v>
      </c>
      <c r="L359" s="361">
        <v>8.0</v>
      </c>
      <c r="M359" s="40">
        <v>1.0</v>
      </c>
      <c r="N359" s="361">
        <v>2.99</v>
      </c>
    </row>
    <row r="360">
      <c r="A360" s="40" t="s">
        <v>25</v>
      </c>
      <c r="B360" s="40"/>
      <c r="C360" s="40">
        <v>568.0</v>
      </c>
      <c r="D360" s="40" t="s">
        <v>927</v>
      </c>
      <c r="E360" s="40" t="s">
        <v>33</v>
      </c>
      <c r="F360" s="360">
        <v>43564.0</v>
      </c>
      <c r="G360" s="360">
        <v>44431.0</v>
      </c>
      <c r="H360" s="360">
        <v>44431.0</v>
      </c>
      <c r="I360" s="360">
        <v>44431.0</v>
      </c>
      <c r="J360" s="361">
        <v>29.99</v>
      </c>
      <c r="K360" s="361">
        <v>7.49</v>
      </c>
      <c r="L360" s="361">
        <v>22.5</v>
      </c>
      <c r="M360" s="40">
        <v>1.0</v>
      </c>
      <c r="N360" s="361">
        <v>7.49</v>
      </c>
    </row>
    <row r="361">
      <c r="A361" s="40" t="s">
        <v>25</v>
      </c>
      <c r="B361" s="40"/>
      <c r="C361" s="40">
        <v>1018.0</v>
      </c>
      <c r="D361" s="40" t="s">
        <v>966</v>
      </c>
      <c r="E361" s="40" t="s">
        <v>666</v>
      </c>
      <c r="F361" s="360">
        <v>42682.0</v>
      </c>
      <c r="G361" s="360">
        <v>43804.0</v>
      </c>
      <c r="H361" s="360">
        <v>43810.0</v>
      </c>
      <c r="I361" s="360">
        <v>43810.0</v>
      </c>
      <c r="J361" s="361">
        <v>19.99</v>
      </c>
      <c r="K361" s="361">
        <v>7.99</v>
      </c>
      <c r="L361" s="361">
        <v>12.0</v>
      </c>
      <c r="M361" s="40">
        <v>2.0</v>
      </c>
      <c r="N361" s="361">
        <v>4.0</v>
      </c>
    </row>
    <row r="362">
      <c r="A362" s="146"/>
      <c r="B362" s="146"/>
      <c r="C362" s="340"/>
      <c r="D362" s="146"/>
      <c r="E362" s="146"/>
      <c r="F362" s="146"/>
      <c r="G362" s="146"/>
      <c r="H362" s="146"/>
      <c r="I362" s="146"/>
      <c r="J362" s="339">
        <f t="shared" ref="J362:M362" si="50">SUM(J358:J361)</f>
        <v>68.96</v>
      </c>
      <c r="K362" s="339">
        <f t="shared" si="50"/>
        <v>21.46</v>
      </c>
      <c r="L362" s="339">
        <f t="shared" si="50"/>
        <v>47.5</v>
      </c>
      <c r="M362" s="146">
        <f t="shared" si="50"/>
        <v>5</v>
      </c>
      <c r="N362" s="339">
        <f>K362/M362</f>
        <v>4.292</v>
      </c>
    </row>
    <row r="363">
      <c r="A363" s="40" t="s">
        <v>25</v>
      </c>
      <c r="B363" s="40" t="s">
        <v>243</v>
      </c>
      <c r="C363" s="40">
        <v>462.0</v>
      </c>
      <c r="D363" s="40" t="s">
        <v>888</v>
      </c>
      <c r="E363" s="40" t="s">
        <v>671</v>
      </c>
      <c r="F363" s="360">
        <v>41982.0</v>
      </c>
      <c r="G363" s="360">
        <v>42832.0</v>
      </c>
      <c r="H363" s="360">
        <v>42832.0</v>
      </c>
      <c r="I363" s="360">
        <v>44186.0</v>
      </c>
      <c r="J363" s="361">
        <v>5.49</v>
      </c>
      <c r="K363" s="361">
        <v>5.49</v>
      </c>
      <c r="L363" s="361">
        <v>0.0</v>
      </c>
      <c r="M363" s="40">
        <v>4.0</v>
      </c>
      <c r="N363" s="361">
        <v>1.37</v>
      </c>
    </row>
    <row r="364">
      <c r="A364" s="358" t="s">
        <v>25</v>
      </c>
      <c r="B364" s="40" t="s">
        <v>244</v>
      </c>
      <c r="C364" s="40">
        <v>1.0</v>
      </c>
      <c r="D364" s="40" t="s">
        <v>808</v>
      </c>
      <c r="E364" s="40" t="s">
        <v>682</v>
      </c>
      <c r="F364" s="360">
        <v>36192.0</v>
      </c>
      <c r="G364" s="360">
        <v>42877.0</v>
      </c>
      <c r="H364" s="360">
        <v>42877.0</v>
      </c>
      <c r="I364" s="360">
        <v>42877.0</v>
      </c>
      <c r="J364" s="361">
        <v>1.49</v>
      </c>
      <c r="K364" s="361">
        <v>1.49</v>
      </c>
      <c r="L364" s="361">
        <v>0.0</v>
      </c>
      <c r="M364" s="40">
        <v>15.0</v>
      </c>
      <c r="N364" s="361">
        <v>0.1</v>
      </c>
    </row>
    <row r="365">
      <c r="A365" s="358" t="s">
        <v>25</v>
      </c>
      <c r="B365" s="40"/>
      <c r="C365" s="40">
        <v>70.0</v>
      </c>
      <c r="D365" s="40" t="s">
        <v>812</v>
      </c>
      <c r="E365" s="40" t="s">
        <v>682</v>
      </c>
      <c r="F365" s="360">
        <v>36560.0</v>
      </c>
      <c r="G365" s="360">
        <v>42653.0</v>
      </c>
      <c r="H365" s="360">
        <v>45479.0</v>
      </c>
      <c r="I365" s="360">
        <v>45485.0</v>
      </c>
      <c r="J365" s="361">
        <v>1.99</v>
      </c>
      <c r="K365" s="361">
        <v>1.99</v>
      </c>
      <c r="L365" s="361">
        <v>0.0</v>
      </c>
      <c r="M365" s="40">
        <v>15.0</v>
      </c>
      <c r="N365" s="361">
        <v>0.13</v>
      </c>
    </row>
    <row r="366">
      <c r="A366" s="357" t="s">
        <v>25</v>
      </c>
      <c r="B366" s="40"/>
      <c r="C366" s="40">
        <v>3.0</v>
      </c>
      <c r="D366" s="40" t="s">
        <v>817</v>
      </c>
      <c r="E366" s="40" t="s">
        <v>682</v>
      </c>
      <c r="F366" s="360">
        <v>36924.0</v>
      </c>
      <c r="G366" s="360">
        <v>42877.0</v>
      </c>
      <c r="H366" s="360">
        <v>42877.0</v>
      </c>
      <c r="I366" s="360">
        <v>42877.0</v>
      </c>
      <c r="J366" s="361">
        <v>1.99</v>
      </c>
      <c r="K366" s="361">
        <v>1.99</v>
      </c>
      <c r="L366" s="361">
        <v>0.0</v>
      </c>
      <c r="M366" s="40">
        <v>10.0</v>
      </c>
      <c r="N366" s="361">
        <v>0.2</v>
      </c>
    </row>
    <row r="367">
      <c r="A367" s="357" t="s">
        <v>25</v>
      </c>
      <c r="B367" s="40"/>
      <c r="C367" s="40">
        <v>71.0</v>
      </c>
      <c r="D367" s="40" t="s">
        <v>818</v>
      </c>
      <c r="E367" s="40" t="s">
        <v>682</v>
      </c>
      <c r="F367" s="360">
        <v>36973.0</v>
      </c>
      <c r="G367" s="360">
        <v>42877.0</v>
      </c>
      <c r="H367" s="360">
        <v>42877.0</v>
      </c>
      <c r="I367" s="360">
        <v>42877.0</v>
      </c>
      <c r="J367" s="361">
        <v>1.99</v>
      </c>
      <c r="K367" s="361">
        <v>1.99</v>
      </c>
      <c r="L367" s="361">
        <v>0.0</v>
      </c>
      <c r="M367" s="40">
        <v>20.0</v>
      </c>
      <c r="N367" s="361">
        <v>0.1</v>
      </c>
    </row>
    <row r="368">
      <c r="A368" s="357" t="s">
        <v>25</v>
      </c>
      <c r="B368" s="40"/>
      <c r="C368" s="40">
        <v>140.0</v>
      </c>
      <c r="D368" s="40" t="s">
        <v>823</v>
      </c>
      <c r="E368" s="40" t="s">
        <v>645</v>
      </c>
      <c r="F368" s="360">
        <v>38898.0</v>
      </c>
      <c r="G368" s="360">
        <v>43373.0</v>
      </c>
      <c r="H368" s="360">
        <v>43373.0</v>
      </c>
      <c r="I368" s="360">
        <v>43373.0</v>
      </c>
      <c r="J368" s="361">
        <v>4.49</v>
      </c>
      <c r="K368" s="361">
        <v>4.49</v>
      </c>
      <c r="L368" s="361">
        <v>0.0</v>
      </c>
      <c r="M368" s="40">
        <v>1.0</v>
      </c>
      <c r="N368" s="361">
        <v>4.49</v>
      </c>
    </row>
    <row r="369">
      <c r="A369" s="357" t="s">
        <v>25</v>
      </c>
      <c r="B369" s="40"/>
      <c r="C369" s="40">
        <v>111.0</v>
      </c>
      <c r="D369" s="40" t="s">
        <v>824</v>
      </c>
      <c r="E369" s="40" t="s">
        <v>645</v>
      </c>
      <c r="F369" s="360">
        <v>39605.0</v>
      </c>
      <c r="G369" s="360">
        <v>42236.0</v>
      </c>
      <c r="H369" s="360">
        <v>42236.0</v>
      </c>
      <c r="I369" s="360">
        <v>42236.0</v>
      </c>
      <c r="J369" s="361">
        <v>9.99</v>
      </c>
      <c r="K369" s="361">
        <v>0.0</v>
      </c>
      <c r="L369" s="361">
        <v>9.99</v>
      </c>
      <c r="M369" s="40">
        <v>1.0</v>
      </c>
      <c r="N369" s="361">
        <v>0.0</v>
      </c>
    </row>
    <row r="370">
      <c r="A370" s="40" t="s">
        <v>25</v>
      </c>
      <c r="B370" s="40"/>
      <c r="C370" s="40">
        <v>112.0</v>
      </c>
      <c r="D370" s="40" t="s">
        <v>825</v>
      </c>
      <c r="E370" s="40" t="s">
        <v>645</v>
      </c>
      <c r="F370" s="360">
        <v>39731.0</v>
      </c>
      <c r="G370" s="360">
        <v>42236.0</v>
      </c>
      <c r="H370" s="360">
        <v>42236.0</v>
      </c>
      <c r="I370" s="360">
        <v>42236.0</v>
      </c>
      <c r="J370" s="361">
        <v>9.99</v>
      </c>
      <c r="K370" s="361">
        <v>0.0</v>
      </c>
      <c r="L370" s="361">
        <v>9.99</v>
      </c>
      <c r="M370" s="40">
        <v>1.0</v>
      </c>
      <c r="N370" s="361">
        <v>0.0</v>
      </c>
    </row>
    <row r="371">
      <c r="A371" s="40" t="s">
        <v>25</v>
      </c>
      <c r="B371" s="40"/>
      <c r="C371" s="40">
        <v>170.0</v>
      </c>
      <c r="D371" s="40" t="s">
        <v>833</v>
      </c>
      <c r="E371" s="40" t="s">
        <v>37</v>
      </c>
      <c r="F371" s="360">
        <v>40627.0</v>
      </c>
      <c r="G371" s="360">
        <v>42236.0</v>
      </c>
      <c r="H371" s="360">
        <v>42236.0</v>
      </c>
      <c r="I371" s="360">
        <v>42236.0</v>
      </c>
      <c r="J371" s="361">
        <v>4.99</v>
      </c>
      <c r="K371" s="361">
        <v>0.0</v>
      </c>
      <c r="L371" s="361">
        <v>4.99</v>
      </c>
      <c r="M371" s="40">
        <v>1.0</v>
      </c>
      <c r="N371" s="361">
        <v>0.0</v>
      </c>
    </row>
    <row r="372">
      <c r="A372" s="40" t="s">
        <v>25</v>
      </c>
      <c r="B372" s="40"/>
      <c r="C372" s="40">
        <v>171.0</v>
      </c>
      <c r="D372" s="40" t="s">
        <v>834</v>
      </c>
      <c r="E372" s="40" t="s">
        <v>37</v>
      </c>
      <c r="F372" s="360">
        <v>40676.0</v>
      </c>
      <c r="G372" s="360">
        <v>42236.0</v>
      </c>
      <c r="H372" s="360">
        <v>42236.0</v>
      </c>
      <c r="I372" s="360">
        <v>42236.0</v>
      </c>
      <c r="J372" s="361">
        <v>4.99</v>
      </c>
      <c r="K372" s="361">
        <v>0.0</v>
      </c>
      <c r="L372" s="361">
        <v>4.99</v>
      </c>
      <c r="M372" s="40">
        <v>1.0</v>
      </c>
      <c r="N372" s="361">
        <v>0.0</v>
      </c>
    </row>
    <row r="373">
      <c r="A373" s="358" t="s">
        <v>25</v>
      </c>
      <c r="B373" s="40"/>
      <c r="C373" s="40">
        <v>278.0</v>
      </c>
      <c r="D373" s="40" t="s">
        <v>846</v>
      </c>
      <c r="E373" s="40" t="s">
        <v>649</v>
      </c>
      <c r="F373" s="360">
        <v>40354.0</v>
      </c>
      <c r="G373" s="360">
        <v>42832.0</v>
      </c>
      <c r="H373" s="360">
        <v>42836.0</v>
      </c>
      <c r="I373" s="360">
        <v>45165.0</v>
      </c>
      <c r="J373" s="361">
        <v>20.0</v>
      </c>
      <c r="K373" s="361">
        <v>10.0</v>
      </c>
      <c r="L373" s="361">
        <v>10.0</v>
      </c>
      <c r="M373" s="40">
        <v>10.0</v>
      </c>
      <c r="N373" s="361">
        <v>1.0</v>
      </c>
    </row>
    <row r="374">
      <c r="A374" s="358" t="s">
        <v>25</v>
      </c>
      <c r="B374" s="40"/>
      <c r="C374" s="40">
        <v>279.0</v>
      </c>
      <c r="D374" s="40" t="s">
        <v>854</v>
      </c>
      <c r="E374" s="40" t="s">
        <v>649</v>
      </c>
      <c r="F374" s="360">
        <v>40865.0</v>
      </c>
      <c r="G374" s="360">
        <v>42832.0</v>
      </c>
      <c r="H374" s="360">
        <v>42832.0</v>
      </c>
      <c r="I374" s="360">
        <v>42832.0</v>
      </c>
      <c r="J374" s="361">
        <v>19.99</v>
      </c>
      <c r="K374" s="361">
        <v>9.99</v>
      </c>
      <c r="L374" s="361">
        <v>10.0</v>
      </c>
      <c r="M374" s="40">
        <v>10.0</v>
      </c>
      <c r="N374" s="361">
        <v>1.0</v>
      </c>
    </row>
    <row r="375">
      <c r="A375" s="358" t="s">
        <v>25</v>
      </c>
      <c r="B375" s="40"/>
      <c r="C375" s="40">
        <v>280.0</v>
      </c>
      <c r="D375" s="40" t="s">
        <v>857</v>
      </c>
      <c r="E375" s="40" t="s">
        <v>649</v>
      </c>
      <c r="F375" s="360">
        <v>41082.0</v>
      </c>
      <c r="G375" s="360">
        <v>42236.0</v>
      </c>
      <c r="H375" s="360">
        <v>42236.0</v>
      </c>
      <c r="I375" s="360">
        <v>44865.0</v>
      </c>
      <c r="J375" s="361">
        <v>19.99</v>
      </c>
      <c r="K375" s="361">
        <v>0.0</v>
      </c>
      <c r="L375" s="361">
        <v>19.99</v>
      </c>
      <c r="M375" s="40">
        <v>30.0</v>
      </c>
      <c r="N375" s="361">
        <v>0.0</v>
      </c>
    </row>
    <row r="376">
      <c r="A376" s="358" t="s">
        <v>25</v>
      </c>
      <c r="B376" s="40"/>
      <c r="C376" s="40">
        <v>281.0</v>
      </c>
      <c r="D376" s="40" t="s">
        <v>869</v>
      </c>
      <c r="E376" s="40" t="s">
        <v>649</v>
      </c>
      <c r="F376" s="360">
        <v>41593.0</v>
      </c>
      <c r="G376" s="360">
        <v>44203.0</v>
      </c>
      <c r="H376" s="360">
        <v>44220.0</v>
      </c>
      <c r="I376" s="360">
        <v>44222.0</v>
      </c>
      <c r="J376" s="361">
        <v>39.99</v>
      </c>
      <c r="K376" s="361">
        <v>9.99</v>
      </c>
      <c r="L376" s="361">
        <v>30.0</v>
      </c>
      <c r="M376" s="40">
        <v>7.0</v>
      </c>
      <c r="N376" s="361">
        <v>1.43</v>
      </c>
    </row>
    <row r="377">
      <c r="A377" s="40" t="s">
        <v>25</v>
      </c>
      <c r="B377" s="40"/>
      <c r="C377" s="40">
        <v>468.0</v>
      </c>
      <c r="D377" s="40" t="s">
        <v>877</v>
      </c>
      <c r="E377" s="40" t="s">
        <v>671</v>
      </c>
      <c r="F377" s="360">
        <v>41194.0</v>
      </c>
      <c r="G377" s="360">
        <v>43373.0</v>
      </c>
      <c r="H377" s="360">
        <v>45041.0</v>
      </c>
      <c r="I377" s="360">
        <v>45043.0</v>
      </c>
      <c r="J377" s="361">
        <v>19.99</v>
      </c>
      <c r="K377" s="361">
        <v>19.99</v>
      </c>
      <c r="L377" s="361">
        <v>0.0</v>
      </c>
      <c r="M377" s="40">
        <v>25.0</v>
      </c>
      <c r="N377" s="361">
        <v>0.8</v>
      </c>
    </row>
    <row r="378">
      <c r="A378" s="40" t="s">
        <v>25</v>
      </c>
      <c r="B378" s="40"/>
      <c r="C378" s="40">
        <v>697.0</v>
      </c>
      <c r="D378" s="40" t="s">
        <v>918</v>
      </c>
      <c r="E378" s="40" t="s">
        <v>33</v>
      </c>
      <c r="F378" s="360">
        <v>42832.0</v>
      </c>
      <c r="G378" s="360">
        <v>43519.0</v>
      </c>
      <c r="H378" s="360">
        <v>43527.0</v>
      </c>
      <c r="I378" s="360">
        <v>43540.0</v>
      </c>
      <c r="J378" s="361">
        <v>59.99</v>
      </c>
      <c r="K378" s="361">
        <v>16.99</v>
      </c>
      <c r="L378" s="361">
        <v>43.0</v>
      </c>
      <c r="M378" s="40">
        <v>10.0</v>
      </c>
      <c r="N378" s="361">
        <v>1.7</v>
      </c>
    </row>
    <row r="379">
      <c r="A379" s="40" t="s">
        <v>25</v>
      </c>
      <c r="B379" s="40"/>
      <c r="C379" s="40">
        <v>698.0</v>
      </c>
      <c r="D379" s="40" t="s">
        <v>926</v>
      </c>
      <c r="E379" s="40" t="s">
        <v>33</v>
      </c>
      <c r="F379" s="360">
        <v>43392.0</v>
      </c>
      <c r="G379" s="360">
        <v>44539.0</v>
      </c>
      <c r="H379" s="360">
        <v>44539.0</v>
      </c>
      <c r="I379" s="360">
        <v>44539.0</v>
      </c>
      <c r="J379" s="361">
        <v>59.99</v>
      </c>
      <c r="K379" s="361">
        <v>0.0</v>
      </c>
      <c r="L379" s="361">
        <v>59.99</v>
      </c>
      <c r="M379" s="40">
        <v>1.0</v>
      </c>
      <c r="N379" s="361">
        <v>0.0</v>
      </c>
    </row>
    <row r="380">
      <c r="A380" s="40" t="s">
        <v>25</v>
      </c>
      <c r="B380" s="40"/>
      <c r="C380" s="40">
        <v>699.0</v>
      </c>
      <c r="D380" s="40" t="s">
        <v>950</v>
      </c>
      <c r="E380" s="40" t="s">
        <v>33</v>
      </c>
      <c r="F380" s="360">
        <v>44656.0</v>
      </c>
      <c r="G380" s="360">
        <v>45511.0</v>
      </c>
      <c r="H380" s="360">
        <v>45511.0</v>
      </c>
      <c r="I380" s="360">
        <v>45511.0</v>
      </c>
      <c r="J380" s="361">
        <v>59.99</v>
      </c>
      <c r="K380" s="361">
        <v>0.0</v>
      </c>
      <c r="L380" s="361">
        <v>59.99</v>
      </c>
      <c r="M380" s="40">
        <v>1.0</v>
      </c>
      <c r="N380" s="361">
        <v>0.0</v>
      </c>
    </row>
    <row r="381">
      <c r="A381" s="146"/>
      <c r="B381" s="146"/>
      <c r="C381" s="340"/>
      <c r="D381" s="146"/>
      <c r="E381" s="146"/>
      <c r="F381" s="146"/>
      <c r="G381" s="146"/>
      <c r="H381" s="146"/>
      <c r="I381" s="146"/>
      <c r="J381" s="339">
        <f t="shared" ref="J381:M381" si="51">SUM(J364:J380)</f>
        <v>341.84</v>
      </c>
      <c r="K381" s="339">
        <f t="shared" si="51"/>
        <v>78.91</v>
      </c>
      <c r="L381" s="339">
        <f t="shared" si="51"/>
        <v>262.93</v>
      </c>
      <c r="M381" s="146">
        <f t="shared" si="51"/>
        <v>159</v>
      </c>
      <c r="N381" s="339">
        <f>K381/M381</f>
        <v>0.4962893082</v>
      </c>
    </row>
    <row r="382">
      <c r="A382" s="40" t="s">
        <v>25</v>
      </c>
      <c r="B382" s="40" t="s">
        <v>245</v>
      </c>
      <c r="C382" s="40">
        <v>546.0</v>
      </c>
      <c r="D382" s="40" t="s">
        <v>907</v>
      </c>
      <c r="E382" s="40" t="s">
        <v>33</v>
      </c>
      <c r="F382" s="360">
        <v>42320.0</v>
      </c>
      <c r="G382" s="360">
        <v>42939.0</v>
      </c>
      <c r="H382" s="360">
        <v>42939.0</v>
      </c>
      <c r="I382" s="360">
        <v>42939.0</v>
      </c>
      <c r="J382" s="361">
        <v>9.99</v>
      </c>
      <c r="K382" s="361">
        <v>2.99</v>
      </c>
      <c r="L382" s="361">
        <v>7.0</v>
      </c>
      <c r="M382" s="40">
        <v>1.0</v>
      </c>
      <c r="N382" s="361">
        <v>2.99</v>
      </c>
    </row>
    <row r="383">
      <c r="A383" s="40" t="s">
        <v>25</v>
      </c>
      <c r="B383" s="40" t="s">
        <v>246</v>
      </c>
      <c r="C383" s="40">
        <v>948.0</v>
      </c>
      <c r="D383" s="40" t="s">
        <v>931</v>
      </c>
      <c r="E383" s="40" t="s">
        <v>33</v>
      </c>
      <c r="F383" s="360">
        <v>43886.0</v>
      </c>
      <c r="G383" s="360">
        <v>44006.0</v>
      </c>
      <c r="H383" s="360">
        <v>44006.0</v>
      </c>
      <c r="I383" s="360">
        <v>44385.0</v>
      </c>
      <c r="J383" s="361">
        <v>56.98</v>
      </c>
      <c r="K383" s="361">
        <v>37.58</v>
      </c>
      <c r="L383" s="361">
        <v>19.4</v>
      </c>
      <c r="M383" s="40">
        <v>15.0</v>
      </c>
      <c r="N383" s="361">
        <v>2.51</v>
      </c>
    </row>
    <row r="384">
      <c r="A384" s="40" t="s">
        <v>25</v>
      </c>
      <c r="B384" s="40"/>
      <c r="C384" s="40">
        <v>949.0</v>
      </c>
      <c r="D384" s="40" t="s">
        <v>951</v>
      </c>
      <c r="E384" s="40" t="s">
        <v>33</v>
      </c>
      <c r="F384" s="360">
        <v>44782.0</v>
      </c>
      <c r="G384" s="360">
        <v>45143.0</v>
      </c>
      <c r="H384" s="360">
        <v>45424.0</v>
      </c>
      <c r="I384" s="360">
        <v>45430.0</v>
      </c>
      <c r="J384" s="361">
        <v>29.99</v>
      </c>
      <c r="K384" s="361">
        <v>14.99</v>
      </c>
      <c r="L384" s="361">
        <v>15.0</v>
      </c>
      <c r="M384" s="40">
        <v>1.0</v>
      </c>
      <c r="N384" s="361">
        <v>14.99</v>
      </c>
    </row>
    <row r="385">
      <c r="A385" s="146"/>
      <c r="B385" s="146"/>
      <c r="C385" s="340"/>
      <c r="D385" s="146"/>
      <c r="E385" s="146"/>
      <c r="F385" s="146"/>
      <c r="G385" s="146"/>
      <c r="H385" s="146"/>
      <c r="I385" s="146"/>
      <c r="J385" s="339">
        <f t="shared" ref="J385:M385" si="52">SUM(J383:J384)</f>
        <v>86.97</v>
      </c>
      <c r="K385" s="339">
        <f t="shared" si="52"/>
        <v>52.57</v>
      </c>
      <c r="L385" s="339">
        <f t="shared" si="52"/>
        <v>34.4</v>
      </c>
      <c r="M385" s="146">
        <f t="shared" si="52"/>
        <v>16</v>
      </c>
      <c r="N385" s="339">
        <f>K385/M385</f>
        <v>3.285625</v>
      </c>
    </row>
    <row r="386">
      <c r="A386" s="357" t="s">
        <v>25</v>
      </c>
      <c r="B386" s="40" t="s">
        <v>247</v>
      </c>
      <c r="C386" s="40">
        <v>92.0</v>
      </c>
      <c r="D386" s="40" t="s">
        <v>826</v>
      </c>
      <c r="E386" s="40" t="s">
        <v>645</v>
      </c>
      <c r="F386" s="360">
        <v>40115.0</v>
      </c>
      <c r="G386" s="360">
        <v>40336.0</v>
      </c>
      <c r="H386" s="360">
        <v>40336.0</v>
      </c>
      <c r="I386" s="360">
        <v>44125.0</v>
      </c>
      <c r="J386" s="361">
        <v>2.5</v>
      </c>
      <c r="K386" s="361">
        <v>2.5</v>
      </c>
      <c r="L386" s="361">
        <v>0.0</v>
      </c>
      <c r="M386" s="40">
        <v>10.0</v>
      </c>
      <c r="N386" s="361">
        <v>0.25</v>
      </c>
    </row>
    <row r="387">
      <c r="A387" s="358" t="s">
        <v>25</v>
      </c>
      <c r="B387" s="40"/>
      <c r="C387" s="40">
        <v>228.0</v>
      </c>
      <c r="D387" s="40" t="s">
        <v>847</v>
      </c>
      <c r="E387" s="40" t="s">
        <v>649</v>
      </c>
      <c r="F387" s="360">
        <v>40473.0</v>
      </c>
      <c r="G387" s="360">
        <v>44115.0</v>
      </c>
      <c r="H387" s="360">
        <v>45127.0</v>
      </c>
      <c r="I387" s="360">
        <v>45134.0</v>
      </c>
      <c r="J387" s="361">
        <v>2.5</v>
      </c>
      <c r="K387" s="361">
        <v>2.5</v>
      </c>
      <c r="L387" s="361">
        <v>0.0</v>
      </c>
      <c r="M387" s="40">
        <v>5.0</v>
      </c>
      <c r="N387" s="361">
        <v>0.5</v>
      </c>
    </row>
    <row r="388">
      <c r="A388" s="146"/>
      <c r="B388" s="146"/>
      <c r="C388" s="340"/>
      <c r="D388" s="146"/>
      <c r="E388" s="146"/>
      <c r="F388" s="146"/>
      <c r="G388" s="146"/>
      <c r="H388" s="146"/>
      <c r="I388" s="146"/>
      <c r="J388" s="339">
        <f t="shared" ref="J388:M388" si="53">SUM(J386:J387)</f>
        <v>5</v>
      </c>
      <c r="K388" s="339">
        <f t="shared" si="53"/>
        <v>5</v>
      </c>
      <c r="L388" s="339">
        <f t="shared" si="53"/>
        <v>0</v>
      </c>
      <c r="M388" s="146">
        <f t="shared" si="53"/>
        <v>15</v>
      </c>
      <c r="N388" s="339">
        <f>K388/M388</f>
        <v>0.3333333333</v>
      </c>
    </row>
    <row r="389">
      <c r="A389" s="40" t="s">
        <v>25</v>
      </c>
      <c r="B389" s="40" t="s">
        <v>248</v>
      </c>
      <c r="C389" s="40">
        <v>12.0</v>
      </c>
      <c r="D389" s="40" t="s">
        <v>799</v>
      </c>
      <c r="E389" s="40" t="s">
        <v>682</v>
      </c>
      <c r="F389" s="360">
        <v>34992.0</v>
      </c>
      <c r="G389" s="360">
        <v>43014.0</v>
      </c>
      <c r="H389" s="360">
        <v>43014.0</v>
      </c>
      <c r="I389" s="360">
        <v>43014.0</v>
      </c>
      <c r="J389" s="361">
        <v>4.99</v>
      </c>
      <c r="K389" s="361">
        <v>2.99</v>
      </c>
      <c r="L389" s="361">
        <v>2.0</v>
      </c>
      <c r="M389" s="40">
        <v>10.0</v>
      </c>
      <c r="N389" s="361">
        <v>0.3</v>
      </c>
    </row>
    <row r="390">
      <c r="A390" s="40" t="s">
        <v>25</v>
      </c>
      <c r="B390" s="40"/>
      <c r="C390" s="40">
        <v>15.0</v>
      </c>
      <c r="D390" s="40" t="s">
        <v>809</v>
      </c>
      <c r="E390" s="40" t="s">
        <v>682</v>
      </c>
      <c r="F390" s="360">
        <v>36336.0</v>
      </c>
      <c r="G390" s="360">
        <v>42218.0</v>
      </c>
      <c r="H390" s="360">
        <v>42218.0</v>
      </c>
      <c r="I390" s="360">
        <v>42218.0</v>
      </c>
      <c r="J390" s="361">
        <v>2.49</v>
      </c>
      <c r="K390" s="361">
        <v>2.49</v>
      </c>
      <c r="L390" s="361">
        <v>0.0</v>
      </c>
      <c r="M390" s="40">
        <v>5.0</v>
      </c>
      <c r="N390" s="361">
        <v>0.5</v>
      </c>
    </row>
    <row r="391">
      <c r="A391" s="146"/>
      <c r="B391" s="146"/>
      <c r="C391" s="340"/>
      <c r="D391" s="146"/>
      <c r="E391" s="146"/>
      <c r="F391" s="146"/>
      <c r="G391" s="146"/>
      <c r="H391" s="146"/>
      <c r="I391" s="146"/>
      <c r="J391" s="339">
        <f t="shared" ref="J391:M391" si="54">SUM(J389:J390)</f>
        <v>7.48</v>
      </c>
      <c r="K391" s="339">
        <f t="shared" si="54"/>
        <v>5.48</v>
      </c>
      <c r="L391" s="339">
        <f t="shared" si="54"/>
        <v>2</v>
      </c>
      <c r="M391" s="146">
        <f t="shared" si="54"/>
        <v>15</v>
      </c>
      <c r="N391" s="339">
        <f>K391/M391</f>
        <v>0.3653333333</v>
      </c>
    </row>
    <row r="392">
      <c r="A392" s="40" t="s">
        <v>25</v>
      </c>
      <c r="B392" s="40" t="s">
        <v>249</v>
      </c>
      <c r="C392" s="40">
        <v>1047.0</v>
      </c>
      <c r="D392" s="40" t="s">
        <v>968</v>
      </c>
      <c r="E392" s="40" t="s">
        <v>666</v>
      </c>
      <c r="F392" s="360">
        <v>42990.0</v>
      </c>
      <c r="G392" s="360">
        <v>43615.0</v>
      </c>
      <c r="H392" s="360">
        <v>43616.0</v>
      </c>
      <c r="I392" s="360">
        <v>43616.0</v>
      </c>
      <c r="J392" s="361">
        <v>24.99</v>
      </c>
      <c r="K392" s="361">
        <v>9.99</v>
      </c>
      <c r="L392" s="361">
        <v>15.0</v>
      </c>
      <c r="M392" s="40">
        <v>1.0</v>
      </c>
      <c r="N392" s="361">
        <v>9.99</v>
      </c>
    </row>
    <row r="393">
      <c r="A393" s="40" t="s">
        <v>25</v>
      </c>
      <c r="B393" s="40" t="s">
        <v>250</v>
      </c>
      <c r="C393" s="40">
        <v>1010.0</v>
      </c>
      <c r="D393" s="40" t="s">
        <v>959</v>
      </c>
      <c r="E393" s="40" t="s">
        <v>666</v>
      </c>
      <c r="F393" s="360">
        <v>42290.0</v>
      </c>
      <c r="G393" s="360">
        <v>43468.0</v>
      </c>
      <c r="H393" s="360">
        <v>43468.0</v>
      </c>
      <c r="I393" s="360">
        <v>43468.0</v>
      </c>
      <c r="J393" s="361">
        <v>19.99</v>
      </c>
      <c r="K393" s="361">
        <v>9.99</v>
      </c>
      <c r="L393" s="361">
        <v>10.0</v>
      </c>
      <c r="M393" s="40">
        <v>1.0</v>
      </c>
      <c r="N393" s="361">
        <v>9.99</v>
      </c>
    </row>
    <row r="394">
      <c r="A394" s="40" t="s">
        <v>25</v>
      </c>
      <c r="B394" s="40" t="s">
        <v>251</v>
      </c>
      <c r="C394" s="40">
        <v>904.0</v>
      </c>
      <c r="D394" s="40" t="s">
        <v>923</v>
      </c>
      <c r="E394" s="40" t="s">
        <v>33</v>
      </c>
      <c r="F394" s="360">
        <v>42920.0</v>
      </c>
      <c r="G394" s="360">
        <v>42920.0</v>
      </c>
      <c r="H394" s="360">
        <v>42920.0</v>
      </c>
      <c r="I394" s="360">
        <v>42920.0</v>
      </c>
      <c r="J394" s="361">
        <v>0.0</v>
      </c>
      <c r="K394" s="361">
        <v>0.0</v>
      </c>
      <c r="L394" s="361">
        <v>0.0</v>
      </c>
      <c r="M394" s="40">
        <v>1.0</v>
      </c>
      <c r="N394" s="361">
        <v>0.0</v>
      </c>
    </row>
    <row r="395">
      <c r="A395" s="40" t="s">
        <v>25</v>
      </c>
      <c r="B395" s="40" t="s">
        <v>252</v>
      </c>
      <c r="C395" s="40">
        <v>1009.0</v>
      </c>
      <c r="D395" s="40" t="s">
        <v>970</v>
      </c>
      <c r="E395" s="40" t="s">
        <v>666</v>
      </c>
      <c r="F395" s="360">
        <v>43979.0</v>
      </c>
      <c r="G395" s="360">
        <v>44252.0</v>
      </c>
      <c r="H395" s="360">
        <v>44254.0</v>
      </c>
      <c r="I395" s="360">
        <v>44254.0</v>
      </c>
      <c r="J395" s="361">
        <v>18.99</v>
      </c>
      <c r="K395" s="361">
        <v>11.39</v>
      </c>
      <c r="L395" s="361">
        <v>7.6</v>
      </c>
      <c r="M395" s="40">
        <v>2.0</v>
      </c>
      <c r="N395" s="361">
        <v>5.7</v>
      </c>
    </row>
    <row r="396">
      <c r="A396" s="358" t="s">
        <v>25</v>
      </c>
      <c r="B396" s="40" t="s">
        <v>253</v>
      </c>
      <c r="C396" s="40">
        <v>328.0</v>
      </c>
      <c r="D396" s="40" t="s">
        <v>875</v>
      </c>
      <c r="E396" s="40" t="s">
        <v>649</v>
      </c>
      <c r="F396" s="360">
        <v>42269.0</v>
      </c>
      <c r="G396" s="360">
        <v>42939.0</v>
      </c>
      <c r="H396" s="360">
        <v>42939.0</v>
      </c>
      <c r="I396" s="360">
        <v>42939.0</v>
      </c>
      <c r="J396" s="361">
        <v>9.99</v>
      </c>
      <c r="K396" s="361">
        <v>2.99</v>
      </c>
      <c r="L396" s="361">
        <v>7.0</v>
      </c>
      <c r="M396" s="40">
        <v>1.0</v>
      </c>
      <c r="N396" s="361">
        <v>2.99</v>
      </c>
    </row>
    <row r="397">
      <c r="A397" s="320"/>
      <c r="B397" s="318"/>
      <c r="C397" s="319"/>
      <c r="D397" s="320"/>
      <c r="E397" s="320"/>
      <c r="F397" s="320"/>
      <c r="G397" s="320"/>
      <c r="H397" s="320"/>
      <c r="I397" s="320"/>
      <c r="J397" s="321"/>
      <c r="K397" s="321"/>
      <c r="L397" s="321"/>
      <c r="M397" s="320"/>
      <c r="N397" s="321"/>
    </row>
    <row r="398">
      <c r="A398" s="346" t="s">
        <v>27</v>
      </c>
      <c r="B398" s="346" t="s">
        <v>26</v>
      </c>
      <c r="C398" s="347">
        <v>1100.0</v>
      </c>
      <c r="D398" s="347" t="s">
        <v>34</v>
      </c>
      <c r="E398" s="347" t="s">
        <v>33</v>
      </c>
      <c r="F398" s="374">
        <v>44285.0</v>
      </c>
      <c r="G398" s="374">
        <v>46016.0</v>
      </c>
      <c r="H398" s="374">
        <v>46016.0</v>
      </c>
      <c r="I398" s="374">
        <v>46016.0</v>
      </c>
      <c r="J398" s="349">
        <v>39.99</v>
      </c>
      <c r="K398" s="349">
        <v>0.0</v>
      </c>
      <c r="L398" s="349">
        <v>39.99</v>
      </c>
      <c r="M398" s="347">
        <v>1.0</v>
      </c>
      <c r="N398" s="349">
        <v>0.0</v>
      </c>
    </row>
    <row r="399">
      <c r="A399" s="320"/>
      <c r="B399" s="318"/>
      <c r="C399" s="319"/>
      <c r="D399" s="320"/>
      <c r="E399" s="320"/>
      <c r="F399" s="320"/>
      <c r="G399" s="320"/>
      <c r="H399" s="320"/>
      <c r="I399" s="320"/>
      <c r="J399" s="321"/>
      <c r="K399" s="321"/>
      <c r="L399" s="321"/>
      <c r="M399" s="320"/>
      <c r="N399" s="321"/>
    </row>
    <row r="400">
      <c r="A400" s="346" t="s">
        <v>255</v>
      </c>
      <c r="B400" s="346" t="s">
        <v>254</v>
      </c>
      <c r="C400" s="346">
        <v>382.0</v>
      </c>
      <c r="D400" s="346" t="s">
        <v>984</v>
      </c>
      <c r="E400" s="346" t="s">
        <v>649</v>
      </c>
      <c r="F400" s="354">
        <v>41955.0</v>
      </c>
      <c r="G400" s="354">
        <v>42832.0</v>
      </c>
      <c r="H400" s="354">
        <v>44027.0</v>
      </c>
      <c r="I400" s="354">
        <v>44027.0</v>
      </c>
      <c r="J400" s="355">
        <v>9.98</v>
      </c>
      <c r="K400" s="355">
        <v>9.98</v>
      </c>
      <c r="L400" s="355">
        <v>0.0</v>
      </c>
      <c r="M400" s="346">
        <v>5.0</v>
      </c>
      <c r="N400" s="355">
        <v>2.0</v>
      </c>
    </row>
    <row r="401">
      <c r="A401" s="348" t="s">
        <v>255</v>
      </c>
      <c r="B401" s="346"/>
      <c r="C401" s="346">
        <v>495.0</v>
      </c>
      <c r="D401" s="346" t="s">
        <v>986</v>
      </c>
      <c r="E401" s="346" t="s">
        <v>671</v>
      </c>
      <c r="F401" s="354">
        <v>42752.0</v>
      </c>
      <c r="G401" s="354">
        <v>42950.0</v>
      </c>
      <c r="H401" s="354">
        <v>42950.0</v>
      </c>
      <c r="I401" s="354">
        <v>42950.0</v>
      </c>
      <c r="J401" s="355">
        <v>9.99</v>
      </c>
      <c r="K401" s="355">
        <v>3.99</v>
      </c>
      <c r="L401" s="355">
        <v>6.0</v>
      </c>
      <c r="M401" s="346">
        <v>1.0</v>
      </c>
      <c r="N401" s="355">
        <v>3.99</v>
      </c>
    </row>
    <row r="402">
      <c r="A402" s="346" t="s">
        <v>255</v>
      </c>
      <c r="B402" s="346"/>
      <c r="C402" s="346">
        <v>764.0</v>
      </c>
      <c r="D402" s="346" t="s">
        <v>989</v>
      </c>
      <c r="E402" s="346" t="s">
        <v>33</v>
      </c>
      <c r="F402" s="354">
        <v>42521.0</v>
      </c>
      <c r="G402" s="354">
        <v>42811.0</v>
      </c>
      <c r="H402" s="354">
        <v>42823.0</v>
      </c>
      <c r="I402" s="354">
        <v>45425.0</v>
      </c>
      <c r="J402" s="355">
        <v>14.99</v>
      </c>
      <c r="K402" s="355">
        <v>4.49</v>
      </c>
      <c r="L402" s="355">
        <v>10.5</v>
      </c>
      <c r="M402" s="346">
        <v>33.0</v>
      </c>
      <c r="N402" s="355">
        <v>0.14</v>
      </c>
    </row>
    <row r="403">
      <c r="A403" s="85"/>
      <c r="B403" s="85"/>
      <c r="C403" s="85"/>
      <c r="D403" s="85"/>
      <c r="E403" s="84"/>
      <c r="F403" s="84"/>
      <c r="G403" s="84"/>
      <c r="H403" s="84"/>
      <c r="I403" s="84"/>
      <c r="J403" s="375">
        <f t="shared" ref="J403:M403" si="55">SUM(J400:J402)</f>
        <v>34.96</v>
      </c>
      <c r="K403" s="375">
        <f t="shared" si="55"/>
        <v>18.46</v>
      </c>
      <c r="L403" s="375">
        <f t="shared" si="55"/>
        <v>16.5</v>
      </c>
      <c r="M403" s="84">
        <f t="shared" si="55"/>
        <v>39</v>
      </c>
      <c r="N403" s="375">
        <f>K403/M403</f>
        <v>0.4733333333</v>
      </c>
    </row>
    <row r="404">
      <c r="A404" s="346" t="s">
        <v>255</v>
      </c>
      <c r="B404" s="346" t="s">
        <v>256</v>
      </c>
      <c r="C404" s="346">
        <v>973.0</v>
      </c>
      <c r="D404" s="346" t="s">
        <v>991</v>
      </c>
      <c r="E404" s="346" t="s">
        <v>33</v>
      </c>
      <c r="F404" s="354">
        <v>43704.0</v>
      </c>
      <c r="G404" s="354">
        <v>44334.0</v>
      </c>
      <c r="H404" s="354">
        <v>44342.0</v>
      </c>
      <c r="I404" s="354">
        <v>44354.0</v>
      </c>
      <c r="J404" s="355">
        <v>29.99</v>
      </c>
      <c r="K404" s="355">
        <v>0.0</v>
      </c>
      <c r="L404" s="355">
        <v>29.99</v>
      </c>
      <c r="M404" s="346">
        <v>43.0</v>
      </c>
      <c r="N404" s="355">
        <v>0.0</v>
      </c>
    </row>
    <row r="405">
      <c r="A405" s="346" t="s">
        <v>255</v>
      </c>
      <c r="B405" s="346" t="s">
        <v>257</v>
      </c>
      <c r="C405" s="346">
        <v>549.0</v>
      </c>
      <c r="D405" s="346" t="s">
        <v>990</v>
      </c>
      <c r="E405" s="346" t="s">
        <v>33</v>
      </c>
      <c r="F405" s="354">
        <v>42962.0</v>
      </c>
      <c r="G405" s="354">
        <v>43699.0</v>
      </c>
      <c r="H405" s="354">
        <v>43701.0</v>
      </c>
      <c r="I405" s="354">
        <v>43701.0</v>
      </c>
      <c r="J405" s="355">
        <v>139.98</v>
      </c>
      <c r="K405" s="355">
        <v>84.98</v>
      </c>
      <c r="L405" s="355">
        <v>55.0</v>
      </c>
      <c r="M405" s="346">
        <v>2.0</v>
      </c>
      <c r="N405" s="355">
        <v>42.49</v>
      </c>
    </row>
    <row r="406">
      <c r="A406" s="348" t="s">
        <v>255</v>
      </c>
      <c r="B406" s="346" t="s">
        <v>258</v>
      </c>
      <c r="C406" s="346">
        <v>396.0</v>
      </c>
      <c r="D406" s="346" t="s">
        <v>983</v>
      </c>
      <c r="E406" s="346" t="s">
        <v>649</v>
      </c>
      <c r="F406" s="354">
        <v>41857.0</v>
      </c>
      <c r="G406" s="354">
        <v>42875.0</v>
      </c>
      <c r="H406" s="354">
        <v>42875.0</v>
      </c>
      <c r="I406" s="354">
        <v>42875.0</v>
      </c>
      <c r="J406" s="355">
        <v>14.99</v>
      </c>
      <c r="K406" s="355">
        <v>3.99</v>
      </c>
      <c r="L406" s="355">
        <v>11.0</v>
      </c>
      <c r="M406" s="346">
        <v>4.0</v>
      </c>
      <c r="N406" s="355">
        <v>1.0</v>
      </c>
    </row>
    <row r="407">
      <c r="A407" s="348" t="s">
        <v>255</v>
      </c>
      <c r="B407" s="346" t="s">
        <v>259</v>
      </c>
      <c r="C407" s="346">
        <v>409.0</v>
      </c>
      <c r="D407" s="346" t="s">
        <v>978</v>
      </c>
      <c r="E407" s="346" t="s">
        <v>649</v>
      </c>
      <c r="F407" s="354">
        <v>40073.0</v>
      </c>
      <c r="G407" s="354">
        <v>42951.0</v>
      </c>
      <c r="H407" s="354">
        <v>43095.0</v>
      </c>
      <c r="I407" s="354">
        <v>45183.0</v>
      </c>
      <c r="J407" s="355">
        <v>9.99</v>
      </c>
      <c r="K407" s="355">
        <v>2.99</v>
      </c>
      <c r="L407" s="355">
        <v>7.0</v>
      </c>
      <c r="M407" s="346">
        <v>2.0</v>
      </c>
      <c r="N407" s="355">
        <v>1.5</v>
      </c>
    </row>
    <row r="408">
      <c r="A408" s="348" t="s">
        <v>255</v>
      </c>
      <c r="B408" s="346"/>
      <c r="C408" s="346">
        <v>410.0</v>
      </c>
      <c r="D408" s="346" t="s">
        <v>979</v>
      </c>
      <c r="E408" s="346" t="s">
        <v>649</v>
      </c>
      <c r="F408" s="354">
        <v>40975.0</v>
      </c>
      <c r="G408" s="354">
        <v>42951.0</v>
      </c>
      <c r="H408" s="354">
        <v>43095.0</v>
      </c>
      <c r="I408" s="354">
        <v>43095.0</v>
      </c>
      <c r="J408" s="355">
        <v>9.99</v>
      </c>
      <c r="K408" s="355">
        <v>2.99</v>
      </c>
      <c r="L408" s="355">
        <v>7.0</v>
      </c>
      <c r="M408" s="346">
        <v>1.0</v>
      </c>
      <c r="N408" s="355">
        <v>2.99</v>
      </c>
    </row>
    <row r="409">
      <c r="A409" s="346" t="s">
        <v>255</v>
      </c>
      <c r="B409" s="346"/>
      <c r="C409" s="346">
        <v>943.0</v>
      </c>
      <c r="D409" s="346" t="s">
        <v>988</v>
      </c>
      <c r="E409" s="346" t="s">
        <v>33</v>
      </c>
      <c r="F409" s="354">
        <v>42360.0</v>
      </c>
      <c r="G409" s="354">
        <v>42951.0</v>
      </c>
      <c r="H409" s="354">
        <v>43095.0</v>
      </c>
      <c r="I409" s="354">
        <v>43095.0</v>
      </c>
      <c r="J409" s="355">
        <v>9.99</v>
      </c>
      <c r="K409" s="355">
        <v>1.99</v>
      </c>
      <c r="L409" s="355">
        <v>8.0</v>
      </c>
      <c r="M409" s="346">
        <v>1.0</v>
      </c>
      <c r="N409" s="355">
        <v>1.99</v>
      </c>
    </row>
    <row r="410">
      <c r="A410" s="85"/>
      <c r="B410" s="85"/>
      <c r="C410" s="85"/>
      <c r="D410" s="85"/>
      <c r="E410" s="84"/>
      <c r="F410" s="84"/>
      <c r="G410" s="84"/>
      <c r="H410" s="84"/>
      <c r="I410" s="84"/>
      <c r="J410" s="375">
        <f t="shared" ref="J410:M410" si="56">SUM(J407:J409)</f>
        <v>29.97</v>
      </c>
      <c r="K410" s="375">
        <f t="shared" si="56"/>
        <v>7.97</v>
      </c>
      <c r="L410" s="375">
        <f t="shared" si="56"/>
        <v>22</v>
      </c>
      <c r="M410" s="84">
        <f t="shared" si="56"/>
        <v>4</v>
      </c>
      <c r="N410" s="375">
        <f>K410/M410</f>
        <v>1.9925</v>
      </c>
    </row>
    <row r="411">
      <c r="A411" s="348" t="s">
        <v>255</v>
      </c>
      <c r="B411" s="346" t="s">
        <v>260</v>
      </c>
      <c r="C411" s="346">
        <v>375.0</v>
      </c>
      <c r="D411" s="346" t="s">
        <v>977</v>
      </c>
      <c r="E411" s="346" t="s">
        <v>649</v>
      </c>
      <c r="F411" s="354">
        <v>39443.0</v>
      </c>
      <c r="G411" s="354">
        <v>42754.0</v>
      </c>
      <c r="H411" s="354">
        <v>42754.0</v>
      </c>
      <c r="I411" s="354">
        <v>42754.0</v>
      </c>
      <c r="J411" s="355">
        <v>32.98</v>
      </c>
      <c r="K411" s="355">
        <v>17.98</v>
      </c>
      <c r="L411" s="355">
        <v>15.0</v>
      </c>
      <c r="M411" s="346">
        <v>1.0</v>
      </c>
      <c r="N411" s="355">
        <v>17.98</v>
      </c>
    </row>
    <row r="412">
      <c r="A412" s="346" t="s">
        <v>255</v>
      </c>
      <c r="B412" s="346"/>
      <c r="C412" s="346">
        <v>814.0</v>
      </c>
      <c r="D412" s="346" t="s">
        <v>987</v>
      </c>
      <c r="E412" s="346" t="s">
        <v>33</v>
      </c>
      <c r="F412" s="354">
        <v>41607.0</v>
      </c>
      <c r="G412" s="354">
        <v>42925.0</v>
      </c>
      <c r="H412" s="354">
        <v>43080.0</v>
      </c>
      <c r="I412" s="354">
        <v>45354.0</v>
      </c>
      <c r="J412" s="355">
        <v>12.99</v>
      </c>
      <c r="K412" s="355">
        <v>3.99</v>
      </c>
      <c r="L412" s="355">
        <v>9.0</v>
      </c>
      <c r="M412" s="346">
        <v>7.0</v>
      </c>
      <c r="N412" s="355">
        <v>0.57</v>
      </c>
    </row>
    <row r="413">
      <c r="A413" s="348" t="s">
        <v>255</v>
      </c>
      <c r="B413" s="346"/>
      <c r="C413" s="346">
        <v>1074.0</v>
      </c>
      <c r="D413" s="346" t="s">
        <v>993</v>
      </c>
      <c r="E413" s="346" t="s">
        <v>39</v>
      </c>
      <c r="F413" s="354">
        <v>44316.0</v>
      </c>
      <c r="G413" s="354">
        <v>44883.0</v>
      </c>
      <c r="H413" s="354">
        <v>45521.0</v>
      </c>
      <c r="I413" s="354">
        <v>45521.0</v>
      </c>
      <c r="J413" s="356">
        <v>79.99</v>
      </c>
      <c r="K413" s="356">
        <v>39.99</v>
      </c>
      <c r="L413" s="356">
        <v>40.0</v>
      </c>
      <c r="M413" s="346">
        <v>2.0</v>
      </c>
      <c r="N413" s="355">
        <v>20.0</v>
      </c>
    </row>
    <row r="414">
      <c r="A414" s="85"/>
      <c r="B414" s="85"/>
      <c r="C414" s="85"/>
      <c r="D414" s="85"/>
      <c r="E414" s="84"/>
      <c r="F414" s="84"/>
      <c r="G414" s="84"/>
      <c r="H414" s="84"/>
      <c r="I414" s="84"/>
      <c r="J414" s="375">
        <f t="shared" ref="J414:M414" si="57">SUM(J411:J413)</f>
        <v>125.96</v>
      </c>
      <c r="K414" s="375">
        <f t="shared" si="57"/>
        <v>61.96</v>
      </c>
      <c r="L414" s="375">
        <f t="shared" si="57"/>
        <v>64</v>
      </c>
      <c r="M414" s="84">
        <f t="shared" si="57"/>
        <v>10</v>
      </c>
      <c r="N414" s="375">
        <f>K414/M414</f>
        <v>6.196</v>
      </c>
    </row>
    <row r="415">
      <c r="A415" s="348" t="s">
        <v>255</v>
      </c>
      <c r="B415" s="346" t="s">
        <v>261</v>
      </c>
      <c r="C415" s="346">
        <v>188.0</v>
      </c>
      <c r="D415" s="346" t="s">
        <v>985</v>
      </c>
      <c r="E415" s="346" t="s">
        <v>649</v>
      </c>
      <c r="F415" s="354">
        <v>42152.0</v>
      </c>
      <c r="G415" s="354">
        <v>43519.0</v>
      </c>
      <c r="H415" s="354">
        <v>43675.0</v>
      </c>
      <c r="I415" s="354">
        <v>43681.0</v>
      </c>
      <c r="J415" s="355">
        <v>11.99</v>
      </c>
      <c r="K415" s="355">
        <v>4.99</v>
      </c>
      <c r="L415" s="355">
        <v>7.0</v>
      </c>
      <c r="M415" s="346">
        <v>2.0</v>
      </c>
      <c r="N415" s="355">
        <v>2.5</v>
      </c>
    </row>
    <row r="416">
      <c r="A416" s="347" t="s">
        <v>255</v>
      </c>
      <c r="B416" s="346" t="s">
        <v>262</v>
      </c>
      <c r="C416" s="346">
        <v>114.0</v>
      </c>
      <c r="D416" s="346" t="s">
        <v>976</v>
      </c>
      <c r="E416" s="346" t="s">
        <v>645</v>
      </c>
      <c r="F416" s="354">
        <v>37267.0</v>
      </c>
      <c r="G416" s="354">
        <v>42950.0</v>
      </c>
      <c r="H416" s="354">
        <v>44181.0</v>
      </c>
      <c r="I416" s="354">
        <v>44181.0</v>
      </c>
      <c r="J416" s="355">
        <v>13.99</v>
      </c>
      <c r="K416" s="355">
        <v>5.99</v>
      </c>
      <c r="L416" s="355">
        <v>8.0</v>
      </c>
      <c r="M416" s="346">
        <v>2.0</v>
      </c>
      <c r="N416" s="355">
        <v>3.0</v>
      </c>
    </row>
    <row r="417">
      <c r="A417" s="346" t="s">
        <v>255</v>
      </c>
      <c r="B417" s="346"/>
      <c r="C417" s="346">
        <v>505.0</v>
      </c>
      <c r="D417" s="346" t="s">
        <v>992</v>
      </c>
      <c r="E417" s="346" t="s">
        <v>33</v>
      </c>
      <c r="F417" s="354">
        <v>44474.0</v>
      </c>
      <c r="G417" s="354">
        <v>45111.0</v>
      </c>
      <c r="H417" s="354">
        <v>45111.0</v>
      </c>
      <c r="I417" s="354">
        <v>45111.0</v>
      </c>
      <c r="J417" s="355">
        <v>29.99</v>
      </c>
      <c r="K417" s="355">
        <v>0.0</v>
      </c>
      <c r="L417" s="355">
        <v>29.99</v>
      </c>
      <c r="M417" s="346">
        <v>1.0</v>
      </c>
      <c r="N417" s="355">
        <v>0.0</v>
      </c>
    </row>
    <row r="418">
      <c r="A418" s="85"/>
      <c r="B418" s="85"/>
      <c r="C418" s="85"/>
      <c r="D418" s="85"/>
      <c r="E418" s="84"/>
      <c r="F418" s="84"/>
      <c r="G418" s="84"/>
      <c r="H418" s="84"/>
      <c r="I418" s="84"/>
      <c r="J418" s="375">
        <f t="shared" ref="J418:M418" si="58">SUM(J416:J417)</f>
        <v>43.98</v>
      </c>
      <c r="K418" s="375">
        <f t="shared" si="58"/>
        <v>5.99</v>
      </c>
      <c r="L418" s="375">
        <f t="shared" si="58"/>
        <v>37.99</v>
      </c>
      <c r="M418" s="84">
        <f t="shared" si="58"/>
        <v>3</v>
      </c>
      <c r="N418" s="375">
        <f>K418/M418</f>
        <v>1.996666667</v>
      </c>
    </row>
    <row r="419">
      <c r="A419" s="348" t="s">
        <v>255</v>
      </c>
      <c r="B419" s="346" t="s">
        <v>263</v>
      </c>
      <c r="C419" s="346">
        <v>182.0</v>
      </c>
      <c r="D419" s="346" t="s">
        <v>980</v>
      </c>
      <c r="E419" s="346" t="s">
        <v>649</v>
      </c>
      <c r="F419" s="354">
        <v>41180.0</v>
      </c>
      <c r="G419" s="354">
        <v>41999.0</v>
      </c>
      <c r="H419" s="354">
        <v>42001.0</v>
      </c>
      <c r="I419" s="354">
        <v>44799.0</v>
      </c>
      <c r="J419" s="355">
        <v>10.0</v>
      </c>
      <c r="K419" s="355">
        <v>10.0</v>
      </c>
      <c r="L419" s="355">
        <v>0.0</v>
      </c>
      <c r="M419" s="346">
        <v>5.0</v>
      </c>
      <c r="N419" s="355">
        <v>2.0</v>
      </c>
    </row>
    <row r="420">
      <c r="A420" s="348" t="s">
        <v>255</v>
      </c>
      <c r="B420" s="346"/>
      <c r="C420" s="346">
        <v>183.0</v>
      </c>
      <c r="D420" s="346" t="s">
        <v>981</v>
      </c>
      <c r="E420" s="346" t="s">
        <v>649</v>
      </c>
      <c r="F420" s="354">
        <v>41180.0</v>
      </c>
      <c r="G420" s="354">
        <v>41999.0</v>
      </c>
      <c r="H420" s="354">
        <v>42001.0</v>
      </c>
      <c r="I420" s="354">
        <v>44799.0</v>
      </c>
      <c r="J420" s="355">
        <v>10.0</v>
      </c>
      <c r="K420" s="355">
        <v>10.0</v>
      </c>
      <c r="L420" s="355">
        <v>0.0</v>
      </c>
      <c r="M420" s="346">
        <v>2.0</v>
      </c>
      <c r="N420" s="355">
        <v>5.0</v>
      </c>
    </row>
    <row r="421">
      <c r="A421" s="348" t="s">
        <v>255</v>
      </c>
      <c r="B421" s="346"/>
      <c r="C421" s="346">
        <v>184.0</v>
      </c>
      <c r="D421" s="346" t="s">
        <v>982</v>
      </c>
      <c r="E421" s="346" t="s">
        <v>649</v>
      </c>
      <c r="F421" s="354">
        <v>41180.0</v>
      </c>
      <c r="G421" s="354">
        <v>41999.0</v>
      </c>
      <c r="H421" s="354">
        <v>42001.0</v>
      </c>
      <c r="I421" s="354">
        <v>44799.0</v>
      </c>
      <c r="J421" s="355">
        <v>9.99</v>
      </c>
      <c r="K421" s="355">
        <v>9.99</v>
      </c>
      <c r="L421" s="355">
        <v>0.0</v>
      </c>
      <c r="M421" s="346">
        <v>1.0</v>
      </c>
      <c r="N421" s="355">
        <v>9.99</v>
      </c>
    </row>
    <row r="422">
      <c r="A422" s="85"/>
      <c r="B422" s="85"/>
      <c r="C422" s="85"/>
      <c r="D422" s="85"/>
      <c r="E422" s="84"/>
      <c r="F422" s="84"/>
      <c r="G422" s="84"/>
      <c r="H422" s="84"/>
      <c r="I422" s="84"/>
      <c r="J422" s="375">
        <f t="shared" ref="J422:M422" si="59">SUM(J419:J421)</f>
        <v>29.99</v>
      </c>
      <c r="K422" s="375">
        <f t="shared" si="59"/>
        <v>29.99</v>
      </c>
      <c r="L422" s="375">
        <f t="shared" si="59"/>
        <v>0</v>
      </c>
      <c r="M422" s="84">
        <f t="shared" si="59"/>
        <v>8</v>
      </c>
      <c r="N422" s="375">
        <f>K422/M422</f>
        <v>3.74875</v>
      </c>
    </row>
    <row r="423">
      <c r="A423" s="348"/>
      <c r="B423" s="346"/>
      <c r="C423" s="346"/>
      <c r="D423" s="346"/>
      <c r="E423" s="348"/>
      <c r="F423" s="348"/>
      <c r="G423" s="348"/>
      <c r="H423" s="348"/>
      <c r="I423" s="348"/>
      <c r="J423" s="349"/>
      <c r="K423" s="349"/>
      <c r="L423" s="349"/>
      <c r="M423" s="348"/>
      <c r="N423" s="349"/>
    </row>
    <row r="424">
      <c r="A424" s="84" t="s">
        <v>265</v>
      </c>
      <c r="B424" s="85" t="s">
        <v>264</v>
      </c>
      <c r="C424" s="85">
        <v>227.0</v>
      </c>
      <c r="D424" s="85" t="s">
        <v>1002</v>
      </c>
      <c r="E424" s="85" t="s">
        <v>649</v>
      </c>
      <c r="F424" s="351">
        <v>41194.0</v>
      </c>
      <c r="G424" s="351">
        <v>44091.0</v>
      </c>
      <c r="H424" s="351">
        <v>44413.0</v>
      </c>
      <c r="I424" s="351">
        <v>44416.0</v>
      </c>
      <c r="J424" s="353">
        <v>24.99</v>
      </c>
      <c r="K424" s="353">
        <v>3.0</v>
      </c>
      <c r="L424" s="353">
        <v>21.99</v>
      </c>
      <c r="M424" s="85">
        <v>5.0</v>
      </c>
      <c r="N424" s="353">
        <v>0.6</v>
      </c>
    </row>
    <row r="425">
      <c r="A425" s="85" t="s">
        <v>265</v>
      </c>
      <c r="B425" s="85" t="s">
        <v>266</v>
      </c>
      <c r="C425" s="85">
        <v>302.0</v>
      </c>
      <c r="D425" s="85" t="s">
        <v>1007</v>
      </c>
      <c r="E425" s="85" t="s">
        <v>649</v>
      </c>
      <c r="F425" s="351">
        <v>41976.0</v>
      </c>
      <c r="G425" s="351">
        <v>42635.0</v>
      </c>
      <c r="H425" s="351">
        <v>42799.0</v>
      </c>
      <c r="I425" s="351">
        <v>42799.0</v>
      </c>
      <c r="J425" s="353">
        <v>4.99</v>
      </c>
      <c r="K425" s="353">
        <v>4.99</v>
      </c>
      <c r="L425" s="353">
        <v>0.0</v>
      </c>
      <c r="M425" s="85">
        <v>1.0</v>
      </c>
      <c r="N425" s="353">
        <v>4.99</v>
      </c>
    </row>
    <row r="426">
      <c r="A426" s="85" t="s">
        <v>265</v>
      </c>
      <c r="B426" s="85"/>
      <c r="C426" s="85">
        <v>303.0</v>
      </c>
      <c r="D426" s="85" t="s">
        <v>1008</v>
      </c>
      <c r="E426" s="85" t="s">
        <v>649</v>
      </c>
      <c r="F426" s="351">
        <v>41976.0</v>
      </c>
      <c r="G426" s="351">
        <v>42635.0</v>
      </c>
      <c r="H426" s="351">
        <v>42799.0</v>
      </c>
      <c r="I426" s="351">
        <v>42799.0</v>
      </c>
      <c r="J426" s="353">
        <v>14.99</v>
      </c>
      <c r="K426" s="353">
        <v>9.99</v>
      </c>
      <c r="L426" s="353">
        <v>5.0</v>
      </c>
      <c r="M426" s="85">
        <v>1.0</v>
      </c>
      <c r="N426" s="353">
        <v>9.99</v>
      </c>
    </row>
    <row r="427">
      <c r="A427" s="85" t="s">
        <v>265</v>
      </c>
      <c r="B427" s="85"/>
      <c r="C427" s="85">
        <v>761.0</v>
      </c>
      <c r="D427" s="85" t="s">
        <v>1014</v>
      </c>
      <c r="E427" s="85" t="s">
        <v>33</v>
      </c>
      <c r="F427" s="351">
        <v>41970.0</v>
      </c>
      <c r="G427" s="351">
        <v>42635.0</v>
      </c>
      <c r="H427" s="351">
        <v>42799.0</v>
      </c>
      <c r="I427" s="351">
        <v>42799.0</v>
      </c>
      <c r="J427" s="353">
        <v>9.99</v>
      </c>
      <c r="K427" s="353">
        <v>4.99</v>
      </c>
      <c r="L427" s="353">
        <v>5.0</v>
      </c>
      <c r="M427" s="85">
        <v>1.0</v>
      </c>
      <c r="N427" s="353">
        <v>4.99</v>
      </c>
    </row>
    <row r="428">
      <c r="A428" s="85" t="s">
        <v>265</v>
      </c>
      <c r="B428" s="85"/>
      <c r="C428" s="85">
        <v>501.0</v>
      </c>
      <c r="D428" s="85" t="s">
        <v>1023</v>
      </c>
      <c r="E428" s="85" t="s">
        <v>33</v>
      </c>
      <c r="F428" s="351">
        <v>43599.0</v>
      </c>
      <c r="G428" s="351">
        <v>44213.0</v>
      </c>
      <c r="H428" s="351">
        <v>44291.0</v>
      </c>
      <c r="I428" s="351">
        <v>45410.0</v>
      </c>
      <c r="J428" s="353">
        <v>51.98</v>
      </c>
      <c r="K428" s="353">
        <v>16.98</v>
      </c>
      <c r="L428" s="353">
        <v>35.0</v>
      </c>
      <c r="M428" s="85">
        <v>34.0</v>
      </c>
      <c r="N428" s="353">
        <v>0.5</v>
      </c>
    </row>
    <row r="429">
      <c r="A429" s="84" t="s">
        <v>265</v>
      </c>
      <c r="B429" s="85"/>
      <c r="C429" s="85">
        <v>1052.0</v>
      </c>
      <c r="D429" s="85" t="s">
        <v>1031</v>
      </c>
      <c r="E429" s="85" t="s">
        <v>39</v>
      </c>
      <c r="F429" s="351">
        <v>44852.0</v>
      </c>
      <c r="G429" s="351">
        <v>45214.0</v>
      </c>
      <c r="H429" s="351">
        <v>45410.0</v>
      </c>
      <c r="I429" s="351">
        <v>45412.0</v>
      </c>
      <c r="J429" s="352">
        <v>59.99</v>
      </c>
      <c r="K429" s="352">
        <v>29.99</v>
      </c>
      <c r="L429" s="353">
        <v>30.0</v>
      </c>
      <c r="M429" s="85">
        <v>6.0</v>
      </c>
      <c r="N429" s="353">
        <v>5.0</v>
      </c>
    </row>
    <row r="430">
      <c r="A430" s="346"/>
      <c r="B430" s="346"/>
      <c r="C430" s="347"/>
      <c r="D430" s="348"/>
      <c r="E430" s="346"/>
      <c r="F430" s="346"/>
      <c r="G430" s="346"/>
      <c r="H430" s="346"/>
      <c r="I430" s="346"/>
      <c r="J430" s="349">
        <f t="shared" ref="J430:M430" si="60">SUM(J425:J429)</f>
        <v>141.94</v>
      </c>
      <c r="K430" s="349">
        <f t="shared" si="60"/>
        <v>66.94</v>
      </c>
      <c r="L430" s="349">
        <f t="shared" si="60"/>
        <v>75</v>
      </c>
      <c r="M430" s="348">
        <f t="shared" si="60"/>
        <v>43</v>
      </c>
      <c r="N430" s="349">
        <f>K430/M430</f>
        <v>1.556744186</v>
      </c>
    </row>
    <row r="431">
      <c r="A431" s="350" t="s">
        <v>265</v>
      </c>
      <c r="B431" s="85" t="s">
        <v>267</v>
      </c>
      <c r="C431" s="85">
        <v>48.0</v>
      </c>
      <c r="D431" s="85" t="s">
        <v>995</v>
      </c>
      <c r="E431" s="85" t="s">
        <v>682</v>
      </c>
      <c r="F431" s="351">
        <v>37148.0</v>
      </c>
      <c r="G431" s="351">
        <v>40538.0</v>
      </c>
      <c r="H431" s="351">
        <v>40538.0</v>
      </c>
      <c r="I431" s="351">
        <v>40538.0</v>
      </c>
      <c r="J431" s="353">
        <v>9.99</v>
      </c>
      <c r="K431" s="353">
        <v>9.99</v>
      </c>
      <c r="L431" s="353">
        <v>0.0</v>
      </c>
      <c r="M431" s="85">
        <v>45.0</v>
      </c>
      <c r="N431" s="353">
        <v>0.22</v>
      </c>
    </row>
    <row r="432">
      <c r="A432" s="85" t="s">
        <v>265</v>
      </c>
      <c r="B432" s="85" t="s">
        <v>268</v>
      </c>
      <c r="C432" s="85">
        <v>881.0</v>
      </c>
      <c r="D432" s="85" t="s">
        <v>1029</v>
      </c>
      <c r="E432" s="85" t="s">
        <v>33</v>
      </c>
      <c r="F432" s="351">
        <v>45006.0</v>
      </c>
      <c r="G432" s="351">
        <v>45080.0</v>
      </c>
      <c r="H432" s="351">
        <v>45080.0</v>
      </c>
      <c r="I432" s="351">
        <v>45080.0</v>
      </c>
      <c r="J432" s="353">
        <v>29.99</v>
      </c>
      <c r="K432" s="353">
        <v>17.49</v>
      </c>
      <c r="L432" s="353">
        <v>12.5</v>
      </c>
      <c r="M432" s="85">
        <v>2.0</v>
      </c>
      <c r="N432" s="353">
        <v>8.75</v>
      </c>
    </row>
    <row r="433">
      <c r="A433" s="84" t="s">
        <v>265</v>
      </c>
      <c r="B433" s="85" t="s">
        <v>269</v>
      </c>
      <c r="C433" s="85">
        <v>212.0</v>
      </c>
      <c r="D433" s="85" t="s">
        <v>1010</v>
      </c>
      <c r="E433" s="85" t="s">
        <v>649</v>
      </c>
      <c r="F433" s="351">
        <v>42130.0</v>
      </c>
      <c r="G433" s="351">
        <v>42950.0</v>
      </c>
      <c r="H433" s="351">
        <v>43682.0</v>
      </c>
      <c r="I433" s="351">
        <v>45006.0</v>
      </c>
      <c r="J433" s="353">
        <v>4.99</v>
      </c>
      <c r="K433" s="353">
        <v>1.99</v>
      </c>
      <c r="L433" s="353">
        <v>3.0</v>
      </c>
      <c r="M433" s="85">
        <v>1.0</v>
      </c>
      <c r="N433" s="353">
        <v>1.99</v>
      </c>
    </row>
    <row r="434">
      <c r="A434" s="85" t="s">
        <v>265</v>
      </c>
      <c r="B434" s="85" t="s">
        <v>270</v>
      </c>
      <c r="C434" s="85">
        <v>862.0</v>
      </c>
      <c r="D434" s="85" t="s">
        <v>1028</v>
      </c>
      <c r="E434" s="85" t="s">
        <v>33</v>
      </c>
      <c r="F434" s="351">
        <v>44761.0</v>
      </c>
      <c r="G434" s="351">
        <v>44889.0</v>
      </c>
      <c r="H434" s="351">
        <v>44890.0</v>
      </c>
      <c r="I434" s="351">
        <v>44905.0</v>
      </c>
      <c r="J434" s="353">
        <v>29.99</v>
      </c>
      <c r="K434" s="353">
        <v>18.99</v>
      </c>
      <c r="L434" s="353">
        <v>11.0</v>
      </c>
      <c r="M434" s="85">
        <v>11.0</v>
      </c>
      <c r="N434" s="353">
        <v>1.73</v>
      </c>
    </row>
    <row r="435">
      <c r="A435" s="85" t="s">
        <v>265</v>
      </c>
      <c r="B435" s="85" t="s">
        <v>271</v>
      </c>
      <c r="C435" s="85">
        <v>532.0</v>
      </c>
      <c r="D435" s="85" t="s">
        <v>1016</v>
      </c>
      <c r="E435" s="85" t="s">
        <v>33</v>
      </c>
      <c r="F435" s="351">
        <v>42269.0</v>
      </c>
      <c r="G435" s="351">
        <v>43824.0</v>
      </c>
      <c r="H435" s="351">
        <v>43825.0</v>
      </c>
      <c r="I435" s="351">
        <v>45357.0</v>
      </c>
      <c r="J435" s="353">
        <v>19.99</v>
      </c>
      <c r="K435" s="353">
        <v>7.49</v>
      </c>
      <c r="L435" s="353">
        <v>12.5</v>
      </c>
      <c r="M435" s="85">
        <v>6.0</v>
      </c>
      <c r="N435" s="353">
        <v>1.25</v>
      </c>
    </row>
    <row r="436">
      <c r="A436" s="84" t="s">
        <v>265</v>
      </c>
      <c r="B436" s="85" t="s">
        <v>272</v>
      </c>
      <c r="C436" s="85">
        <v>185.0</v>
      </c>
      <c r="D436" s="85" t="s">
        <v>1006</v>
      </c>
      <c r="E436" s="85" t="s">
        <v>649</v>
      </c>
      <c r="F436" s="351">
        <v>41815.0</v>
      </c>
      <c r="G436" s="351">
        <v>43727.0</v>
      </c>
      <c r="H436" s="351">
        <v>43757.0</v>
      </c>
      <c r="I436" s="351">
        <v>43757.0</v>
      </c>
      <c r="J436" s="353">
        <v>7.99</v>
      </c>
      <c r="K436" s="353">
        <v>2.99</v>
      </c>
      <c r="L436" s="353">
        <v>5.0</v>
      </c>
      <c r="M436" s="85">
        <v>2.0</v>
      </c>
      <c r="N436" s="353">
        <v>1.5</v>
      </c>
    </row>
    <row r="437">
      <c r="A437" s="85" t="s">
        <v>265</v>
      </c>
      <c r="B437" s="85"/>
      <c r="C437" s="85">
        <v>633.0</v>
      </c>
      <c r="D437" s="85" t="s">
        <v>1022</v>
      </c>
      <c r="E437" s="85" t="s">
        <v>33</v>
      </c>
      <c r="F437" s="351">
        <v>43424.0</v>
      </c>
      <c r="G437" s="351">
        <v>44708.0</v>
      </c>
      <c r="H437" s="351">
        <v>44708.0</v>
      </c>
      <c r="I437" s="351">
        <v>44708.0</v>
      </c>
      <c r="J437" s="353">
        <v>19.99</v>
      </c>
      <c r="K437" s="353">
        <v>0.99</v>
      </c>
      <c r="L437" s="353">
        <v>19.0</v>
      </c>
      <c r="M437" s="85">
        <v>1.0</v>
      </c>
      <c r="N437" s="353">
        <v>0.99</v>
      </c>
    </row>
    <row r="438">
      <c r="A438" s="346"/>
      <c r="B438" s="346"/>
      <c r="C438" s="347"/>
      <c r="D438" s="348"/>
      <c r="E438" s="346"/>
      <c r="F438" s="346"/>
      <c r="G438" s="346"/>
      <c r="H438" s="346"/>
      <c r="I438" s="346"/>
      <c r="J438" s="349">
        <f t="shared" ref="J438:M438" si="61">SUM(J436:J437)</f>
        <v>27.98</v>
      </c>
      <c r="K438" s="349">
        <f t="shared" si="61"/>
        <v>3.98</v>
      </c>
      <c r="L438" s="349">
        <f t="shared" si="61"/>
        <v>24</v>
      </c>
      <c r="M438" s="348">
        <f t="shared" si="61"/>
        <v>3</v>
      </c>
      <c r="N438" s="349">
        <f>K438/M438</f>
        <v>1.326666667</v>
      </c>
    </row>
    <row r="439">
      <c r="A439" s="84" t="s">
        <v>265</v>
      </c>
      <c r="B439" s="85" t="s">
        <v>273</v>
      </c>
      <c r="C439" s="85">
        <v>282.0</v>
      </c>
      <c r="D439" s="85" t="s">
        <v>1009</v>
      </c>
      <c r="E439" s="85" t="s">
        <v>649</v>
      </c>
      <c r="F439" s="351">
        <v>42034.0</v>
      </c>
      <c r="G439" s="351">
        <v>42700.0</v>
      </c>
      <c r="H439" s="351">
        <v>42852.0</v>
      </c>
      <c r="I439" s="351">
        <v>44914.0</v>
      </c>
      <c r="J439" s="353">
        <v>16.99</v>
      </c>
      <c r="K439" s="353">
        <v>5.99</v>
      </c>
      <c r="L439" s="353">
        <v>11.0</v>
      </c>
      <c r="M439" s="85">
        <v>25.0</v>
      </c>
      <c r="N439" s="353">
        <v>0.24</v>
      </c>
    </row>
    <row r="440">
      <c r="A440" s="84" t="s">
        <v>265</v>
      </c>
      <c r="B440" s="85" t="s">
        <v>274</v>
      </c>
      <c r="C440" s="85">
        <v>231.0</v>
      </c>
      <c r="D440" s="85" t="s">
        <v>1000</v>
      </c>
      <c r="E440" s="85" t="s">
        <v>649</v>
      </c>
      <c r="F440" s="351">
        <v>40393.0</v>
      </c>
      <c r="G440" s="351">
        <v>40538.0</v>
      </c>
      <c r="H440" s="351">
        <v>40538.0</v>
      </c>
      <c r="I440" s="351">
        <v>44764.0</v>
      </c>
      <c r="J440" s="353">
        <v>9.99</v>
      </c>
      <c r="K440" s="353">
        <v>9.99</v>
      </c>
      <c r="L440" s="353">
        <v>0.0</v>
      </c>
      <c r="M440" s="85">
        <v>20.0</v>
      </c>
      <c r="N440" s="353">
        <v>0.5</v>
      </c>
    </row>
    <row r="441">
      <c r="A441" s="85" t="s">
        <v>265</v>
      </c>
      <c r="B441" s="85" t="s">
        <v>275</v>
      </c>
      <c r="C441" s="85">
        <v>909.0</v>
      </c>
      <c r="D441" s="85" t="s">
        <v>1015</v>
      </c>
      <c r="E441" s="85" t="s">
        <v>33</v>
      </c>
      <c r="F441" s="351">
        <v>41975.0</v>
      </c>
      <c r="G441" s="351">
        <v>42791.0</v>
      </c>
      <c r="H441" s="351">
        <v>45310.0</v>
      </c>
      <c r="I441" s="351">
        <v>45316.0</v>
      </c>
      <c r="J441" s="353">
        <v>24.99</v>
      </c>
      <c r="K441" s="353">
        <v>11.99</v>
      </c>
      <c r="L441" s="353">
        <v>13.0</v>
      </c>
      <c r="M441" s="85">
        <v>3.0</v>
      </c>
      <c r="N441" s="353">
        <v>4.0</v>
      </c>
    </row>
    <row r="442">
      <c r="A442" s="85" t="s">
        <v>265</v>
      </c>
      <c r="B442" s="85" t="s">
        <v>276</v>
      </c>
      <c r="C442" s="85">
        <v>972.0</v>
      </c>
      <c r="D442" s="85" t="s">
        <v>1018</v>
      </c>
      <c r="E442" s="85" t="s">
        <v>33</v>
      </c>
      <c r="F442" s="351">
        <v>42650.0</v>
      </c>
      <c r="G442" s="351">
        <v>43275.0</v>
      </c>
      <c r="H442" s="351">
        <v>45514.0</v>
      </c>
      <c r="I442" s="351">
        <v>45524.0</v>
      </c>
      <c r="J442" s="353">
        <v>19.99</v>
      </c>
      <c r="K442" s="353">
        <v>12.99</v>
      </c>
      <c r="L442" s="353">
        <v>7.0</v>
      </c>
      <c r="M442" s="85">
        <v>9.0</v>
      </c>
      <c r="N442" s="353">
        <v>1.44</v>
      </c>
    </row>
    <row r="443">
      <c r="A443" s="85" t="s">
        <v>265</v>
      </c>
      <c r="B443" s="85" t="s">
        <v>277</v>
      </c>
      <c r="C443" s="85">
        <v>759.0</v>
      </c>
      <c r="D443" s="85" t="s">
        <v>1019</v>
      </c>
      <c r="E443" s="85" t="s">
        <v>33</v>
      </c>
      <c r="F443" s="351">
        <v>42707.0</v>
      </c>
      <c r="G443" s="351">
        <v>42951.0</v>
      </c>
      <c r="H443" s="351">
        <v>44182.0</v>
      </c>
      <c r="I443" s="351">
        <v>44185.0</v>
      </c>
      <c r="J443" s="353">
        <v>12.99</v>
      </c>
      <c r="K443" s="353">
        <v>4.49</v>
      </c>
      <c r="L443" s="353">
        <v>8.5</v>
      </c>
      <c r="M443" s="85">
        <v>8.0</v>
      </c>
      <c r="N443" s="353">
        <v>0.56</v>
      </c>
    </row>
    <row r="444">
      <c r="A444" s="85" t="s">
        <v>265</v>
      </c>
      <c r="B444" s="85" t="s">
        <v>278</v>
      </c>
      <c r="C444" s="85">
        <v>968.0</v>
      </c>
      <c r="D444" s="85" t="s">
        <v>1020</v>
      </c>
      <c r="E444" s="85" t="s">
        <v>33</v>
      </c>
      <c r="F444" s="351">
        <v>42843.0</v>
      </c>
      <c r="G444" s="351">
        <v>45177.0</v>
      </c>
      <c r="H444" s="351">
        <v>45177.0</v>
      </c>
      <c r="I444" s="351">
        <v>45177.0</v>
      </c>
      <c r="J444" s="353">
        <v>19.99</v>
      </c>
      <c r="K444" s="353">
        <v>0.0</v>
      </c>
      <c r="L444" s="353">
        <v>19.99</v>
      </c>
      <c r="M444" s="85">
        <v>1.0</v>
      </c>
      <c r="N444" s="353">
        <v>0.0</v>
      </c>
    </row>
    <row r="445">
      <c r="A445" s="85" t="s">
        <v>265</v>
      </c>
      <c r="B445" s="85" t="s">
        <v>279</v>
      </c>
      <c r="C445" s="85">
        <v>677.0</v>
      </c>
      <c r="D445" s="85" t="s">
        <v>1024</v>
      </c>
      <c r="E445" s="85" t="s">
        <v>33</v>
      </c>
      <c r="F445" s="351">
        <v>43888.0</v>
      </c>
      <c r="G445" s="351">
        <v>45177.0</v>
      </c>
      <c r="H445" s="351">
        <v>45177.0</v>
      </c>
      <c r="I445" s="351">
        <v>45177.0</v>
      </c>
      <c r="J445" s="353">
        <v>14.99</v>
      </c>
      <c r="K445" s="353">
        <v>0.0</v>
      </c>
      <c r="L445" s="353">
        <v>14.99</v>
      </c>
      <c r="M445" s="85">
        <v>1.0</v>
      </c>
      <c r="N445" s="353">
        <v>0.0</v>
      </c>
    </row>
    <row r="446">
      <c r="A446" s="84" t="s">
        <v>265</v>
      </c>
      <c r="B446" s="85" t="s">
        <v>280</v>
      </c>
      <c r="C446" s="85">
        <v>247.0</v>
      </c>
      <c r="D446" s="85" t="s">
        <v>1005</v>
      </c>
      <c r="E446" s="85" t="s">
        <v>649</v>
      </c>
      <c r="F446" s="351">
        <v>41584.0</v>
      </c>
      <c r="G446" s="351">
        <v>44292.0</v>
      </c>
      <c r="H446" s="351">
        <v>44292.0</v>
      </c>
      <c r="I446" s="351">
        <v>44292.0</v>
      </c>
      <c r="J446" s="353">
        <v>9.99</v>
      </c>
      <c r="K446" s="353">
        <v>9.99</v>
      </c>
      <c r="L446" s="353">
        <v>0.0</v>
      </c>
      <c r="M446" s="85">
        <v>1.0</v>
      </c>
      <c r="N446" s="353">
        <v>9.99</v>
      </c>
    </row>
    <row r="447">
      <c r="A447" s="85" t="s">
        <v>265</v>
      </c>
      <c r="B447" s="85" t="s">
        <v>281</v>
      </c>
      <c r="C447" s="85">
        <v>938.0</v>
      </c>
      <c r="D447" s="85" t="s">
        <v>1017</v>
      </c>
      <c r="E447" s="85" t="s">
        <v>33</v>
      </c>
      <c r="F447" s="351">
        <v>42453.0</v>
      </c>
      <c r="G447" s="351">
        <v>43625.0</v>
      </c>
      <c r="H447" s="351">
        <v>43625.0</v>
      </c>
      <c r="I447" s="351">
        <v>43625.0</v>
      </c>
      <c r="J447" s="353">
        <v>29.99</v>
      </c>
      <c r="K447" s="353">
        <v>11.99</v>
      </c>
      <c r="L447" s="353">
        <v>18.0</v>
      </c>
      <c r="M447" s="85">
        <v>1.0</v>
      </c>
      <c r="N447" s="353">
        <v>11.99</v>
      </c>
    </row>
    <row r="448">
      <c r="A448" s="85" t="s">
        <v>265</v>
      </c>
      <c r="B448" s="85" t="s">
        <v>282</v>
      </c>
      <c r="C448" s="85">
        <v>564.0</v>
      </c>
      <c r="D448" s="85" t="s">
        <v>1025</v>
      </c>
      <c r="E448" s="85" t="s">
        <v>33</v>
      </c>
      <c r="F448" s="351">
        <v>44250.0</v>
      </c>
      <c r="G448" s="351">
        <v>44684.0</v>
      </c>
      <c r="H448" s="351">
        <v>44695.0</v>
      </c>
      <c r="I448" s="351">
        <v>44703.0</v>
      </c>
      <c r="J448" s="353">
        <v>19.99</v>
      </c>
      <c r="K448" s="353">
        <v>0.0</v>
      </c>
      <c r="L448" s="353">
        <v>19.99</v>
      </c>
      <c r="M448" s="85">
        <v>13.0</v>
      </c>
      <c r="N448" s="353">
        <v>0.0</v>
      </c>
    </row>
    <row r="449">
      <c r="A449" s="350" t="s">
        <v>265</v>
      </c>
      <c r="B449" s="85" t="s">
        <v>283</v>
      </c>
      <c r="C449" s="85">
        <v>93.0</v>
      </c>
      <c r="D449" s="85" t="s">
        <v>998</v>
      </c>
      <c r="E449" s="85" t="s">
        <v>645</v>
      </c>
      <c r="F449" s="351">
        <v>38611.0</v>
      </c>
      <c r="G449" s="351">
        <v>44708.0</v>
      </c>
      <c r="H449" s="351">
        <v>44708.0</v>
      </c>
      <c r="I449" s="351">
        <v>44708.0</v>
      </c>
      <c r="J449" s="353">
        <v>13.49</v>
      </c>
      <c r="K449" s="353">
        <v>5.39</v>
      </c>
      <c r="L449" s="353">
        <v>8.1</v>
      </c>
      <c r="M449" s="85">
        <v>1.0</v>
      </c>
      <c r="N449" s="353">
        <v>5.39</v>
      </c>
    </row>
    <row r="450">
      <c r="A450" s="84" t="s">
        <v>265</v>
      </c>
      <c r="B450" s="85"/>
      <c r="C450" s="85">
        <v>259.0</v>
      </c>
      <c r="D450" s="85" t="s">
        <v>999</v>
      </c>
      <c r="E450" s="85" t="s">
        <v>649</v>
      </c>
      <c r="F450" s="351">
        <v>40233.0</v>
      </c>
      <c r="G450" s="351">
        <v>41880.0</v>
      </c>
      <c r="H450" s="351">
        <v>41880.0</v>
      </c>
      <c r="I450" s="351">
        <v>41960.0</v>
      </c>
      <c r="J450" s="353">
        <v>22.99</v>
      </c>
      <c r="K450" s="353">
        <v>8.99</v>
      </c>
      <c r="L450" s="353">
        <v>14.0</v>
      </c>
      <c r="M450" s="85">
        <v>35.0</v>
      </c>
      <c r="N450" s="353">
        <v>0.26</v>
      </c>
    </row>
    <row r="451">
      <c r="A451" s="84" t="s">
        <v>265</v>
      </c>
      <c r="B451" s="85"/>
      <c r="C451" s="85">
        <v>196.0</v>
      </c>
      <c r="D451" s="85" t="s">
        <v>1004</v>
      </c>
      <c r="E451" s="85" t="s">
        <v>649</v>
      </c>
      <c r="F451" s="351">
        <v>41556.0</v>
      </c>
      <c r="G451" s="351">
        <v>44412.0</v>
      </c>
      <c r="H451" s="351">
        <v>44412.0</v>
      </c>
      <c r="I451" s="351">
        <v>44412.0</v>
      </c>
      <c r="J451" s="353">
        <v>19.99</v>
      </c>
      <c r="K451" s="353">
        <v>5.99</v>
      </c>
      <c r="L451" s="353">
        <v>14.0</v>
      </c>
      <c r="M451" s="85">
        <v>1.0</v>
      </c>
      <c r="N451" s="353">
        <v>5.99</v>
      </c>
    </row>
    <row r="452">
      <c r="A452" s="85" t="s">
        <v>265</v>
      </c>
      <c r="B452" s="85"/>
      <c r="C452" s="85">
        <v>584.0</v>
      </c>
      <c r="D452" s="85" t="s">
        <v>1021</v>
      </c>
      <c r="E452" s="85" t="s">
        <v>33</v>
      </c>
      <c r="F452" s="351">
        <v>43245.0</v>
      </c>
      <c r="G452" s="351">
        <v>44334.0</v>
      </c>
      <c r="H452" s="351">
        <v>44377.0</v>
      </c>
      <c r="I452" s="351">
        <v>44389.0</v>
      </c>
      <c r="J452" s="353">
        <v>29.99</v>
      </c>
      <c r="K452" s="353">
        <v>0.0</v>
      </c>
      <c r="L452" s="353">
        <v>29.99</v>
      </c>
      <c r="M452" s="85">
        <v>11.0</v>
      </c>
      <c r="N452" s="353">
        <v>0.0</v>
      </c>
    </row>
    <row r="453">
      <c r="A453" s="346"/>
      <c r="B453" s="346"/>
      <c r="C453" s="347"/>
      <c r="D453" s="348"/>
      <c r="E453" s="346"/>
      <c r="F453" s="346"/>
      <c r="G453" s="346"/>
      <c r="H453" s="346"/>
      <c r="I453" s="346"/>
      <c r="J453" s="349">
        <f t="shared" ref="J453:M453" si="62">SUM(J449:J452)</f>
        <v>86.46</v>
      </c>
      <c r="K453" s="349">
        <f t="shared" si="62"/>
        <v>20.37</v>
      </c>
      <c r="L453" s="349">
        <f t="shared" si="62"/>
        <v>66.09</v>
      </c>
      <c r="M453" s="348">
        <f t="shared" si="62"/>
        <v>48</v>
      </c>
      <c r="N453" s="349">
        <f>K453/M453</f>
        <v>0.424375</v>
      </c>
    </row>
    <row r="454">
      <c r="A454" s="85" t="s">
        <v>265</v>
      </c>
      <c r="B454" s="85" t="s">
        <v>284</v>
      </c>
      <c r="C454" s="85">
        <v>940.0</v>
      </c>
      <c r="D454" s="85" t="s">
        <v>1013</v>
      </c>
      <c r="E454" s="85" t="s">
        <v>33</v>
      </c>
      <c r="F454" s="351">
        <v>41745.0</v>
      </c>
      <c r="G454" s="351">
        <v>43912.0</v>
      </c>
      <c r="H454" s="351">
        <v>43914.0</v>
      </c>
      <c r="I454" s="351">
        <v>43914.0</v>
      </c>
      <c r="J454" s="353">
        <v>39.99</v>
      </c>
      <c r="K454" s="353">
        <v>9.99</v>
      </c>
      <c r="L454" s="353">
        <v>30.0</v>
      </c>
      <c r="M454" s="85">
        <v>2.0</v>
      </c>
      <c r="N454" s="353">
        <v>5.0</v>
      </c>
    </row>
    <row r="455">
      <c r="A455" s="85" t="s">
        <v>265</v>
      </c>
      <c r="B455" s="85" t="s">
        <v>285</v>
      </c>
      <c r="C455" s="85">
        <v>838.0</v>
      </c>
      <c r="D455" s="85" t="s">
        <v>1026</v>
      </c>
      <c r="E455" s="85" t="s">
        <v>33</v>
      </c>
      <c r="F455" s="351">
        <v>44600.0</v>
      </c>
      <c r="G455" s="351">
        <v>45356.0</v>
      </c>
      <c r="H455" s="351">
        <v>45356.0</v>
      </c>
      <c r="I455" s="351">
        <v>45356.0</v>
      </c>
      <c r="J455" s="353">
        <v>39.99</v>
      </c>
      <c r="K455" s="353">
        <v>0.0</v>
      </c>
      <c r="L455" s="353">
        <v>39.99</v>
      </c>
      <c r="M455" s="85">
        <v>1.0</v>
      </c>
      <c r="N455" s="353">
        <v>0.0</v>
      </c>
    </row>
    <row r="456">
      <c r="A456" s="84" t="s">
        <v>265</v>
      </c>
      <c r="B456" s="85" t="s">
        <v>286</v>
      </c>
      <c r="C456" s="85">
        <v>1079.0</v>
      </c>
      <c r="D456" s="85" t="s">
        <v>1030</v>
      </c>
      <c r="E456" s="85" t="s">
        <v>39</v>
      </c>
      <c r="F456" s="351">
        <v>44812.0</v>
      </c>
      <c r="G456" s="351">
        <v>45328.0</v>
      </c>
      <c r="H456" s="351">
        <v>45328.0</v>
      </c>
      <c r="I456" s="351">
        <v>45328.0</v>
      </c>
      <c r="J456" s="352">
        <v>59.99</v>
      </c>
      <c r="K456" s="352">
        <v>0.0</v>
      </c>
      <c r="L456" s="353">
        <v>59.99</v>
      </c>
      <c r="M456" s="85">
        <v>1.0</v>
      </c>
      <c r="N456" s="353">
        <v>0.0</v>
      </c>
    </row>
    <row r="457">
      <c r="A457" s="85" t="s">
        <v>265</v>
      </c>
      <c r="B457" s="85" t="s">
        <v>287</v>
      </c>
      <c r="C457" s="85">
        <v>472.0</v>
      </c>
      <c r="D457" s="85" t="s">
        <v>1011</v>
      </c>
      <c r="E457" s="85" t="s">
        <v>671</v>
      </c>
      <c r="F457" s="351">
        <v>41191.0</v>
      </c>
      <c r="G457" s="351">
        <v>43373.0</v>
      </c>
      <c r="H457" s="351">
        <v>43757.0</v>
      </c>
      <c r="I457" s="351">
        <v>45008.0</v>
      </c>
      <c r="J457" s="353">
        <v>2.99</v>
      </c>
      <c r="K457" s="353">
        <v>2.99</v>
      </c>
      <c r="L457" s="353">
        <v>0.0</v>
      </c>
      <c r="M457" s="85">
        <v>10.0</v>
      </c>
      <c r="N457" s="353">
        <v>0.3</v>
      </c>
    </row>
    <row r="458">
      <c r="A458" s="85" t="s">
        <v>265</v>
      </c>
      <c r="B458" s="85"/>
      <c r="C458" s="85">
        <v>434.0</v>
      </c>
      <c r="D458" s="85" t="s">
        <v>1012</v>
      </c>
      <c r="E458" s="85" t="s">
        <v>671</v>
      </c>
      <c r="F458" s="351">
        <v>41563.0</v>
      </c>
      <c r="G458" s="351">
        <v>42187.0</v>
      </c>
      <c r="H458" s="351">
        <v>43855.0</v>
      </c>
      <c r="I458" s="351">
        <v>43855.0</v>
      </c>
      <c r="J458" s="353">
        <v>0.0</v>
      </c>
      <c r="K458" s="353">
        <v>0.0</v>
      </c>
      <c r="L458" s="353">
        <v>0.0</v>
      </c>
      <c r="M458" s="85">
        <v>5.0</v>
      </c>
      <c r="N458" s="353">
        <v>0.0</v>
      </c>
    </row>
    <row r="459">
      <c r="A459" s="346"/>
      <c r="B459" s="346"/>
      <c r="C459" s="347"/>
      <c r="D459" s="348"/>
      <c r="E459" s="346"/>
      <c r="F459" s="346"/>
      <c r="G459" s="346"/>
      <c r="H459" s="346"/>
      <c r="I459" s="346"/>
      <c r="J459" s="349">
        <f t="shared" ref="J459:M459" si="63">SUM(J457:J458)</f>
        <v>2.99</v>
      </c>
      <c r="K459" s="349">
        <f t="shared" si="63"/>
        <v>2.99</v>
      </c>
      <c r="L459" s="349">
        <f t="shared" si="63"/>
        <v>0</v>
      </c>
      <c r="M459" s="348">
        <f t="shared" si="63"/>
        <v>15</v>
      </c>
      <c r="N459" s="349">
        <f>K459/M459</f>
        <v>0.1993333333</v>
      </c>
    </row>
    <row r="460">
      <c r="A460" s="350" t="s">
        <v>265</v>
      </c>
      <c r="B460" s="85" t="s">
        <v>288</v>
      </c>
      <c r="C460" s="85">
        <v>43.0</v>
      </c>
      <c r="D460" s="85" t="s">
        <v>994</v>
      </c>
      <c r="E460" s="85" t="s">
        <v>682</v>
      </c>
      <c r="F460" s="351">
        <v>34971.0</v>
      </c>
      <c r="G460" s="351">
        <v>41763.0</v>
      </c>
      <c r="H460" s="351">
        <v>41763.0</v>
      </c>
      <c r="I460" s="351">
        <v>41763.0</v>
      </c>
      <c r="J460" s="353">
        <v>4.99</v>
      </c>
      <c r="K460" s="353">
        <v>4.99</v>
      </c>
      <c r="L460" s="353">
        <v>0.0</v>
      </c>
      <c r="M460" s="85">
        <v>50.0</v>
      </c>
      <c r="N460" s="353">
        <v>0.1</v>
      </c>
    </row>
    <row r="461">
      <c r="A461" s="350" t="s">
        <v>265</v>
      </c>
      <c r="B461" s="85"/>
      <c r="C461" s="85">
        <v>128.0</v>
      </c>
      <c r="D461" s="85" t="s">
        <v>996</v>
      </c>
      <c r="E461" s="85" t="s">
        <v>645</v>
      </c>
      <c r="F461" s="351">
        <v>37694.0</v>
      </c>
      <c r="G461" s="351">
        <v>44237.0</v>
      </c>
      <c r="H461" s="351">
        <v>44283.0</v>
      </c>
      <c r="I461" s="351">
        <v>44284.0</v>
      </c>
      <c r="J461" s="353">
        <v>9.99</v>
      </c>
      <c r="K461" s="353">
        <v>9.99</v>
      </c>
      <c r="L461" s="353">
        <v>0.0</v>
      </c>
      <c r="M461" s="85">
        <v>3.0</v>
      </c>
      <c r="N461" s="353">
        <v>3.33</v>
      </c>
    </row>
    <row r="462">
      <c r="A462" s="350" t="s">
        <v>265</v>
      </c>
      <c r="B462" s="85"/>
      <c r="C462" s="85">
        <v>78.0</v>
      </c>
      <c r="D462" s="85" t="s">
        <v>997</v>
      </c>
      <c r="E462" s="85" t="s">
        <v>645</v>
      </c>
      <c r="F462" s="351">
        <v>37939.0</v>
      </c>
      <c r="G462" s="351">
        <v>44237.0</v>
      </c>
      <c r="H462" s="351">
        <v>44261.0</v>
      </c>
      <c r="I462" s="351">
        <v>44265.0</v>
      </c>
      <c r="J462" s="353">
        <v>9.99</v>
      </c>
      <c r="K462" s="353">
        <v>9.99</v>
      </c>
      <c r="L462" s="353">
        <v>0.0</v>
      </c>
      <c r="M462" s="85">
        <v>10.0</v>
      </c>
      <c r="N462" s="353">
        <v>1.0</v>
      </c>
    </row>
    <row r="463">
      <c r="A463" s="85" t="s">
        <v>265</v>
      </c>
      <c r="B463" s="85"/>
      <c r="C463" s="85">
        <v>336.0</v>
      </c>
      <c r="D463" s="85" t="s">
        <v>1001</v>
      </c>
      <c r="E463" s="85" t="s">
        <v>649</v>
      </c>
      <c r="F463" s="351">
        <v>40872.0</v>
      </c>
      <c r="G463" s="351">
        <v>42299.0</v>
      </c>
      <c r="H463" s="351">
        <v>42300.0</v>
      </c>
      <c r="I463" s="351">
        <v>44865.0</v>
      </c>
      <c r="J463" s="353">
        <v>29.98</v>
      </c>
      <c r="K463" s="353">
        <v>26.99</v>
      </c>
      <c r="L463" s="353">
        <v>2.99</v>
      </c>
      <c r="M463" s="85">
        <v>40.0</v>
      </c>
      <c r="N463" s="353">
        <v>0.67</v>
      </c>
    </row>
    <row r="464">
      <c r="A464" s="84" t="s">
        <v>265</v>
      </c>
      <c r="B464" s="85"/>
      <c r="C464" s="85">
        <v>337.0</v>
      </c>
      <c r="D464" s="85" t="s">
        <v>1003</v>
      </c>
      <c r="E464" s="85" t="s">
        <v>649</v>
      </c>
      <c r="F464" s="351">
        <v>41516.0</v>
      </c>
      <c r="G464" s="351">
        <v>41642.0</v>
      </c>
      <c r="H464" s="351">
        <v>41642.0</v>
      </c>
      <c r="I464" s="351">
        <v>45491.0</v>
      </c>
      <c r="J464" s="353">
        <v>39.98</v>
      </c>
      <c r="K464" s="353">
        <v>26.99</v>
      </c>
      <c r="L464" s="353">
        <v>12.99</v>
      </c>
      <c r="M464" s="85">
        <v>80.0</v>
      </c>
      <c r="N464" s="353">
        <v>0.34</v>
      </c>
    </row>
    <row r="465">
      <c r="A465" s="346"/>
      <c r="B465" s="346"/>
      <c r="C465" s="347"/>
      <c r="D465" s="348"/>
      <c r="E465" s="346"/>
      <c r="F465" s="346"/>
      <c r="G465" s="346"/>
      <c r="H465" s="346"/>
      <c r="I465" s="346"/>
      <c r="J465" s="349">
        <f t="shared" ref="J465:M465" si="64">SUM(J460:J464)</f>
        <v>94.93</v>
      </c>
      <c r="K465" s="349">
        <f t="shared" si="64"/>
        <v>78.95</v>
      </c>
      <c r="L465" s="349">
        <f t="shared" si="64"/>
        <v>15.98</v>
      </c>
      <c r="M465" s="348">
        <f t="shared" si="64"/>
        <v>183</v>
      </c>
      <c r="N465" s="349">
        <f>K465/M465</f>
        <v>0.431420765</v>
      </c>
    </row>
    <row r="466">
      <c r="A466" s="85" t="s">
        <v>265</v>
      </c>
      <c r="B466" s="85" t="s">
        <v>289</v>
      </c>
      <c r="C466" s="85">
        <v>963.0</v>
      </c>
      <c r="D466" s="85" t="s">
        <v>1027</v>
      </c>
      <c r="E466" s="85" t="s">
        <v>33</v>
      </c>
      <c r="F466" s="351">
        <v>44651.0</v>
      </c>
      <c r="G466" s="351">
        <v>45202.0</v>
      </c>
      <c r="H466" s="351">
        <v>45202.0</v>
      </c>
      <c r="I466" s="351">
        <v>45202.0</v>
      </c>
      <c r="J466" s="353">
        <v>39.99</v>
      </c>
      <c r="K466" s="353">
        <v>0.0</v>
      </c>
      <c r="L466" s="353">
        <v>39.99</v>
      </c>
      <c r="M466" s="85">
        <v>1.0</v>
      </c>
      <c r="N466" s="353">
        <v>0.0</v>
      </c>
    </row>
    <row r="467">
      <c r="A467" s="346"/>
      <c r="B467" s="346"/>
      <c r="C467" s="347"/>
      <c r="D467" s="348"/>
      <c r="E467" s="346"/>
      <c r="F467" s="346"/>
      <c r="G467" s="346"/>
      <c r="H467" s="346"/>
      <c r="I467" s="346"/>
      <c r="J467" s="349"/>
      <c r="K467" s="349"/>
      <c r="L467" s="349"/>
      <c r="M467" s="348"/>
      <c r="N467" s="349"/>
    </row>
    <row r="468">
      <c r="A468" s="12" t="s">
        <v>291</v>
      </c>
      <c r="B468" s="12" t="s">
        <v>290</v>
      </c>
      <c r="C468" s="12">
        <v>583.0</v>
      </c>
      <c r="D468" s="12" t="s">
        <v>1041</v>
      </c>
      <c r="E468" s="12" t="s">
        <v>33</v>
      </c>
      <c r="F468" s="376">
        <v>44040.0</v>
      </c>
      <c r="G468" s="376">
        <v>44071.0</v>
      </c>
      <c r="H468" s="376">
        <v>44078.0</v>
      </c>
      <c r="I468" s="376">
        <v>44081.0</v>
      </c>
      <c r="J468" s="377">
        <v>39.99</v>
      </c>
      <c r="K468" s="377">
        <v>31.99</v>
      </c>
      <c r="L468" s="377">
        <v>8.0</v>
      </c>
      <c r="M468" s="12">
        <v>30.0</v>
      </c>
      <c r="N468" s="377">
        <v>1.07</v>
      </c>
    </row>
    <row r="469">
      <c r="A469" s="13" t="s">
        <v>291</v>
      </c>
      <c r="B469" s="12"/>
      <c r="C469" s="12">
        <v>1058.0</v>
      </c>
      <c r="D469" s="12" t="s">
        <v>1048</v>
      </c>
      <c r="E469" s="12" t="s">
        <v>39</v>
      </c>
      <c r="F469" s="376">
        <v>44803.0</v>
      </c>
      <c r="G469" s="376">
        <v>44811.0</v>
      </c>
      <c r="H469" s="376">
        <v>44825.0</v>
      </c>
      <c r="I469" s="376">
        <v>44829.0</v>
      </c>
      <c r="J469" s="378">
        <v>39.99</v>
      </c>
      <c r="K469" s="378">
        <v>0.0</v>
      </c>
      <c r="L469" s="378">
        <v>39.99</v>
      </c>
      <c r="M469" s="12">
        <v>24.0</v>
      </c>
      <c r="N469" s="377">
        <v>0.0</v>
      </c>
    </row>
    <row r="470">
      <c r="A470" s="33"/>
      <c r="B470" s="33"/>
      <c r="C470" s="379"/>
      <c r="D470" s="34"/>
      <c r="E470" s="34"/>
      <c r="F470" s="34"/>
      <c r="G470" s="34"/>
      <c r="H470" s="34"/>
      <c r="I470" s="34"/>
      <c r="J470" s="380">
        <f t="shared" ref="J470:M470" si="65">SUM(J468:J469)</f>
        <v>79.98</v>
      </c>
      <c r="K470" s="380">
        <f t="shared" si="65"/>
        <v>31.99</v>
      </c>
      <c r="L470" s="380">
        <f t="shared" si="65"/>
        <v>47.99</v>
      </c>
      <c r="M470" s="34">
        <f t="shared" si="65"/>
        <v>54</v>
      </c>
      <c r="N470" s="380">
        <f>K470/M470</f>
        <v>0.5924074074</v>
      </c>
    </row>
    <row r="471">
      <c r="A471" s="12" t="s">
        <v>291</v>
      </c>
      <c r="B471" s="12" t="s">
        <v>292</v>
      </c>
      <c r="C471" s="12">
        <v>950.0</v>
      </c>
      <c r="D471" s="12" t="s">
        <v>1037</v>
      </c>
      <c r="E471" s="12" t="s">
        <v>33</v>
      </c>
      <c r="F471" s="376">
        <v>42787.0</v>
      </c>
      <c r="G471" s="376">
        <v>42859.0</v>
      </c>
      <c r="H471" s="376">
        <v>44911.0</v>
      </c>
      <c r="I471" s="376">
        <v>44911.0</v>
      </c>
      <c r="J471" s="377">
        <v>9.99</v>
      </c>
      <c r="K471" s="377">
        <v>6.99</v>
      </c>
      <c r="L471" s="377">
        <v>3.0</v>
      </c>
      <c r="M471" s="12">
        <v>1.0</v>
      </c>
      <c r="N471" s="377">
        <v>6.99</v>
      </c>
    </row>
    <row r="472">
      <c r="A472" s="12" t="s">
        <v>291</v>
      </c>
      <c r="B472" s="12" t="s">
        <v>293</v>
      </c>
      <c r="C472" s="12">
        <v>701.0</v>
      </c>
      <c r="D472" s="12" t="s">
        <v>1040</v>
      </c>
      <c r="E472" s="12" t="s">
        <v>33</v>
      </c>
      <c r="F472" s="376">
        <v>43629.0</v>
      </c>
      <c r="G472" s="376">
        <v>44640.0</v>
      </c>
      <c r="H472" s="376">
        <v>44704.0</v>
      </c>
      <c r="I472" s="376">
        <v>44706.0</v>
      </c>
      <c r="J472" s="377">
        <v>39.99</v>
      </c>
      <c r="K472" s="377">
        <v>7.99</v>
      </c>
      <c r="L472" s="377">
        <v>32.0</v>
      </c>
      <c r="M472" s="12">
        <v>19.0</v>
      </c>
      <c r="N472" s="377">
        <v>0.42</v>
      </c>
    </row>
    <row r="473">
      <c r="A473" s="12" t="s">
        <v>291</v>
      </c>
      <c r="B473" s="12"/>
      <c r="C473" s="12">
        <v>702.0</v>
      </c>
      <c r="D473" s="12" t="s">
        <v>1045</v>
      </c>
      <c r="E473" s="12" t="s">
        <v>33</v>
      </c>
      <c r="F473" s="376">
        <v>44334.0</v>
      </c>
      <c r="G473" s="376">
        <v>44640.0</v>
      </c>
      <c r="H473" s="376">
        <v>44706.0</v>
      </c>
      <c r="I473" s="376">
        <v>44710.0</v>
      </c>
      <c r="J473" s="377">
        <v>39.99</v>
      </c>
      <c r="K473" s="377">
        <v>11.99</v>
      </c>
      <c r="L473" s="377">
        <v>28.0</v>
      </c>
      <c r="M473" s="12">
        <v>21.0</v>
      </c>
      <c r="N473" s="377">
        <v>0.57</v>
      </c>
    </row>
    <row r="474">
      <c r="A474" s="33"/>
      <c r="B474" s="33"/>
      <c r="C474" s="379"/>
      <c r="D474" s="34"/>
      <c r="E474" s="34"/>
      <c r="F474" s="34"/>
      <c r="G474" s="34"/>
      <c r="H474" s="34"/>
      <c r="I474" s="34"/>
      <c r="J474" s="380">
        <f t="shared" ref="J474:M474" si="66">SUM(J472:J473)</f>
        <v>79.98</v>
      </c>
      <c r="K474" s="380">
        <f t="shared" si="66"/>
        <v>19.98</v>
      </c>
      <c r="L474" s="380">
        <f t="shared" si="66"/>
        <v>60</v>
      </c>
      <c r="M474" s="34">
        <f t="shared" si="66"/>
        <v>40</v>
      </c>
      <c r="N474" s="380">
        <f>K474/M474</f>
        <v>0.4995</v>
      </c>
    </row>
    <row r="475">
      <c r="A475" s="12" t="s">
        <v>291</v>
      </c>
      <c r="B475" s="12" t="s">
        <v>294</v>
      </c>
      <c r="C475" s="12">
        <v>924.0</v>
      </c>
      <c r="D475" s="12" t="s">
        <v>1046</v>
      </c>
      <c r="E475" s="12" t="s">
        <v>33</v>
      </c>
      <c r="F475" s="376">
        <v>44678.0</v>
      </c>
      <c r="G475" s="376">
        <v>44776.0</v>
      </c>
      <c r="H475" s="376">
        <v>44824.0</v>
      </c>
      <c r="I475" s="376">
        <v>44824.0</v>
      </c>
      <c r="J475" s="377">
        <v>21.99</v>
      </c>
      <c r="K475" s="377">
        <v>14.73</v>
      </c>
      <c r="L475" s="377">
        <v>7.26</v>
      </c>
      <c r="M475" s="12">
        <v>2.0</v>
      </c>
      <c r="N475" s="377">
        <v>7.37</v>
      </c>
    </row>
    <row r="476">
      <c r="A476" s="13" t="s">
        <v>291</v>
      </c>
      <c r="B476" s="12" t="s">
        <v>295</v>
      </c>
      <c r="C476" s="12">
        <v>234.0</v>
      </c>
      <c r="D476" s="12" t="s">
        <v>1034</v>
      </c>
      <c r="E476" s="12" t="s">
        <v>649</v>
      </c>
      <c r="F476" s="376">
        <v>41682.0</v>
      </c>
      <c r="G476" s="376">
        <v>44292.0</v>
      </c>
      <c r="H476" s="376">
        <v>45116.0</v>
      </c>
      <c r="I476" s="376">
        <v>45126.0</v>
      </c>
      <c r="J476" s="377">
        <v>9.99</v>
      </c>
      <c r="K476" s="377">
        <v>9.99</v>
      </c>
      <c r="L476" s="377">
        <v>0.0</v>
      </c>
      <c r="M476" s="12">
        <v>20.0</v>
      </c>
      <c r="N476" s="377">
        <v>0.5</v>
      </c>
    </row>
    <row r="477">
      <c r="A477" s="13" t="s">
        <v>291</v>
      </c>
      <c r="B477" s="13" t="s">
        <v>296</v>
      </c>
      <c r="C477" s="12">
        <v>1080.0</v>
      </c>
      <c r="D477" s="12" t="s">
        <v>1049</v>
      </c>
      <c r="E477" s="12" t="s">
        <v>39</v>
      </c>
      <c r="F477" s="376">
        <v>45687.0</v>
      </c>
      <c r="G477" s="376">
        <v>45800.0</v>
      </c>
      <c r="H477" s="376">
        <v>45809.0</v>
      </c>
      <c r="I477" s="376">
        <v>45811.0</v>
      </c>
      <c r="J477" s="378">
        <v>19.99</v>
      </c>
      <c r="K477" s="378">
        <v>13.99</v>
      </c>
      <c r="L477" s="378">
        <v>6.0</v>
      </c>
      <c r="M477" s="12">
        <v>12.0</v>
      </c>
      <c r="N477" s="378">
        <v>1.17</v>
      </c>
    </row>
    <row r="478">
      <c r="A478" s="13" t="s">
        <v>291</v>
      </c>
      <c r="B478" s="12" t="s">
        <v>297</v>
      </c>
      <c r="C478" s="12">
        <v>214.0</v>
      </c>
      <c r="D478" s="12" t="s">
        <v>1032</v>
      </c>
      <c r="E478" s="12" t="s">
        <v>649</v>
      </c>
      <c r="F478" s="376">
        <v>40779.0</v>
      </c>
      <c r="G478" s="376">
        <v>40867.0</v>
      </c>
      <c r="H478" s="376">
        <v>40867.0</v>
      </c>
      <c r="I478" s="376">
        <v>44750.0</v>
      </c>
      <c r="J478" s="377">
        <v>4.99</v>
      </c>
      <c r="K478" s="377">
        <v>4.99</v>
      </c>
      <c r="L478" s="377">
        <v>0.0</v>
      </c>
      <c r="M478" s="12">
        <v>5.0</v>
      </c>
      <c r="N478" s="377">
        <v>1.0</v>
      </c>
    </row>
    <row r="479">
      <c r="A479" s="12" t="s">
        <v>291</v>
      </c>
      <c r="B479" s="12" t="s">
        <v>298</v>
      </c>
      <c r="C479" s="12">
        <v>650.0</v>
      </c>
      <c r="D479" s="12" t="s">
        <v>1035</v>
      </c>
      <c r="E479" s="12" t="s">
        <v>33</v>
      </c>
      <c r="F479" s="376">
        <v>42272.0</v>
      </c>
      <c r="G479" s="376">
        <v>43922.0</v>
      </c>
      <c r="H479" s="376">
        <v>43925.0</v>
      </c>
      <c r="I479" s="376">
        <v>43925.0</v>
      </c>
      <c r="J479" s="377">
        <v>39.99</v>
      </c>
      <c r="K479" s="377">
        <v>3.99</v>
      </c>
      <c r="L479" s="377">
        <v>36.0</v>
      </c>
      <c r="M479" s="12">
        <v>2.0</v>
      </c>
      <c r="N479" s="377">
        <v>2.0</v>
      </c>
    </row>
    <row r="480">
      <c r="A480" s="12" t="s">
        <v>291</v>
      </c>
      <c r="B480" s="12" t="s">
        <v>299</v>
      </c>
      <c r="C480" s="12">
        <v>640.0</v>
      </c>
      <c r="D480" s="12" t="s">
        <v>1038</v>
      </c>
      <c r="E480" s="12" t="s">
        <v>33</v>
      </c>
      <c r="F480" s="376">
        <v>42794.0</v>
      </c>
      <c r="G480" s="376">
        <v>42951.0</v>
      </c>
      <c r="H480" s="376">
        <v>43039.0</v>
      </c>
      <c r="I480" s="376">
        <v>45359.0</v>
      </c>
      <c r="J480" s="377">
        <v>8.99</v>
      </c>
      <c r="K480" s="377">
        <v>3.99</v>
      </c>
      <c r="L480" s="377">
        <v>5.0</v>
      </c>
      <c r="M480" s="12">
        <v>4.0</v>
      </c>
      <c r="N480" s="377">
        <v>1.0</v>
      </c>
    </row>
    <row r="481">
      <c r="A481" s="12" t="s">
        <v>291</v>
      </c>
      <c r="B481" s="12" t="s">
        <v>300</v>
      </c>
      <c r="C481" s="12">
        <v>550.0</v>
      </c>
      <c r="D481" s="12" t="s">
        <v>1042</v>
      </c>
      <c r="E481" s="12" t="s">
        <v>33</v>
      </c>
      <c r="F481" s="376">
        <v>44119.0</v>
      </c>
      <c r="G481" s="376">
        <v>44203.0</v>
      </c>
      <c r="H481" s="376">
        <v>44310.0</v>
      </c>
      <c r="I481" s="376">
        <v>44654.0</v>
      </c>
      <c r="J481" s="377">
        <v>24.99</v>
      </c>
      <c r="K481" s="377">
        <v>17.49</v>
      </c>
      <c r="L481" s="377">
        <v>7.5</v>
      </c>
      <c r="M481" s="12">
        <v>23.0</v>
      </c>
      <c r="N481" s="377">
        <v>0.76</v>
      </c>
    </row>
    <row r="482">
      <c r="A482" s="12" t="s">
        <v>291</v>
      </c>
      <c r="B482" s="12" t="s">
        <v>301</v>
      </c>
      <c r="C482" s="12">
        <v>993.0</v>
      </c>
      <c r="D482" s="12" t="s">
        <v>1047</v>
      </c>
      <c r="E482" s="12" t="s">
        <v>666</v>
      </c>
      <c r="F482" s="376">
        <v>43340.0</v>
      </c>
      <c r="G482" s="376">
        <v>43475.0</v>
      </c>
      <c r="H482" s="376">
        <v>43542.0</v>
      </c>
      <c r="I482" s="376">
        <v>43542.0</v>
      </c>
      <c r="J482" s="377">
        <v>19.99</v>
      </c>
      <c r="K482" s="377">
        <v>19.99</v>
      </c>
      <c r="L482" s="377">
        <v>0.0</v>
      </c>
      <c r="M482" s="12">
        <v>1.0</v>
      </c>
      <c r="N482" s="377">
        <v>19.99</v>
      </c>
    </row>
    <row r="483">
      <c r="A483" s="12" t="s">
        <v>291</v>
      </c>
      <c r="B483" s="12" t="s">
        <v>302</v>
      </c>
      <c r="C483" s="12">
        <v>588.0</v>
      </c>
      <c r="D483" s="12" t="s">
        <v>1039</v>
      </c>
      <c r="E483" s="12" t="s">
        <v>33</v>
      </c>
      <c r="F483" s="376">
        <v>43061.0</v>
      </c>
      <c r="G483" s="376">
        <v>43472.0</v>
      </c>
      <c r="H483" s="376">
        <v>43542.0</v>
      </c>
      <c r="I483" s="376">
        <v>43542.0</v>
      </c>
      <c r="J483" s="377">
        <v>11.99</v>
      </c>
      <c r="K483" s="377">
        <v>4.99</v>
      </c>
      <c r="L483" s="377">
        <v>7.0</v>
      </c>
      <c r="M483" s="12">
        <v>4.0</v>
      </c>
      <c r="N483" s="377">
        <v>1.25</v>
      </c>
    </row>
    <row r="484">
      <c r="A484" s="12" t="s">
        <v>291</v>
      </c>
      <c r="B484" s="12" t="s">
        <v>303</v>
      </c>
      <c r="C484" s="12">
        <v>541.0</v>
      </c>
      <c r="D484" s="12" t="s">
        <v>1043</v>
      </c>
      <c r="E484" s="12" t="s">
        <v>33</v>
      </c>
      <c r="F484" s="376">
        <v>44274.0</v>
      </c>
      <c r="G484" s="376">
        <v>44720.0</v>
      </c>
      <c r="H484" s="376">
        <v>44720.0</v>
      </c>
      <c r="I484" s="376">
        <v>44720.0</v>
      </c>
      <c r="J484" s="377">
        <v>24.99</v>
      </c>
      <c r="K484" s="377">
        <v>16.24</v>
      </c>
      <c r="L484" s="377">
        <v>8.75</v>
      </c>
      <c r="M484" s="12">
        <v>1.0</v>
      </c>
      <c r="N484" s="377">
        <v>16.24</v>
      </c>
    </row>
    <row r="485">
      <c r="A485" s="12" t="s">
        <v>291</v>
      </c>
      <c r="B485" s="12" t="s">
        <v>304</v>
      </c>
      <c r="C485" s="12">
        <v>849.0</v>
      </c>
      <c r="D485" s="12" t="s">
        <v>1044</v>
      </c>
      <c r="E485" s="12" t="s">
        <v>33</v>
      </c>
      <c r="F485" s="376">
        <v>44281.0</v>
      </c>
      <c r="G485" s="376">
        <v>44398.0</v>
      </c>
      <c r="H485" s="376">
        <v>44398.0</v>
      </c>
      <c r="I485" s="376">
        <v>44398.0</v>
      </c>
      <c r="J485" s="377">
        <v>49.99</v>
      </c>
      <c r="K485" s="377">
        <v>29.99</v>
      </c>
      <c r="L485" s="377">
        <v>20.0</v>
      </c>
      <c r="M485" s="12">
        <v>2.0</v>
      </c>
      <c r="N485" s="377">
        <v>15.0</v>
      </c>
    </row>
    <row r="486">
      <c r="A486" s="12" t="s">
        <v>291</v>
      </c>
      <c r="B486" s="12" t="s">
        <v>305</v>
      </c>
      <c r="C486" s="12">
        <v>514.0</v>
      </c>
      <c r="D486" s="12" t="s">
        <v>1036</v>
      </c>
      <c r="E486" s="12" t="s">
        <v>33</v>
      </c>
      <c r="F486" s="376">
        <v>42524.0</v>
      </c>
      <c r="G486" s="376">
        <v>42954.0</v>
      </c>
      <c r="H486" s="376">
        <v>43058.0</v>
      </c>
      <c r="I486" s="376">
        <v>43058.0</v>
      </c>
      <c r="J486" s="377">
        <v>8.99</v>
      </c>
      <c r="K486" s="377">
        <v>2.99</v>
      </c>
      <c r="L486" s="377">
        <v>6.0</v>
      </c>
      <c r="M486" s="12">
        <v>2.0</v>
      </c>
      <c r="N486" s="377">
        <v>1.5</v>
      </c>
    </row>
    <row r="487">
      <c r="A487" s="13" t="s">
        <v>291</v>
      </c>
      <c r="B487" s="12" t="s">
        <v>306</v>
      </c>
      <c r="C487" s="12">
        <v>368.0</v>
      </c>
      <c r="D487" s="12" t="s">
        <v>1033</v>
      </c>
      <c r="E487" s="12" t="s">
        <v>649</v>
      </c>
      <c r="F487" s="376">
        <v>41089.0</v>
      </c>
      <c r="G487" s="376">
        <v>44422.0</v>
      </c>
      <c r="H487" s="376">
        <v>45098.0</v>
      </c>
      <c r="I487" s="376">
        <v>45106.0</v>
      </c>
      <c r="J487" s="377">
        <v>19.99</v>
      </c>
      <c r="K487" s="377">
        <v>19.99</v>
      </c>
      <c r="L487" s="377">
        <v>0.0</v>
      </c>
      <c r="M487" s="12">
        <v>40.0</v>
      </c>
      <c r="N487" s="377">
        <v>0.5</v>
      </c>
    </row>
    <row r="488">
      <c r="A488" s="316"/>
      <c r="B488" s="315"/>
      <c r="C488" s="341"/>
      <c r="D488" s="316"/>
      <c r="E488" s="316"/>
      <c r="F488" s="316"/>
      <c r="G488" s="316"/>
      <c r="H488" s="316"/>
      <c r="I488" s="316"/>
      <c r="J488" s="342"/>
      <c r="K488" s="342"/>
      <c r="L488" s="342"/>
      <c r="M488" s="316"/>
      <c r="N488" s="342"/>
    </row>
    <row r="489">
      <c r="A489" s="358" t="s">
        <v>308</v>
      </c>
      <c r="B489" s="40" t="s">
        <v>307</v>
      </c>
      <c r="C489" s="40">
        <v>189.0</v>
      </c>
      <c r="D489" s="40" t="s">
        <v>1050</v>
      </c>
      <c r="E489" s="40" t="s">
        <v>649</v>
      </c>
      <c r="F489" s="360">
        <v>41073.0</v>
      </c>
      <c r="G489" s="360">
        <v>44285.0</v>
      </c>
      <c r="H489" s="360">
        <v>44287.0</v>
      </c>
      <c r="I489" s="360">
        <v>44288.0</v>
      </c>
      <c r="J489" s="361">
        <v>9.99</v>
      </c>
      <c r="K489" s="361">
        <v>9.99</v>
      </c>
      <c r="L489" s="361">
        <v>0.0</v>
      </c>
      <c r="M489" s="40">
        <v>5.0</v>
      </c>
      <c r="N489" s="361">
        <v>2.0</v>
      </c>
    </row>
    <row r="490">
      <c r="A490" s="40" t="s">
        <v>308</v>
      </c>
      <c r="B490" s="40" t="s">
        <v>309</v>
      </c>
      <c r="C490" s="40">
        <v>544.0</v>
      </c>
      <c r="D490" s="40" t="s">
        <v>1051</v>
      </c>
      <c r="E490" s="40" t="s">
        <v>33</v>
      </c>
      <c r="F490" s="360">
        <v>44140.0</v>
      </c>
      <c r="G490" s="360">
        <v>44666.0</v>
      </c>
      <c r="H490" s="360">
        <v>44666.0</v>
      </c>
      <c r="I490" s="360">
        <v>44666.0</v>
      </c>
      <c r="J490" s="361">
        <v>19.99</v>
      </c>
      <c r="K490" s="361">
        <v>13.99</v>
      </c>
      <c r="L490" s="361">
        <v>6.0</v>
      </c>
      <c r="M490" s="40">
        <v>1.0</v>
      </c>
      <c r="N490" s="361">
        <v>13.99</v>
      </c>
    </row>
    <row r="491">
      <c r="A491" s="318"/>
      <c r="B491" s="318"/>
      <c r="C491" s="319"/>
      <c r="D491" s="320"/>
      <c r="E491" s="320"/>
      <c r="F491" s="320"/>
      <c r="G491" s="320"/>
      <c r="H491" s="320"/>
      <c r="I491" s="320"/>
      <c r="J491" s="321"/>
      <c r="K491" s="321"/>
      <c r="L491" s="321"/>
      <c r="M491" s="320"/>
      <c r="N491" s="321"/>
    </row>
    <row r="492">
      <c r="A492" s="85" t="s">
        <v>311</v>
      </c>
      <c r="B492" s="85" t="s">
        <v>310</v>
      </c>
      <c r="C492" s="85">
        <v>1001.0</v>
      </c>
      <c r="D492" s="85" t="s">
        <v>1052</v>
      </c>
      <c r="E492" s="85" t="s">
        <v>666</v>
      </c>
      <c r="F492" s="351">
        <v>42656.0</v>
      </c>
      <c r="G492" s="351">
        <v>43472.0</v>
      </c>
      <c r="H492" s="351">
        <v>43472.0</v>
      </c>
      <c r="I492" s="351">
        <v>43472.0</v>
      </c>
      <c r="J492" s="353">
        <v>29.99</v>
      </c>
      <c r="K492" s="353">
        <v>10.99</v>
      </c>
      <c r="L492" s="353">
        <v>19.0</v>
      </c>
      <c r="M492" s="85">
        <v>1.0</v>
      </c>
      <c r="N492" s="353">
        <v>10.99</v>
      </c>
    </row>
    <row r="493">
      <c r="A493" s="346"/>
      <c r="B493" s="346"/>
      <c r="C493" s="347"/>
      <c r="D493" s="348"/>
      <c r="E493" s="348"/>
      <c r="F493" s="348"/>
      <c r="G493" s="348"/>
      <c r="H493" s="348"/>
      <c r="I493" s="348"/>
      <c r="J493" s="349"/>
      <c r="K493" s="349"/>
      <c r="L493" s="349"/>
      <c r="M493" s="348"/>
      <c r="N493" s="349"/>
    </row>
    <row r="494">
      <c r="A494" s="74" t="s">
        <v>313</v>
      </c>
      <c r="B494" s="74" t="s">
        <v>312</v>
      </c>
      <c r="C494" s="74">
        <v>800.0</v>
      </c>
      <c r="D494" s="74" t="s">
        <v>1054</v>
      </c>
      <c r="E494" s="74" t="s">
        <v>33</v>
      </c>
      <c r="F494" s="311">
        <v>44826.0</v>
      </c>
      <c r="G494" s="311">
        <v>44921.0</v>
      </c>
      <c r="H494" s="311">
        <v>44922.0</v>
      </c>
      <c r="I494" s="311">
        <v>44930.0</v>
      </c>
      <c r="J494" s="312">
        <v>24.99</v>
      </c>
      <c r="K494" s="312">
        <v>0.0</v>
      </c>
      <c r="L494" s="312">
        <v>24.99</v>
      </c>
      <c r="M494" s="74">
        <v>35.0</v>
      </c>
      <c r="N494" s="312">
        <v>0.0</v>
      </c>
    </row>
    <row r="495">
      <c r="A495" s="74" t="s">
        <v>313</v>
      </c>
      <c r="B495" s="74" t="s">
        <v>314</v>
      </c>
      <c r="C495" s="74">
        <v>553.0</v>
      </c>
      <c r="D495" s="74" t="s">
        <v>1053</v>
      </c>
      <c r="E495" s="74" t="s">
        <v>33</v>
      </c>
      <c r="F495" s="311">
        <v>43859.0</v>
      </c>
      <c r="G495" s="311">
        <v>45256.0</v>
      </c>
      <c r="H495" s="311">
        <v>45450.0</v>
      </c>
      <c r="I495" s="311">
        <v>45453.0</v>
      </c>
      <c r="J495" s="312">
        <v>13.99</v>
      </c>
      <c r="K495" s="312">
        <v>13.99</v>
      </c>
      <c r="L495" s="312">
        <v>0.0</v>
      </c>
      <c r="M495" s="74">
        <v>10.0</v>
      </c>
      <c r="N495" s="312">
        <v>1.4</v>
      </c>
    </row>
    <row r="496">
      <c r="A496" s="74" t="s">
        <v>313</v>
      </c>
      <c r="B496" s="74"/>
      <c r="C496" s="74">
        <v>554.0</v>
      </c>
      <c r="D496" s="74" t="s">
        <v>1055</v>
      </c>
      <c r="E496" s="74" t="s">
        <v>33</v>
      </c>
      <c r="F496" s="311">
        <v>45036.0</v>
      </c>
      <c r="G496" s="311">
        <v>45256.0</v>
      </c>
      <c r="H496" s="311">
        <v>45452.0</v>
      </c>
      <c r="I496" s="311">
        <v>45465.0</v>
      </c>
      <c r="J496" s="312">
        <v>14.99</v>
      </c>
      <c r="K496" s="312">
        <v>10.49</v>
      </c>
      <c r="L496" s="312">
        <v>4.5</v>
      </c>
      <c r="M496" s="74">
        <v>6.0</v>
      </c>
      <c r="N496" s="312">
        <v>1.75</v>
      </c>
    </row>
    <row r="497">
      <c r="A497" s="40"/>
      <c r="B497" s="40"/>
      <c r="C497" s="357"/>
      <c r="D497" s="358"/>
      <c r="E497" s="358"/>
      <c r="F497" s="358"/>
      <c r="G497" s="358"/>
      <c r="H497" s="358"/>
      <c r="I497" s="358"/>
      <c r="J497" s="359">
        <f t="shared" ref="J497:M497" si="67">SUM(J495:J496)</f>
        <v>28.98</v>
      </c>
      <c r="K497" s="359">
        <f t="shared" si="67"/>
        <v>24.48</v>
      </c>
      <c r="L497" s="359">
        <f t="shared" si="67"/>
        <v>4.5</v>
      </c>
      <c r="M497" s="358">
        <f t="shared" si="67"/>
        <v>16</v>
      </c>
      <c r="N497" s="359">
        <f>K497/M497</f>
        <v>1.53</v>
      </c>
    </row>
    <row r="498">
      <c r="A498" s="318"/>
      <c r="B498" s="318"/>
      <c r="C498" s="319"/>
      <c r="D498" s="320"/>
      <c r="E498" s="320"/>
      <c r="F498" s="320"/>
      <c r="G498" s="320"/>
      <c r="H498" s="320"/>
      <c r="I498" s="320"/>
      <c r="J498" s="321"/>
      <c r="K498" s="321"/>
      <c r="L498" s="321"/>
      <c r="M498" s="320"/>
      <c r="N498" s="321"/>
    </row>
    <row r="499">
      <c r="A499" s="346" t="s">
        <v>316</v>
      </c>
      <c r="B499" s="346" t="s">
        <v>315</v>
      </c>
      <c r="C499" s="346">
        <v>822.0</v>
      </c>
      <c r="D499" s="346" t="s">
        <v>1056</v>
      </c>
      <c r="E499" s="346" t="s">
        <v>33</v>
      </c>
      <c r="F499" s="354">
        <v>44890.0</v>
      </c>
      <c r="G499" s="354">
        <v>45176.0</v>
      </c>
      <c r="H499" s="354">
        <v>45257.0</v>
      </c>
      <c r="I499" s="354">
        <v>45257.0</v>
      </c>
      <c r="J499" s="355">
        <v>4.99</v>
      </c>
      <c r="K499" s="355">
        <v>0.0</v>
      </c>
      <c r="L499" s="355">
        <v>4.99</v>
      </c>
      <c r="M499" s="346">
        <v>3.0</v>
      </c>
      <c r="N499" s="355">
        <v>0.0</v>
      </c>
    </row>
    <row r="500">
      <c r="A500" s="346"/>
      <c r="B500" s="346"/>
      <c r="C500" s="347"/>
      <c r="D500" s="348"/>
      <c r="E500" s="348"/>
      <c r="F500" s="348"/>
      <c r="G500" s="348"/>
      <c r="H500" s="348"/>
      <c r="I500" s="348"/>
      <c r="J500" s="349"/>
      <c r="K500" s="349"/>
      <c r="L500" s="349"/>
      <c r="M500" s="348"/>
      <c r="N500" s="349"/>
    </row>
    <row r="501">
      <c r="A501" s="381" t="s">
        <v>318</v>
      </c>
      <c r="B501" s="381" t="s">
        <v>317</v>
      </c>
      <c r="C501" s="381">
        <v>1037.0</v>
      </c>
      <c r="D501" s="381" t="s">
        <v>1064</v>
      </c>
      <c r="E501" s="381" t="s">
        <v>666</v>
      </c>
      <c r="F501" s="382">
        <v>44518.0</v>
      </c>
      <c r="G501" s="382">
        <v>44555.0</v>
      </c>
      <c r="H501" s="382">
        <v>44571.0</v>
      </c>
      <c r="I501" s="382">
        <v>44678.0</v>
      </c>
      <c r="J501" s="383">
        <v>9.99</v>
      </c>
      <c r="K501" s="383">
        <v>6.99</v>
      </c>
      <c r="L501" s="383">
        <v>3.0</v>
      </c>
      <c r="M501" s="381">
        <v>9.0</v>
      </c>
      <c r="N501" s="383">
        <v>0.78</v>
      </c>
    </row>
    <row r="502">
      <c r="A502" s="381" t="s">
        <v>318</v>
      </c>
      <c r="B502" s="381" t="s">
        <v>319</v>
      </c>
      <c r="C502" s="381">
        <v>667.0</v>
      </c>
      <c r="D502" s="381" t="s">
        <v>1061</v>
      </c>
      <c r="E502" s="381" t="s">
        <v>33</v>
      </c>
      <c r="F502" s="382">
        <v>44469.0</v>
      </c>
      <c r="G502" s="382">
        <v>44839.0</v>
      </c>
      <c r="H502" s="382">
        <v>44881.0</v>
      </c>
      <c r="I502" s="382">
        <v>44888.0</v>
      </c>
      <c r="J502" s="383">
        <v>49.99</v>
      </c>
      <c r="K502" s="383">
        <v>0.0</v>
      </c>
      <c r="L502" s="383">
        <v>49.99</v>
      </c>
      <c r="M502" s="381">
        <v>29.0</v>
      </c>
      <c r="N502" s="383">
        <v>0.0</v>
      </c>
    </row>
    <row r="503">
      <c r="A503" s="384" t="s">
        <v>318</v>
      </c>
      <c r="B503" s="384" t="s">
        <v>319</v>
      </c>
      <c r="C503" s="381">
        <v>668.0</v>
      </c>
      <c r="D503" s="381" t="s">
        <v>1062</v>
      </c>
      <c r="E503" s="381" t="s">
        <v>33</v>
      </c>
      <c r="F503" s="382">
        <v>45218.0</v>
      </c>
      <c r="G503" s="382">
        <v>45602.0</v>
      </c>
      <c r="H503" s="382">
        <v>45602.0</v>
      </c>
      <c r="I503" s="382">
        <v>45626.0</v>
      </c>
      <c r="J503" s="385">
        <v>49.99</v>
      </c>
      <c r="K503" s="385">
        <v>0.0</v>
      </c>
      <c r="L503" s="385">
        <v>49.99</v>
      </c>
      <c r="M503" s="381">
        <v>25.0</v>
      </c>
      <c r="N503" s="383">
        <v>0.0</v>
      </c>
    </row>
    <row r="504">
      <c r="A504" s="316"/>
      <c r="B504" s="316"/>
      <c r="C504" s="341"/>
      <c r="D504" s="316"/>
      <c r="E504" s="316"/>
      <c r="F504" s="316"/>
      <c r="G504" s="316"/>
      <c r="H504" s="316"/>
      <c r="I504" s="316"/>
      <c r="J504" s="386">
        <f t="shared" ref="J504:M504" si="68">SUM(J502:J503)</f>
        <v>99.98</v>
      </c>
      <c r="K504" s="386">
        <f t="shared" si="68"/>
        <v>0</v>
      </c>
      <c r="L504" s="386">
        <f t="shared" si="68"/>
        <v>99.98</v>
      </c>
      <c r="M504" s="387">
        <f t="shared" si="68"/>
        <v>54</v>
      </c>
      <c r="N504" s="386">
        <f>K504/M504</f>
        <v>0</v>
      </c>
    </row>
    <row r="505">
      <c r="A505" s="381" t="s">
        <v>318</v>
      </c>
      <c r="B505" s="381" t="s">
        <v>320</v>
      </c>
      <c r="C505" s="381">
        <v>442.0</v>
      </c>
      <c r="D505" s="381" t="s">
        <v>1057</v>
      </c>
      <c r="E505" s="381" t="s">
        <v>671</v>
      </c>
      <c r="F505" s="382">
        <v>41913.0</v>
      </c>
      <c r="G505" s="382">
        <v>43937.0</v>
      </c>
      <c r="H505" s="382">
        <v>43937.0</v>
      </c>
      <c r="I505" s="382">
        <v>43937.0</v>
      </c>
      <c r="J505" s="383">
        <v>9.99</v>
      </c>
      <c r="K505" s="383">
        <v>2.99</v>
      </c>
      <c r="L505" s="383">
        <v>7.0</v>
      </c>
      <c r="M505" s="381">
        <v>1.0</v>
      </c>
      <c r="N505" s="383">
        <v>2.99</v>
      </c>
    </row>
    <row r="506">
      <c r="A506" s="381" t="s">
        <v>318</v>
      </c>
      <c r="B506" s="381"/>
      <c r="C506" s="381">
        <v>441.0</v>
      </c>
      <c r="D506" s="381" t="s">
        <v>1059</v>
      </c>
      <c r="E506" s="381" t="s">
        <v>671</v>
      </c>
      <c r="F506" s="382">
        <v>42789.0</v>
      </c>
      <c r="G506" s="382">
        <v>43942.0</v>
      </c>
      <c r="H506" s="382">
        <v>43942.0</v>
      </c>
      <c r="I506" s="382">
        <v>43942.0</v>
      </c>
      <c r="J506" s="383">
        <v>9.99</v>
      </c>
      <c r="K506" s="383">
        <v>2.99</v>
      </c>
      <c r="L506" s="383">
        <v>7.0</v>
      </c>
      <c r="M506" s="381">
        <v>1.0</v>
      </c>
      <c r="N506" s="383">
        <v>2.99</v>
      </c>
    </row>
    <row r="507">
      <c r="A507" s="388"/>
      <c r="B507" s="388"/>
      <c r="C507" s="389"/>
      <c r="D507" s="387"/>
      <c r="E507" s="387"/>
      <c r="F507" s="387"/>
      <c r="G507" s="387"/>
      <c r="H507" s="387"/>
      <c r="I507" s="387"/>
      <c r="J507" s="386">
        <f t="shared" ref="J507:M507" si="69">SUM(J505:J506)</f>
        <v>19.98</v>
      </c>
      <c r="K507" s="386">
        <f t="shared" si="69"/>
        <v>5.98</v>
      </c>
      <c r="L507" s="386">
        <f t="shared" si="69"/>
        <v>14</v>
      </c>
      <c r="M507" s="387">
        <f t="shared" si="69"/>
        <v>2</v>
      </c>
      <c r="N507" s="386">
        <f>K507/M507</f>
        <v>2.99</v>
      </c>
    </row>
    <row r="508">
      <c r="A508" s="381" t="s">
        <v>318</v>
      </c>
      <c r="B508" s="381" t="s">
        <v>321</v>
      </c>
      <c r="C508" s="381">
        <v>1048.0</v>
      </c>
      <c r="D508" s="381" t="s">
        <v>1063</v>
      </c>
      <c r="E508" s="381" t="s">
        <v>666</v>
      </c>
      <c r="F508" s="382">
        <v>42773.0</v>
      </c>
      <c r="G508" s="382">
        <v>43466.0</v>
      </c>
      <c r="H508" s="382">
        <v>43466.0</v>
      </c>
      <c r="I508" s="382">
        <v>43466.0</v>
      </c>
      <c r="J508" s="383">
        <v>14.99</v>
      </c>
      <c r="K508" s="383">
        <v>2.99</v>
      </c>
      <c r="L508" s="383">
        <v>12.0</v>
      </c>
      <c r="M508" s="381">
        <v>1.0</v>
      </c>
      <c r="N508" s="383">
        <v>2.99</v>
      </c>
    </row>
    <row r="509">
      <c r="A509" s="381" t="s">
        <v>318</v>
      </c>
      <c r="B509" s="381" t="s">
        <v>322</v>
      </c>
      <c r="C509" s="381">
        <v>429.0</v>
      </c>
      <c r="D509" s="381" t="s">
        <v>1058</v>
      </c>
      <c r="E509" s="381" t="s">
        <v>671</v>
      </c>
      <c r="F509" s="382">
        <v>42459.0</v>
      </c>
      <c r="G509" s="382">
        <v>42766.0</v>
      </c>
      <c r="H509" s="382">
        <v>42766.0</v>
      </c>
      <c r="I509" s="382">
        <v>44945.0</v>
      </c>
      <c r="J509" s="383">
        <v>9.99</v>
      </c>
      <c r="K509" s="383">
        <v>6.99</v>
      </c>
      <c r="L509" s="383">
        <v>3.0</v>
      </c>
      <c r="M509" s="381">
        <v>1.0</v>
      </c>
      <c r="N509" s="383">
        <v>6.99</v>
      </c>
    </row>
    <row r="510">
      <c r="A510" s="381" t="s">
        <v>318</v>
      </c>
      <c r="B510" s="381" t="s">
        <v>323</v>
      </c>
      <c r="C510" s="381">
        <v>537.0</v>
      </c>
      <c r="D510" s="381" t="s">
        <v>1060</v>
      </c>
      <c r="E510" s="381" t="s">
        <v>33</v>
      </c>
      <c r="F510" s="382">
        <v>43391.0</v>
      </c>
      <c r="G510" s="382">
        <v>45256.0</v>
      </c>
      <c r="H510" s="382">
        <v>45296.0</v>
      </c>
      <c r="I510" s="382">
        <v>45303.0</v>
      </c>
      <c r="J510" s="383">
        <v>19.99</v>
      </c>
      <c r="K510" s="383">
        <v>3.99</v>
      </c>
      <c r="L510" s="383">
        <v>16.0</v>
      </c>
      <c r="M510" s="381">
        <v>8.0</v>
      </c>
      <c r="N510" s="383">
        <v>0.5</v>
      </c>
    </row>
    <row r="511">
      <c r="A511" s="318"/>
      <c r="B511" s="318"/>
      <c r="C511" s="319"/>
      <c r="D511" s="320"/>
      <c r="E511" s="320"/>
      <c r="F511" s="320"/>
      <c r="G511" s="320"/>
      <c r="H511" s="320"/>
      <c r="I511" s="320"/>
      <c r="J511" s="321"/>
      <c r="K511" s="321"/>
      <c r="L511" s="321"/>
      <c r="M511" s="320"/>
      <c r="N511" s="321"/>
    </row>
    <row r="512">
      <c r="A512" s="40" t="s">
        <v>325</v>
      </c>
      <c r="B512" s="40" t="s">
        <v>324</v>
      </c>
      <c r="C512" s="40">
        <v>452.0</v>
      </c>
      <c r="D512" s="40" t="s">
        <v>1187</v>
      </c>
      <c r="E512" s="40" t="s">
        <v>671</v>
      </c>
      <c r="F512" s="360">
        <v>41745.0</v>
      </c>
      <c r="G512" s="360">
        <v>42187.0</v>
      </c>
      <c r="H512" s="360">
        <v>45044.0</v>
      </c>
      <c r="I512" s="360">
        <v>45057.0</v>
      </c>
      <c r="J512" s="361">
        <v>5.99</v>
      </c>
      <c r="K512" s="361">
        <v>5.99</v>
      </c>
      <c r="L512" s="361">
        <v>0.0</v>
      </c>
      <c r="M512" s="40">
        <v>25.0</v>
      </c>
      <c r="N512" s="361">
        <v>0.24</v>
      </c>
    </row>
    <row r="513">
      <c r="A513" s="40" t="s">
        <v>325</v>
      </c>
      <c r="B513" s="40" t="s">
        <v>326</v>
      </c>
      <c r="C513" s="40">
        <v>606.0</v>
      </c>
      <c r="D513" s="40" t="s">
        <v>1273</v>
      </c>
      <c r="E513" s="40" t="s">
        <v>33</v>
      </c>
      <c r="F513" s="360">
        <v>44397.0</v>
      </c>
      <c r="G513" s="360">
        <v>45511.0</v>
      </c>
      <c r="H513" s="360">
        <v>45511.0</v>
      </c>
      <c r="I513" s="360">
        <v>45511.0</v>
      </c>
      <c r="J513" s="361">
        <v>29.99</v>
      </c>
      <c r="K513" s="361">
        <v>0.0</v>
      </c>
      <c r="L513" s="361">
        <v>29.99</v>
      </c>
      <c r="M513" s="40">
        <v>1.0</v>
      </c>
      <c r="N513" s="361">
        <v>0.0</v>
      </c>
    </row>
    <row r="514">
      <c r="A514" s="358" t="s">
        <v>325</v>
      </c>
      <c r="B514" s="40" t="s">
        <v>327</v>
      </c>
      <c r="C514" s="40">
        <v>293.0</v>
      </c>
      <c r="D514" s="40" t="s">
        <v>1155</v>
      </c>
      <c r="E514" s="40" t="s">
        <v>649</v>
      </c>
      <c r="F514" s="360">
        <v>40947.0</v>
      </c>
      <c r="G514" s="360">
        <v>44422.0</v>
      </c>
      <c r="H514" s="360">
        <v>44422.0</v>
      </c>
      <c r="I514" s="360">
        <v>44422.0</v>
      </c>
      <c r="J514" s="361">
        <v>7.99</v>
      </c>
      <c r="K514" s="361">
        <v>7.99</v>
      </c>
      <c r="L514" s="361">
        <v>0.0</v>
      </c>
      <c r="M514" s="40">
        <v>1.0</v>
      </c>
      <c r="N514" s="361">
        <v>7.99</v>
      </c>
    </row>
    <row r="515">
      <c r="A515" s="40" t="s">
        <v>325</v>
      </c>
      <c r="B515" s="40" t="s">
        <v>328</v>
      </c>
      <c r="C515" s="40">
        <v>482.0</v>
      </c>
      <c r="D515" s="40" t="s">
        <v>1191</v>
      </c>
      <c r="E515" s="40" t="s">
        <v>671</v>
      </c>
      <c r="F515" s="360">
        <v>42776.0</v>
      </c>
      <c r="G515" s="360">
        <v>43668.0</v>
      </c>
      <c r="H515" s="360">
        <v>43673.0</v>
      </c>
      <c r="I515" s="360">
        <v>43674.0</v>
      </c>
      <c r="J515" s="361">
        <v>19.99</v>
      </c>
      <c r="K515" s="361">
        <v>4.99</v>
      </c>
      <c r="L515" s="361">
        <v>15.0</v>
      </c>
      <c r="M515" s="40">
        <v>4.0</v>
      </c>
      <c r="N515" s="361">
        <v>1.25</v>
      </c>
    </row>
    <row r="516">
      <c r="A516" s="40" t="s">
        <v>325</v>
      </c>
      <c r="B516" s="40" t="s">
        <v>329</v>
      </c>
      <c r="C516" s="40">
        <v>649.0</v>
      </c>
      <c r="D516" s="40" t="s">
        <v>1260</v>
      </c>
      <c r="E516" s="40" t="s">
        <v>33</v>
      </c>
      <c r="F516" s="360">
        <v>43917.0</v>
      </c>
      <c r="G516" s="360">
        <v>44811.0</v>
      </c>
      <c r="H516" s="360">
        <v>44811.0</v>
      </c>
      <c r="I516" s="360">
        <v>44811.0</v>
      </c>
      <c r="J516" s="361">
        <v>19.99</v>
      </c>
      <c r="K516" s="361">
        <v>0.0</v>
      </c>
      <c r="L516" s="361">
        <v>19.99</v>
      </c>
      <c r="M516" s="40">
        <v>1.0</v>
      </c>
      <c r="N516" s="361">
        <v>0.0</v>
      </c>
    </row>
    <row r="517">
      <c r="A517" s="358" t="s">
        <v>325</v>
      </c>
      <c r="B517" s="40" t="s">
        <v>330</v>
      </c>
      <c r="C517" s="40">
        <v>210.0</v>
      </c>
      <c r="D517" s="40" t="s">
        <v>1156</v>
      </c>
      <c r="E517" s="40" t="s">
        <v>649</v>
      </c>
      <c r="F517" s="360">
        <v>40949.0</v>
      </c>
      <c r="G517" s="360">
        <v>41399.0</v>
      </c>
      <c r="H517" s="360">
        <v>41399.0</v>
      </c>
      <c r="I517" s="360">
        <v>44800.0</v>
      </c>
      <c r="J517" s="361">
        <v>79.98</v>
      </c>
      <c r="K517" s="361">
        <v>79.98</v>
      </c>
      <c r="L517" s="361">
        <v>0.0</v>
      </c>
      <c r="M517" s="40">
        <v>18.0</v>
      </c>
      <c r="N517" s="361">
        <v>4.44</v>
      </c>
    </row>
    <row r="518">
      <c r="A518" s="358" t="s">
        <v>325</v>
      </c>
      <c r="B518" s="40"/>
      <c r="C518" s="40">
        <v>321.0</v>
      </c>
      <c r="D518" s="40" t="s">
        <v>1180</v>
      </c>
      <c r="E518" s="40" t="s">
        <v>649</v>
      </c>
      <c r="F518" s="360">
        <v>42829.0</v>
      </c>
      <c r="G518" s="360">
        <v>43091.0</v>
      </c>
      <c r="H518" s="360">
        <v>43091.0</v>
      </c>
      <c r="I518" s="360">
        <v>43091.0</v>
      </c>
      <c r="J518" s="361">
        <v>69.99</v>
      </c>
      <c r="K518" s="361">
        <v>34.99</v>
      </c>
      <c r="L518" s="361">
        <v>35.0</v>
      </c>
      <c r="M518" s="40">
        <v>1.0</v>
      </c>
      <c r="N518" s="361">
        <v>34.99</v>
      </c>
    </row>
    <row r="519">
      <c r="A519" s="74"/>
      <c r="B519" s="74"/>
      <c r="C519" s="340"/>
      <c r="D519" s="146"/>
      <c r="E519" s="146"/>
      <c r="F519" s="146"/>
      <c r="G519" s="146"/>
      <c r="H519" s="146"/>
      <c r="I519" s="146"/>
      <c r="J519" s="339">
        <f t="shared" ref="J519:M519" si="70">SUM(J517:J518)</f>
        <v>149.97</v>
      </c>
      <c r="K519" s="339">
        <f t="shared" si="70"/>
        <v>114.97</v>
      </c>
      <c r="L519" s="339">
        <f t="shared" si="70"/>
        <v>35</v>
      </c>
      <c r="M519" s="146">
        <f t="shared" si="70"/>
        <v>19</v>
      </c>
      <c r="N519" s="339">
        <f>K519/M519</f>
        <v>6.051052632</v>
      </c>
    </row>
    <row r="520">
      <c r="A520" s="40" t="s">
        <v>325</v>
      </c>
      <c r="B520" s="40" t="s">
        <v>331</v>
      </c>
      <c r="C520" s="40">
        <v>60.0</v>
      </c>
      <c r="D520" s="40" t="s">
        <v>1066</v>
      </c>
      <c r="E520" s="40" t="s">
        <v>682</v>
      </c>
      <c r="F520" s="360">
        <v>35010.0</v>
      </c>
      <c r="G520" s="360">
        <v>41262.0</v>
      </c>
      <c r="H520" s="360">
        <v>41262.0</v>
      </c>
      <c r="I520" s="360">
        <v>41262.0</v>
      </c>
      <c r="J520" s="361">
        <v>4.99</v>
      </c>
      <c r="K520" s="361">
        <v>4.99</v>
      </c>
      <c r="L520" s="361">
        <v>0.0</v>
      </c>
      <c r="M520" s="40">
        <v>5.0</v>
      </c>
      <c r="N520" s="361">
        <v>1.0</v>
      </c>
    </row>
    <row r="521">
      <c r="A521" s="357" t="s">
        <v>325</v>
      </c>
      <c r="B521" s="40"/>
      <c r="C521" s="40">
        <v>61.0</v>
      </c>
      <c r="D521" s="40" t="s">
        <v>1069</v>
      </c>
      <c r="E521" s="40" t="s">
        <v>682</v>
      </c>
      <c r="F521" s="360">
        <v>35340.0</v>
      </c>
      <c r="G521" s="360">
        <v>41261.0</v>
      </c>
      <c r="H521" s="360">
        <v>41261.0</v>
      </c>
      <c r="I521" s="360">
        <v>41261.0</v>
      </c>
      <c r="J521" s="361">
        <v>4.99</v>
      </c>
      <c r="K521" s="361">
        <v>4.99</v>
      </c>
      <c r="L521" s="361">
        <v>0.0</v>
      </c>
      <c r="M521" s="40">
        <v>15.0</v>
      </c>
      <c r="N521" s="361">
        <v>0.33</v>
      </c>
    </row>
    <row r="522">
      <c r="A522" s="357" t="s">
        <v>325</v>
      </c>
      <c r="B522" s="40"/>
      <c r="C522" s="40">
        <v>30.0</v>
      </c>
      <c r="D522" s="40" t="s">
        <v>1079</v>
      </c>
      <c r="E522" s="40" t="s">
        <v>682</v>
      </c>
      <c r="F522" s="360">
        <v>35951.0</v>
      </c>
      <c r="G522" s="360">
        <v>42279.0</v>
      </c>
      <c r="H522" s="360">
        <v>42279.0</v>
      </c>
      <c r="I522" s="360">
        <v>42279.0</v>
      </c>
      <c r="J522" s="361">
        <v>4.99</v>
      </c>
      <c r="K522" s="361">
        <v>2.5</v>
      </c>
      <c r="L522" s="361">
        <v>2.49</v>
      </c>
      <c r="M522" s="40">
        <v>4.0</v>
      </c>
      <c r="N522" s="361">
        <v>0.63</v>
      </c>
    </row>
    <row r="523">
      <c r="A523" s="390" t="s">
        <v>325</v>
      </c>
      <c r="B523" s="390"/>
      <c r="C523" s="390">
        <v>1095.0</v>
      </c>
      <c r="D523" s="390" t="s">
        <v>1082</v>
      </c>
      <c r="E523" s="390" t="s">
        <v>682</v>
      </c>
      <c r="F523" s="391">
        <v>36050.0</v>
      </c>
      <c r="G523" s="391">
        <v>45956.0</v>
      </c>
      <c r="H523" s="391">
        <v>45967.0</v>
      </c>
      <c r="I523" s="391">
        <v>45971.0</v>
      </c>
      <c r="J523" s="392">
        <v>9.99</v>
      </c>
      <c r="K523" s="392">
        <v>9.99</v>
      </c>
      <c r="L523" s="392">
        <v>0.0</v>
      </c>
      <c r="M523" s="390">
        <v>2.0</v>
      </c>
      <c r="N523" s="392">
        <v>4.995</v>
      </c>
    </row>
    <row r="524">
      <c r="A524" s="357" t="s">
        <v>325</v>
      </c>
      <c r="B524" s="40"/>
      <c r="C524" s="40">
        <v>110.0</v>
      </c>
      <c r="D524" s="40" t="s">
        <v>1100</v>
      </c>
      <c r="E524" s="40" t="s">
        <v>645</v>
      </c>
      <c r="F524" s="360">
        <v>37204.0</v>
      </c>
      <c r="G524" s="360">
        <v>44883.0</v>
      </c>
      <c r="H524" s="360">
        <v>44906.0</v>
      </c>
      <c r="I524" s="360">
        <v>44907.0</v>
      </c>
      <c r="J524" s="361">
        <v>24.99</v>
      </c>
      <c r="K524" s="361">
        <v>14.99</v>
      </c>
      <c r="L524" s="361">
        <v>10.0</v>
      </c>
      <c r="M524" s="40">
        <v>6.0</v>
      </c>
      <c r="N524" s="361">
        <v>2.5</v>
      </c>
    </row>
    <row r="525">
      <c r="A525" s="40" t="s">
        <v>325</v>
      </c>
      <c r="B525" s="40"/>
      <c r="C525" s="40">
        <v>178.0</v>
      </c>
      <c r="D525" s="40" t="s">
        <v>1123</v>
      </c>
      <c r="E525" s="40" t="s">
        <v>37</v>
      </c>
      <c r="F525" s="360">
        <v>38975.0</v>
      </c>
      <c r="G525" s="360">
        <v>44422.0</v>
      </c>
      <c r="H525" s="360">
        <v>44422.0</v>
      </c>
      <c r="I525" s="360">
        <v>44422.0</v>
      </c>
      <c r="J525" s="361">
        <v>19.99</v>
      </c>
      <c r="K525" s="361">
        <v>19.99</v>
      </c>
      <c r="L525" s="361">
        <v>0.0</v>
      </c>
      <c r="M525" s="40">
        <v>4.0</v>
      </c>
      <c r="N525" s="361">
        <v>5.0</v>
      </c>
    </row>
    <row r="526">
      <c r="A526" s="358" t="s">
        <v>325</v>
      </c>
      <c r="B526" s="40"/>
      <c r="C526" s="40">
        <v>379.0</v>
      </c>
      <c r="D526" s="40" t="s">
        <v>1160</v>
      </c>
      <c r="E526" s="40" t="s">
        <v>649</v>
      </c>
      <c r="F526" s="360">
        <v>41152.0</v>
      </c>
      <c r="G526" s="360">
        <v>42021.0</v>
      </c>
      <c r="H526" s="360">
        <v>45088.0</v>
      </c>
      <c r="I526" s="360">
        <v>45088.0</v>
      </c>
      <c r="J526" s="361">
        <v>15.0</v>
      </c>
      <c r="K526" s="361">
        <v>15.0</v>
      </c>
      <c r="L526" s="361">
        <v>0.0</v>
      </c>
      <c r="M526" s="40">
        <v>2.0</v>
      </c>
      <c r="N526" s="361">
        <v>7.5</v>
      </c>
    </row>
    <row r="527">
      <c r="A527" s="358" t="s">
        <v>325</v>
      </c>
      <c r="B527" s="40"/>
      <c r="C527" s="40">
        <v>381.0</v>
      </c>
      <c r="D527" s="40" t="s">
        <v>1167</v>
      </c>
      <c r="E527" s="40" t="s">
        <v>649</v>
      </c>
      <c r="F527" s="360">
        <v>41437.0</v>
      </c>
      <c r="G527" s="360">
        <v>41491.0</v>
      </c>
      <c r="H527" s="360">
        <v>41491.0</v>
      </c>
      <c r="I527" s="360">
        <v>41602.0</v>
      </c>
      <c r="J527" s="361">
        <v>0.0</v>
      </c>
      <c r="K527" s="361">
        <v>0.0</v>
      </c>
      <c r="L527" s="361">
        <v>0.0</v>
      </c>
      <c r="M527" s="40">
        <v>5.0</v>
      </c>
      <c r="N527" s="361">
        <v>0.0</v>
      </c>
    </row>
    <row r="528">
      <c r="A528" s="358" t="s">
        <v>325</v>
      </c>
      <c r="B528" s="40"/>
      <c r="C528" s="40">
        <v>380.0</v>
      </c>
      <c r="D528" s="40" t="s">
        <v>1168</v>
      </c>
      <c r="E528" s="40" t="s">
        <v>649</v>
      </c>
      <c r="F528" s="360">
        <v>41495.0</v>
      </c>
      <c r="G528" s="360">
        <v>42021.0</v>
      </c>
      <c r="H528" s="360">
        <v>42021.0</v>
      </c>
      <c r="I528" s="360">
        <v>42021.0</v>
      </c>
      <c r="J528" s="361">
        <v>14.99</v>
      </c>
      <c r="K528" s="361">
        <v>14.99</v>
      </c>
      <c r="L528" s="361">
        <v>0.0</v>
      </c>
      <c r="M528" s="40">
        <v>1.0</v>
      </c>
      <c r="N528" s="361">
        <v>14.99</v>
      </c>
    </row>
    <row r="529">
      <c r="A529" s="40" t="s">
        <v>325</v>
      </c>
      <c r="B529" s="40"/>
      <c r="C529" s="40">
        <v>481.0</v>
      </c>
      <c r="D529" s="40" t="s">
        <v>1183</v>
      </c>
      <c r="E529" s="40" t="s">
        <v>671</v>
      </c>
      <c r="F529" s="360">
        <v>40961.0</v>
      </c>
      <c r="G529" s="360">
        <v>43373.0</v>
      </c>
      <c r="H529" s="360">
        <v>45040.0</v>
      </c>
      <c r="I529" s="360">
        <v>45047.0</v>
      </c>
      <c r="J529" s="361">
        <v>19.99</v>
      </c>
      <c r="K529" s="361">
        <v>19.99</v>
      </c>
      <c r="L529" s="361">
        <v>0.0</v>
      </c>
      <c r="M529" s="40">
        <v>5.0</v>
      </c>
      <c r="N529" s="361">
        <v>4.0</v>
      </c>
    </row>
    <row r="530">
      <c r="A530" s="40" t="s">
        <v>325</v>
      </c>
      <c r="B530" s="40"/>
      <c r="C530" s="40">
        <v>897.0</v>
      </c>
      <c r="D530" s="40" t="s">
        <v>1220</v>
      </c>
      <c r="E530" s="40" t="s">
        <v>33</v>
      </c>
      <c r="F530" s="360">
        <v>42888.0</v>
      </c>
      <c r="G530" s="360">
        <v>43410.0</v>
      </c>
      <c r="H530" s="360">
        <v>43412.0</v>
      </c>
      <c r="I530" s="360">
        <v>44387.0</v>
      </c>
      <c r="J530" s="361">
        <v>74.98</v>
      </c>
      <c r="K530" s="361">
        <v>29.98</v>
      </c>
      <c r="L530" s="361">
        <v>45.0</v>
      </c>
      <c r="M530" s="40">
        <v>2.0</v>
      </c>
      <c r="N530" s="361">
        <v>14.99</v>
      </c>
    </row>
    <row r="531">
      <c r="A531" s="358" t="s">
        <v>325</v>
      </c>
      <c r="B531" s="40"/>
      <c r="C531" s="40">
        <v>847.0</v>
      </c>
      <c r="D531" s="40" t="s">
        <v>1250</v>
      </c>
      <c r="E531" s="40" t="s">
        <v>33</v>
      </c>
      <c r="F531" s="360">
        <v>43392.0</v>
      </c>
      <c r="G531" s="360">
        <v>43392.0</v>
      </c>
      <c r="H531" s="360">
        <v>43392.0</v>
      </c>
      <c r="I531" s="360">
        <v>43392.0</v>
      </c>
      <c r="J531" s="361">
        <v>99.99</v>
      </c>
      <c r="K531" s="361">
        <v>99.99</v>
      </c>
      <c r="L531" s="361">
        <v>0.0</v>
      </c>
      <c r="M531" s="40">
        <v>1.0</v>
      </c>
      <c r="N531" s="361">
        <v>99.99</v>
      </c>
    </row>
    <row r="532">
      <c r="A532" s="40" t="s">
        <v>325</v>
      </c>
      <c r="B532" s="40"/>
      <c r="C532" s="40">
        <v>552.0</v>
      </c>
      <c r="D532" s="40" t="s">
        <v>1257</v>
      </c>
      <c r="E532" s="40" t="s">
        <v>33</v>
      </c>
      <c r="F532" s="360">
        <v>43735.0</v>
      </c>
      <c r="G532" s="360">
        <v>44992.0</v>
      </c>
      <c r="H532" s="360">
        <v>44992.0</v>
      </c>
      <c r="I532" s="360">
        <v>44992.0</v>
      </c>
      <c r="J532" s="361">
        <v>69.99</v>
      </c>
      <c r="K532" s="361">
        <v>0.0</v>
      </c>
      <c r="L532" s="361">
        <v>69.99</v>
      </c>
      <c r="M532" s="40">
        <v>1.0</v>
      </c>
      <c r="N532" s="361">
        <v>0.0</v>
      </c>
    </row>
    <row r="533">
      <c r="A533" s="40" t="s">
        <v>325</v>
      </c>
      <c r="B533" s="40"/>
      <c r="C533" s="40">
        <v>685.0</v>
      </c>
      <c r="D533" s="40" t="s">
        <v>1270</v>
      </c>
      <c r="E533" s="40" t="s">
        <v>33</v>
      </c>
      <c r="F533" s="360">
        <v>44155.0</v>
      </c>
      <c r="G533" s="360">
        <v>44237.0</v>
      </c>
      <c r="H533" s="360">
        <v>44248.0</v>
      </c>
      <c r="I533" s="360">
        <v>44249.0</v>
      </c>
      <c r="J533" s="361">
        <v>29.99</v>
      </c>
      <c r="K533" s="361">
        <v>20.99</v>
      </c>
      <c r="L533" s="361">
        <v>9.0</v>
      </c>
      <c r="M533" s="40">
        <v>7.0</v>
      </c>
      <c r="N533" s="361">
        <v>3.0</v>
      </c>
    </row>
    <row r="534">
      <c r="A534" s="358" t="s">
        <v>325</v>
      </c>
      <c r="B534" s="358"/>
      <c r="C534" s="40">
        <v>1081.0</v>
      </c>
      <c r="D534" s="40" t="s">
        <v>1307</v>
      </c>
      <c r="E534" s="40" t="s">
        <v>39</v>
      </c>
      <c r="F534" s="360">
        <v>45316.0</v>
      </c>
      <c r="G534" s="360">
        <v>45602.0</v>
      </c>
      <c r="H534" s="360">
        <v>45740.0</v>
      </c>
      <c r="I534" s="360">
        <v>45753.0</v>
      </c>
      <c r="J534" s="362">
        <v>79.99</v>
      </c>
      <c r="K534" s="362">
        <v>39.99</v>
      </c>
      <c r="L534" s="362">
        <v>40.0</v>
      </c>
      <c r="M534" s="40">
        <v>14.0</v>
      </c>
      <c r="N534" s="361">
        <v>2.86</v>
      </c>
    </row>
    <row r="535">
      <c r="A535" s="74"/>
      <c r="B535" s="74"/>
      <c r="C535" s="340"/>
      <c r="D535" s="74"/>
      <c r="E535" s="146"/>
      <c r="F535" s="146"/>
      <c r="G535" s="146"/>
      <c r="H535" s="146"/>
      <c r="I535" s="146"/>
      <c r="J535" s="339">
        <f t="shared" ref="J535:M535" si="71">SUM(J520:J534)</f>
        <v>474.86</v>
      </c>
      <c r="K535" s="339">
        <f t="shared" si="71"/>
        <v>298.38</v>
      </c>
      <c r="L535" s="339">
        <f t="shared" si="71"/>
        <v>176.48</v>
      </c>
      <c r="M535" s="146">
        <f t="shared" si="71"/>
        <v>74</v>
      </c>
      <c r="N535" s="339">
        <f>K535/M535</f>
        <v>4.032162162</v>
      </c>
    </row>
    <row r="536">
      <c r="A536" s="40" t="s">
        <v>325</v>
      </c>
      <c r="B536" s="40" t="s">
        <v>332</v>
      </c>
      <c r="C536" s="40">
        <v>820.0</v>
      </c>
      <c r="D536" s="40" t="s">
        <v>1209</v>
      </c>
      <c r="E536" s="40" t="s">
        <v>33</v>
      </c>
      <c r="F536" s="360">
        <v>42724.0</v>
      </c>
      <c r="G536" s="360">
        <v>42724.0</v>
      </c>
      <c r="H536" s="360">
        <v>42724.0</v>
      </c>
      <c r="I536" s="360">
        <v>42724.0</v>
      </c>
      <c r="J536" s="361">
        <v>20.99</v>
      </c>
      <c r="K536" s="361">
        <v>9.99</v>
      </c>
      <c r="L536" s="361">
        <v>11.0</v>
      </c>
      <c r="M536" s="40">
        <v>1.0</v>
      </c>
      <c r="N536" s="361">
        <v>9.99</v>
      </c>
    </row>
    <row r="537">
      <c r="A537" s="40" t="s">
        <v>325</v>
      </c>
      <c r="B537" s="40"/>
      <c r="C537" s="40">
        <v>997.0</v>
      </c>
      <c r="D537" s="40" t="s">
        <v>1302</v>
      </c>
      <c r="E537" s="40" t="s">
        <v>666</v>
      </c>
      <c r="F537" s="360">
        <v>43291.0</v>
      </c>
      <c r="G537" s="360">
        <v>43475.0</v>
      </c>
      <c r="H537" s="360">
        <v>43542.0</v>
      </c>
      <c r="I537" s="360">
        <v>43542.0</v>
      </c>
      <c r="J537" s="361">
        <v>14.99</v>
      </c>
      <c r="K537" s="361">
        <v>14.99</v>
      </c>
      <c r="L537" s="361">
        <v>0.0</v>
      </c>
      <c r="M537" s="40">
        <v>1.0</v>
      </c>
      <c r="N537" s="361">
        <v>14.99</v>
      </c>
    </row>
    <row r="538">
      <c r="A538" s="74"/>
      <c r="B538" s="74"/>
      <c r="C538" s="340"/>
      <c r="D538" s="146"/>
      <c r="E538" s="146"/>
      <c r="F538" s="146"/>
      <c r="G538" s="146"/>
      <c r="H538" s="146"/>
      <c r="I538" s="146"/>
      <c r="J538" s="339">
        <f t="shared" ref="J538:M538" si="72">SUM(J536:J537)</f>
        <v>35.98</v>
      </c>
      <c r="K538" s="339">
        <f t="shared" si="72"/>
        <v>24.98</v>
      </c>
      <c r="L538" s="339">
        <f t="shared" si="72"/>
        <v>11</v>
      </c>
      <c r="M538" s="146">
        <f t="shared" si="72"/>
        <v>2</v>
      </c>
      <c r="N538" s="339">
        <f>K538/M538</f>
        <v>12.49</v>
      </c>
    </row>
    <row r="539">
      <c r="A539" s="357" t="s">
        <v>325</v>
      </c>
      <c r="B539" s="40" t="s">
        <v>333</v>
      </c>
      <c r="C539" s="40">
        <v>595.0</v>
      </c>
      <c r="D539" s="40" t="s">
        <v>1266</v>
      </c>
      <c r="E539" s="40" t="s">
        <v>33</v>
      </c>
      <c r="F539" s="360">
        <v>44078.0</v>
      </c>
      <c r="G539" s="360">
        <v>45518.0</v>
      </c>
      <c r="H539" s="360">
        <v>45518.0</v>
      </c>
      <c r="I539" s="360">
        <v>45518.0</v>
      </c>
      <c r="J539" s="362">
        <v>49.99</v>
      </c>
      <c r="K539" s="362">
        <v>4.99</v>
      </c>
      <c r="L539" s="361">
        <v>45.0</v>
      </c>
      <c r="M539" s="40">
        <v>1.0</v>
      </c>
      <c r="N539" s="361">
        <v>4.99</v>
      </c>
    </row>
    <row r="540">
      <c r="A540" s="357" t="s">
        <v>325</v>
      </c>
      <c r="B540" s="40" t="s">
        <v>334</v>
      </c>
      <c r="C540" s="40">
        <v>54.0</v>
      </c>
      <c r="D540" s="40" t="s">
        <v>1068</v>
      </c>
      <c r="E540" s="40" t="s">
        <v>682</v>
      </c>
      <c r="F540" s="360">
        <v>35207.0</v>
      </c>
      <c r="G540" s="360">
        <v>43249.0</v>
      </c>
      <c r="H540" s="360">
        <v>43249.0</v>
      </c>
      <c r="I540" s="360">
        <v>43249.0</v>
      </c>
      <c r="J540" s="361">
        <v>3.33</v>
      </c>
      <c r="K540" s="361">
        <v>1.23</v>
      </c>
      <c r="L540" s="361">
        <v>2.1</v>
      </c>
      <c r="M540" s="40">
        <v>1.0</v>
      </c>
      <c r="N540" s="361">
        <v>1.23</v>
      </c>
    </row>
    <row r="541">
      <c r="A541" s="357" t="s">
        <v>325</v>
      </c>
      <c r="B541" s="40"/>
      <c r="C541" s="40">
        <v>55.0</v>
      </c>
      <c r="D541" s="40" t="s">
        <v>1071</v>
      </c>
      <c r="E541" s="40" t="s">
        <v>682</v>
      </c>
      <c r="F541" s="360">
        <v>35385.0</v>
      </c>
      <c r="G541" s="360">
        <v>43249.0</v>
      </c>
      <c r="H541" s="360">
        <v>43249.0</v>
      </c>
      <c r="I541" s="360">
        <v>43249.0</v>
      </c>
      <c r="J541" s="361">
        <v>3.33</v>
      </c>
      <c r="K541" s="361">
        <v>1.23</v>
      </c>
      <c r="L541" s="361">
        <v>2.1</v>
      </c>
      <c r="M541" s="40">
        <v>1.0</v>
      </c>
      <c r="N541" s="361">
        <v>1.23</v>
      </c>
    </row>
    <row r="542">
      <c r="A542" s="357" t="s">
        <v>325</v>
      </c>
      <c r="B542" s="40"/>
      <c r="C542" s="40">
        <v>45.0</v>
      </c>
      <c r="D542" s="40" t="s">
        <v>1077</v>
      </c>
      <c r="E542" s="40" t="s">
        <v>682</v>
      </c>
      <c r="F542" s="360">
        <v>35774.0</v>
      </c>
      <c r="G542" s="360">
        <v>42665.0</v>
      </c>
      <c r="H542" s="360">
        <v>42665.0</v>
      </c>
      <c r="I542" s="360">
        <v>42665.0</v>
      </c>
      <c r="J542" s="361">
        <v>9.99</v>
      </c>
      <c r="K542" s="361">
        <v>3.99</v>
      </c>
      <c r="L542" s="361">
        <v>6.0</v>
      </c>
      <c r="M542" s="40">
        <v>1.0</v>
      </c>
      <c r="N542" s="361">
        <v>3.99</v>
      </c>
    </row>
    <row r="543">
      <c r="A543" s="357" t="s">
        <v>325</v>
      </c>
      <c r="B543" s="40"/>
      <c r="C543" s="40">
        <v>46.0</v>
      </c>
      <c r="D543" s="40" t="s">
        <v>1078</v>
      </c>
      <c r="E543" s="40" t="s">
        <v>682</v>
      </c>
      <c r="F543" s="360">
        <v>35914.0</v>
      </c>
      <c r="G543" s="360">
        <v>42875.0</v>
      </c>
      <c r="H543" s="360">
        <v>42875.0</v>
      </c>
      <c r="I543" s="360">
        <v>42875.0</v>
      </c>
      <c r="J543" s="361">
        <v>9.99</v>
      </c>
      <c r="K543" s="361">
        <v>3.99</v>
      </c>
      <c r="L543" s="361">
        <v>6.0</v>
      </c>
      <c r="M543" s="40">
        <v>1.0</v>
      </c>
      <c r="N543" s="361">
        <v>3.99</v>
      </c>
    </row>
    <row r="544">
      <c r="A544" s="357" t="s">
        <v>325</v>
      </c>
      <c r="B544" s="40"/>
      <c r="C544" s="40">
        <v>53.0</v>
      </c>
      <c r="D544" s="40" t="s">
        <v>1080</v>
      </c>
      <c r="E544" s="40" t="s">
        <v>682</v>
      </c>
      <c r="F544" s="360">
        <v>35977.0</v>
      </c>
      <c r="G544" s="360">
        <v>43249.0</v>
      </c>
      <c r="H544" s="360">
        <v>43249.0</v>
      </c>
      <c r="I544" s="360">
        <v>43249.0</v>
      </c>
      <c r="J544" s="361">
        <v>3.33</v>
      </c>
      <c r="K544" s="361">
        <v>1.23</v>
      </c>
      <c r="L544" s="361">
        <v>2.1</v>
      </c>
      <c r="M544" s="40">
        <v>1.0</v>
      </c>
      <c r="N544" s="361">
        <v>1.23</v>
      </c>
    </row>
    <row r="545">
      <c r="A545" s="357" t="s">
        <v>325</v>
      </c>
      <c r="B545" s="40"/>
      <c r="C545" s="40">
        <v>56.0</v>
      </c>
      <c r="D545" s="40" t="s">
        <v>1084</v>
      </c>
      <c r="E545" s="40" t="s">
        <v>682</v>
      </c>
      <c r="F545" s="360">
        <v>36336.0</v>
      </c>
      <c r="G545" s="360">
        <v>43249.0</v>
      </c>
      <c r="H545" s="360">
        <v>43249.0</v>
      </c>
      <c r="I545" s="360">
        <v>43249.0</v>
      </c>
      <c r="J545" s="361">
        <v>3.33</v>
      </c>
      <c r="K545" s="361">
        <v>1.23</v>
      </c>
      <c r="L545" s="361">
        <v>2.1</v>
      </c>
      <c r="M545" s="40">
        <v>1.0</v>
      </c>
      <c r="N545" s="361">
        <v>1.23</v>
      </c>
    </row>
    <row r="546">
      <c r="A546" s="357" t="s">
        <v>325</v>
      </c>
      <c r="B546" s="40"/>
      <c r="C546" s="40">
        <v>47.0</v>
      </c>
      <c r="D546" s="40" t="s">
        <v>1088</v>
      </c>
      <c r="E546" s="40" t="s">
        <v>682</v>
      </c>
      <c r="F546" s="360">
        <v>36577.0</v>
      </c>
      <c r="G546" s="360">
        <v>42665.0</v>
      </c>
      <c r="H546" s="360">
        <v>42665.0</v>
      </c>
      <c r="I546" s="360">
        <v>42665.0</v>
      </c>
      <c r="J546" s="361">
        <v>9.99</v>
      </c>
      <c r="K546" s="361">
        <v>3.99</v>
      </c>
      <c r="L546" s="361">
        <v>6.0</v>
      </c>
      <c r="M546" s="40">
        <v>1.0</v>
      </c>
      <c r="N546" s="361">
        <v>3.99</v>
      </c>
    </row>
    <row r="547">
      <c r="A547" s="357" t="s">
        <v>325</v>
      </c>
      <c r="B547" s="40"/>
      <c r="C547" s="40">
        <v>130.0</v>
      </c>
      <c r="D547" s="40" t="s">
        <v>1098</v>
      </c>
      <c r="E547" s="40" t="s">
        <v>645</v>
      </c>
      <c r="F547" s="360">
        <v>37148.0</v>
      </c>
      <c r="G547" s="360">
        <v>45224.0</v>
      </c>
      <c r="H547" s="360">
        <v>45227.0</v>
      </c>
      <c r="I547" s="360">
        <v>45229.0</v>
      </c>
      <c r="J547" s="361">
        <v>14.99</v>
      </c>
      <c r="K547" s="361">
        <v>0.99</v>
      </c>
      <c r="L547" s="361">
        <v>14.0</v>
      </c>
      <c r="M547" s="40">
        <v>2.0</v>
      </c>
      <c r="N547" s="361">
        <v>0.5</v>
      </c>
    </row>
    <row r="548">
      <c r="A548" s="357" t="s">
        <v>325</v>
      </c>
      <c r="B548" s="40"/>
      <c r="C548" s="40">
        <v>89.0</v>
      </c>
      <c r="D548" s="40" t="s">
        <v>1102</v>
      </c>
      <c r="E548" s="40" t="s">
        <v>645</v>
      </c>
      <c r="F548" s="360">
        <v>37232.0</v>
      </c>
      <c r="G548" s="360">
        <v>43685.0</v>
      </c>
      <c r="H548" s="360">
        <v>44488.0</v>
      </c>
      <c r="I548" s="360">
        <v>44489.0</v>
      </c>
      <c r="J548" s="361">
        <v>7.33</v>
      </c>
      <c r="K548" s="361">
        <v>3.67</v>
      </c>
      <c r="L548" s="361">
        <v>3.66</v>
      </c>
      <c r="M548" s="40">
        <v>13.0</v>
      </c>
      <c r="N548" s="361">
        <v>0.28</v>
      </c>
    </row>
    <row r="549">
      <c r="A549" s="357" t="s">
        <v>325</v>
      </c>
      <c r="B549" s="40"/>
      <c r="C549" s="40">
        <v>90.0</v>
      </c>
      <c r="D549" s="40" t="s">
        <v>1109</v>
      </c>
      <c r="E549" s="40" t="s">
        <v>645</v>
      </c>
      <c r="F549" s="360">
        <v>37708.0</v>
      </c>
      <c r="G549" s="360">
        <v>43685.0</v>
      </c>
      <c r="H549" s="360">
        <v>44489.0</v>
      </c>
      <c r="I549" s="360">
        <v>44494.0</v>
      </c>
      <c r="J549" s="361">
        <v>7.33</v>
      </c>
      <c r="K549" s="361">
        <v>3.66</v>
      </c>
      <c r="L549" s="361">
        <v>3.67</v>
      </c>
      <c r="M549" s="40">
        <v>2.0</v>
      </c>
      <c r="N549" s="361">
        <v>1.83</v>
      </c>
    </row>
    <row r="550">
      <c r="A550" s="357" t="s">
        <v>325</v>
      </c>
      <c r="B550" s="40"/>
      <c r="C550" s="40">
        <v>91.0</v>
      </c>
      <c r="D550" s="40" t="s">
        <v>1115</v>
      </c>
      <c r="E550" s="40" t="s">
        <v>645</v>
      </c>
      <c r="F550" s="360">
        <v>38436.0</v>
      </c>
      <c r="G550" s="360">
        <v>43685.0</v>
      </c>
      <c r="H550" s="360">
        <v>44494.0</v>
      </c>
      <c r="I550" s="360">
        <v>44494.0</v>
      </c>
      <c r="J550" s="361">
        <v>7.33</v>
      </c>
      <c r="K550" s="361">
        <v>3.66</v>
      </c>
      <c r="L550" s="361">
        <v>3.67</v>
      </c>
      <c r="M550" s="40">
        <v>2.0</v>
      </c>
      <c r="N550" s="361">
        <v>1.83</v>
      </c>
    </row>
    <row r="551">
      <c r="A551" s="357" t="s">
        <v>325</v>
      </c>
      <c r="B551" s="40"/>
      <c r="C551" s="40">
        <v>131.0</v>
      </c>
      <c r="D551" s="40" t="s">
        <v>1116</v>
      </c>
      <c r="E551" s="40" t="s">
        <v>645</v>
      </c>
      <c r="F551" s="360">
        <v>38660.0</v>
      </c>
      <c r="G551" s="360">
        <v>43727.0</v>
      </c>
      <c r="H551" s="360">
        <v>43734.0</v>
      </c>
      <c r="I551" s="360">
        <v>43740.0</v>
      </c>
      <c r="J551" s="361">
        <v>19.99</v>
      </c>
      <c r="K551" s="361">
        <v>7.99</v>
      </c>
      <c r="L551" s="361">
        <v>12.0</v>
      </c>
      <c r="M551" s="40">
        <v>17.0</v>
      </c>
      <c r="N551" s="361">
        <v>0.47</v>
      </c>
    </row>
    <row r="552">
      <c r="A552" s="358" t="s">
        <v>325</v>
      </c>
      <c r="B552" s="40"/>
      <c r="C552" s="40">
        <v>226.0</v>
      </c>
      <c r="D552" s="40" t="s">
        <v>1136</v>
      </c>
      <c r="E552" s="40" t="s">
        <v>649</v>
      </c>
      <c r="F552" s="360">
        <v>39486.0</v>
      </c>
      <c r="G552" s="360">
        <v>43685.0</v>
      </c>
      <c r="H552" s="360">
        <v>43685.0</v>
      </c>
      <c r="I552" s="360">
        <v>43685.0</v>
      </c>
      <c r="J552" s="361">
        <v>22.99</v>
      </c>
      <c r="K552" s="361">
        <v>10.99</v>
      </c>
      <c r="L552" s="361">
        <v>12.0</v>
      </c>
      <c r="M552" s="40">
        <v>1.0</v>
      </c>
      <c r="N552" s="361">
        <v>10.99</v>
      </c>
    </row>
    <row r="553">
      <c r="A553" s="358" t="s">
        <v>325</v>
      </c>
      <c r="B553" s="40"/>
      <c r="C553" s="40">
        <v>339.0</v>
      </c>
      <c r="D553" s="40" t="s">
        <v>1139</v>
      </c>
      <c r="E553" s="40" t="s">
        <v>649</v>
      </c>
      <c r="F553" s="360">
        <v>39885.0</v>
      </c>
      <c r="G553" s="360">
        <v>44510.0</v>
      </c>
      <c r="H553" s="360">
        <v>45209.0</v>
      </c>
      <c r="I553" s="360">
        <v>45227.0</v>
      </c>
      <c r="J553" s="361">
        <v>19.99</v>
      </c>
      <c r="K553" s="361">
        <v>7.99</v>
      </c>
      <c r="L553" s="361">
        <v>12.0</v>
      </c>
      <c r="M553" s="40">
        <v>12.0</v>
      </c>
      <c r="N553" s="361">
        <v>0.67</v>
      </c>
    </row>
    <row r="554">
      <c r="A554" s="358" t="s">
        <v>325</v>
      </c>
      <c r="B554" s="40"/>
      <c r="C554" s="40">
        <v>372.0</v>
      </c>
      <c r="D554" s="40" t="s">
        <v>1157</v>
      </c>
      <c r="E554" s="40" t="s">
        <v>649</v>
      </c>
      <c r="F554" s="360">
        <v>40977.0</v>
      </c>
      <c r="G554" s="360">
        <v>42766.0</v>
      </c>
      <c r="H554" s="360">
        <v>43059.0</v>
      </c>
      <c r="I554" s="360">
        <v>45021.0</v>
      </c>
      <c r="J554" s="361">
        <v>24.99</v>
      </c>
      <c r="K554" s="361">
        <v>4.99</v>
      </c>
      <c r="L554" s="361">
        <v>20.0</v>
      </c>
      <c r="M554" s="40">
        <v>5.0</v>
      </c>
      <c r="N554" s="361">
        <v>1.0</v>
      </c>
    </row>
    <row r="555">
      <c r="A555" s="358" t="s">
        <v>325</v>
      </c>
      <c r="B555" s="40"/>
      <c r="C555" s="40">
        <v>340.0</v>
      </c>
      <c r="D555" s="40" t="s">
        <v>1164</v>
      </c>
      <c r="E555" s="40" t="s">
        <v>649</v>
      </c>
      <c r="F555" s="360">
        <v>41184.0</v>
      </c>
      <c r="G555" s="360">
        <v>44510.0</v>
      </c>
      <c r="H555" s="360">
        <v>45213.0</v>
      </c>
      <c r="I555" s="360">
        <v>45213.0</v>
      </c>
      <c r="J555" s="361">
        <v>19.99</v>
      </c>
      <c r="K555" s="361">
        <v>7.99</v>
      </c>
      <c r="L555" s="361">
        <v>12.0</v>
      </c>
      <c r="M555" s="40">
        <v>1.0</v>
      </c>
      <c r="N555" s="361">
        <v>7.99</v>
      </c>
    </row>
    <row r="556">
      <c r="A556" s="358" t="s">
        <v>325</v>
      </c>
      <c r="B556" s="40"/>
      <c r="C556" s="40">
        <v>341.0</v>
      </c>
      <c r="D556" s="40" t="s">
        <v>1166</v>
      </c>
      <c r="E556" s="40" t="s">
        <v>649</v>
      </c>
      <c r="F556" s="360">
        <v>41418.0</v>
      </c>
      <c r="G556" s="360">
        <v>43638.0</v>
      </c>
      <c r="H556" s="360">
        <v>43645.0</v>
      </c>
      <c r="I556" s="360">
        <v>43647.0</v>
      </c>
      <c r="J556" s="361">
        <v>19.99</v>
      </c>
      <c r="K556" s="361">
        <v>7.49</v>
      </c>
      <c r="L556" s="361">
        <v>12.5</v>
      </c>
      <c r="M556" s="40">
        <v>11.0</v>
      </c>
      <c r="N556" s="361">
        <v>0.68</v>
      </c>
    </row>
    <row r="557">
      <c r="A557" s="358" t="s">
        <v>325</v>
      </c>
      <c r="B557" s="40"/>
      <c r="C557" s="40">
        <v>342.0</v>
      </c>
      <c r="D557" s="40" t="s">
        <v>1174</v>
      </c>
      <c r="E557" s="40" t="s">
        <v>649</v>
      </c>
      <c r="F557" s="360">
        <v>42024.0</v>
      </c>
      <c r="G557" s="360">
        <v>43727.0</v>
      </c>
      <c r="H557" s="360">
        <v>43733.0</v>
      </c>
      <c r="I557" s="360">
        <v>43733.0</v>
      </c>
      <c r="J557" s="361">
        <v>19.99</v>
      </c>
      <c r="K557" s="361">
        <v>4.99</v>
      </c>
      <c r="L557" s="361">
        <v>15.0</v>
      </c>
      <c r="M557" s="40">
        <v>18.0</v>
      </c>
      <c r="N557" s="361">
        <v>0.28</v>
      </c>
    </row>
    <row r="558">
      <c r="A558" s="358" t="s">
        <v>325</v>
      </c>
      <c r="B558" s="40"/>
      <c r="C558" s="40">
        <v>343.0</v>
      </c>
      <c r="D558" s="40" t="s">
        <v>1175</v>
      </c>
      <c r="E558" s="40" t="s">
        <v>649</v>
      </c>
      <c r="F558" s="360">
        <v>42060.0</v>
      </c>
      <c r="G558" s="360">
        <v>43638.0</v>
      </c>
      <c r="H558" s="360">
        <v>43647.0</v>
      </c>
      <c r="I558" s="360">
        <v>43647.0</v>
      </c>
      <c r="J558" s="361">
        <v>19.99</v>
      </c>
      <c r="K558" s="361">
        <v>7.49</v>
      </c>
      <c r="L558" s="361">
        <v>12.5</v>
      </c>
      <c r="M558" s="40">
        <v>1.0</v>
      </c>
      <c r="N558" s="361">
        <v>7.49</v>
      </c>
    </row>
    <row r="559">
      <c r="A559" s="40" t="s">
        <v>325</v>
      </c>
      <c r="B559" s="40"/>
      <c r="C559" s="40">
        <v>344.0</v>
      </c>
      <c r="D559" s="40" t="s">
        <v>1178</v>
      </c>
      <c r="E559" s="40" t="s">
        <v>649</v>
      </c>
      <c r="F559" s="360">
        <v>42388.0</v>
      </c>
      <c r="G559" s="360">
        <v>43727.0</v>
      </c>
      <c r="H559" s="360">
        <v>43775.0</v>
      </c>
      <c r="I559" s="360">
        <v>43775.0</v>
      </c>
      <c r="J559" s="361">
        <v>19.99</v>
      </c>
      <c r="K559" s="361">
        <v>4.99</v>
      </c>
      <c r="L559" s="361">
        <v>15.0</v>
      </c>
      <c r="M559" s="40">
        <v>19.0</v>
      </c>
      <c r="N559" s="361">
        <v>0.26</v>
      </c>
    </row>
    <row r="560">
      <c r="A560" s="40" t="s">
        <v>325</v>
      </c>
      <c r="B560" s="40"/>
      <c r="C560" s="40">
        <v>730.0</v>
      </c>
      <c r="D560" s="40" t="s">
        <v>1198</v>
      </c>
      <c r="E560" s="40" t="s">
        <v>33</v>
      </c>
      <c r="F560" s="360">
        <v>42241.0</v>
      </c>
      <c r="G560" s="360">
        <v>42619.0</v>
      </c>
      <c r="H560" s="360">
        <v>42799.0</v>
      </c>
      <c r="I560" s="360">
        <v>42799.0</v>
      </c>
      <c r="J560" s="361">
        <v>2.5</v>
      </c>
      <c r="K560" s="361">
        <v>1.33</v>
      </c>
      <c r="L560" s="361">
        <v>1.17</v>
      </c>
      <c r="M560" s="40">
        <v>3.0</v>
      </c>
      <c r="N560" s="361">
        <v>0.44</v>
      </c>
    </row>
    <row r="561">
      <c r="A561" s="40" t="s">
        <v>325</v>
      </c>
      <c r="B561" s="40"/>
      <c r="C561" s="40">
        <v>731.0</v>
      </c>
      <c r="D561" s="40" t="s">
        <v>1199</v>
      </c>
      <c r="E561" s="40" t="s">
        <v>33</v>
      </c>
      <c r="F561" s="360">
        <v>42241.0</v>
      </c>
      <c r="G561" s="360">
        <v>42619.0</v>
      </c>
      <c r="H561" s="360">
        <v>42799.0</v>
      </c>
      <c r="I561" s="360">
        <v>42799.0</v>
      </c>
      <c r="J561" s="361">
        <v>2.5</v>
      </c>
      <c r="K561" s="361">
        <v>1.33</v>
      </c>
      <c r="L561" s="361">
        <v>1.17</v>
      </c>
      <c r="M561" s="40">
        <v>2.0</v>
      </c>
      <c r="N561" s="361">
        <v>0.67</v>
      </c>
    </row>
    <row r="562">
      <c r="A562" s="40" t="s">
        <v>325</v>
      </c>
      <c r="B562" s="40"/>
      <c r="C562" s="40">
        <v>732.0</v>
      </c>
      <c r="D562" s="40" t="s">
        <v>1200</v>
      </c>
      <c r="E562" s="40" t="s">
        <v>33</v>
      </c>
      <c r="F562" s="360">
        <v>42241.0</v>
      </c>
      <c r="G562" s="360">
        <v>42619.0</v>
      </c>
      <c r="H562" s="360">
        <v>42799.0</v>
      </c>
      <c r="I562" s="360">
        <v>42799.0</v>
      </c>
      <c r="J562" s="361">
        <v>2.5</v>
      </c>
      <c r="K562" s="361">
        <v>1.33</v>
      </c>
      <c r="L562" s="361">
        <v>1.17</v>
      </c>
      <c r="M562" s="40">
        <v>1.0</v>
      </c>
      <c r="N562" s="361">
        <v>1.33</v>
      </c>
    </row>
    <row r="563">
      <c r="A563" s="40" t="s">
        <v>325</v>
      </c>
      <c r="B563" s="40"/>
      <c r="C563" s="40">
        <v>733.0</v>
      </c>
      <c r="D563" s="40" t="s">
        <v>1201</v>
      </c>
      <c r="E563" s="40" t="s">
        <v>33</v>
      </c>
      <c r="F563" s="360">
        <v>42241.0</v>
      </c>
      <c r="G563" s="360">
        <v>42619.0</v>
      </c>
      <c r="H563" s="360">
        <v>42799.0</v>
      </c>
      <c r="I563" s="360">
        <v>42799.0</v>
      </c>
      <c r="J563" s="361">
        <v>2.5</v>
      </c>
      <c r="K563" s="361">
        <v>1.33</v>
      </c>
      <c r="L563" s="361">
        <v>1.17</v>
      </c>
      <c r="M563" s="40">
        <v>1.0</v>
      </c>
      <c r="N563" s="361">
        <v>1.33</v>
      </c>
    </row>
    <row r="564">
      <c r="A564" s="40" t="s">
        <v>325</v>
      </c>
      <c r="B564" s="40"/>
      <c r="C564" s="40">
        <v>734.0</v>
      </c>
      <c r="D564" s="40" t="s">
        <v>1202</v>
      </c>
      <c r="E564" s="40" t="s">
        <v>33</v>
      </c>
      <c r="F564" s="360">
        <v>42241.0</v>
      </c>
      <c r="G564" s="360">
        <v>42619.0</v>
      </c>
      <c r="H564" s="360">
        <v>42799.0</v>
      </c>
      <c r="I564" s="360">
        <v>42799.0</v>
      </c>
      <c r="J564" s="361">
        <v>2.5</v>
      </c>
      <c r="K564" s="361">
        <v>1.33</v>
      </c>
      <c r="L564" s="361">
        <v>1.17</v>
      </c>
      <c r="M564" s="40">
        <v>1.0</v>
      </c>
      <c r="N564" s="361">
        <v>1.33</v>
      </c>
    </row>
    <row r="565">
      <c r="A565" s="40" t="s">
        <v>325</v>
      </c>
      <c r="B565" s="40"/>
      <c r="C565" s="40">
        <v>735.0</v>
      </c>
      <c r="D565" s="40" t="s">
        <v>1203</v>
      </c>
      <c r="E565" s="40" t="s">
        <v>33</v>
      </c>
      <c r="F565" s="360">
        <v>42241.0</v>
      </c>
      <c r="G565" s="360">
        <v>42619.0</v>
      </c>
      <c r="H565" s="360">
        <v>42799.0</v>
      </c>
      <c r="I565" s="360">
        <v>42799.0</v>
      </c>
      <c r="J565" s="361">
        <v>2.49</v>
      </c>
      <c r="K565" s="361">
        <v>1.34</v>
      </c>
      <c r="L565" s="361">
        <v>1.15</v>
      </c>
      <c r="M565" s="40">
        <v>1.0</v>
      </c>
      <c r="N565" s="361">
        <v>1.34</v>
      </c>
    </row>
    <row r="566">
      <c r="A566" s="40" t="s">
        <v>325</v>
      </c>
      <c r="B566" s="40"/>
      <c r="C566" s="40">
        <v>576.0</v>
      </c>
      <c r="D566" s="40" t="s">
        <v>1206</v>
      </c>
      <c r="E566" s="40" t="s">
        <v>33</v>
      </c>
      <c r="F566" s="360">
        <v>42626.0</v>
      </c>
      <c r="G566" s="360">
        <v>43907.0</v>
      </c>
      <c r="H566" s="360">
        <v>43907.0</v>
      </c>
      <c r="I566" s="360">
        <v>43908.0</v>
      </c>
      <c r="J566" s="361">
        <v>19.99</v>
      </c>
      <c r="K566" s="361">
        <v>4.99</v>
      </c>
      <c r="L566" s="361">
        <v>15.0</v>
      </c>
      <c r="M566" s="40">
        <v>5.0</v>
      </c>
      <c r="N566" s="361">
        <v>1.0</v>
      </c>
    </row>
    <row r="567">
      <c r="A567" s="40" t="s">
        <v>325</v>
      </c>
      <c r="B567" s="40"/>
      <c r="C567" s="40">
        <v>807.0</v>
      </c>
      <c r="D567" s="40" t="s">
        <v>1210</v>
      </c>
      <c r="E567" s="40" t="s">
        <v>33</v>
      </c>
      <c r="F567" s="360">
        <v>42759.0</v>
      </c>
      <c r="G567" s="360">
        <v>43466.0</v>
      </c>
      <c r="H567" s="360">
        <v>43469.0</v>
      </c>
      <c r="I567" s="360">
        <v>44499.0</v>
      </c>
      <c r="J567" s="361">
        <v>49.98</v>
      </c>
      <c r="K567" s="361">
        <v>26.98</v>
      </c>
      <c r="L567" s="361">
        <v>23.0</v>
      </c>
      <c r="M567" s="40">
        <v>16.0</v>
      </c>
      <c r="N567" s="361">
        <v>1.69</v>
      </c>
    </row>
    <row r="568">
      <c r="A568" s="40" t="s">
        <v>325</v>
      </c>
      <c r="B568" s="40"/>
      <c r="C568" s="40">
        <v>880.0</v>
      </c>
      <c r="D568" s="40" t="s">
        <v>1214</v>
      </c>
      <c r="E568" s="40" t="s">
        <v>33</v>
      </c>
      <c r="F568" s="360">
        <v>42843.0</v>
      </c>
      <c r="G568" s="360">
        <v>44203.0</v>
      </c>
      <c r="H568" s="360">
        <v>44203.0</v>
      </c>
      <c r="I568" s="360">
        <v>44203.0</v>
      </c>
      <c r="J568" s="361">
        <v>3.33</v>
      </c>
      <c r="K568" s="361">
        <v>1.0</v>
      </c>
      <c r="L568" s="361">
        <v>2.33</v>
      </c>
      <c r="M568" s="40">
        <v>1.0</v>
      </c>
      <c r="N568" s="361">
        <v>1.0</v>
      </c>
    </row>
    <row r="569">
      <c r="A569" s="40" t="s">
        <v>325</v>
      </c>
      <c r="B569" s="40"/>
      <c r="C569" s="40">
        <v>570.0</v>
      </c>
      <c r="D569" s="40" t="s">
        <v>1215</v>
      </c>
      <c r="E569" s="40" t="s">
        <v>33</v>
      </c>
      <c r="F569" s="360">
        <v>42843.0</v>
      </c>
      <c r="G569" s="360">
        <v>44203.0</v>
      </c>
      <c r="H569" s="360">
        <v>44203.0</v>
      </c>
      <c r="I569" s="360">
        <v>44203.0</v>
      </c>
      <c r="J569" s="361">
        <v>3.33</v>
      </c>
      <c r="K569" s="361">
        <v>0.99</v>
      </c>
      <c r="L569" s="361">
        <v>2.34</v>
      </c>
      <c r="M569" s="40">
        <v>1.0</v>
      </c>
      <c r="N569" s="361">
        <v>0.99</v>
      </c>
    </row>
    <row r="570">
      <c r="A570" s="40" t="s">
        <v>325</v>
      </c>
      <c r="B570" s="40"/>
      <c r="C570" s="40">
        <v>599.0</v>
      </c>
      <c r="D570" s="40" t="s">
        <v>1216</v>
      </c>
      <c r="E570" s="40" t="s">
        <v>33</v>
      </c>
      <c r="F570" s="360">
        <v>42843.0</v>
      </c>
      <c r="G570" s="360">
        <v>44203.0</v>
      </c>
      <c r="H570" s="360">
        <v>44203.0</v>
      </c>
      <c r="I570" s="360">
        <v>44203.0</v>
      </c>
      <c r="J570" s="361">
        <v>3.34</v>
      </c>
      <c r="K570" s="361">
        <v>1.0</v>
      </c>
      <c r="L570" s="361">
        <v>2.34</v>
      </c>
      <c r="M570" s="40">
        <v>1.0</v>
      </c>
      <c r="N570" s="361">
        <v>1.0</v>
      </c>
    </row>
    <row r="571">
      <c r="A571" s="40" t="s">
        <v>325</v>
      </c>
      <c r="B571" s="40"/>
      <c r="C571" s="40">
        <v>600.0</v>
      </c>
      <c r="D571" s="40" t="s">
        <v>1217</v>
      </c>
      <c r="E571" s="40" t="s">
        <v>33</v>
      </c>
      <c r="F571" s="360">
        <v>42843.0</v>
      </c>
      <c r="G571" s="360">
        <v>44203.0</v>
      </c>
      <c r="H571" s="360">
        <v>44203.0</v>
      </c>
      <c r="I571" s="360">
        <v>44203.0</v>
      </c>
      <c r="J571" s="361">
        <v>3.33</v>
      </c>
      <c r="K571" s="361">
        <v>0.5</v>
      </c>
      <c r="L571" s="361">
        <v>2.83</v>
      </c>
      <c r="M571" s="40">
        <v>1.0</v>
      </c>
      <c r="N571" s="361">
        <v>0.5</v>
      </c>
    </row>
    <row r="572">
      <c r="A572" s="40" t="s">
        <v>325</v>
      </c>
      <c r="B572" s="40"/>
      <c r="C572" s="40">
        <v>547.0</v>
      </c>
      <c r="D572" s="40" t="s">
        <v>1218</v>
      </c>
      <c r="E572" s="40" t="s">
        <v>33</v>
      </c>
      <c r="F572" s="360">
        <v>42843.0</v>
      </c>
      <c r="G572" s="360">
        <v>44203.0</v>
      </c>
      <c r="H572" s="360">
        <v>44203.0</v>
      </c>
      <c r="I572" s="360">
        <v>44203.0</v>
      </c>
      <c r="J572" s="361">
        <v>3.33</v>
      </c>
      <c r="K572" s="361">
        <v>1.0</v>
      </c>
      <c r="L572" s="361">
        <v>2.33</v>
      </c>
      <c r="M572" s="40">
        <v>1.0</v>
      </c>
      <c r="N572" s="361">
        <v>1.0</v>
      </c>
    </row>
    <row r="573">
      <c r="A573" s="40" t="s">
        <v>325</v>
      </c>
      <c r="B573" s="40"/>
      <c r="C573" s="40">
        <v>548.0</v>
      </c>
      <c r="D573" s="40" t="s">
        <v>1219</v>
      </c>
      <c r="E573" s="40" t="s">
        <v>33</v>
      </c>
      <c r="F573" s="360">
        <v>42843.0</v>
      </c>
      <c r="G573" s="360">
        <v>44203.0</v>
      </c>
      <c r="H573" s="360">
        <v>44203.0</v>
      </c>
      <c r="I573" s="360">
        <v>44203.0</v>
      </c>
      <c r="J573" s="361">
        <v>3.33</v>
      </c>
      <c r="K573" s="361">
        <v>0.5</v>
      </c>
      <c r="L573" s="361">
        <v>2.83</v>
      </c>
      <c r="M573" s="40">
        <v>1.0</v>
      </c>
      <c r="N573" s="361">
        <v>0.5</v>
      </c>
    </row>
    <row r="574">
      <c r="A574" s="40" t="s">
        <v>325</v>
      </c>
      <c r="B574" s="40"/>
      <c r="C574" s="40">
        <v>736.0</v>
      </c>
      <c r="D574" s="40" t="s">
        <v>1221</v>
      </c>
      <c r="E574" s="40" t="s">
        <v>33</v>
      </c>
      <c r="F574" s="360">
        <v>42955.0</v>
      </c>
      <c r="G574" s="360">
        <v>43091.0</v>
      </c>
      <c r="H574" s="360">
        <v>43135.0</v>
      </c>
      <c r="I574" s="360">
        <v>43144.0</v>
      </c>
      <c r="J574" s="361">
        <v>3.75</v>
      </c>
      <c r="K574" s="361">
        <v>2.0</v>
      </c>
      <c r="L574" s="361">
        <v>1.75</v>
      </c>
      <c r="M574" s="40">
        <v>3.0</v>
      </c>
      <c r="N574" s="361">
        <v>0.67</v>
      </c>
    </row>
    <row r="575">
      <c r="A575" s="40" t="s">
        <v>325</v>
      </c>
      <c r="B575" s="40"/>
      <c r="C575" s="40">
        <v>737.0</v>
      </c>
      <c r="D575" s="40" t="s">
        <v>1222</v>
      </c>
      <c r="E575" s="40" t="s">
        <v>33</v>
      </c>
      <c r="F575" s="360">
        <v>42955.0</v>
      </c>
      <c r="G575" s="360">
        <v>43091.0</v>
      </c>
      <c r="H575" s="360">
        <v>43135.0</v>
      </c>
      <c r="I575" s="360">
        <v>43144.0</v>
      </c>
      <c r="J575" s="361">
        <v>3.75</v>
      </c>
      <c r="K575" s="361">
        <v>2.0</v>
      </c>
      <c r="L575" s="361">
        <v>1.75</v>
      </c>
      <c r="M575" s="40">
        <v>2.0</v>
      </c>
      <c r="N575" s="361">
        <v>1.0</v>
      </c>
    </row>
    <row r="576">
      <c r="A576" s="40" t="s">
        <v>325</v>
      </c>
      <c r="B576" s="40"/>
      <c r="C576" s="40">
        <v>738.0</v>
      </c>
      <c r="D576" s="40" t="s">
        <v>1223</v>
      </c>
      <c r="E576" s="40" t="s">
        <v>33</v>
      </c>
      <c r="F576" s="360">
        <v>42955.0</v>
      </c>
      <c r="G576" s="360">
        <v>43091.0</v>
      </c>
      <c r="H576" s="360">
        <v>43135.0</v>
      </c>
      <c r="I576" s="360">
        <v>43144.0</v>
      </c>
      <c r="J576" s="361">
        <v>3.75</v>
      </c>
      <c r="K576" s="361">
        <v>2.0</v>
      </c>
      <c r="L576" s="361">
        <v>1.75</v>
      </c>
      <c r="M576" s="40">
        <v>2.0</v>
      </c>
      <c r="N576" s="361">
        <v>1.0</v>
      </c>
    </row>
    <row r="577">
      <c r="A577" s="40" t="s">
        <v>325</v>
      </c>
      <c r="B577" s="40"/>
      <c r="C577" s="40">
        <v>739.0</v>
      </c>
      <c r="D577" s="40" t="s">
        <v>1224</v>
      </c>
      <c r="E577" s="40" t="s">
        <v>33</v>
      </c>
      <c r="F577" s="360">
        <v>42955.0</v>
      </c>
      <c r="G577" s="360">
        <v>43091.0</v>
      </c>
      <c r="H577" s="360">
        <v>43135.0</v>
      </c>
      <c r="I577" s="360">
        <v>43144.0</v>
      </c>
      <c r="J577" s="361">
        <v>3.74</v>
      </c>
      <c r="K577" s="361">
        <v>1.99</v>
      </c>
      <c r="L577" s="361">
        <v>1.75</v>
      </c>
      <c r="M577" s="40">
        <v>2.0</v>
      </c>
      <c r="N577" s="361">
        <v>1.0</v>
      </c>
    </row>
    <row r="578">
      <c r="A578" s="40" t="s">
        <v>325</v>
      </c>
      <c r="B578" s="40"/>
      <c r="C578" s="40">
        <v>754.0</v>
      </c>
      <c r="D578" s="40" t="s">
        <v>1228</v>
      </c>
      <c r="E578" s="40" t="s">
        <v>33</v>
      </c>
      <c r="F578" s="360">
        <v>43126.0</v>
      </c>
      <c r="G578" s="360">
        <v>44334.0</v>
      </c>
      <c r="H578" s="360">
        <v>44669.0</v>
      </c>
      <c r="I578" s="360">
        <v>44672.0</v>
      </c>
      <c r="J578" s="361">
        <v>19.99</v>
      </c>
      <c r="K578" s="361">
        <v>0.0</v>
      </c>
      <c r="L578" s="361">
        <v>19.99</v>
      </c>
      <c r="M578" s="40">
        <v>2.0</v>
      </c>
      <c r="N578" s="361">
        <v>0.0</v>
      </c>
    </row>
    <row r="579">
      <c r="A579" s="40" t="s">
        <v>325</v>
      </c>
      <c r="B579" s="40"/>
      <c r="C579" s="40">
        <v>863.0</v>
      </c>
      <c r="D579" s="40" t="s">
        <v>1231</v>
      </c>
      <c r="E579" s="40" t="s">
        <v>33</v>
      </c>
      <c r="F579" s="360">
        <v>43249.0</v>
      </c>
      <c r="G579" s="360">
        <v>43249.0</v>
      </c>
      <c r="H579" s="360">
        <v>43249.0</v>
      </c>
      <c r="I579" s="360">
        <v>43249.0</v>
      </c>
      <c r="J579" s="361">
        <v>3.34</v>
      </c>
      <c r="K579" s="361">
        <v>1.24</v>
      </c>
      <c r="L579" s="361">
        <v>2.1</v>
      </c>
      <c r="M579" s="40">
        <v>1.0</v>
      </c>
      <c r="N579" s="361">
        <v>1.24</v>
      </c>
    </row>
    <row r="580">
      <c r="A580" s="40" t="s">
        <v>325</v>
      </c>
      <c r="B580" s="40"/>
      <c r="C580" s="40">
        <v>864.0</v>
      </c>
      <c r="D580" s="40" t="s">
        <v>1232</v>
      </c>
      <c r="E580" s="40" t="s">
        <v>33</v>
      </c>
      <c r="F580" s="360">
        <v>43249.0</v>
      </c>
      <c r="G580" s="360">
        <v>43249.0</v>
      </c>
      <c r="H580" s="360">
        <v>43249.0</v>
      </c>
      <c r="I580" s="360">
        <v>43249.0</v>
      </c>
      <c r="J580" s="361">
        <v>3.34</v>
      </c>
      <c r="K580" s="361">
        <v>1.24</v>
      </c>
      <c r="L580" s="361">
        <v>2.1</v>
      </c>
      <c r="M580" s="40">
        <v>1.0</v>
      </c>
      <c r="N580" s="361">
        <v>1.24</v>
      </c>
    </row>
    <row r="581">
      <c r="A581" s="40" t="s">
        <v>325</v>
      </c>
      <c r="B581" s="40"/>
      <c r="C581" s="40">
        <v>865.0</v>
      </c>
      <c r="D581" s="40" t="s">
        <v>1233</v>
      </c>
      <c r="E581" s="40" t="s">
        <v>33</v>
      </c>
      <c r="F581" s="360">
        <v>43249.0</v>
      </c>
      <c r="G581" s="360">
        <v>43249.0</v>
      </c>
      <c r="H581" s="360">
        <v>43249.0</v>
      </c>
      <c r="I581" s="360">
        <v>43249.0</v>
      </c>
      <c r="J581" s="361">
        <v>3.34</v>
      </c>
      <c r="K581" s="361">
        <v>1.24</v>
      </c>
      <c r="L581" s="361">
        <v>2.1</v>
      </c>
      <c r="M581" s="40">
        <v>1.0</v>
      </c>
      <c r="N581" s="361">
        <v>1.24</v>
      </c>
    </row>
    <row r="582">
      <c r="A582" s="40" t="s">
        <v>325</v>
      </c>
      <c r="B582" s="40"/>
      <c r="C582" s="40">
        <v>866.0</v>
      </c>
      <c r="D582" s="40" t="s">
        <v>1234</v>
      </c>
      <c r="E582" s="40" t="s">
        <v>33</v>
      </c>
      <c r="F582" s="360">
        <v>43249.0</v>
      </c>
      <c r="G582" s="360">
        <v>43249.0</v>
      </c>
      <c r="H582" s="360">
        <v>43249.0</v>
      </c>
      <c r="I582" s="360">
        <v>43249.0</v>
      </c>
      <c r="J582" s="361">
        <v>3.33</v>
      </c>
      <c r="K582" s="361">
        <v>1.23</v>
      </c>
      <c r="L582" s="361">
        <v>2.1</v>
      </c>
      <c r="M582" s="40">
        <v>1.0</v>
      </c>
      <c r="N582" s="361">
        <v>1.23</v>
      </c>
    </row>
    <row r="583">
      <c r="A583" s="40" t="s">
        <v>325</v>
      </c>
      <c r="B583" s="40"/>
      <c r="C583" s="40">
        <v>867.0</v>
      </c>
      <c r="D583" s="40" t="s">
        <v>1235</v>
      </c>
      <c r="E583" s="40" t="s">
        <v>33</v>
      </c>
      <c r="F583" s="360">
        <v>43249.0</v>
      </c>
      <c r="G583" s="360">
        <v>43249.0</v>
      </c>
      <c r="H583" s="360">
        <v>43249.0</v>
      </c>
      <c r="I583" s="360">
        <v>43249.0</v>
      </c>
      <c r="J583" s="361">
        <v>3.33</v>
      </c>
      <c r="K583" s="361">
        <v>1.23</v>
      </c>
      <c r="L583" s="361">
        <v>2.1</v>
      </c>
      <c r="M583" s="40">
        <v>1.0</v>
      </c>
      <c r="N583" s="361">
        <v>1.23</v>
      </c>
    </row>
    <row r="584">
      <c r="A584" s="40" t="s">
        <v>325</v>
      </c>
      <c r="B584" s="40"/>
      <c r="C584" s="40">
        <v>868.0</v>
      </c>
      <c r="D584" s="40" t="s">
        <v>1236</v>
      </c>
      <c r="E584" s="40" t="s">
        <v>33</v>
      </c>
      <c r="F584" s="360">
        <v>43249.0</v>
      </c>
      <c r="G584" s="360">
        <v>43249.0</v>
      </c>
      <c r="H584" s="360">
        <v>43249.0</v>
      </c>
      <c r="I584" s="360">
        <v>43249.0</v>
      </c>
      <c r="J584" s="361">
        <v>3.33</v>
      </c>
      <c r="K584" s="361">
        <v>1.23</v>
      </c>
      <c r="L584" s="361">
        <v>2.1</v>
      </c>
      <c r="M584" s="40">
        <v>1.0</v>
      </c>
      <c r="N584" s="361">
        <v>1.23</v>
      </c>
    </row>
    <row r="585">
      <c r="A585" s="40" t="s">
        <v>325</v>
      </c>
      <c r="B585" s="40"/>
      <c r="C585" s="40">
        <v>869.0</v>
      </c>
      <c r="D585" s="40" t="s">
        <v>1237</v>
      </c>
      <c r="E585" s="40" t="s">
        <v>33</v>
      </c>
      <c r="F585" s="360">
        <v>43249.0</v>
      </c>
      <c r="G585" s="360">
        <v>43249.0</v>
      </c>
      <c r="H585" s="360">
        <v>43249.0</v>
      </c>
      <c r="I585" s="360">
        <v>43249.0</v>
      </c>
      <c r="J585" s="361">
        <v>3.33</v>
      </c>
      <c r="K585" s="361">
        <v>1.23</v>
      </c>
      <c r="L585" s="361">
        <v>2.1</v>
      </c>
      <c r="M585" s="40">
        <v>1.0</v>
      </c>
      <c r="N585" s="361">
        <v>1.23</v>
      </c>
    </row>
    <row r="586">
      <c r="A586" s="40" t="s">
        <v>325</v>
      </c>
      <c r="B586" s="40"/>
      <c r="C586" s="40">
        <v>870.0</v>
      </c>
      <c r="D586" s="40" t="s">
        <v>1238</v>
      </c>
      <c r="E586" s="40" t="s">
        <v>33</v>
      </c>
      <c r="F586" s="360">
        <v>43249.0</v>
      </c>
      <c r="G586" s="360">
        <v>43249.0</v>
      </c>
      <c r="H586" s="360">
        <v>43249.0</v>
      </c>
      <c r="I586" s="360">
        <v>43249.0</v>
      </c>
      <c r="J586" s="361">
        <v>3.33</v>
      </c>
      <c r="K586" s="361">
        <v>1.23</v>
      </c>
      <c r="L586" s="361">
        <v>2.1</v>
      </c>
      <c r="M586" s="40">
        <v>1.0</v>
      </c>
      <c r="N586" s="361">
        <v>1.23</v>
      </c>
    </row>
    <row r="587">
      <c r="A587" s="40" t="s">
        <v>325</v>
      </c>
      <c r="B587" s="40"/>
      <c r="C587" s="40">
        <v>740.0</v>
      </c>
      <c r="D587" s="40" t="s">
        <v>1239</v>
      </c>
      <c r="E587" s="40" t="s">
        <v>33</v>
      </c>
      <c r="F587" s="360">
        <v>43305.0</v>
      </c>
      <c r="G587" s="360">
        <v>43668.0</v>
      </c>
      <c r="H587" s="360">
        <v>43668.0</v>
      </c>
      <c r="I587" s="360">
        <v>43668.0</v>
      </c>
      <c r="J587" s="361">
        <v>5.0</v>
      </c>
      <c r="K587" s="361">
        <v>3.0</v>
      </c>
      <c r="L587" s="361">
        <v>2.0</v>
      </c>
      <c r="M587" s="40">
        <v>1.0</v>
      </c>
      <c r="N587" s="361">
        <v>3.0</v>
      </c>
    </row>
    <row r="588">
      <c r="A588" s="40" t="s">
        <v>325</v>
      </c>
      <c r="B588" s="40"/>
      <c r="C588" s="40">
        <v>741.0</v>
      </c>
      <c r="D588" s="40" t="s">
        <v>1240</v>
      </c>
      <c r="E588" s="40" t="s">
        <v>33</v>
      </c>
      <c r="F588" s="360">
        <v>43305.0</v>
      </c>
      <c r="G588" s="360">
        <v>43668.0</v>
      </c>
      <c r="H588" s="360">
        <v>43668.0</v>
      </c>
      <c r="I588" s="360">
        <v>43668.0</v>
      </c>
      <c r="J588" s="361">
        <v>5.0</v>
      </c>
      <c r="K588" s="361">
        <v>3.0</v>
      </c>
      <c r="L588" s="361">
        <v>2.0</v>
      </c>
      <c r="M588" s="40">
        <v>1.0</v>
      </c>
      <c r="N588" s="361">
        <v>3.0</v>
      </c>
    </row>
    <row r="589">
      <c r="A589" s="40" t="s">
        <v>325</v>
      </c>
      <c r="B589" s="40"/>
      <c r="C589" s="40">
        <v>742.0</v>
      </c>
      <c r="D589" s="40" t="s">
        <v>1241</v>
      </c>
      <c r="E589" s="40" t="s">
        <v>33</v>
      </c>
      <c r="F589" s="360">
        <v>43305.0</v>
      </c>
      <c r="G589" s="360">
        <v>43668.0</v>
      </c>
      <c r="H589" s="360">
        <v>43668.0</v>
      </c>
      <c r="I589" s="360">
        <v>43668.0</v>
      </c>
      <c r="J589" s="361">
        <v>5.0</v>
      </c>
      <c r="K589" s="361">
        <v>3.0</v>
      </c>
      <c r="L589" s="361">
        <v>2.0</v>
      </c>
      <c r="M589" s="40">
        <v>1.0</v>
      </c>
      <c r="N589" s="361">
        <v>3.0</v>
      </c>
    </row>
    <row r="590">
      <c r="A590" s="40" t="s">
        <v>325</v>
      </c>
      <c r="B590" s="40"/>
      <c r="C590" s="40">
        <v>743.0</v>
      </c>
      <c r="D590" s="40" t="s">
        <v>1242</v>
      </c>
      <c r="E590" s="40" t="s">
        <v>33</v>
      </c>
      <c r="F590" s="360">
        <v>43305.0</v>
      </c>
      <c r="G590" s="360">
        <v>43668.0</v>
      </c>
      <c r="H590" s="360">
        <v>43668.0</v>
      </c>
      <c r="I590" s="360">
        <v>43668.0</v>
      </c>
      <c r="J590" s="361">
        <v>4.99</v>
      </c>
      <c r="K590" s="361">
        <v>2.99</v>
      </c>
      <c r="L590" s="361">
        <v>2.0</v>
      </c>
      <c r="M590" s="40">
        <v>1.0</v>
      </c>
      <c r="N590" s="361">
        <v>2.99</v>
      </c>
    </row>
    <row r="591">
      <c r="A591" s="40" t="s">
        <v>325</v>
      </c>
      <c r="B591" s="40"/>
      <c r="C591" s="40">
        <v>744.0</v>
      </c>
      <c r="D591" s="40" t="s">
        <v>1243</v>
      </c>
      <c r="E591" s="40" t="s">
        <v>33</v>
      </c>
      <c r="F591" s="360">
        <v>43305.0</v>
      </c>
      <c r="G591" s="360">
        <v>43668.0</v>
      </c>
      <c r="H591" s="360">
        <v>43668.0</v>
      </c>
      <c r="I591" s="360">
        <v>43668.0</v>
      </c>
      <c r="J591" s="361">
        <v>5.0</v>
      </c>
      <c r="K591" s="361">
        <v>3.0</v>
      </c>
      <c r="L591" s="361">
        <v>2.0</v>
      </c>
      <c r="M591" s="40">
        <v>1.0</v>
      </c>
      <c r="N591" s="361">
        <v>3.0</v>
      </c>
    </row>
    <row r="592">
      <c r="A592" s="40" t="s">
        <v>325</v>
      </c>
      <c r="B592" s="40"/>
      <c r="C592" s="40">
        <v>745.0</v>
      </c>
      <c r="D592" s="40" t="s">
        <v>1244</v>
      </c>
      <c r="E592" s="40" t="s">
        <v>33</v>
      </c>
      <c r="F592" s="360">
        <v>43305.0</v>
      </c>
      <c r="G592" s="360">
        <v>43668.0</v>
      </c>
      <c r="H592" s="360">
        <v>43668.0</v>
      </c>
      <c r="I592" s="360">
        <v>43668.0</v>
      </c>
      <c r="J592" s="361">
        <v>5.0</v>
      </c>
      <c r="K592" s="361">
        <v>3.0</v>
      </c>
      <c r="L592" s="361">
        <v>2.0</v>
      </c>
      <c r="M592" s="40">
        <v>1.0</v>
      </c>
      <c r="N592" s="361">
        <v>3.0</v>
      </c>
    </row>
    <row r="593">
      <c r="A593" s="40" t="s">
        <v>325</v>
      </c>
      <c r="B593" s="40"/>
      <c r="C593" s="40">
        <v>746.0</v>
      </c>
      <c r="D593" s="40" t="s">
        <v>1245</v>
      </c>
      <c r="E593" s="40" t="s">
        <v>33</v>
      </c>
      <c r="F593" s="360">
        <v>43305.0</v>
      </c>
      <c r="G593" s="360">
        <v>43668.0</v>
      </c>
      <c r="H593" s="360">
        <v>43668.0</v>
      </c>
      <c r="I593" s="360">
        <v>43668.0</v>
      </c>
      <c r="J593" s="361">
        <v>5.0</v>
      </c>
      <c r="K593" s="361">
        <v>3.0</v>
      </c>
      <c r="L593" s="361">
        <v>2.0</v>
      </c>
      <c r="M593" s="40">
        <v>1.0</v>
      </c>
      <c r="N593" s="361">
        <v>3.0</v>
      </c>
    </row>
    <row r="594">
      <c r="A594" s="40" t="s">
        <v>325</v>
      </c>
      <c r="B594" s="40"/>
      <c r="C594" s="40">
        <v>747.0</v>
      </c>
      <c r="D594" s="40" t="s">
        <v>1246</v>
      </c>
      <c r="E594" s="40" t="s">
        <v>33</v>
      </c>
      <c r="F594" s="360">
        <v>43305.0</v>
      </c>
      <c r="G594" s="360">
        <v>43668.0</v>
      </c>
      <c r="H594" s="360">
        <v>43668.0</v>
      </c>
      <c r="I594" s="360">
        <v>43668.0</v>
      </c>
      <c r="J594" s="361">
        <v>4.99</v>
      </c>
      <c r="K594" s="361">
        <v>2.99</v>
      </c>
      <c r="L594" s="361">
        <v>2.0</v>
      </c>
      <c r="M594" s="40">
        <v>1.0</v>
      </c>
      <c r="N594" s="361">
        <v>2.99</v>
      </c>
    </row>
    <row r="595">
      <c r="A595" s="40" t="s">
        <v>325</v>
      </c>
      <c r="B595" s="40"/>
      <c r="C595" s="40">
        <v>808.0</v>
      </c>
      <c r="D595" s="40" t="s">
        <v>1252</v>
      </c>
      <c r="E595" s="40" t="s">
        <v>33</v>
      </c>
      <c r="F595" s="360">
        <v>43490.0</v>
      </c>
      <c r="G595" s="360">
        <v>43490.0</v>
      </c>
      <c r="H595" s="360">
        <v>43491.0</v>
      </c>
      <c r="I595" s="360">
        <v>43505.0</v>
      </c>
      <c r="J595" s="361">
        <v>59.99</v>
      </c>
      <c r="K595" s="361">
        <v>59.99</v>
      </c>
      <c r="L595" s="361">
        <v>0.0</v>
      </c>
      <c r="M595" s="40">
        <v>34.0</v>
      </c>
      <c r="N595" s="361">
        <v>1.76</v>
      </c>
    </row>
    <row r="596">
      <c r="A596" s="40" t="s">
        <v>325</v>
      </c>
      <c r="B596" s="40"/>
      <c r="C596" s="40">
        <v>585.0</v>
      </c>
      <c r="D596" s="40" t="s">
        <v>1254</v>
      </c>
      <c r="E596" s="40" t="s">
        <v>33</v>
      </c>
      <c r="F596" s="360">
        <v>43532.0</v>
      </c>
      <c r="G596" s="360">
        <v>43685.0</v>
      </c>
      <c r="H596" s="360">
        <v>43688.0</v>
      </c>
      <c r="I596" s="360">
        <v>43688.0</v>
      </c>
      <c r="J596" s="361">
        <v>49.99</v>
      </c>
      <c r="K596" s="361">
        <v>44.99</v>
      </c>
      <c r="L596" s="361">
        <v>5.0</v>
      </c>
      <c r="M596" s="40">
        <v>1.0</v>
      </c>
      <c r="N596" s="361">
        <v>44.99</v>
      </c>
    </row>
    <row r="597">
      <c r="A597" s="40" t="s">
        <v>325</v>
      </c>
      <c r="B597" s="40"/>
      <c r="C597" s="40">
        <v>809.0</v>
      </c>
      <c r="D597" s="40" t="s">
        <v>1261</v>
      </c>
      <c r="E597" s="40" t="s">
        <v>33</v>
      </c>
      <c r="F597" s="360">
        <v>43924.0</v>
      </c>
      <c r="G597" s="360">
        <v>44469.0</v>
      </c>
      <c r="H597" s="360">
        <v>44470.0</v>
      </c>
      <c r="I597" s="360">
        <v>44471.0</v>
      </c>
      <c r="J597" s="361">
        <v>59.99</v>
      </c>
      <c r="K597" s="361">
        <v>19.79</v>
      </c>
      <c r="L597" s="361">
        <v>40.2</v>
      </c>
      <c r="M597" s="40">
        <v>20.0</v>
      </c>
      <c r="N597" s="361">
        <v>0.99</v>
      </c>
    </row>
    <row r="598">
      <c r="A598" s="40" t="s">
        <v>325</v>
      </c>
      <c r="B598" s="40"/>
      <c r="C598" s="40">
        <v>810.0</v>
      </c>
      <c r="D598" s="40" t="s">
        <v>1262</v>
      </c>
      <c r="E598" s="40" t="s">
        <v>33</v>
      </c>
      <c r="F598" s="360">
        <v>43924.0</v>
      </c>
      <c r="G598" s="360">
        <v>44469.0</v>
      </c>
      <c r="H598" s="360">
        <v>44469.0</v>
      </c>
      <c r="I598" s="360">
        <v>44469.0</v>
      </c>
      <c r="J598" s="361">
        <v>0.0</v>
      </c>
      <c r="K598" s="361">
        <v>0.0</v>
      </c>
      <c r="L598" s="361">
        <v>0.0</v>
      </c>
      <c r="M598" s="40">
        <v>1.0</v>
      </c>
      <c r="N598" s="361">
        <v>0.0</v>
      </c>
    </row>
    <row r="599">
      <c r="A599" s="40" t="s">
        <v>325</v>
      </c>
      <c r="B599" s="40"/>
      <c r="C599" s="40">
        <v>811.0</v>
      </c>
      <c r="D599" s="40" t="s">
        <v>1272</v>
      </c>
      <c r="E599" s="40" t="s">
        <v>33</v>
      </c>
      <c r="F599" s="360">
        <v>44323.0</v>
      </c>
      <c r="G599" s="360">
        <v>44489.0</v>
      </c>
      <c r="H599" s="360">
        <v>44490.0</v>
      </c>
      <c r="I599" s="360">
        <v>44492.0</v>
      </c>
      <c r="J599" s="361">
        <v>69.99</v>
      </c>
      <c r="K599" s="361">
        <v>39.89</v>
      </c>
      <c r="L599" s="361">
        <v>30.1</v>
      </c>
      <c r="M599" s="40">
        <v>15.0</v>
      </c>
      <c r="N599" s="361">
        <v>2.66</v>
      </c>
    </row>
    <row r="600">
      <c r="A600" s="40" t="s">
        <v>325</v>
      </c>
      <c r="B600" s="40"/>
      <c r="C600" s="40">
        <v>812.0</v>
      </c>
      <c r="D600" s="40" t="s">
        <v>1295</v>
      </c>
      <c r="E600" s="40" t="s">
        <v>33</v>
      </c>
      <c r="F600" s="360">
        <v>44862.0</v>
      </c>
      <c r="G600" s="360">
        <v>44489.0</v>
      </c>
      <c r="H600" s="360">
        <v>44489.0</v>
      </c>
      <c r="I600" s="360">
        <v>44489.0</v>
      </c>
      <c r="J600" s="361">
        <v>0.0</v>
      </c>
      <c r="K600" s="361">
        <v>0.0</v>
      </c>
      <c r="L600" s="361">
        <v>0.0</v>
      </c>
      <c r="M600" s="40">
        <v>1.0</v>
      </c>
      <c r="N600" s="361">
        <v>0.0</v>
      </c>
    </row>
    <row r="601">
      <c r="A601" s="40" t="s">
        <v>325</v>
      </c>
      <c r="B601" s="40"/>
      <c r="C601" s="40">
        <v>813.0</v>
      </c>
      <c r="D601" s="40" t="s">
        <v>1297</v>
      </c>
      <c r="E601" s="40" t="s">
        <v>33</v>
      </c>
      <c r="F601" s="360">
        <v>45009.0</v>
      </c>
      <c r="G601" s="360">
        <v>45195.0</v>
      </c>
      <c r="H601" s="360">
        <v>45199.0</v>
      </c>
      <c r="I601" s="360">
        <v>45209.0</v>
      </c>
      <c r="J601" s="361">
        <v>69.99</v>
      </c>
      <c r="K601" s="361">
        <v>39.89</v>
      </c>
      <c r="L601" s="361">
        <v>30.1</v>
      </c>
      <c r="M601" s="40">
        <v>23.0</v>
      </c>
      <c r="N601" s="361">
        <v>1.73</v>
      </c>
    </row>
    <row r="602">
      <c r="A602" s="74"/>
      <c r="B602" s="74"/>
      <c r="C602" s="340"/>
      <c r="D602" s="146"/>
      <c r="E602" s="146"/>
      <c r="F602" s="146"/>
      <c r="G602" s="146"/>
      <c r="H602" s="146"/>
      <c r="I602" s="146"/>
      <c r="J602" s="339">
        <f t="shared" ref="J602:M602" si="73">SUM(J540:J601)</f>
        <v>784.71</v>
      </c>
      <c r="K602" s="339">
        <f t="shared" si="73"/>
        <v>385.12</v>
      </c>
      <c r="L602" s="339">
        <f t="shared" si="73"/>
        <v>399.59</v>
      </c>
      <c r="M602" s="146">
        <f t="shared" si="73"/>
        <v>269</v>
      </c>
      <c r="N602" s="339">
        <f>K602/M602</f>
        <v>1.431672862</v>
      </c>
    </row>
    <row r="603">
      <c r="A603" s="40" t="s">
        <v>325</v>
      </c>
      <c r="B603" s="40" t="s">
        <v>335</v>
      </c>
      <c r="C603" s="40">
        <v>159.0</v>
      </c>
      <c r="D603" s="40" t="s">
        <v>1128</v>
      </c>
      <c r="E603" s="40" t="s">
        <v>37</v>
      </c>
      <c r="F603" s="360">
        <v>39610.0</v>
      </c>
      <c r="G603" s="360">
        <v>43014.0</v>
      </c>
      <c r="H603" s="360">
        <v>43014.0</v>
      </c>
      <c r="I603" s="360">
        <v>43014.0</v>
      </c>
      <c r="J603" s="361">
        <v>7.99</v>
      </c>
      <c r="K603" s="361">
        <v>2.99</v>
      </c>
      <c r="L603" s="361">
        <v>5.0</v>
      </c>
      <c r="M603" s="40">
        <v>1.0</v>
      </c>
      <c r="N603" s="361">
        <v>2.99</v>
      </c>
    </row>
    <row r="604">
      <c r="A604" s="40" t="s">
        <v>325</v>
      </c>
      <c r="B604" s="40"/>
      <c r="C604" s="40">
        <v>610.0</v>
      </c>
      <c r="D604" s="40" t="s">
        <v>1226</v>
      </c>
      <c r="E604" s="40" t="s">
        <v>33</v>
      </c>
      <c r="F604" s="360">
        <v>42977.0</v>
      </c>
      <c r="G604" s="360">
        <v>43124.0</v>
      </c>
      <c r="H604" s="360">
        <v>43125.0</v>
      </c>
      <c r="I604" s="360">
        <v>43415.0</v>
      </c>
      <c r="J604" s="361">
        <v>75.93</v>
      </c>
      <c r="K604" s="361">
        <v>55.93</v>
      </c>
      <c r="L604" s="361">
        <v>20.0</v>
      </c>
      <c r="M604" s="40">
        <v>33.0</v>
      </c>
      <c r="N604" s="361">
        <v>1.69</v>
      </c>
    </row>
    <row r="605">
      <c r="A605" s="40" t="s">
        <v>325</v>
      </c>
      <c r="B605" s="40"/>
      <c r="C605" s="40">
        <v>1002.0</v>
      </c>
      <c r="D605" s="40" t="s">
        <v>1301</v>
      </c>
      <c r="E605" s="40" t="s">
        <v>666</v>
      </c>
      <c r="F605" s="360">
        <v>42977.0</v>
      </c>
      <c r="G605" s="360">
        <v>43912.0</v>
      </c>
      <c r="H605" s="360">
        <v>43973.0</v>
      </c>
      <c r="I605" s="360">
        <v>43973.0</v>
      </c>
      <c r="J605" s="361">
        <v>29.99</v>
      </c>
      <c r="K605" s="361">
        <v>14.99</v>
      </c>
      <c r="L605" s="361">
        <v>15.0</v>
      </c>
      <c r="M605" s="40">
        <v>1.0</v>
      </c>
      <c r="N605" s="361">
        <v>14.99</v>
      </c>
    </row>
    <row r="606">
      <c r="A606" s="74"/>
      <c r="B606" s="74"/>
      <c r="C606" s="340"/>
      <c r="D606" s="146"/>
      <c r="E606" s="146"/>
      <c r="F606" s="146"/>
      <c r="G606" s="146"/>
      <c r="H606" s="146"/>
      <c r="I606" s="146"/>
      <c r="J606" s="339">
        <f t="shared" ref="J606:M606" si="74">SUM(J603:J605)</f>
        <v>113.91</v>
      </c>
      <c r="K606" s="339">
        <f t="shared" si="74"/>
        <v>73.91</v>
      </c>
      <c r="L606" s="339">
        <f t="shared" si="74"/>
        <v>40</v>
      </c>
      <c r="M606" s="146">
        <f t="shared" si="74"/>
        <v>35</v>
      </c>
      <c r="N606" s="339">
        <f>K606/M606</f>
        <v>2.111714286</v>
      </c>
    </row>
    <row r="607">
      <c r="A607" s="358" t="s">
        <v>325</v>
      </c>
      <c r="B607" s="40" t="s">
        <v>336</v>
      </c>
      <c r="C607" s="40">
        <v>117.0</v>
      </c>
      <c r="D607" s="40" t="s">
        <v>1120</v>
      </c>
      <c r="E607" s="40" t="s">
        <v>645</v>
      </c>
      <c r="F607" s="360">
        <v>39122.0</v>
      </c>
      <c r="G607" s="360">
        <v>41379.0</v>
      </c>
      <c r="H607" s="360">
        <v>41379.0</v>
      </c>
      <c r="I607" s="360">
        <v>44773.0</v>
      </c>
      <c r="J607" s="361">
        <v>19.99</v>
      </c>
      <c r="K607" s="361">
        <v>13.99</v>
      </c>
      <c r="L607" s="361">
        <v>6.0</v>
      </c>
      <c r="M607" s="40">
        <v>45.0</v>
      </c>
      <c r="N607" s="361">
        <v>0.31</v>
      </c>
    </row>
    <row r="608">
      <c r="A608" s="40" t="s">
        <v>325</v>
      </c>
      <c r="B608" s="40" t="s">
        <v>337</v>
      </c>
      <c r="C608" s="40">
        <v>29.0</v>
      </c>
      <c r="D608" s="40" t="s">
        <v>1065</v>
      </c>
      <c r="E608" s="40" t="s">
        <v>682</v>
      </c>
      <c r="F608" s="360">
        <v>34971.0</v>
      </c>
      <c r="G608" s="360">
        <v>43373.0</v>
      </c>
      <c r="H608" s="360">
        <v>45483.0</v>
      </c>
      <c r="I608" s="360">
        <v>45484.0</v>
      </c>
      <c r="J608" s="361">
        <v>4.99</v>
      </c>
      <c r="K608" s="361">
        <v>4.99</v>
      </c>
      <c r="L608" s="361">
        <v>0.0</v>
      </c>
      <c r="M608" s="40">
        <v>3.0</v>
      </c>
      <c r="N608" s="361">
        <v>1.66</v>
      </c>
    </row>
    <row r="609">
      <c r="A609" s="358" t="s">
        <v>325</v>
      </c>
      <c r="B609" s="40" t="s">
        <v>338</v>
      </c>
      <c r="C609" s="40">
        <v>215.0</v>
      </c>
      <c r="D609" s="40" t="s">
        <v>1149</v>
      </c>
      <c r="E609" s="40" t="s">
        <v>649</v>
      </c>
      <c r="F609" s="360">
        <v>40823.0</v>
      </c>
      <c r="G609" s="360">
        <v>43824.0</v>
      </c>
      <c r="H609" s="360">
        <v>43826.0</v>
      </c>
      <c r="I609" s="360">
        <v>43829.0</v>
      </c>
      <c r="J609" s="361">
        <v>39.99</v>
      </c>
      <c r="K609" s="361">
        <v>14.79</v>
      </c>
      <c r="L609" s="361">
        <v>25.2</v>
      </c>
      <c r="M609" s="40">
        <v>22.0</v>
      </c>
      <c r="N609" s="361">
        <v>0.67</v>
      </c>
    </row>
    <row r="610">
      <c r="A610" s="358" t="s">
        <v>325</v>
      </c>
      <c r="B610" s="40"/>
      <c r="C610" s="40">
        <v>216.0</v>
      </c>
      <c r="D610" s="40" t="s">
        <v>1171</v>
      </c>
      <c r="E610" s="40" t="s">
        <v>649</v>
      </c>
      <c r="F610" s="360">
        <v>41712.0</v>
      </c>
      <c r="G610" s="360">
        <v>43755.0</v>
      </c>
      <c r="H610" s="360">
        <v>43831.0</v>
      </c>
      <c r="I610" s="360">
        <v>43831.0</v>
      </c>
      <c r="J610" s="361">
        <v>19.99</v>
      </c>
      <c r="K610" s="361">
        <v>9.99</v>
      </c>
      <c r="L610" s="361">
        <v>10.0</v>
      </c>
      <c r="M610" s="40">
        <v>2.0</v>
      </c>
      <c r="N610" s="361">
        <v>5.0</v>
      </c>
    </row>
    <row r="611">
      <c r="A611" s="40" t="s">
        <v>325</v>
      </c>
      <c r="B611" s="40"/>
      <c r="C611" s="40">
        <v>533.0</v>
      </c>
      <c r="D611" s="40" t="s">
        <v>1196</v>
      </c>
      <c r="E611" s="40" t="s">
        <v>33</v>
      </c>
      <c r="F611" s="360">
        <v>42089.0</v>
      </c>
      <c r="G611" s="360">
        <v>43623.0</v>
      </c>
      <c r="H611" s="360">
        <v>43627.0</v>
      </c>
      <c r="I611" s="360">
        <v>43672.0</v>
      </c>
      <c r="J611" s="361">
        <v>34.99</v>
      </c>
      <c r="K611" s="361">
        <v>18.24</v>
      </c>
      <c r="L611" s="361">
        <v>16.75</v>
      </c>
      <c r="M611" s="40">
        <v>38.0</v>
      </c>
      <c r="N611" s="361">
        <v>0.48</v>
      </c>
    </row>
    <row r="612">
      <c r="A612" s="357" t="s">
        <v>325</v>
      </c>
      <c r="B612" s="40"/>
      <c r="C612" s="40">
        <v>569.0</v>
      </c>
      <c r="D612" s="40" t="s">
        <v>1205</v>
      </c>
      <c r="E612" s="40" t="s">
        <v>33</v>
      </c>
      <c r="F612" s="360">
        <v>42472.0</v>
      </c>
      <c r="G612" s="360">
        <v>43633.0</v>
      </c>
      <c r="H612" s="360">
        <v>43633.0</v>
      </c>
      <c r="I612" s="360">
        <v>43633.0</v>
      </c>
      <c r="J612" s="361">
        <v>49.99</v>
      </c>
      <c r="K612" s="361">
        <v>11.99</v>
      </c>
      <c r="L612" s="361">
        <v>38.0</v>
      </c>
      <c r="M612" s="40">
        <v>1.0</v>
      </c>
      <c r="N612" s="361">
        <v>11.99</v>
      </c>
    </row>
    <row r="613">
      <c r="A613" s="40" t="s">
        <v>325</v>
      </c>
      <c r="B613" s="40"/>
      <c r="C613" s="40">
        <v>830.0</v>
      </c>
      <c r="D613" s="40" t="s">
        <v>1255</v>
      </c>
      <c r="E613" s="40" t="s">
        <v>33</v>
      </c>
      <c r="F613" s="360">
        <v>43546.0</v>
      </c>
      <c r="G613" s="360">
        <v>43824.0</v>
      </c>
      <c r="H613" s="360">
        <v>44267.0</v>
      </c>
      <c r="I613" s="360">
        <v>44267.0</v>
      </c>
      <c r="J613" s="361">
        <v>69.99</v>
      </c>
      <c r="K613" s="361">
        <v>45.49</v>
      </c>
      <c r="L613" s="361">
        <v>24.5</v>
      </c>
      <c r="M613" s="40">
        <v>5.0</v>
      </c>
      <c r="N613" s="361">
        <v>9.1</v>
      </c>
    </row>
    <row r="614">
      <c r="A614" s="40" t="s">
        <v>325</v>
      </c>
      <c r="B614" s="40"/>
      <c r="C614" s="40">
        <v>604.0</v>
      </c>
      <c r="D614" s="40" t="s">
        <v>1277</v>
      </c>
      <c r="E614" s="40" t="s">
        <v>33</v>
      </c>
      <c r="F614" s="360">
        <v>44617.0</v>
      </c>
      <c r="G614" s="360">
        <v>45491.0</v>
      </c>
      <c r="H614" s="360">
        <v>45491.0</v>
      </c>
      <c r="I614" s="360">
        <v>45491.0</v>
      </c>
      <c r="J614" s="361">
        <v>59.99</v>
      </c>
      <c r="K614" s="361">
        <v>41.99</v>
      </c>
      <c r="L614" s="361">
        <v>18.0</v>
      </c>
      <c r="M614" s="40">
        <v>1.0</v>
      </c>
      <c r="N614" s="361">
        <v>41.99</v>
      </c>
    </row>
    <row r="615">
      <c r="A615" s="74"/>
      <c r="B615" s="74"/>
      <c r="C615" s="340"/>
      <c r="D615" s="146"/>
      <c r="E615" s="146"/>
      <c r="F615" s="146"/>
      <c r="G615" s="146"/>
      <c r="H615" s="146"/>
      <c r="I615" s="146"/>
      <c r="J615" s="339">
        <f t="shared" ref="J615:M615" si="75">SUM(J609:J614)</f>
        <v>274.94</v>
      </c>
      <c r="K615" s="339">
        <f t="shared" si="75"/>
        <v>142.49</v>
      </c>
      <c r="L615" s="339">
        <f t="shared" si="75"/>
        <v>132.45</v>
      </c>
      <c r="M615" s="146">
        <f t="shared" si="75"/>
        <v>69</v>
      </c>
      <c r="N615" s="339">
        <f>K615/M615</f>
        <v>2.065072464</v>
      </c>
    </row>
    <row r="616">
      <c r="A616" s="40" t="s">
        <v>325</v>
      </c>
      <c r="B616" s="40" t="s">
        <v>339</v>
      </c>
      <c r="C616" s="40">
        <v>898.0</v>
      </c>
      <c r="D616" s="40" t="s">
        <v>1197</v>
      </c>
      <c r="E616" s="40" t="s">
        <v>33</v>
      </c>
      <c r="F616" s="360">
        <v>42206.0</v>
      </c>
      <c r="G616" s="360">
        <v>42811.0</v>
      </c>
      <c r="H616" s="360">
        <v>42816.0</v>
      </c>
      <c r="I616" s="360">
        <v>44412.0</v>
      </c>
      <c r="J616" s="361">
        <v>12.99</v>
      </c>
      <c r="K616" s="361">
        <v>3.49</v>
      </c>
      <c r="L616" s="361">
        <v>9.5</v>
      </c>
      <c r="M616" s="40">
        <v>14.0</v>
      </c>
      <c r="N616" s="361">
        <v>0.25</v>
      </c>
    </row>
    <row r="617">
      <c r="A617" s="358" t="s">
        <v>325</v>
      </c>
      <c r="B617" s="40" t="s">
        <v>340</v>
      </c>
      <c r="C617" s="40">
        <v>319.0</v>
      </c>
      <c r="D617" s="40" t="s">
        <v>1172</v>
      </c>
      <c r="E617" s="40" t="s">
        <v>649</v>
      </c>
      <c r="F617" s="360">
        <v>41817.0</v>
      </c>
      <c r="G617" s="360">
        <v>43100.0</v>
      </c>
      <c r="H617" s="360">
        <v>43100.0</v>
      </c>
      <c r="I617" s="360">
        <v>43100.0</v>
      </c>
      <c r="J617" s="361">
        <v>79.98</v>
      </c>
      <c r="K617" s="361">
        <v>18.98</v>
      </c>
      <c r="L617" s="361">
        <v>61.0</v>
      </c>
      <c r="M617" s="40">
        <v>1.0</v>
      </c>
      <c r="N617" s="361">
        <v>18.98</v>
      </c>
    </row>
    <row r="618">
      <c r="A618" s="40" t="s">
        <v>325</v>
      </c>
      <c r="B618" s="40" t="s">
        <v>341</v>
      </c>
      <c r="C618" s="40">
        <v>579.0</v>
      </c>
      <c r="D618" s="40" t="s">
        <v>1276</v>
      </c>
      <c r="E618" s="40" t="s">
        <v>33</v>
      </c>
      <c r="F618" s="360">
        <v>44525.0</v>
      </c>
      <c r="G618" s="360">
        <v>44623.0</v>
      </c>
      <c r="H618" s="360">
        <v>44629.0</v>
      </c>
      <c r="I618" s="360">
        <v>44629.0</v>
      </c>
      <c r="J618" s="361">
        <v>16.99</v>
      </c>
      <c r="K618" s="361">
        <v>13.59</v>
      </c>
      <c r="L618" s="361">
        <v>3.4</v>
      </c>
      <c r="M618" s="40">
        <v>2.0</v>
      </c>
      <c r="N618" s="361">
        <v>6.8</v>
      </c>
    </row>
    <row r="619">
      <c r="A619" s="358" t="s">
        <v>325</v>
      </c>
      <c r="B619" s="40" t="s">
        <v>342</v>
      </c>
      <c r="C619" s="40">
        <v>290.0</v>
      </c>
      <c r="D619" s="40" t="s">
        <v>1159</v>
      </c>
      <c r="E619" s="40" t="s">
        <v>649</v>
      </c>
      <c r="F619" s="360">
        <v>41075.0</v>
      </c>
      <c r="G619" s="360">
        <v>41628.0</v>
      </c>
      <c r="H619" s="360">
        <v>41628.0</v>
      </c>
      <c r="I619" s="360">
        <v>44128.0</v>
      </c>
      <c r="J619" s="361">
        <v>19.99</v>
      </c>
      <c r="K619" s="361">
        <v>12.0</v>
      </c>
      <c r="L619" s="361">
        <v>7.99</v>
      </c>
      <c r="M619" s="40">
        <v>20.0</v>
      </c>
      <c r="N619" s="361">
        <v>0.6</v>
      </c>
    </row>
    <row r="620">
      <c r="A620" s="358" t="s">
        <v>325</v>
      </c>
      <c r="B620" s="40"/>
      <c r="C620" s="40">
        <v>274.0</v>
      </c>
      <c r="D620" s="40" t="s">
        <v>1169</v>
      </c>
      <c r="E620" s="40" t="s">
        <v>649</v>
      </c>
      <c r="F620" s="360">
        <v>41516.0</v>
      </c>
      <c r="G620" s="360">
        <v>42160.0</v>
      </c>
      <c r="H620" s="360">
        <v>42160.0</v>
      </c>
      <c r="I620" s="360">
        <v>44812.0</v>
      </c>
      <c r="J620" s="361">
        <v>29.99</v>
      </c>
      <c r="K620" s="361">
        <v>18.0</v>
      </c>
      <c r="L620" s="361">
        <v>11.99</v>
      </c>
      <c r="M620" s="40">
        <v>15.0</v>
      </c>
      <c r="N620" s="361">
        <v>1.2</v>
      </c>
    </row>
    <row r="621">
      <c r="A621" s="74"/>
      <c r="B621" s="74"/>
      <c r="C621" s="340"/>
      <c r="D621" s="146"/>
      <c r="E621" s="146"/>
      <c r="F621" s="146"/>
      <c r="G621" s="146"/>
      <c r="H621" s="146"/>
      <c r="I621" s="146"/>
      <c r="J621" s="339">
        <f t="shared" ref="J621:M621" si="76">SUM(J619:J620)</f>
        <v>49.98</v>
      </c>
      <c r="K621" s="339">
        <f t="shared" si="76"/>
        <v>30</v>
      </c>
      <c r="L621" s="339">
        <f t="shared" si="76"/>
        <v>19.98</v>
      </c>
      <c r="M621" s="146">
        <f t="shared" si="76"/>
        <v>35</v>
      </c>
      <c r="N621" s="339">
        <f>K621/M621</f>
        <v>0.8571428571</v>
      </c>
    </row>
    <row r="622">
      <c r="A622" s="40" t="s">
        <v>325</v>
      </c>
      <c r="B622" s="40" t="s">
        <v>343</v>
      </c>
      <c r="C622" s="40">
        <v>684.0</v>
      </c>
      <c r="D622" s="40" t="s">
        <v>1264</v>
      </c>
      <c r="E622" s="40" t="s">
        <v>33</v>
      </c>
      <c r="F622" s="360">
        <v>44068.0</v>
      </c>
      <c r="G622" s="360">
        <v>44623.0</v>
      </c>
      <c r="H622" s="360">
        <v>44639.0</v>
      </c>
      <c r="I622" s="360">
        <v>44641.0</v>
      </c>
      <c r="J622" s="361">
        <v>39.99</v>
      </c>
      <c r="K622" s="361">
        <v>14.79</v>
      </c>
      <c r="L622" s="361">
        <v>25.2</v>
      </c>
      <c r="M622" s="40">
        <v>11.0</v>
      </c>
      <c r="N622" s="361">
        <v>1.34</v>
      </c>
    </row>
    <row r="623">
      <c r="A623" s="358" t="s">
        <v>325</v>
      </c>
      <c r="B623" s="40" t="s">
        <v>344</v>
      </c>
      <c r="C623" s="40">
        <v>57.0</v>
      </c>
      <c r="D623" s="40" t="s">
        <v>1072</v>
      </c>
      <c r="E623" s="40" t="s">
        <v>682</v>
      </c>
      <c r="F623" s="360">
        <v>35531.0</v>
      </c>
      <c r="G623" s="360">
        <v>44300.0</v>
      </c>
      <c r="H623" s="360">
        <v>44300.0</v>
      </c>
      <c r="I623" s="360">
        <v>44300.0</v>
      </c>
      <c r="J623" s="361">
        <v>4.99</v>
      </c>
      <c r="K623" s="361">
        <v>4.99</v>
      </c>
      <c r="L623" s="361">
        <v>0.0</v>
      </c>
      <c r="M623" s="40">
        <v>1.0</v>
      </c>
      <c r="N623" s="361">
        <v>4.99</v>
      </c>
    </row>
    <row r="624">
      <c r="A624" s="40" t="s">
        <v>325</v>
      </c>
      <c r="B624" s="40"/>
      <c r="C624" s="40">
        <v>4.0</v>
      </c>
      <c r="D624" s="40" t="s">
        <v>1075</v>
      </c>
      <c r="E624" s="40" t="s">
        <v>682</v>
      </c>
      <c r="F624" s="360">
        <v>35735.0</v>
      </c>
      <c r="G624" s="360">
        <v>42279.0</v>
      </c>
      <c r="H624" s="360">
        <v>42279.0</v>
      </c>
      <c r="I624" s="360">
        <v>42279.0</v>
      </c>
      <c r="J624" s="361">
        <v>14.99</v>
      </c>
      <c r="K624" s="361">
        <v>4.5</v>
      </c>
      <c r="L624" s="361">
        <v>10.49</v>
      </c>
      <c r="M624" s="40">
        <v>1.0</v>
      </c>
      <c r="N624" s="361">
        <v>4.5</v>
      </c>
    </row>
    <row r="625">
      <c r="A625" s="40" t="s">
        <v>325</v>
      </c>
      <c r="B625" s="40"/>
      <c r="C625" s="40">
        <v>34.0</v>
      </c>
      <c r="D625" s="40" t="s">
        <v>1083</v>
      </c>
      <c r="E625" s="40" t="s">
        <v>682</v>
      </c>
      <c r="F625" s="360">
        <v>36213.0</v>
      </c>
      <c r="G625" s="360">
        <v>41261.0</v>
      </c>
      <c r="H625" s="360">
        <v>41261.0</v>
      </c>
      <c r="I625" s="360">
        <v>41274.0</v>
      </c>
      <c r="J625" s="361">
        <v>9.99</v>
      </c>
      <c r="K625" s="361">
        <v>4.99</v>
      </c>
      <c r="L625" s="361">
        <v>5.0</v>
      </c>
      <c r="M625" s="40">
        <v>30.0</v>
      </c>
      <c r="N625" s="361">
        <v>0.17</v>
      </c>
    </row>
    <row r="626">
      <c r="A626" s="357" t="s">
        <v>325</v>
      </c>
      <c r="B626" s="40"/>
      <c r="C626" s="40">
        <v>49.0</v>
      </c>
      <c r="D626" s="40" t="s">
        <v>1085</v>
      </c>
      <c r="E626" s="40" t="s">
        <v>682</v>
      </c>
      <c r="F626" s="360">
        <v>36357.0</v>
      </c>
      <c r="G626" s="360">
        <v>42812.0</v>
      </c>
      <c r="H626" s="360">
        <v>42812.0</v>
      </c>
      <c r="I626" s="360">
        <v>42812.0</v>
      </c>
      <c r="J626" s="361">
        <v>6.99</v>
      </c>
      <c r="K626" s="361">
        <v>2.99</v>
      </c>
      <c r="L626" s="361">
        <v>4.0</v>
      </c>
      <c r="M626" s="40">
        <v>1.0</v>
      </c>
      <c r="N626" s="361">
        <v>2.99</v>
      </c>
    </row>
    <row r="627">
      <c r="A627" s="357" t="s">
        <v>325</v>
      </c>
      <c r="B627" s="40"/>
      <c r="C627" s="40">
        <v>2.0</v>
      </c>
      <c r="D627" s="40" t="s">
        <v>1090</v>
      </c>
      <c r="E627" s="40" t="s">
        <v>682</v>
      </c>
      <c r="F627" s="360">
        <v>36714.0</v>
      </c>
      <c r="G627" s="360">
        <v>43373.0</v>
      </c>
      <c r="H627" s="360">
        <v>43373.0</v>
      </c>
      <c r="I627" s="360">
        <v>43373.0</v>
      </c>
      <c r="J627" s="361">
        <v>4.99</v>
      </c>
      <c r="K627" s="361">
        <v>4.99</v>
      </c>
      <c r="L627" s="361">
        <v>0.0</v>
      </c>
      <c r="M627" s="40">
        <v>1.0</v>
      </c>
      <c r="N627" s="361">
        <v>4.99</v>
      </c>
    </row>
    <row r="628">
      <c r="A628" s="357" t="s">
        <v>325</v>
      </c>
      <c r="B628" s="40"/>
      <c r="C628" s="40">
        <v>58.0</v>
      </c>
      <c r="D628" s="40" t="s">
        <v>1091</v>
      </c>
      <c r="E628" s="40" t="s">
        <v>682</v>
      </c>
      <c r="F628" s="360">
        <v>36735.0</v>
      </c>
      <c r="G628" s="360">
        <v>44300.0</v>
      </c>
      <c r="H628" s="360">
        <v>44300.0</v>
      </c>
      <c r="I628" s="360">
        <v>44300.0</v>
      </c>
      <c r="J628" s="361">
        <v>4.99</v>
      </c>
      <c r="K628" s="361">
        <v>4.99</v>
      </c>
      <c r="L628" s="361">
        <v>0.0</v>
      </c>
      <c r="M628" s="40">
        <v>1.0</v>
      </c>
      <c r="N628" s="361">
        <v>4.99</v>
      </c>
    </row>
    <row r="629">
      <c r="A629" s="357" t="s">
        <v>325</v>
      </c>
      <c r="B629" s="40"/>
      <c r="C629" s="40">
        <v>133.0</v>
      </c>
      <c r="D629" s="40" t="s">
        <v>1101</v>
      </c>
      <c r="E629" s="40" t="s">
        <v>645</v>
      </c>
      <c r="F629" s="360">
        <v>37218.0</v>
      </c>
      <c r="G629" s="360">
        <v>44115.0</v>
      </c>
      <c r="H629" s="360">
        <v>44115.0</v>
      </c>
      <c r="I629" s="360">
        <v>44115.0</v>
      </c>
      <c r="J629" s="361">
        <v>11.0</v>
      </c>
      <c r="K629" s="361">
        <v>11.0</v>
      </c>
      <c r="L629" s="361">
        <v>0.0</v>
      </c>
      <c r="M629" s="40">
        <v>1.0</v>
      </c>
      <c r="N629" s="361">
        <v>11.0</v>
      </c>
    </row>
    <row r="630">
      <c r="A630" s="357" t="s">
        <v>325</v>
      </c>
      <c r="B630" s="40"/>
      <c r="C630" s="40">
        <v>115.0</v>
      </c>
      <c r="D630" s="40" t="s">
        <v>1103</v>
      </c>
      <c r="E630" s="40" t="s">
        <v>645</v>
      </c>
      <c r="F630" s="360">
        <v>37323.0</v>
      </c>
      <c r="G630" s="360">
        <v>42259.0</v>
      </c>
      <c r="H630" s="360">
        <v>42259.0</v>
      </c>
      <c r="I630" s="360">
        <v>42259.0</v>
      </c>
      <c r="J630" s="361">
        <v>23.99</v>
      </c>
      <c r="K630" s="361">
        <v>23.99</v>
      </c>
      <c r="L630" s="361">
        <v>0.0</v>
      </c>
      <c r="M630" s="40">
        <v>2.0</v>
      </c>
      <c r="N630" s="361">
        <v>12.0</v>
      </c>
    </row>
    <row r="631">
      <c r="A631" s="357" t="s">
        <v>325</v>
      </c>
      <c r="B631" s="40"/>
      <c r="C631" s="40">
        <v>134.0</v>
      </c>
      <c r="D631" s="40" t="s">
        <v>1110</v>
      </c>
      <c r="E631" s="40" t="s">
        <v>645</v>
      </c>
      <c r="F631" s="360">
        <v>37764.0</v>
      </c>
      <c r="G631" s="360">
        <v>44115.0</v>
      </c>
      <c r="H631" s="360">
        <v>44115.0</v>
      </c>
      <c r="I631" s="360">
        <v>44115.0</v>
      </c>
      <c r="J631" s="361">
        <v>11.0</v>
      </c>
      <c r="K631" s="361">
        <v>11.0</v>
      </c>
      <c r="L631" s="361">
        <v>0.0</v>
      </c>
      <c r="M631" s="40">
        <v>1.0</v>
      </c>
      <c r="N631" s="361">
        <v>11.0</v>
      </c>
    </row>
    <row r="632">
      <c r="A632" s="357" t="s">
        <v>325</v>
      </c>
      <c r="B632" s="40"/>
      <c r="C632" s="40">
        <v>116.0</v>
      </c>
      <c r="D632" s="40" t="s">
        <v>1114</v>
      </c>
      <c r="E632" s="40" t="s">
        <v>645</v>
      </c>
      <c r="F632" s="360">
        <v>38415.0</v>
      </c>
      <c r="G632" s="360">
        <v>42259.0</v>
      </c>
      <c r="H632" s="360">
        <v>42260.0</v>
      </c>
      <c r="I632" s="360">
        <v>42263.0</v>
      </c>
      <c r="J632" s="361">
        <v>22.99</v>
      </c>
      <c r="K632" s="361">
        <v>22.99</v>
      </c>
      <c r="L632" s="361">
        <v>0.0</v>
      </c>
      <c r="M632" s="40">
        <v>2.0</v>
      </c>
      <c r="N632" s="361">
        <v>11.5</v>
      </c>
    </row>
    <row r="633">
      <c r="A633" s="40" t="s">
        <v>325</v>
      </c>
      <c r="B633" s="40"/>
      <c r="C633" s="40">
        <v>155.0</v>
      </c>
      <c r="D633" s="40" t="s">
        <v>1127</v>
      </c>
      <c r="E633" s="40" t="s">
        <v>37</v>
      </c>
      <c r="F633" s="360">
        <v>39493.0</v>
      </c>
      <c r="G633" s="360">
        <v>42279.0</v>
      </c>
      <c r="H633" s="360">
        <v>42279.0</v>
      </c>
      <c r="I633" s="360">
        <v>42279.0</v>
      </c>
      <c r="J633" s="361">
        <v>14.99</v>
      </c>
      <c r="K633" s="361">
        <v>4.49</v>
      </c>
      <c r="L633" s="361">
        <v>10.5</v>
      </c>
      <c r="M633" s="40">
        <v>1.0</v>
      </c>
      <c r="N633" s="361">
        <v>4.49</v>
      </c>
    </row>
    <row r="634">
      <c r="A634" s="40" t="s">
        <v>325</v>
      </c>
      <c r="B634" s="40"/>
      <c r="C634" s="40">
        <v>174.0</v>
      </c>
      <c r="D634" s="40" t="s">
        <v>1131</v>
      </c>
      <c r="E634" s="40" t="s">
        <v>37</v>
      </c>
      <c r="F634" s="360">
        <v>40347.0</v>
      </c>
      <c r="G634" s="360">
        <v>44292.0</v>
      </c>
      <c r="H634" s="360">
        <v>44292.0</v>
      </c>
      <c r="I634" s="360">
        <v>44292.0</v>
      </c>
      <c r="J634" s="361">
        <v>8.0</v>
      </c>
      <c r="K634" s="361">
        <v>8.0</v>
      </c>
      <c r="L634" s="361">
        <v>0.0</v>
      </c>
      <c r="M634" s="40">
        <v>1.0</v>
      </c>
      <c r="N634" s="361">
        <v>8.0</v>
      </c>
    </row>
    <row r="635">
      <c r="A635" s="358" t="s">
        <v>325</v>
      </c>
      <c r="B635" s="40"/>
      <c r="C635" s="40">
        <v>297.0</v>
      </c>
      <c r="D635" s="40" t="s">
        <v>1137</v>
      </c>
      <c r="E635" s="40" t="s">
        <v>649</v>
      </c>
      <c r="F635" s="360">
        <v>39611.0</v>
      </c>
      <c r="G635" s="360">
        <v>44285.0</v>
      </c>
      <c r="H635" s="360">
        <v>44285.0</v>
      </c>
      <c r="I635" s="360">
        <v>44285.0</v>
      </c>
      <c r="J635" s="361">
        <v>14.99</v>
      </c>
      <c r="K635" s="361">
        <v>14.99</v>
      </c>
      <c r="L635" s="361">
        <v>0.0</v>
      </c>
      <c r="M635" s="40">
        <v>1.0</v>
      </c>
      <c r="N635" s="361">
        <v>14.99</v>
      </c>
    </row>
    <row r="636">
      <c r="A636" s="358" t="s">
        <v>325</v>
      </c>
      <c r="B636" s="40"/>
      <c r="C636" s="40">
        <v>325.0</v>
      </c>
      <c r="D636" s="40" t="s">
        <v>1141</v>
      </c>
      <c r="E636" s="40" t="s">
        <v>649</v>
      </c>
      <c r="F636" s="360">
        <v>40109.0</v>
      </c>
      <c r="G636" s="360">
        <v>40192.0</v>
      </c>
      <c r="H636" s="360">
        <v>40192.0</v>
      </c>
      <c r="I636" s="360">
        <v>44718.0</v>
      </c>
      <c r="J636" s="361">
        <v>19.99</v>
      </c>
      <c r="K636" s="361">
        <v>0.5</v>
      </c>
      <c r="L636" s="361">
        <v>19.49</v>
      </c>
      <c r="M636" s="40">
        <v>30.0</v>
      </c>
      <c r="N636" s="361">
        <v>0.02</v>
      </c>
    </row>
    <row r="637">
      <c r="A637" s="358" t="s">
        <v>325</v>
      </c>
      <c r="B637" s="40"/>
      <c r="C637" s="40">
        <v>393.0</v>
      </c>
      <c r="D637" s="40" t="s">
        <v>1154</v>
      </c>
      <c r="E637" s="40" t="s">
        <v>649</v>
      </c>
      <c r="F637" s="360">
        <v>40947.0</v>
      </c>
      <c r="G637" s="360">
        <v>41607.0</v>
      </c>
      <c r="H637" s="360">
        <v>41607.0</v>
      </c>
      <c r="I637" s="360">
        <v>44795.0</v>
      </c>
      <c r="J637" s="361">
        <v>9.99</v>
      </c>
      <c r="K637" s="361">
        <v>9.99</v>
      </c>
      <c r="L637" s="361">
        <v>0.0</v>
      </c>
      <c r="M637" s="40">
        <v>10.0</v>
      </c>
      <c r="N637" s="361">
        <v>1.0</v>
      </c>
    </row>
    <row r="638">
      <c r="A638" s="358" t="s">
        <v>325</v>
      </c>
      <c r="B638" s="40"/>
      <c r="C638" s="40">
        <v>298.0</v>
      </c>
      <c r="D638" s="40" t="s">
        <v>1176</v>
      </c>
      <c r="E638" s="40" t="s">
        <v>649</v>
      </c>
      <c r="F638" s="360">
        <v>42248.0</v>
      </c>
      <c r="G638" s="360">
        <v>44190.0</v>
      </c>
      <c r="H638" s="360">
        <v>44209.0</v>
      </c>
      <c r="I638" s="360">
        <v>44231.0</v>
      </c>
      <c r="J638" s="361">
        <v>29.99</v>
      </c>
      <c r="K638" s="361">
        <v>7.49</v>
      </c>
      <c r="L638" s="361">
        <v>22.5</v>
      </c>
      <c r="M638" s="40">
        <v>101.0</v>
      </c>
      <c r="N638" s="361">
        <v>0.07</v>
      </c>
    </row>
    <row r="639">
      <c r="A639" s="393" t="s">
        <v>325</v>
      </c>
      <c r="B639" s="393"/>
      <c r="C639" s="394">
        <v>884.0</v>
      </c>
      <c r="D639" s="394" t="s">
        <v>1282</v>
      </c>
      <c r="E639" s="394" t="s">
        <v>33</v>
      </c>
      <c r="F639" s="395">
        <v>44803.0</v>
      </c>
      <c r="G639" s="395">
        <v>45720.0</v>
      </c>
      <c r="H639" s="395">
        <v>45720.0</v>
      </c>
      <c r="I639" s="395">
        <v>45720.0</v>
      </c>
      <c r="J639" s="396">
        <v>3.08</v>
      </c>
      <c r="K639" s="396">
        <v>0.0</v>
      </c>
      <c r="L639" s="361">
        <v>3.08</v>
      </c>
      <c r="M639" s="394">
        <v>1.0</v>
      </c>
      <c r="N639" s="361">
        <v>0.0</v>
      </c>
    </row>
    <row r="640">
      <c r="A640" s="393" t="s">
        <v>325</v>
      </c>
      <c r="B640" s="393"/>
      <c r="C640" s="394">
        <v>885.0</v>
      </c>
      <c r="D640" s="394" t="s">
        <v>1283</v>
      </c>
      <c r="E640" s="394" t="s">
        <v>33</v>
      </c>
      <c r="F640" s="395">
        <v>44803.0</v>
      </c>
      <c r="G640" s="395">
        <v>45720.0</v>
      </c>
      <c r="H640" s="395">
        <v>45720.0</v>
      </c>
      <c r="I640" s="395">
        <v>45720.0</v>
      </c>
      <c r="J640" s="396">
        <v>3.08</v>
      </c>
      <c r="K640" s="396">
        <v>0.0</v>
      </c>
      <c r="L640" s="361">
        <v>3.08</v>
      </c>
      <c r="M640" s="394">
        <v>1.0</v>
      </c>
      <c r="N640" s="361">
        <v>0.0</v>
      </c>
    </row>
    <row r="641">
      <c r="A641" s="393" t="s">
        <v>325</v>
      </c>
      <c r="B641" s="393"/>
      <c r="C641" s="394">
        <v>886.0</v>
      </c>
      <c r="D641" s="394" t="s">
        <v>1284</v>
      </c>
      <c r="E641" s="394" t="s">
        <v>33</v>
      </c>
      <c r="F641" s="395">
        <v>44803.0</v>
      </c>
      <c r="G641" s="395">
        <v>45720.0</v>
      </c>
      <c r="H641" s="395">
        <v>45720.0</v>
      </c>
      <c r="I641" s="395">
        <v>45720.0</v>
      </c>
      <c r="J641" s="396">
        <v>3.08</v>
      </c>
      <c r="K641" s="396">
        <v>0.0</v>
      </c>
      <c r="L641" s="361">
        <v>3.08</v>
      </c>
      <c r="M641" s="394">
        <v>1.0</v>
      </c>
      <c r="N641" s="361">
        <v>0.0</v>
      </c>
    </row>
    <row r="642">
      <c r="A642" s="393" t="s">
        <v>325</v>
      </c>
      <c r="B642" s="393"/>
      <c r="C642" s="394">
        <v>887.0</v>
      </c>
      <c r="D642" s="394" t="s">
        <v>1285</v>
      </c>
      <c r="E642" s="394" t="s">
        <v>33</v>
      </c>
      <c r="F642" s="395">
        <v>44803.0</v>
      </c>
      <c r="G642" s="395">
        <v>45720.0</v>
      </c>
      <c r="H642" s="395">
        <v>45720.0</v>
      </c>
      <c r="I642" s="395">
        <v>45720.0</v>
      </c>
      <c r="J642" s="396">
        <v>3.08</v>
      </c>
      <c r="K642" s="396">
        <v>0.0</v>
      </c>
      <c r="L642" s="361">
        <v>3.08</v>
      </c>
      <c r="M642" s="394">
        <v>1.0</v>
      </c>
      <c r="N642" s="361">
        <v>0.0</v>
      </c>
    </row>
    <row r="643">
      <c r="A643" s="393" t="s">
        <v>325</v>
      </c>
      <c r="B643" s="393"/>
      <c r="C643" s="394">
        <v>888.0</v>
      </c>
      <c r="D643" s="394" t="s">
        <v>1286</v>
      </c>
      <c r="E643" s="394" t="s">
        <v>33</v>
      </c>
      <c r="F643" s="395">
        <v>44803.0</v>
      </c>
      <c r="G643" s="395">
        <v>45720.0</v>
      </c>
      <c r="H643" s="395">
        <v>45720.0</v>
      </c>
      <c r="I643" s="395">
        <v>45720.0</v>
      </c>
      <c r="J643" s="396">
        <v>3.08</v>
      </c>
      <c r="K643" s="396">
        <v>0.0</v>
      </c>
      <c r="L643" s="361">
        <v>3.08</v>
      </c>
      <c r="M643" s="394">
        <v>1.0</v>
      </c>
      <c r="N643" s="361">
        <v>0.0</v>
      </c>
    </row>
    <row r="644">
      <c r="A644" s="393" t="s">
        <v>325</v>
      </c>
      <c r="B644" s="393"/>
      <c r="C644" s="394">
        <v>889.0</v>
      </c>
      <c r="D644" s="394" t="s">
        <v>1287</v>
      </c>
      <c r="E644" s="394" t="s">
        <v>33</v>
      </c>
      <c r="F644" s="395">
        <v>44803.0</v>
      </c>
      <c r="G644" s="395">
        <v>45720.0</v>
      </c>
      <c r="H644" s="395">
        <v>45720.0</v>
      </c>
      <c r="I644" s="395">
        <v>45720.0</v>
      </c>
      <c r="J644" s="396">
        <v>3.08</v>
      </c>
      <c r="K644" s="396">
        <v>0.0</v>
      </c>
      <c r="L644" s="361">
        <v>3.08</v>
      </c>
      <c r="M644" s="394">
        <v>1.0</v>
      </c>
      <c r="N644" s="361">
        <v>0.0</v>
      </c>
    </row>
    <row r="645">
      <c r="A645" s="393" t="s">
        <v>325</v>
      </c>
      <c r="B645" s="393"/>
      <c r="C645" s="394">
        <v>890.0</v>
      </c>
      <c r="D645" s="394" t="s">
        <v>1288</v>
      </c>
      <c r="E645" s="394" t="s">
        <v>33</v>
      </c>
      <c r="F645" s="395">
        <v>44803.0</v>
      </c>
      <c r="G645" s="395">
        <v>45720.0</v>
      </c>
      <c r="H645" s="395">
        <v>45720.0</v>
      </c>
      <c r="I645" s="395">
        <v>45720.0</v>
      </c>
      <c r="J645" s="396">
        <v>3.08</v>
      </c>
      <c r="K645" s="396">
        <v>0.0</v>
      </c>
      <c r="L645" s="361">
        <v>3.08</v>
      </c>
      <c r="M645" s="394">
        <v>1.0</v>
      </c>
      <c r="N645" s="361">
        <v>0.0</v>
      </c>
    </row>
    <row r="646">
      <c r="A646" s="393" t="s">
        <v>325</v>
      </c>
      <c r="B646" s="393"/>
      <c r="C646" s="394">
        <v>891.0</v>
      </c>
      <c r="D646" s="394" t="s">
        <v>1289</v>
      </c>
      <c r="E646" s="394" t="s">
        <v>33</v>
      </c>
      <c r="F646" s="395">
        <v>44803.0</v>
      </c>
      <c r="G646" s="395">
        <v>45720.0</v>
      </c>
      <c r="H646" s="395">
        <v>45720.0</v>
      </c>
      <c r="I646" s="395">
        <v>45720.0</v>
      </c>
      <c r="J646" s="396">
        <v>3.08</v>
      </c>
      <c r="K646" s="396">
        <v>0.0</v>
      </c>
      <c r="L646" s="361">
        <v>3.08</v>
      </c>
      <c r="M646" s="394">
        <v>1.0</v>
      </c>
      <c r="N646" s="361">
        <v>0.0</v>
      </c>
    </row>
    <row r="647">
      <c r="A647" s="393" t="s">
        <v>325</v>
      </c>
      <c r="B647" s="393"/>
      <c r="C647" s="394">
        <v>892.0</v>
      </c>
      <c r="D647" s="394" t="s">
        <v>1290</v>
      </c>
      <c r="E647" s="394" t="s">
        <v>33</v>
      </c>
      <c r="F647" s="395">
        <v>44803.0</v>
      </c>
      <c r="G647" s="395">
        <v>45720.0</v>
      </c>
      <c r="H647" s="395">
        <v>45720.0</v>
      </c>
      <c r="I647" s="395">
        <v>45720.0</v>
      </c>
      <c r="J647" s="396">
        <v>3.07</v>
      </c>
      <c r="K647" s="396">
        <v>0.0</v>
      </c>
      <c r="L647" s="361">
        <v>3.07</v>
      </c>
      <c r="M647" s="394">
        <v>1.0</v>
      </c>
      <c r="N647" s="361">
        <v>0.0</v>
      </c>
    </row>
    <row r="648">
      <c r="A648" s="393" t="s">
        <v>325</v>
      </c>
      <c r="B648" s="393"/>
      <c r="C648" s="394">
        <v>893.0</v>
      </c>
      <c r="D648" s="394" t="s">
        <v>1291</v>
      </c>
      <c r="E648" s="394" t="s">
        <v>33</v>
      </c>
      <c r="F648" s="395">
        <v>44803.0</v>
      </c>
      <c r="G648" s="395">
        <v>45720.0</v>
      </c>
      <c r="H648" s="395">
        <v>45720.0</v>
      </c>
      <c r="I648" s="395">
        <v>45720.0</v>
      </c>
      <c r="J648" s="396">
        <v>3.07</v>
      </c>
      <c r="K648" s="396">
        <v>0.0</v>
      </c>
      <c r="L648" s="361">
        <v>3.07</v>
      </c>
      <c r="M648" s="394">
        <v>1.0</v>
      </c>
      <c r="N648" s="361">
        <v>0.0</v>
      </c>
    </row>
    <row r="649">
      <c r="A649" s="393" t="s">
        <v>325</v>
      </c>
      <c r="B649" s="393"/>
      <c r="C649" s="394">
        <v>894.0</v>
      </c>
      <c r="D649" s="394" t="s">
        <v>1292</v>
      </c>
      <c r="E649" s="394" t="s">
        <v>33</v>
      </c>
      <c r="F649" s="395">
        <v>44803.0</v>
      </c>
      <c r="G649" s="395">
        <v>45720.0</v>
      </c>
      <c r="H649" s="395">
        <v>45720.0</v>
      </c>
      <c r="I649" s="395">
        <v>45720.0</v>
      </c>
      <c r="J649" s="396">
        <v>3.07</v>
      </c>
      <c r="K649" s="396">
        <v>0.0</v>
      </c>
      <c r="L649" s="361">
        <v>3.07</v>
      </c>
      <c r="M649" s="394">
        <v>1.0</v>
      </c>
      <c r="N649" s="361">
        <v>0.0</v>
      </c>
    </row>
    <row r="650">
      <c r="A650" s="393" t="s">
        <v>325</v>
      </c>
      <c r="B650" s="393"/>
      <c r="C650" s="394">
        <v>895.0</v>
      </c>
      <c r="D650" s="394" t="s">
        <v>1293</v>
      </c>
      <c r="E650" s="394" t="s">
        <v>33</v>
      </c>
      <c r="F650" s="395">
        <v>44803.0</v>
      </c>
      <c r="G650" s="395">
        <v>45720.0</v>
      </c>
      <c r="H650" s="395">
        <v>45720.0</v>
      </c>
      <c r="I650" s="395">
        <v>45720.0</v>
      </c>
      <c r="J650" s="396">
        <v>3.07</v>
      </c>
      <c r="K650" s="396">
        <v>0.0</v>
      </c>
      <c r="L650" s="361">
        <v>3.07</v>
      </c>
      <c r="M650" s="394">
        <v>1.0</v>
      </c>
      <c r="N650" s="361">
        <v>0.0</v>
      </c>
    </row>
    <row r="651">
      <c r="A651" s="393" t="s">
        <v>325</v>
      </c>
      <c r="B651" s="393"/>
      <c r="C651" s="394">
        <v>896.0</v>
      </c>
      <c r="D651" s="394" t="s">
        <v>1294</v>
      </c>
      <c r="E651" s="394" t="s">
        <v>33</v>
      </c>
      <c r="F651" s="395">
        <v>44803.0</v>
      </c>
      <c r="G651" s="395">
        <v>45720.0</v>
      </c>
      <c r="H651" s="395">
        <v>45720.0</v>
      </c>
      <c r="I651" s="395">
        <v>45720.0</v>
      </c>
      <c r="J651" s="396">
        <v>3.07</v>
      </c>
      <c r="K651" s="396">
        <v>0.0</v>
      </c>
      <c r="L651" s="361">
        <v>3.07</v>
      </c>
      <c r="M651" s="394">
        <v>1.0</v>
      </c>
      <c r="N651" s="361">
        <v>0.0</v>
      </c>
    </row>
    <row r="652">
      <c r="A652" s="74"/>
      <c r="B652" s="74"/>
      <c r="C652" s="340"/>
      <c r="D652" s="146"/>
      <c r="E652" s="146"/>
      <c r="F652" s="146"/>
      <c r="G652" s="146"/>
      <c r="H652" s="146"/>
      <c r="I652" s="146"/>
      <c r="J652" s="339">
        <f t="shared" ref="J652:M652" si="77">SUM(J623:J651)</f>
        <v>253.86</v>
      </c>
      <c r="K652" s="339">
        <f t="shared" si="77"/>
        <v>141.89</v>
      </c>
      <c r="L652" s="339">
        <f t="shared" si="77"/>
        <v>111.97</v>
      </c>
      <c r="M652" s="146">
        <f t="shared" si="77"/>
        <v>198</v>
      </c>
      <c r="N652" s="339">
        <f>K652/M652</f>
        <v>0.7166161616</v>
      </c>
    </row>
    <row r="653">
      <c r="A653" s="357" t="s">
        <v>325</v>
      </c>
      <c r="B653" s="40" t="s">
        <v>345</v>
      </c>
      <c r="C653" s="40">
        <v>84.0</v>
      </c>
      <c r="D653" s="40" t="s">
        <v>1099</v>
      </c>
      <c r="E653" s="40" t="s">
        <v>645</v>
      </c>
      <c r="F653" s="360">
        <v>37155.0</v>
      </c>
      <c r="G653" s="360">
        <v>42619.0</v>
      </c>
      <c r="H653" s="360">
        <v>42633.0</v>
      </c>
      <c r="I653" s="360">
        <v>45180.0</v>
      </c>
      <c r="J653" s="361">
        <v>14.99</v>
      </c>
      <c r="K653" s="361">
        <v>8.99</v>
      </c>
      <c r="L653" s="361">
        <v>6.0</v>
      </c>
      <c r="M653" s="40">
        <v>66.0</v>
      </c>
      <c r="N653" s="361">
        <v>0.14</v>
      </c>
    </row>
    <row r="654">
      <c r="A654" s="357" t="s">
        <v>325</v>
      </c>
      <c r="B654" s="40"/>
      <c r="C654" s="40">
        <v>85.0</v>
      </c>
      <c r="D654" s="40" t="s">
        <v>1111</v>
      </c>
      <c r="E654" s="40" t="s">
        <v>645</v>
      </c>
      <c r="F654" s="360">
        <v>37876.0</v>
      </c>
      <c r="G654" s="360">
        <v>42650.0</v>
      </c>
      <c r="H654" s="360">
        <v>45181.0</v>
      </c>
      <c r="I654" s="360">
        <v>45182.0</v>
      </c>
      <c r="J654" s="361">
        <v>14.99</v>
      </c>
      <c r="K654" s="361">
        <v>14.99</v>
      </c>
      <c r="L654" s="361">
        <v>0.0</v>
      </c>
      <c r="M654" s="40">
        <v>3.0</v>
      </c>
      <c r="N654" s="361">
        <v>5.0</v>
      </c>
    </row>
    <row r="655">
      <c r="A655" s="358" t="s">
        <v>325</v>
      </c>
      <c r="B655" s="40"/>
      <c r="C655" s="40">
        <v>315.0</v>
      </c>
      <c r="D655" s="40" t="s">
        <v>1165</v>
      </c>
      <c r="E655" s="40" t="s">
        <v>649</v>
      </c>
      <c r="F655" s="360">
        <v>41306.0</v>
      </c>
      <c r="G655" s="360">
        <v>45182.0</v>
      </c>
      <c r="H655" s="360">
        <v>45451.0</v>
      </c>
      <c r="I655" s="360">
        <v>45464.0</v>
      </c>
      <c r="J655" s="361">
        <v>49.99</v>
      </c>
      <c r="K655" s="361">
        <v>0.0</v>
      </c>
      <c r="L655" s="361">
        <v>49.99</v>
      </c>
      <c r="M655" s="40">
        <v>18.0</v>
      </c>
      <c r="N655" s="361">
        <v>0.0</v>
      </c>
    </row>
    <row r="656">
      <c r="A656" s="40" t="s">
        <v>325</v>
      </c>
      <c r="B656" s="40"/>
      <c r="C656" s="40">
        <v>768.0</v>
      </c>
      <c r="D656" s="40" t="s">
        <v>1229</v>
      </c>
      <c r="E656" s="40" t="s">
        <v>33</v>
      </c>
      <c r="F656" s="360">
        <v>43182.0</v>
      </c>
      <c r="G656" s="360">
        <v>45177.0</v>
      </c>
      <c r="H656" s="360">
        <v>45177.0</v>
      </c>
      <c r="I656" s="360">
        <v>45177.0</v>
      </c>
      <c r="J656" s="361">
        <v>69.99</v>
      </c>
      <c r="K656" s="361">
        <v>0.0</v>
      </c>
      <c r="L656" s="361">
        <v>69.99</v>
      </c>
      <c r="M656" s="40">
        <v>1.0</v>
      </c>
      <c r="N656" s="361">
        <v>0.0</v>
      </c>
    </row>
    <row r="657">
      <c r="A657" s="74"/>
      <c r="B657" s="74"/>
      <c r="C657" s="340"/>
      <c r="D657" s="146"/>
      <c r="E657" s="146"/>
      <c r="F657" s="146"/>
      <c r="G657" s="146"/>
      <c r="H657" s="146"/>
      <c r="I657" s="146"/>
      <c r="J657" s="339">
        <f t="shared" ref="J657:M657" si="78">SUM(J653:J656)</f>
        <v>149.96</v>
      </c>
      <c r="K657" s="339">
        <f t="shared" si="78"/>
        <v>23.98</v>
      </c>
      <c r="L657" s="339">
        <f t="shared" si="78"/>
        <v>125.98</v>
      </c>
      <c r="M657" s="146">
        <f t="shared" si="78"/>
        <v>88</v>
      </c>
      <c r="N657" s="339">
        <f t="shared" ref="N657:N658" si="79">K657/M657</f>
        <v>0.2725</v>
      </c>
    </row>
    <row r="658">
      <c r="A658" s="390" t="s">
        <v>325</v>
      </c>
      <c r="B658" s="390" t="s">
        <v>346</v>
      </c>
      <c r="C658" s="397">
        <v>1094.0</v>
      </c>
      <c r="D658" s="390" t="s">
        <v>1074</v>
      </c>
      <c r="E658" s="390" t="s">
        <v>682</v>
      </c>
      <c r="F658" s="398">
        <v>35719.0</v>
      </c>
      <c r="G658" s="398">
        <v>45949.0</v>
      </c>
      <c r="H658" s="398">
        <v>45949.0</v>
      </c>
      <c r="I658" s="398">
        <v>45949.0</v>
      </c>
      <c r="J658" s="392">
        <v>15.99</v>
      </c>
      <c r="K658" s="392">
        <v>7.99</v>
      </c>
      <c r="L658" s="392">
        <f>J658-K658</f>
        <v>8</v>
      </c>
      <c r="M658" s="390">
        <v>1.0</v>
      </c>
      <c r="N658" s="392">
        <f t="shared" si="79"/>
        <v>7.99</v>
      </c>
    </row>
    <row r="659">
      <c r="A659" s="357" t="s">
        <v>325</v>
      </c>
      <c r="B659" s="40" t="s">
        <v>347</v>
      </c>
      <c r="C659" s="40">
        <v>101.0</v>
      </c>
      <c r="D659" s="40" t="s">
        <v>1117</v>
      </c>
      <c r="E659" s="40" t="s">
        <v>645</v>
      </c>
      <c r="F659" s="360">
        <v>38672.0</v>
      </c>
      <c r="G659" s="360">
        <v>43275.0</v>
      </c>
      <c r="H659" s="360">
        <v>43407.0</v>
      </c>
      <c r="I659" s="360">
        <v>43407.0</v>
      </c>
      <c r="J659" s="361">
        <v>14.99</v>
      </c>
      <c r="K659" s="361">
        <v>4.99</v>
      </c>
      <c r="L659" s="361">
        <v>10.0</v>
      </c>
      <c r="M659" s="40">
        <v>2.0</v>
      </c>
      <c r="N659" s="361">
        <v>2.5</v>
      </c>
    </row>
    <row r="660">
      <c r="A660" s="40" t="s">
        <v>325</v>
      </c>
      <c r="B660" s="40" t="s">
        <v>348</v>
      </c>
      <c r="C660" s="40">
        <v>5.0</v>
      </c>
      <c r="D660" s="40" t="s">
        <v>1067</v>
      </c>
      <c r="E660" s="40" t="s">
        <v>682</v>
      </c>
      <c r="F660" s="360">
        <v>35062.0</v>
      </c>
      <c r="G660" s="360">
        <v>43373.0</v>
      </c>
      <c r="H660" s="360">
        <v>43373.0</v>
      </c>
      <c r="I660" s="360">
        <v>43373.0</v>
      </c>
      <c r="J660" s="361">
        <v>4.99</v>
      </c>
      <c r="K660" s="361">
        <v>4.99</v>
      </c>
      <c r="L660" s="361">
        <v>0.0</v>
      </c>
      <c r="M660" s="40">
        <v>1.0</v>
      </c>
      <c r="N660" s="361">
        <v>4.99</v>
      </c>
    </row>
    <row r="661">
      <c r="A661" s="40" t="s">
        <v>325</v>
      </c>
      <c r="B661" s="40" t="s">
        <v>349</v>
      </c>
      <c r="C661" s="40">
        <v>903.0</v>
      </c>
      <c r="D661" s="40" t="s">
        <v>1251</v>
      </c>
      <c r="E661" s="40" t="s">
        <v>33</v>
      </c>
      <c r="F661" s="360">
        <v>43413.0</v>
      </c>
      <c r="G661" s="360">
        <v>43475.0</v>
      </c>
      <c r="H661" s="360">
        <v>43476.0</v>
      </c>
      <c r="I661" s="360">
        <v>44528.0</v>
      </c>
      <c r="J661" s="361">
        <v>39.99</v>
      </c>
      <c r="K661" s="361">
        <v>39.99</v>
      </c>
      <c r="L661" s="361">
        <v>0.0</v>
      </c>
      <c r="M661" s="40">
        <v>14.0</v>
      </c>
      <c r="N661" s="361">
        <v>2.86</v>
      </c>
    </row>
    <row r="662">
      <c r="A662" s="40" t="s">
        <v>325</v>
      </c>
      <c r="B662" s="40" t="s">
        <v>350</v>
      </c>
      <c r="C662" s="40">
        <v>436.0</v>
      </c>
      <c r="D662" s="40" t="s">
        <v>1188</v>
      </c>
      <c r="E662" s="40" t="s">
        <v>671</v>
      </c>
      <c r="F662" s="360">
        <v>42514.0</v>
      </c>
      <c r="G662" s="360">
        <v>42766.0</v>
      </c>
      <c r="H662" s="360">
        <v>42767.0</v>
      </c>
      <c r="I662" s="360">
        <v>43099.0</v>
      </c>
      <c r="J662" s="361">
        <v>4.99</v>
      </c>
      <c r="K662" s="361">
        <v>1.99</v>
      </c>
      <c r="L662" s="361">
        <v>3.0</v>
      </c>
      <c r="M662" s="40">
        <v>7.0</v>
      </c>
      <c r="N662" s="361">
        <v>0.28</v>
      </c>
    </row>
    <row r="663">
      <c r="A663" s="40" t="s">
        <v>325</v>
      </c>
      <c r="B663" s="40" t="s">
        <v>351</v>
      </c>
      <c r="C663" s="40">
        <v>40.0</v>
      </c>
      <c r="D663" s="40" t="s">
        <v>1073</v>
      </c>
      <c r="E663" s="40" t="s">
        <v>682</v>
      </c>
      <c r="F663" s="360">
        <v>35699.0</v>
      </c>
      <c r="G663" s="360">
        <v>42927.0</v>
      </c>
      <c r="H663" s="360">
        <v>42927.0</v>
      </c>
      <c r="I663" s="360">
        <v>45163.0</v>
      </c>
      <c r="J663" s="361">
        <v>14.99</v>
      </c>
      <c r="K663" s="361">
        <v>14.99</v>
      </c>
      <c r="L663" s="361">
        <v>0.0</v>
      </c>
      <c r="M663" s="40">
        <v>4.0</v>
      </c>
      <c r="N663" s="361">
        <v>3.75</v>
      </c>
    </row>
    <row r="664">
      <c r="A664" s="357" t="s">
        <v>325</v>
      </c>
      <c r="B664" s="40"/>
      <c r="C664" s="40">
        <v>73.0</v>
      </c>
      <c r="D664" s="40" t="s">
        <v>1086</v>
      </c>
      <c r="E664" s="40" t="s">
        <v>682</v>
      </c>
      <c r="F664" s="360">
        <v>36413.0</v>
      </c>
      <c r="G664" s="360">
        <v>43014.0</v>
      </c>
      <c r="H664" s="360">
        <v>43014.0</v>
      </c>
      <c r="I664" s="360">
        <v>43014.0</v>
      </c>
      <c r="J664" s="361">
        <v>4.99</v>
      </c>
      <c r="K664" s="361">
        <v>4.99</v>
      </c>
      <c r="L664" s="361">
        <v>0.0</v>
      </c>
      <c r="M664" s="40">
        <v>1.0</v>
      </c>
      <c r="N664" s="361">
        <v>4.99</v>
      </c>
    </row>
    <row r="665">
      <c r="A665" s="357" t="s">
        <v>325</v>
      </c>
      <c r="B665" s="40"/>
      <c r="C665" s="40">
        <v>74.0</v>
      </c>
      <c r="D665" s="40" t="s">
        <v>1092</v>
      </c>
      <c r="E665" s="40" t="s">
        <v>682</v>
      </c>
      <c r="F665" s="360">
        <v>36768.0</v>
      </c>
      <c r="G665" s="360">
        <v>43014.0</v>
      </c>
      <c r="H665" s="360">
        <v>43014.0</v>
      </c>
      <c r="I665" s="360">
        <v>43014.0</v>
      </c>
      <c r="J665" s="361">
        <v>4.99</v>
      </c>
      <c r="K665" s="361">
        <v>1.99</v>
      </c>
      <c r="L665" s="361">
        <v>3.0</v>
      </c>
      <c r="M665" s="40">
        <v>1.0</v>
      </c>
      <c r="N665" s="361">
        <v>1.99</v>
      </c>
    </row>
    <row r="666">
      <c r="A666" s="357" t="s">
        <v>325</v>
      </c>
      <c r="B666" s="40"/>
      <c r="C666" s="40">
        <v>118.0</v>
      </c>
      <c r="D666" s="40" t="s">
        <v>1105</v>
      </c>
      <c r="E666" s="40" t="s">
        <v>645</v>
      </c>
      <c r="F666" s="360">
        <v>37351.0</v>
      </c>
      <c r="G666" s="360">
        <v>42619.0</v>
      </c>
      <c r="H666" s="360">
        <v>42632.0</v>
      </c>
      <c r="I666" s="360">
        <v>45163.0</v>
      </c>
      <c r="J666" s="361">
        <v>9.99</v>
      </c>
      <c r="K666" s="361">
        <v>5.99</v>
      </c>
      <c r="L666" s="361">
        <v>4.0</v>
      </c>
      <c r="M666" s="40">
        <v>8.0</v>
      </c>
      <c r="N666" s="361">
        <v>0.75</v>
      </c>
    </row>
    <row r="667">
      <c r="A667" s="74"/>
      <c r="B667" s="74"/>
      <c r="C667" s="340"/>
      <c r="D667" s="146"/>
      <c r="E667" s="146"/>
      <c r="F667" s="146"/>
      <c r="G667" s="146"/>
      <c r="H667" s="146"/>
      <c r="I667" s="146"/>
      <c r="J667" s="339">
        <f t="shared" ref="J667:M667" si="80">SUM(J663:J666)</f>
        <v>34.96</v>
      </c>
      <c r="K667" s="339">
        <f t="shared" si="80"/>
        <v>27.96</v>
      </c>
      <c r="L667" s="339">
        <f t="shared" si="80"/>
        <v>7</v>
      </c>
      <c r="M667" s="146">
        <f t="shared" si="80"/>
        <v>14</v>
      </c>
      <c r="N667" s="339">
        <f>K667/M667</f>
        <v>1.997142857</v>
      </c>
    </row>
    <row r="668">
      <c r="A668" s="40" t="s">
        <v>325</v>
      </c>
      <c r="B668" s="40" t="s">
        <v>352</v>
      </c>
      <c r="C668" s="40">
        <v>175.0</v>
      </c>
      <c r="D668" s="40" t="s">
        <v>1129</v>
      </c>
      <c r="E668" s="40" t="s">
        <v>37</v>
      </c>
      <c r="F668" s="360">
        <v>39990.0</v>
      </c>
      <c r="G668" s="360">
        <v>43373.0</v>
      </c>
      <c r="H668" s="360">
        <v>43373.0</v>
      </c>
      <c r="I668" s="360">
        <v>43373.0</v>
      </c>
      <c r="J668" s="361">
        <v>9.99</v>
      </c>
      <c r="K668" s="361">
        <v>9.99</v>
      </c>
      <c r="L668" s="361">
        <v>0.0</v>
      </c>
      <c r="M668" s="40">
        <v>1.0</v>
      </c>
      <c r="N668" s="361">
        <v>9.99</v>
      </c>
    </row>
    <row r="669">
      <c r="A669" s="358" t="s">
        <v>325</v>
      </c>
      <c r="B669" s="40"/>
      <c r="C669" s="40">
        <v>496.0</v>
      </c>
      <c r="D669" s="40" t="s">
        <v>1190</v>
      </c>
      <c r="E669" s="40" t="s">
        <v>671</v>
      </c>
      <c r="F669" s="360">
        <v>42671.0</v>
      </c>
      <c r="G669" s="360">
        <v>42840.0</v>
      </c>
      <c r="H669" s="360">
        <v>45064.0</v>
      </c>
      <c r="I669" s="360">
        <v>45070.0</v>
      </c>
      <c r="J669" s="361">
        <v>19.99</v>
      </c>
      <c r="K669" s="361">
        <v>9.99</v>
      </c>
      <c r="L669" s="361">
        <v>10.0</v>
      </c>
      <c r="M669" s="40">
        <v>10.0</v>
      </c>
      <c r="N669" s="361">
        <v>1.0</v>
      </c>
    </row>
    <row r="670">
      <c r="A670" s="358" t="s">
        <v>325</v>
      </c>
      <c r="B670" s="40"/>
      <c r="C670" s="40">
        <v>497.0</v>
      </c>
      <c r="D670" s="40" t="s">
        <v>1192</v>
      </c>
      <c r="E670" s="40" t="s">
        <v>671</v>
      </c>
      <c r="F670" s="360">
        <v>43035.0</v>
      </c>
      <c r="G670" s="360">
        <v>43992.0</v>
      </c>
      <c r="H670" s="360">
        <v>44001.0</v>
      </c>
      <c r="I670" s="360">
        <v>44001.0</v>
      </c>
      <c r="J670" s="361">
        <v>29.99</v>
      </c>
      <c r="K670" s="361">
        <v>14.99</v>
      </c>
      <c r="L670" s="361">
        <v>15.0</v>
      </c>
      <c r="M670" s="40">
        <v>2.0</v>
      </c>
      <c r="N670" s="361">
        <v>7.5</v>
      </c>
    </row>
    <row r="671">
      <c r="A671" s="74"/>
      <c r="B671" s="74"/>
      <c r="C671" s="340"/>
      <c r="D671" s="146"/>
      <c r="E671" s="146"/>
      <c r="F671" s="146"/>
      <c r="G671" s="146"/>
      <c r="H671" s="146"/>
      <c r="I671" s="146"/>
      <c r="J671" s="339">
        <f t="shared" ref="J671:M671" si="81">SUM(J668:J670)</f>
        <v>59.97</v>
      </c>
      <c r="K671" s="339">
        <f t="shared" si="81"/>
        <v>34.97</v>
      </c>
      <c r="L671" s="339">
        <f t="shared" si="81"/>
        <v>25</v>
      </c>
      <c r="M671" s="146">
        <f t="shared" si="81"/>
        <v>13</v>
      </c>
      <c r="N671" s="339">
        <f>K671/M671</f>
        <v>2.69</v>
      </c>
    </row>
    <row r="672">
      <c r="A672" s="358" t="s">
        <v>325</v>
      </c>
      <c r="B672" s="358" t="s">
        <v>353</v>
      </c>
      <c r="C672" s="40">
        <v>788.0</v>
      </c>
      <c r="D672" s="40" t="s">
        <v>1281</v>
      </c>
      <c r="E672" s="40" t="s">
        <v>33</v>
      </c>
      <c r="F672" s="360">
        <v>44798.0</v>
      </c>
      <c r="G672" s="360">
        <v>45692.0</v>
      </c>
      <c r="H672" s="360">
        <v>45692.0</v>
      </c>
      <c r="I672" s="360">
        <v>45692.0</v>
      </c>
      <c r="J672" s="362">
        <v>39.99</v>
      </c>
      <c r="K672" s="362">
        <v>0.0</v>
      </c>
      <c r="L672" s="362">
        <v>39.99</v>
      </c>
      <c r="M672" s="40">
        <v>1.0</v>
      </c>
      <c r="N672" s="362">
        <v>0.0</v>
      </c>
    </row>
    <row r="673">
      <c r="A673" s="40" t="s">
        <v>325</v>
      </c>
      <c r="B673" s="40" t="s">
        <v>354</v>
      </c>
      <c r="C673" s="40">
        <v>791.0</v>
      </c>
      <c r="D673" s="40" t="s">
        <v>1271</v>
      </c>
      <c r="E673" s="40" t="s">
        <v>33</v>
      </c>
      <c r="F673" s="360">
        <v>44250.0</v>
      </c>
      <c r="G673" s="360">
        <v>44565.0</v>
      </c>
      <c r="H673" s="360">
        <v>44565.0</v>
      </c>
      <c r="I673" s="360">
        <v>44565.0</v>
      </c>
      <c r="J673" s="361">
        <v>59.99</v>
      </c>
      <c r="K673" s="361">
        <v>0.0</v>
      </c>
      <c r="L673" s="362">
        <v>59.99</v>
      </c>
      <c r="M673" s="40">
        <v>1.0</v>
      </c>
      <c r="N673" s="361">
        <v>0.0</v>
      </c>
    </row>
    <row r="674">
      <c r="A674" s="40" t="s">
        <v>325</v>
      </c>
      <c r="B674" s="40" t="s">
        <v>355</v>
      </c>
      <c r="C674" s="40">
        <v>692.0</v>
      </c>
      <c r="D674" s="40" t="s">
        <v>1193</v>
      </c>
      <c r="E674" s="40" t="s">
        <v>33</v>
      </c>
      <c r="F674" s="360">
        <v>39955.0</v>
      </c>
      <c r="G674" s="360">
        <v>44883.0</v>
      </c>
      <c r="H674" s="360">
        <v>44906.0</v>
      </c>
      <c r="I674" s="360">
        <v>44907.0</v>
      </c>
      <c r="J674" s="361">
        <v>25.0</v>
      </c>
      <c r="K674" s="361">
        <v>15.0</v>
      </c>
      <c r="L674" s="362">
        <v>10.0</v>
      </c>
      <c r="M674" s="40">
        <v>6.0</v>
      </c>
      <c r="N674" s="361">
        <v>2.5</v>
      </c>
    </row>
    <row r="675">
      <c r="A675" s="358" t="s">
        <v>325</v>
      </c>
      <c r="B675" s="40" t="s">
        <v>356</v>
      </c>
      <c r="C675" s="40">
        <v>193.0</v>
      </c>
      <c r="D675" s="40" t="s">
        <v>1143</v>
      </c>
      <c r="E675" s="40" t="s">
        <v>649</v>
      </c>
      <c r="F675" s="360">
        <v>40186.0</v>
      </c>
      <c r="G675" s="360">
        <v>44091.0</v>
      </c>
      <c r="H675" s="360">
        <v>45111.0</v>
      </c>
      <c r="I675" s="360">
        <v>45121.0</v>
      </c>
      <c r="J675" s="361">
        <v>14.99</v>
      </c>
      <c r="K675" s="361">
        <v>4.0</v>
      </c>
      <c r="L675" s="362">
        <v>10.99</v>
      </c>
      <c r="M675" s="40">
        <v>5.0</v>
      </c>
      <c r="N675" s="361">
        <v>0.8</v>
      </c>
    </row>
    <row r="676">
      <c r="A676" s="358" t="s">
        <v>325</v>
      </c>
      <c r="B676" s="358" t="s">
        <v>357</v>
      </c>
      <c r="C676" s="40">
        <v>1070.0</v>
      </c>
      <c r="D676" s="40" t="s">
        <v>1310</v>
      </c>
      <c r="E676" s="40" t="s">
        <v>39</v>
      </c>
      <c r="F676" s="360">
        <v>45560.0</v>
      </c>
      <c r="G676" s="360">
        <v>45586.0</v>
      </c>
      <c r="H676" s="360">
        <v>45586.0</v>
      </c>
      <c r="I676" s="360">
        <v>45820.0</v>
      </c>
      <c r="J676" s="362">
        <v>28.99</v>
      </c>
      <c r="K676" s="362">
        <v>28.99</v>
      </c>
      <c r="L676" s="361">
        <v>0.0</v>
      </c>
      <c r="M676" s="40">
        <v>22.0</v>
      </c>
      <c r="N676" s="361">
        <v>1.32</v>
      </c>
    </row>
    <row r="677">
      <c r="A677" s="40" t="s">
        <v>325</v>
      </c>
      <c r="B677" s="40" t="s">
        <v>358</v>
      </c>
      <c r="C677" s="40">
        <v>37.0</v>
      </c>
      <c r="D677" s="40" t="s">
        <v>1070</v>
      </c>
      <c r="E677" s="40" t="s">
        <v>682</v>
      </c>
      <c r="F677" s="360">
        <v>35370.0</v>
      </c>
      <c r="G677" s="360">
        <v>43014.0</v>
      </c>
      <c r="H677" s="360">
        <v>43014.0</v>
      </c>
      <c r="I677" s="360">
        <v>43014.0</v>
      </c>
      <c r="J677" s="361">
        <v>4.99</v>
      </c>
      <c r="K677" s="361">
        <v>2.49</v>
      </c>
      <c r="L677" s="362">
        <v>2.5</v>
      </c>
      <c r="M677" s="40">
        <v>3.0</v>
      </c>
      <c r="N677" s="361">
        <v>0.83</v>
      </c>
    </row>
    <row r="678">
      <c r="A678" s="358" t="s">
        <v>325</v>
      </c>
      <c r="B678" s="40"/>
      <c r="C678" s="40">
        <v>255.0</v>
      </c>
      <c r="D678" s="40" t="s">
        <v>1146</v>
      </c>
      <c r="E678" s="40" t="s">
        <v>649</v>
      </c>
      <c r="F678" s="360">
        <v>40506.0</v>
      </c>
      <c r="G678" s="360">
        <v>40537.0</v>
      </c>
      <c r="H678" s="360">
        <v>40537.0</v>
      </c>
      <c r="I678" s="360">
        <v>44325.0</v>
      </c>
      <c r="J678" s="361">
        <v>29.99</v>
      </c>
      <c r="K678" s="361">
        <v>5.0</v>
      </c>
      <c r="L678" s="362">
        <v>24.99</v>
      </c>
      <c r="M678" s="40">
        <v>80.0</v>
      </c>
      <c r="N678" s="361">
        <v>0.06</v>
      </c>
    </row>
    <row r="679">
      <c r="A679" s="74"/>
      <c r="B679" s="74"/>
      <c r="C679" s="340"/>
      <c r="D679" s="146"/>
      <c r="E679" s="146"/>
      <c r="F679" s="146"/>
      <c r="G679" s="146"/>
      <c r="H679" s="146"/>
      <c r="I679" s="146"/>
      <c r="J679" s="339">
        <f t="shared" ref="J679:M679" si="82">SUM(J677:J678)</f>
        <v>34.98</v>
      </c>
      <c r="K679" s="339">
        <f t="shared" si="82"/>
        <v>7.49</v>
      </c>
      <c r="L679" s="339">
        <f t="shared" si="82"/>
        <v>27.49</v>
      </c>
      <c r="M679" s="146">
        <f t="shared" si="82"/>
        <v>83</v>
      </c>
      <c r="N679" s="339">
        <f>K679/M679</f>
        <v>0.09024096386</v>
      </c>
    </row>
    <row r="680">
      <c r="A680" s="358" t="s">
        <v>325</v>
      </c>
      <c r="B680" s="40" t="s">
        <v>359</v>
      </c>
      <c r="C680" s="40">
        <v>322.0</v>
      </c>
      <c r="D680" s="40" t="s">
        <v>1142</v>
      </c>
      <c r="E680" s="40" t="s">
        <v>649</v>
      </c>
      <c r="F680" s="360">
        <v>40157.0</v>
      </c>
      <c r="G680" s="360">
        <v>42811.0</v>
      </c>
      <c r="H680" s="360">
        <v>42811.0</v>
      </c>
      <c r="I680" s="360">
        <v>42811.0</v>
      </c>
      <c r="J680" s="361">
        <v>11.99</v>
      </c>
      <c r="K680" s="361">
        <v>2.99</v>
      </c>
      <c r="L680" s="361">
        <v>9.0</v>
      </c>
      <c r="M680" s="40">
        <v>1.0</v>
      </c>
      <c r="N680" s="361">
        <v>2.99</v>
      </c>
    </row>
    <row r="681">
      <c r="A681" s="358" t="s">
        <v>325</v>
      </c>
      <c r="B681" s="358" t="s">
        <v>360</v>
      </c>
      <c r="C681" s="358">
        <v>285.0</v>
      </c>
      <c r="D681" s="358" t="s">
        <v>1177</v>
      </c>
      <c r="E681" s="358" t="s">
        <v>649</v>
      </c>
      <c r="F681" s="360">
        <v>42346.0</v>
      </c>
      <c r="G681" s="360">
        <v>44482.0</v>
      </c>
      <c r="H681" s="360">
        <v>44622.0</v>
      </c>
      <c r="I681" s="360">
        <v>45907.0</v>
      </c>
      <c r="J681" s="359">
        <v>13.33</v>
      </c>
      <c r="K681" s="359">
        <v>7.99</v>
      </c>
      <c r="L681" s="359">
        <f>J681-K681</f>
        <v>5.34</v>
      </c>
      <c r="M681" s="358">
        <v>274.0</v>
      </c>
      <c r="N681" s="359">
        <f>K681/M681</f>
        <v>0.02916058394</v>
      </c>
    </row>
    <row r="682">
      <c r="A682" s="40" t="s">
        <v>325</v>
      </c>
      <c r="B682" s="40"/>
      <c r="C682" s="40">
        <v>704.0</v>
      </c>
      <c r="D682" s="40" t="s">
        <v>1213</v>
      </c>
      <c r="E682" s="40" t="s">
        <v>33</v>
      </c>
      <c r="F682" s="360">
        <v>42759.0</v>
      </c>
      <c r="G682" s="360">
        <v>44474.0</v>
      </c>
      <c r="H682" s="360">
        <v>44501.0</v>
      </c>
      <c r="I682" s="360">
        <v>45582.0</v>
      </c>
      <c r="J682" s="361">
        <v>19.99</v>
      </c>
      <c r="K682" s="361">
        <v>8.99</v>
      </c>
      <c r="L682" s="361">
        <v>11.0</v>
      </c>
      <c r="M682" s="40">
        <v>198.0</v>
      </c>
      <c r="N682" s="361">
        <v>0.05</v>
      </c>
    </row>
    <row r="683">
      <c r="A683" s="358" t="s">
        <v>325</v>
      </c>
      <c r="B683" s="40"/>
      <c r="C683" s="40">
        <v>705.0</v>
      </c>
      <c r="D683" s="40" t="s">
        <v>1225</v>
      </c>
      <c r="E683" s="40" t="s">
        <v>33</v>
      </c>
      <c r="F683" s="360">
        <v>42976.0</v>
      </c>
      <c r="G683" s="360">
        <v>44474.0</v>
      </c>
      <c r="H683" s="360">
        <v>44571.0</v>
      </c>
      <c r="I683" s="360">
        <v>45601.0</v>
      </c>
      <c r="J683" s="361">
        <v>19.99</v>
      </c>
      <c r="K683" s="361">
        <v>7.99</v>
      </c>
      <c r="L683" s="361">
        <v>12.0</v>
      </c>
      <c r="M683" s="40">
        <v>119.0</v>
      </c>
      <c r="N683" s="361">
        <v>0.07</v>
      </c>
    </row>
    <row r="684">
      <c r="A684" s="358" t="s">
        <v>325</v>
      </c>
      <c r="B684" s="40"/>
      <c r="C684" s="40">
        <v>707.0</v>
      </c>
      <c r="D684" s="40" t="s">
        <v>1230</v>
      </c>
      <c r="E684" s="40" t="s">
        <v>33</v>
      </c>
      <c r="F684" s="360">
        <v>43207.0</v>
      </c>
      <c r="G684" s="360">
        <v>44474.0</v>
      </c>
      <c r="H684" s="360">
        <v>44656.0</v>
      </c>
      <c r="I684" s="360">
        <v>44662.0</v>
      </c>
      <c r="J684" s="361">
        <v>19.99</v>
      </c>
      <c r="K684" s="361">
        <v>8.99</v>
      </c>
      <c r="L684" s="361">
        <v>11.0</v>
      </c>
      <c r="M684" s="40">
        <v>42.0</v>
      </c>
      <c r="N684" s="361">
        <v>0.21</v>
      </c>
    </row>
    <row r="685">
      <c r="A685" s="358" t="s">
        <v>325</v>
      </c>
      <c r="B685" s="40"/>
      <c r="C685" s="40">
        <v>706.0</v>
      </c>
      <c r="D685" s="40" t="s">
        <v>1249</v>
      </c>
      <c r="E685" s="40" t="s">
        <v>33</v>
      </c>
      <c r="F685" s="360">
        <v>43340.0</v>
      </c>
      <c r="G685" s="360">
        <v>44474.0</v>
      </c>
      <c r="H685" s="360">
        <v>44576.0</v>
      </c>
      <c r="I685" s="360">
        <v>45616.0</v>
      </c>
      <c r="J685" s="361">
        <v>19.99</v>
      </c>
      <c r="K685" s="361">
        <v>6.99</v>
      </c>
      <c r="L685" s="361">
        <v>13.0</v>
      </c>
      <c r="M685" s="40">
        <v>174.0</v>
      </c>
      <c r="N685" s="361">
        <v>0.04</v>
      </c>
    </row>
    <row r="686">
      <c r="A686" s="358" t="s">
        <v>325</v>
      </c>
      <c r="B686" s="358"/>
      <c r="C686" s="40">
        <v>680.0</v>
      </c>
      <c r="D686" s="40" t="s">
        <v>1256</v>
      </c>
      <c r="E686" s="40" t="s">
        <v>33</v>
      </c>
      <c r="F686" s="360">
        <v>43641.0</v>
      </c>
      <c r="G686" s="360">
        <v>44983.0</v>
      </c>
      <c r="H686" s="360">
        <v>45371.0</v>
      </c>
      <c r="I686" s="360">
        <v>45768.0</v>
      </c>
      <c r="J686" s="361">
        <v>39.99</v>
      </c>
      <c r="K686" s="361">
        <v>15.97</v>
      </c>
      <c r="L686" s="361">
        <v>24.02</v>
      </c>
      <c r="M686" s="40">
        <v>150.0</v>
      </c>
      <c r="N686" s="361">
        <v>0.11</v>
      </c>
    </row>
    <row r="687">
      <c r="A687" s="358" t="s">
        <v>325</v>
      </c>
      <c r="B687" s="40"/>
      <c r="C687" s="40">
        <v>708.0</v>
      </c>
      <c r="D687" s="40" t="s">
        <v>1269</v>
      </c>
      <c r="E687" s="40" t="s">
        <v>33</v>
      </c>
      <c r="F687" s="360">
        <v>44145.0</v>
      </c>
      <c r="G687" s="360">
        <v>44356.0</v>
      </c>
      <c r="H687" s="360">
        <v>44359.0</v>
      </c>
      <c r="I687" s="360">
        <v>44370.0</v>
      </c>
      <c r="J687" s="361">
        <v>99.98</v>
      </c>
      <c r="K687" s="361">
        <v>56.98</v>
      </c>
      <c r="L687" s="361">
        <v>43.0</v>
      </c>
      <c r="M687" s="40">
        <v>130.0</v>
      </c>
      <c r="N687" s="361">
        <v>0.44</v>
      </c>
    </row>
    <row r="688">
      <c r="A688" s="358" t="s">
        <v>325</v>
      </c>
      <c r="B688" s="358"/>
      <c r="C688" s="40">
        <v>717.0</v>
      </c>
      <c r="D688" s="40" t="s">
        <v>1275</v>
      </c>
      <c r="E688" s="40" t="s">
        <v>33</v>
      </c>
      <c r="F688" s="360">
        <v>44463.0</v>
      </c>
      <c r="G688" s="360">
        <v>45262.0</v>
      </c>
      <c r="H688" s="360">
        <v>45413.0</v>
      </c>
      <c r="I688" s="360">
        <v>45771.0</v>
      </c>
      <c r="J688" s="361">
        <v>89.99</v>
      </c>
      <c r="K688" s="361">
        <v>22.49</v>
      </c>
      <c r="L688" s="361">
        <v>67.5</v>
      </c>
      <c r="M688" s="40">
        <v>57.0</v>
      </c>
      <c r="N688" s="361">
        <v>0.39</v>
      </c>
    </row>
    <row r="689">
      <c r="A689" s="358" t="s">
        <v>325</v>
      </c>
      <c r="B689" s="358"/>
      <c r="C689" s="358">
        <v>709.0</v>
      </c>
      <c r="D689" s="358" t="s">
        <v>1296</v>
      </c>
      <c r="E689" s="358" t="s">
        <v>33</v>
      </c>
      <c r="F689" s="364">
        <v>44978.0</v>
      </c>
      <c r="G689" s="364">
        <v>45176.0</v>
      </c>
      <c r="H689" s="364">
        <v>45242.0</v>
      </c>
      <c r="I689" s="364">
        <v>45982.0</v>
      </c>
      <c r="J689" s="359">
        <v>59.99</v>
      </c>
      <c r="K689" s="359">
        <v>0.0</v>
      </c>
      <c r="L689" s="359">
        <v>59.99</v>
      </c>
      <c r="M689" s="358">
        <v>99.0</v>
      </c>
      <c r="N689" s="359">
        <v>0.0</v>
      </c>
    </row>
    <row r="690">
      <c r="A690" s="358" t="s">
        <v>325</v>
      </c>
      <c r="B690" s="40"/>
      <c r="C690" s="40">
        <v>710.0</v>
      </c>
      <c r="D690" s="362" t="s">
        <v>1298</v>
      </c>
      <c r="E690" s="362" t="s">
        <v>33</v>
      </c>
      <c r="F690" s="360">
        <v>45239.0</v>
      </c>
      <c r="G690" s="360">
        <v>45285.0</v>
      </c>
      <c r="H690" s="360">
        <v>45289.0</v>
      </c>
      <c r="I690" s="360">
        <v>45296.0</v>
      </c>
      <c r="J690" s="361">
        <v>54.99</v>
      </c>
      <c r="K690" s="361">
        <v>0.0</v>
      </c>
      <c r="L690" s="361">
        <v>54.99</v>
      </c>
      <c r="M690" s="40">
        <v>47.0</v>
      </c>
      <c r="N690" s="361">
        <v>0.0</v>
      </c>
    </row>
    <row r="691">
      <c r="A691" s="358" t="s">
        <v>325</v>
      </c>
      <c r="B691" s="40"/>
      <c r="C691" s="40">
        <v>711.0</v>
      </c>
      <c r="D691" s="40" t="s">
        <v>1299</v>
      </c>
      <c r="E691" s="40" t="s">
        <v>33</v>
      </c>
      <c r="F691" s="360">
        <v>45317.0</v>
      </c>
      <c r="G691" s="360">
        <v>45285.0</v>
      </c>
      <c r="H691" s="360">
        <v>45317.0</v>
      </c>
      <c r="I691" s="360">
        <v>45338.0</v>
      </c>
      <c r="J691" s="361">
        <v>69.99</v>
      </c>
      <c r="K691" s="361">
        <v>46.23</v>
      </c>
      <c r="L691" s="361">
        <v>23.76</v>
      </c>
      <c r="M691" s="40">
        <v>154.0</v>
      </c>
      <c r="N691" s="361">
        <v>0.3</v>
      </c>
    </row>
    <row r="692">
      <c r="A692" s="358" t="s">
        <v>325</v>
      </c>
      <c r="B692" s="358"/>
      <c r="C692" s="40">
        <v>1066.0</v>
      </c>
      <c r="D692" s="362" t="s">
        <v>1311</v>
      </c>
      <c r="E692" s="362" t="s">
        <v>39</v>
      </c>
      <c r="F692" s="360">
        <v>45709.0</v>
      </c>
      <c r="G692" s="360">
        <v>45651.0</v>
      </c>
      <c r="H692" s="360">
        <v>45709.0</v>
      </c>
      <c r="I692" s="360">
        <v>45718.0</v>
      </c>
      <c r="J692" s="362">
        <v>59.99</v>
      </c>
      <c r="K692" s="362">
        <v>0.0</v>
      </c>
      <c r="L692" s="361">
        <v>59.99</v>
      </c>
      <c r="M692" s="40">
        <v>56.0</v>
      </c>
      <c r="N692" s="361">
        <v>0.0</v>
      </c>
    </row>
    <row r="693">
      <c r="A693" s="74"/>
      <c r="B693" s="74"/>
      <c r="C693" s="340"/>
      <c r="D693" s="146"/>
      <c r="E693" s="74"/>
      <c r="F693" s="74"/>
      <c r="G693" s="74"/>
      <c r="H693" s="74"/>
      <c r="I693" s="74"/>
      <c r="J693" s="145">
        <f t="shared" ref="J693:M693" si="83">SUM(J681:J692)</f>
        <v>568.21</v>
      </c>
      <c r="K693" s="145">
        <f t="shared" si="83"/>
        <v>182.62</v>
      </c>
      <c r="L693" s="145">
        <f t="shared" si="83"/>
        <v>385.59</v>
      </c>
      <c r="M693" s="44">
        <f t="shared" si="83"/>
        <v>1500</v>
      </c>
      <c r="N693" s="339">
        <f>K693/M693</f>
        <v>0.1217466667</v>
      </c>
    </row>
    <row r="694">
      <c r="A694" s="72" t="s">
        <v>325</v>
      </c>
      <c r="B694" s="72" t="s">
        <v>361</v>
      </c>
      <c r="C694" s="72">
        <v>83.0</v>
      </c>
      <c r="D694" s="72" t="s">
        <v>1097</v>
      </c>
      <c r="E694" s="72" t="s">
        <v>645</v>
      </c>
      <c r="F694" s="167">
        <v>37043.0</v>
      </c>
      <c r="G694" s="167">
        <v>43373.0</v>
      </c>
      <c r="H694" s="167">
        <v>43373.0</v>
      </c>
      <c r="I694" s="167">
        <v>43373.0</v>
      </c>
      <c r="J694" s="165">
        <v>2.25</v>
      </c>
      <c r="K694" s="165">
        <v>2.25</v>
      </c>
      <c r="L694" s="165">
        <v>0.0</v>
      </c>
      <c r="M694" s="72">
        <v>1.0</v>
      </c>
      <c r="N694" s="165">
        <v>2.25</v>
      </c>
    </row>
    <row r="695">
      <c r="A695" s="48" t="s">
        <v>325</v>
      </c>
      <c r="B695" s="72"/>
      <c r="C695" s="72">
        <v>138.0</v>
      </c>
      <c r="D695" s="72" t="s">
        <v>1112</v>
      </c>
      <c r="E695" s="72" t="s">
        <v>645</v>
      </c>
      <c r="F695" s="167">
        <v>38019.0</v>
      </c>
      <c r="G695" s="167">
        <v>41578.0</v>
      </c>
      <c r="H695" s="167">
        <v>41578.0</v>
      </c>
      <c r="I695" s="167">
        <v>41578.0</v>
      </c>
      <c r="J695" s="165">
        <v>9.99</v>
      </c>
      <c r="K695" s="165">
        <v>9.99</v>
      </c>
      <c r="L695" s="165">
        <v>0.0</v>
      </c>
      <c r="M695" s="72">
        <v>30.0</v>
      </c>
      <c r="N695" s="165">
        <v>0.33</v>
      </c>
    </row>
    <row r="696">
      <c r="A696" s="72" t="s">
        <v>325</v>
      </c>
      <c r="B696" s="72"/>
      <c r="C696" s="72">
        <v>156.0</v>
      </c>
      <c r="D696" s="72" t="s">
        <v>1124</v>
      </c>
      <c r="E696" s="72" t="s">
        <v>37</v>
      </c>
      <c r="F696" s="167">
        <v>39353.0</v>
      </c>
      <c r="G696" s="167">
        <v>43373.0</v>
      </c>
      <c r="H696" s="167">
        <v>43373.0</v>
      </c>
      <c r="I696" s="167">
        <v>43373.0</v>
      </c>
      <c r="J696" s="165">
        <v>2.24</v>
      </c>
      <c r="K696" s="165">
        <v>2.24</v>
      </c>
      <c r="L696" s="165">
        <v>0.0</v>
      </c>
      <c r="M696" s="72">
        <v>1.0</v>
      </c>
      <c r="N696" s="165">
        <v>2.24</v>
      </c>
    </row>
    <row r="697">
      <c r="A697" s="39" t="s">
        <v>325</v>
      </c>
      <c r="B697" s="72"/>
      <c r="C697" s="72">
        <v>418.0</v>
      </c>
      <c r="D697" s="72" t="s">
        <v>1135</v>
      </c>
      <c r="E697" s="72" t="s">
        <v>649</v>
      </c>
      <c r="F697" s="167">
        <v>39164.0</v>
      </c>
      <c r="G697" s="167">
        <v>44378.0</v>
      </c>
      <c r="H697" s="167">
        <v>44378.0</v>
      </c>
      <c r="I697" s="167">
        <v>44378.0</v>
      </c>
      <c r="J697" s="165">
        <v>29.99</v>
      </c>
      <c r="K697" s="165">
        <v>0.0</v>
      </c>
      <c r="L697" s="165">
        <v>29.99</v>
      </c>
      <c r="M697" s="72">
        <v>1.0</v>
      </c>
      <c r="N697" s="165">
        <v>0.0</v>
      </c>
    </row>
    <row r="698">
      <c r="A698" s="72" t="s">
        <v>325</v>
      </c>
      <c r="B698" s="72"/>
      <c r="C698" s="72">
        <v>283.0</v>
      </c>
      <c r="D698" s="72" t="s">
        <v>1145</v>
      </c>
      <c r="E698" s="72" t="s">
        <v>649</v>
      </c>
      <c r="F698" s="167">
        <v>40249.0</v>
      </c>
      <c r="G698" s="167">
        <v>44482.0</v>
      </c>
      <c r="H698" s="167">
        <v>44583.0</v>
      </c>
      <c r="I698" s="167">
        <v>45846.0</v>
      </c>
      <c r="J698" s="165">
        <v>13.33</v>
      </c>
      <c r="K698" s="165">
        <v>8.0</v>
      </c>
      <c r="L698" s="165">
        <v>5.33</v>
      </c>
      <c r="M698" s="72">
        <v>147.0</v>
      </c>
      <c r="N698" s="165">
        <v>0.05</v>
      </c>
    </row>
    <row r="699">
      <c r="A699" s="42" t="s">
        <v>325</v>
      </c>
      <c r="B699" s="48"/>
      <c r="C699" s="72">
        <v>284.0</v>
      </c>
      <c r="D699" s="165" t="s">
        <v>1147</v>
      </c>
      <c r="E699" s="72" t="s">
        <v>649</v>
      </c>
      <c r="F699" s="167">
        <v>40620.0</v>
      </c>
      <c r="G699" s="167">
        <v>44482.0</v>
      </c>
      <c r="H699" s="167">
        <v>44617.0</v>
      </c>
      <c r="I699" s="167">
        <v>45859.0</v>
      </c>
      <c r="J699" s="165">
        <v>13.33</v>
      </c>
      <c r="K699" s="165">
        <v>8.0</v>
      </c>
      <c r="L699" s="165">
        <v>5.33</v>
      </c>
      <c r="M699" s="72">
        <v>126.0</v>
      </c>
      <c r="N699" s="165">
        <v>0.06</v>
      </c>
    </row>
    <row r="700">
      <c r="A700" s="39" t="s">
        <v>325</v>
      </c>
      <c r="B700" s="72"/>
      <c r="C700" s="72">
        <v>373.0</v>
      </c>
      <c r="D700" s="72" t="s">
        <v>1148</v>
      </c>
      <c r="E700" s="72" t="s">
        <v>649</v>
      </c>
      <c r="F700" s="167">
        <v>40696.0</v>
      </c>
      <c r="G700" s="167">
        <v>40719.0</v>
      </c>
      <c r="H700" s="167">
        <v>40720.0</v>
      </c>
      <c r="I700" s="167">
        <v>44742.0</v>
      </c>
      <c r="J700" s="165">
        <v>4.49</v>
      </c>
      <c r="K700" s="165">
        <v>4.49</v>
      </c>
      <c r="L700" s="165">
        <v>0.0</v>
      </c>
      <c r="M700" s="72">
        <v>5.0</v>
      </c>
      <c r="N700" s="165">
        <v>0.9</v>
      </c>
    </row>
    <row r="701">
      <c r="A701" s="39" t="s">
        <v>325</v>
      </c>
      <c r="B701" s="72"/>
      <c r="C701" s="72">
        <v>390.0</v>
      </c>
      <c r="D701" s="72" t="s">
        <v>1150</v>
      </c>
      <c r="E701" s="72" t="s">
        <v>649</v>
      </c>
      <c r="F701" s="167">
        <v>40844.0</v>
      </c>
      <c r="G701" s="167">
        <v>44115.0</v>
      </c>
      <c r="H701" s="167">
        <v>44424.0</v>
      </c>
      <c r="I701" s="167">
        <v>44425.0</v>
      </c>
      <c r="J701" s="165">
        <v>19.99</v>
      </c>
      <c r="K701" s="165">
        <v>5.0</v>
      </c>
      <c r="L701" s="165">
        <v>14.99</v>
      </c>
      <c r="M701" s="72">
        <v>25.0</v>
      </c>
      <c r="N701" s="165">
        <v>0.2</v>
      </c>
    </row>
    <row r="702">
      <c r="A702" s="39" t="s">
        <v>325</v>
      </c>
      <c r="B702" s="72"/>
      <c r="C702" s="72">
        <v>365.0</v>
      </c>
      <c r="D702" s="72" t="s">
        <v>1151</v>
      </c>
      <c r="E702" s="72" t="s">
        <v>649</v>
      </c>
      <c r="F702" s="167">
        <v>40851.0</v>
      </c>
      <c r="G702" s="167">
        <v>44285.0</v>
      </c>
      <c r="H702" s="167">
        <v>45106.0</v>
      </c>
      <c r="I702" s="167">
        <v>45114.0</v>
      </c>
      <c r="J702" s="165">
        <v>14.99</v>
      </c>
      <c r="K702" s="165">
        <v>14.99</v>
      </c>
      <c r="L702" s="165">
        <v>0.0</v>
      </c>
      <c r="M702" s="72">
        <v>25.0</v>
      </c>
      <c r="N702" s="165">
        <v>0.6</v>
      </c>
    </row>
    <row r="703">
      <c r="A703" s="39" t="s">
        <v>325</v>
      </c>
      <c r="B703" s="72"/>
      <c r="C703" s="72">
        <v>217.0</v>
      </c>
      <c r="D703" s="72" t="s">
        <v>1152</v>
      </c>
      <c r="E703" s="72" t="s">
        <v>649</v>
      </c>
      <c r="F703" s="167">
        <v>40870.0</v>
      </c>
      <c r="G703" s="167">
        <v>44237.0</v>
      </c>
      <c r="H703" s="167">
        <v>45108.0</v>
      </c>
      <c r="I703" s="167">
        <v>45108.0</v>
      </c>
      <c r="J703" s="165">
        <v>7.99</v>
      </c>
      <c r="K703" s="165">
        <v>7.99</v>
      </c>
      <c r="L703" s="165">
        <v>0.0</v>
      </c>
      <c r="M703" s="72">
        <v>2.0</v>
      </c>
      <c r="N703" s="165">
        <v>4.0</v>
      </c>
    </row>
    <row r="704">
      <c r="A704" s="39" t="s">
        <v>325</v>
      </c>
      <c r="B704" s="72"/>
      <c r="C704" s="72">
        <v>364.0</v>
      </c>
      <c r="D704" s="72" t="s">
        <v>1153</v>
      </c>
      <c r="E704" s="72" t="s">
        <v>649</v>
      </c>
      <c r="F704" s="167">
        <v>40891.0</v>
      </c>
      <c r="G704" s="167">
        <v>44817.0</v>
      </c>
      <c r="H704" s="167">
        <v>44818.0</v>
      </c>
      <c r="I704" s="167">
        <v>44824.0</v>
      </c>
      <c r="J704" s="165">
        <v>11.25</v>
      </c>
      <c r="K704" s="165">
        <v>0.0</v>
      </c>
      <c r="L704" s="165">
        <v>11.25</v>
      </c>
      <c r="M704" s="72">
        <v>3.0</v>
      </c>
      <c r="N704" s="165">
        <v>0.0</v>
      </c>
    </row>
    <row r="705">
      <c r="A705" s="71" t="s">
        <v>325</v>
      </c>
      <c r="B705" s="48"/>
      <c r="C705" s="48">
        <v>425.0</v>
      </c>
      <c r="D705" s="39" t="s">
        <v>1158</v>
      </c>
      <c r="E705" s="39" t="s">
        <v>649</v>
      </c>
      <c r="F705" s="41">
        <v>40984.0</v>
      </c>
      <c r="G705" s="41">
        <v>44971.0</v>
      </c>
      <c r="H705" s="41">
        <v>45000.0</v>
      </c>
      <c r="I705" s="41">
        <v>45967.0</v>
      </c>
      <c r="J705" s="71">
        <v>19.99</v>
      </c>
      <c r="K705" s="71">
        <v>0.0</v>
      </c>
      <c r="L705" s="71">
        <v>19.99</v>
      </c>
      <c r="M705" s="48">
        <v>118.0</v>
      </c>
      <c r="N705" s="71">
        <v>0.0</v>
      </c>
    </row>
    <row r="706">
      <c r="A706" s="72" t="s">
        <v>325</v>
      </c>
      <c r="B706" s="72"/>
      <c r="C706" s="72">
        <v>269.0</v>
      </c>
      <c r="D706" s="72" t="s">
        <v>1161</v>
      </c>
      <c r="E706" s="72" t="s">
        <v>649</v>
      </c>
      <c r="F706" s="167">
        <v>41171.0</v>
      </c>
      <c r="G706" s="167">
        <v>43373.0</v>
      </c>
      <c r="H706" s="167">
        <v>43423.0</v>
      </c>
      <c r="I706" s="167">
        <v>45005.0</v>
      </c>
      <c r="J706" s="165">
        <v>7.99</v>
      </c>
      <c r="K706" s="165">
        <v>7.99</v>
      </c>
      <c r="L706" s="165">
        <v>0.0</v>
      </c>
      <c r="M706" s="72">
        <v>5.0</v>
      </c>
      <c r="N706" s="165">
        <v>1.6</v>
      </c>
    </row>
    <row r="707">
      <c r="A707" s="185" t="s">
        <v>325</v>
      </c>
      <c r="B707" s="186"/>
      <c r="C707" s="187">
        <v>1096.0</v>
      </c>
      <c r="D707" s="186" t="s">
        <v>1247</v>
      </c>
      <c r="E707" s="186" t="s">
        <v>33</v>
      </c>
      <c r="F707" s="188">
        <v>43333.0</v>
      </c>
      <c r="G707" s="188">
        <v>45999.0</v>
      </c>
      <c r="H707" s="188">
        <v>45999.0</v>
      </c>
      <c r="I707" s="188">
        <v>45999.0</v>
      </c>
      <c r="J707" s="185">
        <v>17.5</v>
      </c>
      <c r="K707" s="185">
        <v>2.62</v>
      </c>
      <c r="L707" s="185">
        <f t="shared" ref="L707:L708" si="84">J707-K707</f>
        <v>14.88</v>
      </c>
      <c r="M707" s="189">
        <v>1.0</v>
      </c>
      <c r="N707" s="185">
        <f t="shared" ref="N707:N708" si="85">K707/M707</f>
        <v>2.62</v>
      </c>
    </row>
    <row r="708">
      <c r="A708" s="190" t="s">
        <v>325</v>
      </c>
      <c r="B708" s="191"/>
      <c r="C708" s="192">
        <v>1097.0</v>
      </c>
      <c r="D708" s="191" t="s">
        <v>1248</v>
      </c>
      <c r="E708" s="191" t="s">
        <v>33</v>
      </c>
      <c r="F708" s="193">
        <v>43333.0</v>
      </c>
      <c r="G708" s="193">
        <v>45999.0</v>
      </c>
      <c r="H708" s="193">
        <v>45999.0</v>
      </c>
      <c r="I708" s="193">
        <v>45999.0</v>
      </c>
      <c r="J708" s="190">
        <v>17.49</v>
      </c>
      <c r="K708" s="190">
        <v>2.62</v>
      </c>
      <c r="L708" s="190">
        <f t="shared" si="84"/>
        <v>14.87</v>
      </c>
      <c r="M708" s="194">
        <v>1.0</v>
      </c>
      <c r="N708" s="190">
        <f t="shared" si="85"/>
        <v>2.62</v>
      </c>
    </row>
    <row r="709">
      <c r="A709" s="72" t="s">
        <v>325</v>
      </c>
      <c r="B709" s="72"/>
      <c r="C709" s="72">
        <v>875.0</v>
      </c>
      <c r="D709" s="72" t="s">
        <v>1258</v>
      </c>
      <c r="E709" s="72" t="s">
        <v>33</v>
      </c>
      <c r="F709" s="167">
        <v>43767.0</v>
      </c>
      <c r="G709" s="167">
        <v>44377.0</v>
      </c>
      <c r="H709" s="167">
        <v>44377.0</v>
      </c>
      <c r="I709" s="167">
        <v>44465.0</v>
      </c>
      <c r="J709" s="165">
        <v>39.99</v>
      </c>
      <c r="K709" s="165">
        <v>19.99</v>
      </c>
      <c r="L709" s="165">
        <v>20.0</v>
      </c>
      <c r="M709" s="72">
        <v>6.0</v>
      </c>
      <c r="N709" s="165">
        <v>3.33</v>
      </c>
    </row>
    <row r="710">
      <c r="A710" s="72" t="s">
        <v>325</v>
      </c>
      <c r="B710" s="72"/>
      <c r="C710" s="72">
        <v>846.0</v>
      </c>
      <c r="D710" s="72" t="s">
        <v>1274</v>
      </c>
      <c r="E710" s="72" t="s">
        <v>33</v>
      </c>
      <c r="F710" s="167">
        <v>44446.0</v>
      </c>
      <c r="G710" s="167">
        <v>45720.0</v>
      </c>
      <c r="H710" s="167">
        <v>45720.0</v>
      </c>
      <c r="I710" s="167">
        <v>45720.0</v>
      </c>
      <c r="J710" s="165">
        <v>39.99</v>
      </c>
      <c r="K710" s="165">
        <v>0.0</v>
      </c>
      <c r="L710" s="165">
        <v>39.99</v>
      </c>
      <c r="M710" s="72">
        <v>1.0</v>
      </c>
      <c r="N710" s="165">
        <v>0.0</v>
      </c>
    </row>
    <row r="711">
      <c r="A711" s="72" t="s">
        <v>325</v>
      </c>
      <c r="B711" s="72"/>
      <c r="C711" s="72">
        <v>842.0</v>
      </c>
      <c r="D711" s="72" t="s">
        <v>1278</v>
      </c>
      <c r="E711" s="72" t="s">
        <v>33</v>
      </c>
      <c r="F711" s="167">
        <v>44735.0</v>
      </c>
      <c r="G711" s="167">
        <v>44817.0</v>
      </c>
      <c r="H711" s="167">
        <v>44818.0</v>
      </c>
      <c r="I711" s="167">
        <v>44824.0</v>
      </c>
      <c r="J711" s="165">
        <v>11.25</v>
      </c>
      <c r="K711" s="165">
        <v>0.0</v>
      </c>
      <c r="L711" s="165">
        <v>11.25</v>
      </c>
      <c r="M711" s="72">
        <v>3.0</v>
      </c>
      <c r="N711" s="165">
        <v>0.0</v>
      </c>
    </row>
    <row r="712">
      <c r="A712" s="72" t="s">
        <v>325</v>
      </c>
      <c r="B712" s="72"/>
      <c r="C712" s="72">
        <v>843.0</v>
      </c>
      <c r="D712" s="72" t="s">
        <v>1279</v>
      </c>
      <c r="E712" s="72" t="s">
        <v>33</v>
      </c>
      <c r="F712" s="167">
        <v>44735.0</v>
      </c>
      <c r="G712" s="167">
        <v>44817.0</v>
      </c>
      <c r="H712" s="167">
        <v>44818.0</v>
      </c>
      <c r="I712" s="167">
        <v>44824.0</v>
      </c>
      <c r="J712" s="165">
        <v>11.25</v>
      </c>
      <c r="K712" s="165">
        <v>0.0</v>
      </c>
      <c r="L712" s="165">
        <v>11.25</v>
      </c>
      <c r="M712" s="72">
        <v>3.0</v>
      </c>
      <c r="N712" s="165">
        <v>0.0</v>
      </c>
    </row>
    <row r="713">
      <c r="A713" s="39" t="s">
        <v>325</v>
      </c>
      <c r="B713" s="39"/>
      <c r="C713" s="72">
        <v>844.0</v>
      </c>
      <c r="D713" s="72" t="s">
        <v>1280</v>
      </c>
      <c r="E713" s="72" t="s">
        <v>33</v>
      </c>
      <c r="F713" s="167">
        <v>44735.0</v>
      </c>
      <c r="G713" s="167">
        <v>44817.0</v>
      </c>
      <c r="H713" s="167">
        <v>44818.0</v>
      </c>
      <c r="I713" s="167">
        <v>44824.0</v>
      </c>
      <c r="J713" s="55">
        <v>11.24</v>
      </c>
      <c r="K713" s="55">
        <v>0.0</v>
      </c>
      <c r="L713" s="165">
        <v>11.24</v>
      </c>
      <c r="M713" s="72">
        <v>3.0</v>
      </c>
      <c r="N713" s="165">
        <v>0.0</v>
      </c>
    </row>
    <row r="714">
      <c r="A714" s="74"/>
      <c r="B714" s="74"/>
      <c r="C714" s="340"/>
      <c r="D714" s="146"/>
      <c r="E714" s="146"/>
      <c r="F714" s="146"/>
      <c r="G714" s="146"/>
      <c r="H714" s="146"/>
      <c r="I714" s="146"/>
      <c r="J714" s="339">
        <f t="shared" ref="J714:M714" si="86">SUM(J694:J713)</f>
        <v>306.53</v>
      </c>
      <c r="K714" s="339">
        <f t="shared" si="86"/>
        <v>96.17</v>
      </c>
      <c r="L714" s="339">
        <f t="shared" si="86"/>
        <v>210.36</v>
      </c>
      <c r="M714" s="146">
        <f t="shared" si="86"/>
        <v>507</v>
      </c>
      <c r="N714" s="339">
        <f>K714/M714</f>
        <v>0.1896844181</v>
      </c>
    </row>
    <row r="715">
      <c r="A715" s="40" t="s">
        <v>325</v>
      </c>
      <c r="B715" s="40" t="s">
        <v>362</v>
      </c>
      <c r="C715" s="40">
        <v>492.0</v>
      </c>
      <c r="D715" s="40" t="s">
        <v>1181</v>
      </c>
      <c r="E715" s="40" t="s">
        <v>671</v>
      </c>
      <c r="F715" s="360">
        <v>40954.0</v>
      </c>
      <c r="G715" s="360">
        <v>42036.0</v>
      </c>
      <c r="H715" s="360">
        <v>45040.0</v>
      </c>
      <c r="I715" s="360">
        <v>45040.0</v>
      </c>
      <c r="J715" s="361">
        <v>0.0</v>
      </c>
      <c r="K715" s="361">
        <v>0.0</v>
      </c>
      <c r="L715" s="361">
        <v>0.0</v>
      </c>
      <c r="M715" s="40">
        <v>5.0</v>
      </c>
      <c r="N715" s="361">
        <v>0.0</v>
      </c>
    </row>
    <row r="716">
      <c r="A716" s="40" t="s">
        <v>325</v>
      </c>
      <c r="B716" s="40"/>
      <c r="C716" s="40">
        <v>478.0</v>
      </c>
      <c r="D716" s="40" t="s">
        <v>1182</v>
      </c>
      <c r="E716" s="40" t="s">
        <v>671</v>
      </c>
      <c r="F716" s="360">
        <v>40961.0</v>
      </c>
      <c r="G716" s="360">
        <v>42187.0</v>
      </c>
      <c r="H716" s="360">
        <v>42187.0</v>
      </c>
      <c r="I716" s="360">
        <v>42187.0</v>
      </c>
      <c r="J716" s="361">
        <v>0.0</v>
      </c>
      <c r="K716" s="361">
        <v>0.0</v>
      </c>
      <c r="L716" s="361">
        <v>0.0</v>
      </c>
      <c r="M716" s="40">
        <v>1.0</v>
      </c>
      <c r="N716" s="361">
        <v>0.0</v>
      </c>
    </row>
    <row r="717">
      <c r="A717" s="40" t="s">
        <v>325</v>
      </c>
      <c r="B717" s="40"/>
      <c r="C717" s="40">
        <v>455.0</v>
      </c>
      <c r="D717" s="40" t="s">
        <v>1186</v>
      </c>
      <c r="E717" s="40" t="s">
        <v>671</v>
      </c>
      <c r="F717" s="360">
        <v>41429.0</v>
      </c>
      <c r="G717" s="360">
        <v>42187.0</v>
      </c>
      <c r="H717" s="360">
        <v>42193.0</v>
      </c>
      <c r="I717" s="360">
        <v>44945.0</v>
      </c>
      <c r="J717" s="361">
        <v>0.0</v>
      </c>
      <c r="K717" s="361">
        <v>0.0</v>
      </c>
      <c r="L717" s="361">
        <v>0.0</v>
      </c>
      <c r="M717" s="40">
        <v>5.0</v>
      </c>
      <c r="N717" s="361">
        <v>0.0</v>
      </c>
    </row>
    <row r="718">
      <c r="A718" s="74"/>
      <c r="B718" s="74"/>
      <c r="C718" s="340"/>
      <c r="D718" s="146"/>
      <c r="E718" s="146"/>
      <c r="F718" s="146"/>
      <c r="G718" s="146"/>
      <c r="H718" s="146"/>
      <c r="I718" s="146"/>
      <c r="J718" s="339">
        <f t="shared" ref="J718:M718" si="87">SUM(J715:J717)</f>
        <v>0</v>
      </c>
      <c r="K718" s="339">
        <f t="shared" si="87"/>
        <v>0</v>
      </c>
      <c r="L718" s="339">
        <f t="shared" si="87"/>
        <v>0</v>
      </c>
      <c r="M718" s="146">
        <f t="shared" si="87"/>
        <v>11</v>
      </c>
      <c r="N718" s="339">
        <f>K718/M718</f>
        <v>0</v>
      </c>
    </row>
    <row r="719">
      <c r="A719" s="40" t="s">
        <v>325</v>
      </c>
      <c r="B719" s="40" t="s">
        <v>363</v>
      </c>
      <c r="C719" s="40">
        <v>562.0</v>
      </c>
      <c r="D719" s="40" t="s">
        <v>1204</v>
      </c>
      <c r="E719" s="40" t="s">
        <v>33</v>
      </c>
      <c r="F719" s="360">
        <v>42388.0</v>
      </c>
      <c r="G719" s="360">
        <v>43069.0</v>
      </c>
      <c r="H719" s="360">
        <v>43069.0</v>
      </c>
      <c r="I719" s="360">
        <v>44999.0</v>
      </c>
      <c r="J719" s="361">
        <v>13.99</v>
      </c>
      <c r="K719" s="361">
        <v>4.99</v>
      </c>
      <c r="L719" s="361">
        <v>9.0</v>
      </c>
      <c r="M719" s="40">
        <v>3.0</v>
      </c>
      <c r="N719" s="361">
        <v>1.66</v>
      </c>
    </row>
    <row r="720">
      <c r="A720" s="358" t="s">
        <v>325</v>
      </c>
      <c r="B720" s="40" t="s">
        <v>364</v>
      </c>
      <c r="C720" s="40">
        <v>498.0</v>
      </c>
      <c r="D720" s="40" t="s">
        <v>1185</v>
      </c>
      <c r="E720" s="40" t="s">
        <v>671</v>
      </c>
      <c r="F720" s="360">
        <v>41236.0</v>
      </c>
      <c r="G720" s="360">
        <v>42187.0</v>
      </c>
      <c r="H720" s="360">
        <v>45059.0</v>
      </c>
      <c r="I720" s="360">
        <v>45059.0</v>
      </c>
      <c r="J720" s="361">
        <v>19.99</v>
      </c>
      <c r="K720" s="361">
        <v>19.99</v>
      </c>
      <c r="L720" s="361">
        <v>0.0</v>
      </c>
      <c r="M720" s="40">
        <v>10.0</v>
      </c>
      <c r="N720" s="361">
        <v>2.0</v>
      </c>
    </row>
    <row r="721">
      <c r="A721" s="40" t="s">
        <v>325</v>
      </c>
      <c r="B721" s="40" t="s">
        <v>365</v>
      </c>
      <c r="C721" s="40">
        <v>21.0</v>
      </c>
      <c r="D721" s="40" t="s">
        <v>1076</v>
      </c>
      <c r="E721" s="40" t="s">
        <v>682</v>
      </c>
      <c r="F721" s="360">
        <v>35751.0</v>
      </c>
      <c r="G721" s="360">
        <v>41572.0</v>
      </c>
      <c r="H721" s="360">
        <v>41572.0</v>
      </c>
      <c r="I721" s="360">
        <v>41586.0</v>
      </c>
      <c r="J721" s="361">
        <v>9.99</v>
      </c>
      <c r="K721" s="361">
        <v>4.99</v>
      </c>
      <c r="L721" s="361">
        <v>5.0</v>
      </c>
      <c r="M721" s="40">
        <v>40.0</v>
      </c>
      <c r="N721" s="361">
        <v>0.12</v>
      </c>
    </row>
    <row r="722">
      <c r="A722" s="40" t="s">
        <v>325</v>
      </c>
      <c r="B722" s="40"/>
      <c r="C722" s="40">
        <v>22.0</v>
      </c>
      <c r="D722" s="40" t="s">
        <v>1087</v>
      </c>
      <c r="E722" s="40" t="s">
        <v>682</v>
      </c>
      <c r="F722" s="360">
        <v>36460.0</v>
      </c>
      <c r="G722" s="360">
        <v>42784.0</v>
      </c>
      <c r="H722" s="360">
        <v>42784.0</v>
      </c>
      <c r="I722" s="360">
        <v>42784.0</v>
      </c>
      <c r="J722" s="361">
        <v>9.99</v>
      </c>
      <c r="K722" s="361">
        <v>4.99</v>
      </c>
      <c r="L722" s="361">
        <v>5.0</v>
      </c>
      <c r="M722" s="40">
        <v>1.0</v>
      </c>
      <c r="N722" s="361">
        <v>4.99</v>
      </c>
    </row>
    <row r="723">
      <c r="A723" s="40" t="s">
        <v>325</v>
      </c>
      <c r="B723" s="40"/>
      <c r="C723" s="40">
        <v>23.0</v>
      </c>
      <c r="D723" s="40" t="s">
        <v>1094</v>
      </c>
      <c r="E723" s="40" t="s">
        <v>682</v>
      </c>
      <c r="F723" s="360">
        <v>36938.0</v>
      </c>
      <c r="G723" s="360">
        <v>42784.0</v>
      </c>
      <c r="H723" s="360">
        <v>42784.0</v>
      </c>
      <c r="I723" s="360">
        <v>42784.0</v>
      </c>
      <c r="J723" s="361">
        <v>9.99</v>
      </c>
      <c r="K723" s="361">
        <v>4.99</v>
      </c>
      <c r="L723" s="361">
        <v>5.0</v>
      </c>
      <c r="M723" s="40">
        <v>1.0</v>
      </c>
      <c r="N723" s="361">
        <v>4.99</v>
      </c>
    </row>
    <row r="724">
      <c r="A724" s="40" t="s">
        <v>325</v>
      </c>
      <c r="B724" s="40"/>
      <c r="C724" s="40">
        <v>19.0</v>
      </c>
      <c r="D724" s="40" t="s">
        <v>1095</v>
      </c>
      <c r="E724" s="40" t="s">
        <v>682</v>
      </c>
      <c r="F724" s="360">
        <v>37316.0</v>
      </c>
      <c r="G724" s="360">
        <v>42784.0</v>
      </c>
      <c r="H724" s="360">
        <v>42784.0</v>
      </c>
      <c r="I724" s="360">
        <v>42784.0</v>
      </c>
      <c r="J724" s="361">
        <v>9.99</v>
      </c>
      <c r="K724" s="361">
        <v>4.99</v>
      </c>
      <c r="L724" s="361">
        <v>5.0</v>
      </c>
      <c r="M724" s="40">
        <v>1.0</v>
      </c>
      <c r="N724" s="361">
        <v>4.99</v>
      </c>
    </row>
    <row r="725">
      <c r="A725" s="40" t="s">
        <v>325</v>
      </c>
      <c r="B725" s="40"/>
      <c r="C725" s="40">
        <v>20.0</v>
      </c>
      <c r="D725" s="40" t="s">
        <v>1096</v>
      </c>
      <c r="E725" s="40" t="s">
        <v>682</v>
      </c>
      <c r="F725" s="360">
        <v>37316.0</v>
      </c>
      <c r="G725" s="360">
        <v>42784.0</v>
      </c>
      <c r="H725" s="360">
        <v>42784.0</v>
      </c>
      <c r="I725" s="360">
        <v>42784.0</v>
      </c>
      <c r="J725" s="361">
        <v>9.99</v>
      </c>
      <c r="K725" s="361">
        <v>4.99</v>
      </c>
      <c r="L725" s="361">
        <v>5.0</v>
      </c>
      <c r="M725" s="40">
        <v>1.0</v>
      </c>
      <c r="N725" s="361">
        <v>4.99</v>
      </c>
    </row>
    <row r="726">
      <c r="A726" s="357" t="s">
        <v>325</v>
      </c>
      <c r="B726" s="40"/>
      <c r="C726" s="40">
        <v>94.0</v>
      </c>
      <c r="D726" s="40" t="s">
        <v>1106</v>
      </c>
      <c r="E726" s="40" t="s">
        <v>645</v>
      </c>
      <c r="F726" s="360">
        <v>37400.0</v>
      </c>
      <c r="G726" s="360">
        <v>43377.0</v>
      </c>
      <c r="H726" s="360">
        <v>43377.0</v>
      </c>
      <c r="I726" s="360">
        <v>43377.0</v>
      </c>
      <c r="J726" s="361">
        <v>15.0</v>
      </c>
      <c r="K726" s="361">
        <v>7.5</v>
      </c>
      <c r="L726" s="361">
        <v>7.5</v>
      </c>
      <c r="M726" s="40">
        <v>1.0</v>
      </c>
      <c r="N726" s="361">
        <v>7.5</v>
      </c>
    </row>
    <row r="727">
      <c r="A727" s="357" t="s">
        <v>325</v>
      </c>
      <c r="B727" s="40"/>
      <c r="C727" s="40">
        <v>108.0</v>
      </c>
      <c r="D727" s="40" t="s">
        <v>1107</v>
      </c>
      <c r="E727" s="40" t="s">
        <v>645</v>
      </c>
      <c r="F727" s="360">
        <v>37575.0</v>
      </c>
      <c r="G727" s="360">
        <v>43786.0</v>
      </c>
      <c r="H727" s="360">
        <v>43952.0</v>
      </c>
      <c r="I727" s="360">
        <v>43956.0</v>
      </c>
      <c r="J727" s="361">
        <v>9.25</v>
      </c>
      <c r="K727" s="361">
        <v>3.03</v>
      </c>
      <c r="L727" s="361">
        <v>6.22</v>
      </c>
      <c r="M727" s="40">
        <v>35.0</v>
      </c>
      <c r="N727" s="361">
        <v>0.09</v>
      </c>
    </row>
    <row r="728">
      <c r="A728" s="357" t="s">
        <v>325</v>
      </c>
      <c r="B728" s="40"/>
      <c r="C728" s="40">
        <v>95.0</v>
      </c>
      <c r="D728" s="40" t="s">
        <v>1113</v>
      </c>
      <c r="E728" s="40" t="s">
        <v>645</v>
      </c>
      <c r="F728" s="360">
        <v>38037.0</v>
      </c>
      <c r="G728" s="360">
        <v>43377.0</v>
      </c>
      <c r="H728" s="360">
        <v>43377.0</v>
      </c>
      <c r="I728" s="360">
        <v>43377.0</v>
      </c>
      <c r="J728" s="361">
        <v>14.99</v>
      </c>
      <c r="K728" s="361">
        <v>7.49</v>
      </c>
      <c r="L728" s="361">
        <v>7.5</v>
      </c>
      <c r="M728" s="40">
        <v>1.0</v>
      </c>
      <c r="N728" s="361">
        <v>7.49</v>
      </c>
    </row>
    <row r="729">
      <c r="A729" s="357" t="s">
        <v>325</v>
      </c>
      <c r="B729" s="40"/>
      <c r="C729" s="40">
        <v>109.0</v>
      </c>
      <c r="D729" s="40" t="s">
        <v>1119</v>
      </c>
      <c r="E729" s="40" t="s">
        <v>645</v>
      </c>
      <c r="F729" s="360">
        <v>38989.0</v>
      </c>
      <c r="G729" s="360">
        <v>43786.0</v>
      </c>
      <c r="H729" s="360">
        <v>43958.0</v>
      </c>
      <c r="I729" s="360">
        <v>43964.0</v>
      </c>
      <c r="J729" s="361">
        <v>9.25</v>
      </c>
      <c r="K729" s="361">
        <v>3.02</v>
      </c>
      <c r="L729" s="361">
        <v>6.23</v>
      </c>
      <c r="M729" s="40">
        <v>30.0</v>
      </c>
      <c r="N729" s="361">
        <v>0.1</v>
      </c>
    </row>
    <row r="730">
      <c r="A730" s="40" t="s">
        <v>325</v>
      </c>
      <c r="B730" s="40"/>
      <c r="C730" s="40">
        <v>160.0</v>
      </c>
      <c r="D730" s="40" t="s">
        <v>1125</v>
      </c>
      <c r="E730" s="40" t="s">
        <v>37</v>
      </c>
      <c r="F730" s="360">
        <v>39486.0</v>
      </c>
      <c r="G730" s="360">
        <v>42784.0</v>
      </c>
      <c r="H730" s="360">
        <v>42784.0</v>
      </c>
      <c r="I730" s="360">
        <v>42784.0</v>
      </c>
      <c r="J730" s="361">
        <v>9.99</v>
      </c>
      <c r="K730" s="361">
        <v>4.99</v>
      </c>
      <c r="L730" s="361">
        <v>5.0</v>
      </c>
      <c r="M730" s="40">
        <v>1.0</v>
      </c>
      <c r="N730" s="361">
        <v>4.99</v>
      </c>
    </row>
    <row r="731">
      <c r="A731" s="40" t="s">
        <v>325</v>
      </c>
      <c r="B731" s="40"/>
      <c r="C731" s="40">
        <v>161.0</v>
      </c>
      <c r="D731" s="40" t="s">
        <v>1126</v>
      </c>
      <c r="E731" s="40" t="s">
        <v>37</v>
      </c>
      <c r="F731" s="360">
        <v>39486.0</v>
      </c>
      <c r="G731" s="360">
        <v>42784.0</v>
      </c>
      <c r="H731" s="360">
        <v>42784.0</v>
      </c>
      <c r="I731" s="360">
        <v>42784.0</v>
      </c>
      <c r="J731" s="361">
        <v>9.99</v>
      </c>
      <c r="K731" s="361">
        <v>4.99</v>
      </c>
      <c r="L731" s="361">
        <v>5.0</v>
      </c>
      <c r="M731" s="40">
        <v>1.0</v>
      </c>
      <c r="N731" s="361">
        <v>4.99</v>
      </c>
    </row>
    <row r="732">
      <c r="A732" s="40" t="s">
        <v>325</v>
      </c>
      <c r="B732" s="40"/>
      <c r="C732" s="40">
        <v>169.0</v>
      </c>
      <c r="D732" s="40" t="s">
        <v>1132</v>
      </c>
      <c r="E732" s="40" t="s">
        <v>37</v>
      </c>
      <c r="F732" s="360">
        <v>40431.0</v>
      </c>
      <c r="G732" s="360">
        <v>43786.0</v>
      </c>
      <c r="H732" s="360">
        <v>43965.0</v>
      </c>
      <c r="I732" s="360">
        <v>43965.0</v>
      </c>
      <c r="J732" s="361">
        <v>9.24</v>
      </c>
      <c r="K732" s="361">
        <v>3.02</v>
      </c>
      <c r="L732" s="361">
        <v>6.22</v>
      </c>
      <c r="M732" s="40">
        <v>1.0</v>
      </c>
      <c r="N732" s="361">
        <v>3.02</v>
      </c>
    </row>
    <row r="733">
      <c r="A733" s="40" t="s">
        <v>325</v>
      </c>
      <c r="B733" s="40"/>
      <c r="C733" s="40">
        <v>163.0</v>
      </c>
      <c r="D733" s="40" t="s">
        <v>1133</v>
      </c>
      <c r="E733" s="40" t="s">
        <v>37</v>
      </c>
      <c r="F733" s="360">
        <v>40655.0</v>
      </c>
      <c r="G733" s="360">
        <v>42784.0</v>
      </c>
      <c r="H733" s="360">
        <v>42784.0</v>
      </c>
      <c r="I733" s="360">
        <v>42784.0</v>
      </c>
      <c r="J733" s="361">
        <v>14.99</v>
      </c>
      <c r="K733" s="361">
        <v>7.49</v>
      </c>
      <c r="L733" s="361">
        <v>7.5</v>
      </c>
      <c r="M733" s="40">
        <v>1.0</v>
      </c>
      <c r="N733" s="361">
        <v>7.49</v>
      </c>
    </row>
    <row r="734">
      <c r="A734" s="40" t="s">
        <v>325</v>
      </c>
      <c r="B734" s="40"/>
      <c r="C734" s="40">
        <v>162.0</v>
      </c>
      <c r="D734" s="40" t="s">
        <v>1134</v>
      </c>
      <c r="E734" s="40" t="s">
        <v>37</v>
      </c>
      <c r="F734" s="360">
        <v>41178.0</v>
      </c>
      <c r="G734" s="360">
        <v>42784.0</v>
      </c>
      <c r="H734" s="360">
        <v>42784.0</v>
      </c>
      <c r="I734" s="360">
        <v>42784.0</v>
      </c>
      <c r="J734" s="361">
        <v>9.99</v>
      </c>
      <c r="K734" s="361">
        <v>4.99</v>
      </c>
      <c r="L734" s="361">
        <v>5.0</v>
      </c>
      <c r="M734" s="40">
        <v>1.0</v>
      </c>
      <c r="N734" s="361">
        <v>4.99</v>
      </c>
    </row>
    <row r="735">
      <c r="A735" s="358" t="s">
        <v>325</v>
      </c>
      <c r="B735" s="40"/>
      <c r="C735" s="40">
        <v>248.0</v>
      </c>
      <c r="D735" s="40" t="s">
        <v>1144</v>
      </c>
      <c r="E735" s="40" t="s">
        <v>649</v>
      </c>
      <c r="F735" s="360">
        <v>40246.0</v>
      </c>
      <c r="G735" s="360">
        <v>41427.0</v>
      </c>
      <c r="H735" s="360">
        <v>41427.0</v>
      </c>
      <c r="I735" s="360">
        <v>41501.0</v>
      </c>
      <c r="J735" s="361">
        <v>19.99</v>
      </c>
      <c r="K735" s="361">
        <v>4.0</v>
      </c>
      <c r="L735" s="361">
        <v>15.99</v>
      </c>
      <c r="M735" s="40">
        <v>45.0</v>
      </c>
      <c r="N735" s="361">
        <v>0.09</v>
      </c>
    </row>
    <row r="736">
      <c r="A736" s="358" t="s">
        <v>325</v>
      </c>
      <c r="B736" s="40"/>
      <c r="C736" s="40">
        <v>275.0</v>
      </c>
      <c r="D736" s="40" t="s">
        <v>1170</v>
      </c>
      <c r="E736" s="40" t="s">
        <v>649</v>
      </c>
      <c r="F736" s="360">
        <v>41530.0</v>
      </c>
      <c r="G736" s="360">
        <v>43786.0</v>
      </c>
      <c r="H736" s="360">
        <v>43956.0</v>
      </c>
      <c r="I736" s="360">
        <v>43957.0</v>
      </c>
      <c r="J736" s="361">
        <v>9.25</v>
      </c>
      <c r="K736" s="361">
        <v>3.03</v>
      </c>
      <c r="L736" s="361">
        <v>6.22</v>
      </c>
      <c r="M736" s="40">
        <v>1.0</v>
      </c>
      <c r="N736" s="361">
        <v>3.03</v>
      </c>
    </row>
    <row r="737">
      <c r="A737" s="40" t="s">
        <v>325</v>
      </c>
      <c r="B737" s="40"/>
      <c r="C737" s="40">
        <v>629.0</v>
      </c>
      <c r="D737" s="40" t="s">
        <v>1207</v>
      </c>
      <c r="E737" s="40" t="s">
        <v>33</v>
      </c>
      <c r="F737" s="360">
        <v>42703.0</v>
      </c>
      <c r="G737" s="360">
        <v>44334.0</v>
      </c>
      <c r="H737" s="360">
        <v>44334.0</v>
      </c>
      <c r="I737" s="360">
        <v>44334.0</v>
      </c>
      <c r="J737" s="361">
        <v>34.99</v>
      </c>
      <c r="K737" s="361">
        <v>0.0</v>
      </c>
      <c r="L737" s="361">
        <v>34.99</v>
      </c>
      <c r="M737" s="40">
        <v>1.0</v>
      </c>
      <c r="N737" s="361">
        <v>0.0</v>
      </c>
    </row>
    <row r="738">
      <c r="A738" s="40" t="s">
        <v>325</v>
      </c>
      <c r="B738" s="40"/>
      <c r="C738" s="40">
        <v>689.0</v>
      </c>
      <c r="D738" s="40" t="s">
        <v>1211</v>
      </c>
      <c r="E738" s="40" t="s">
        <v>33</v>
      </c>
      <c r="F738" s="360">
        <v>42759.0</v>
      </c>
      <c r="G738" s="360">
        <v>43786.0</v>
      </c>
      <c r="H738" s="360">
        <v>43786.0</v>
      </c>
      <c r="I738" s="360">
        <v>43786.0</v>
      </c>
      <c r="J738" s="361">
        <v>18.5</v>
      </c>
      <c r="K738" s="361">
        <v>6.05</v>
      </c>
      <c r="L738" s="361">
        <v>12.45</v>
      </c>
      <c r="M738" s="40">
        <v>1.0</v>
      </c>
      <c r="N738" s="361">
        <v>6.05</v>
      </c>
    </row>
    <row r="739">
      <c r="A739" s="358" t="s">
        <v>325</v>
      </c>
      <c r="B739" s="40"/>
      <c r="C739" s="40">
        <v>690.0</v>
      </c>
      <c r="D739" s="40" t="s">
        <v>1212</v>
      </c>
      <c r="E739" s="40" t="s">
        <v>33</v>
      </c>
      <c r="F739" s="360">
        <v>42759.0</v>
      </c>
      <c r="G739" s="360">
        <v>43786.0</v>
      </c>
      <c r="H739" s="360">
        <v>43786.0</v>
      </c>
      <c r="I739" s="360">
        <v>43786.0</v>
      </c>
      <c r="J739" s="361">
        <v>18.49</v>
      </c>
      <c r="K739" s="361">
        <v>6.05</v>
      </c>
      <c r="L739" s="361">
        <v>12.44</v>
      </c>
      <c r="M739" s="40">
        <v>1.0</v>
      </c>
      <c r="N739" s="361">
        <v>6.05</v>
      </c>
    </row>
    <row r="740">
      <c r="A740" s="358" t="s">
        <v>325</v>
      </c>
      <c r="B740" s="40"/>
      <c r="C740" s="40">
        <v>691.0</v>
      </c>
      <c r="D740" s="40" t="s">
        <v>1253</v>
      </c>
      <c r="E740" s="40" t="s">
        <v>33</v>
      </c>
      <c r="F740" s="360">
        <v>43494.0</v>
      </c>
      <c r="G740" s="360">
        <v>43786.0</v>
      </c>
      <c r="H740" s="360">
        <v>43965.0</v>
      </c>
      <c r="I740" s="360">
        <v>43973.0</v>
      </c>
      <c r="J740" s="361">
        <v>35.99</v>
      </c>
      <c r="K740" s="361">
        <v>12.09</v>
      </c>
      <c r="L740" s="361">
        <v>23.9</v>
      </c>
      <c r="M740" s="40">
        <v>31.0</v>
      </c>
      <c r="N740" s="361">
        <v>0.39</v>
      </c>
    </row>
    <row r="741">
      <c r="A741" s="358" t="s">
        <v>325</v>
      </c>
      <c r="B741" s="40"/>
      <c r="C741" s="40">
        <v>630.0</v>
      </c>
      <c r="D741" s="40" t="s">
        <v>1263</v>
      </c>
      <c r="E741" s="40" t="s">
        <v>33</v>
      </c>
      <c r="F741" s="360">
        <v>43931.0</v>
      </c>
      <c r="G741" s="360">
        <v>44776.0</v>
      </c>
      <c r="H741" s="360">
        <v>44830.0</v>
      </c>
      <c r="I741" s="360">
        <v>44835.0</v>
      </c>
      <c r="J741" s="361">
        <v>79.99</v>
      </c>
      <c r="K741" s="361">
        <v>45.59</v>
      </c>
      <c r="L741" s="361">
        <v>34.4</v>
      </c>
      <c r="M741" s="40">
        <v>38.0</v>
      </c>
      <c r="N741" s="361">
        <v>1.2</v>
      </c>
    </row>
    <row r="742">
      <c r="A742" s="40" t="s">
        <v>325</v>
      </c>
      <c r="B742" s="40"/>
      <c r="C742" s="40">
        <v>1015.0</v>
      </c>
      <c r="D742" s="40" t="s">
        <v>1304</v>
      </c>
      <c r="E742" s="40" t="s">
        <v>666</v>
      </c>
      <c r="F742" s="360">
        <v>43488.0</v>
      </c>
      <c r="G742" s="360">
        <v>44502.0</v>
      </c>
      <c r="H742" s="360">
        <v>44502.0</v>
      </c>
      <c r="I742" s="360">
        <v>44502.0</v>
      </c>
      <c r="J742" s="361">
        <v>0.0</v>
      </c>
      <c r="K742" s="361">
        <v>0.0</v>
      </c>
      <c r="L742" s="361">
        <v>0.0</v>
      </c>
      <c r="M742" s="40">
        <v>1.0</v>
      </c>
      <c r="N742" s="361">
        <v>0.0</v>
      </c>
    </row>
    <row r="743">
      <c r="A743" s="40" t="s">
        <v>325</v>
      </c>
      <c r="B743" s="40"/>
      <c r="C743" s="40">
        <v>1059.0</v>
      </c>
      <c r="D743" s="40" t="s">
        <v>1308</v>
      </c>
      <c r="E743" s="40" t="s">
        <v>39</v>
      </c>
      <c r="F743" s="360">
        <v>45351.0</v>
      </c>
      <c r="G743" s="360">
        <v>45542.0</v>
      </c>
      <c r="H743" s="360">
        <v>45546.0</v>
      </c>
      <c r="I743" s="360">
        <v>45568.0</v>
      </c>
      <c r="J743" s="362">
        <v>79.99</v>
      </c>
      <c r="K743" s="362">
        <v>0.0</v>
      </c>
      <c r="L743" s="361">
        <v>79.99</v>
      </c>
      <c r="M743" s="40">
        <v>89.0</v>
      </c>
      <c r="N743" s="361">
        <v>0.0</v>
      </c>
    </row>
    <row r="744">
      <c r="A744" s="74"/>
      <c r="B744" s="74"/>
      <c r="C744" s="340"/>
      <c r="D744" s="146"/>
      <c r="E744" s="146"/>
      <c r="F744" s="146"/>
      <c r="G744" s="146"/>
      <c r="H744" s="146"/>
      <c r="I744" s="146"/>
      <c r="J744" s="339">
        <f t="shared" ref="J744:M744" si="88">SUM(J721:J743)</f>
        <v>449.83</v>
      </c>
      <c r="K744" s="339">
        <f t="shared" si="88"/>
        <v>148.28</v>
      </c>
      <c r="L744" s="339">
        <f t="shared" si="88"/>
        <v>301.55</v>
      </c>
      <c r="M744" s="146">
        <f t="shared" si="88"/>
        <v>324</v>
      </c>
      <c r="N744" s="339">
        <f>K744/M744</f>
        <v>0.457654321</v>
      </c>
    </row>
    <row r="745">
      <c r="A745" s="358" t="s">
        <v>325</v>
      </c>
      <c r="B745" s="358" t="s">
        <v>366</v>
      </c>
      <c r="C745" s="40">
        <v>542.0</v>
      </c>
      <c r="D745" s="40" t="s">
        <v>1265</v>
      </c>
      <c r="E745" s="40" t="s">
        <v>33</v>
      </c>
      <c r="F745" s="360">
        <v>44071.0</v>
      </c>
      <c r="G745" s="360">
        <v>44539.0</v>
      </c>
      <c r="H745" s="360">
        <v>45749.0</v>
      </c>
      <c r="I745" s="360">
        <v>45749.0</v>
      </c>
      <c r="J745" s="361">
        <v>59.99</v>
      </c>
      <c r="K745" s="361">
        <v>19.79</v>
      </c>
      <c r="L745" s="361">
        <v>40.2</v>
      </c>
      <c r="M745" s="40">
        <v>2.0</v>
      </c>
      <c r="N745" s="362">
        <v>9.9</v>
      </c>
    </row>
    <row r="746">
      <c r="A746" s="40" t="s">
        <v>325</v>
      </c>
      <c r="B746" s="40"/>
      <c r="C746" s="40">
        <v>980.0</v>
      </c>
      <c r="D746" s="40" t="s">
        <v>1267</v>
      </c>
      <c r="E746" s="40" t="s">
        <v>33</v>
      </c>
      <c r="F746" s="360">
        <v>44118.0</v>
      </c>
      <c r="G746" s="360">
        <v>44923.0</v>
      </c>
      <c r="H746" s="360">
        <v>44923.0</v>
      </c>
      <c r="I746" s="360">
        <v>44923.0</v>
      </c>
      <c r="J746" s="361">
        <v>25.0</v>
      </c>
      <c r="K746" s="361">
        <v>11.25</v>
      </c>
      <c r="L746" s="361">
        <v>13.75</v>
      </c>
      <c r="M746" s="40">
        <v>1.0</v>
      </c>
      <c r="N746" s="361">
        <v>11.25</v>
      </c>
    </row>
    <row r="747">
      <c r="A747" s="40" t="s">
        <v>325</v>
      </c>
      <c r="B747" s="40"/>
      <c r="C747" s="40">
        <v>981.0</v>
      </c>
      <c r="D747" s="40" t="s">
        <v>1268</v>
      </c>
      <c r="E747" s="40" t="s">
        <v>33</v>
      </c>
      <c r="F747" s="360">
        <v>44118.0</v>
      </c>
      <c r="G747" s="360">
        <v>44923.0</v>
      </c>
      <c r="H747" s="360">
        <v>44923.0</v>
      </c>
      <c r="I747" s="360">
        <v>44923.0</v>
      </c>
      <c r="J747" s="361">
        <v>24.99</v>
      </c>
      <c r="K747" s="361">
        <v>11.24</v>
      </c>
      <c r="L747" s="361">
        <v>13.75</v>
      </c>
      <c r="M747" s="40">
        <v>1.0</v>
      </c>
      <c r="N747" s="361">
        <v>11.24</v>
      </c>
    </row>
    <row r="748">
      <c r="A748" s="74"/>
      <c r="B748" s="74"/>
      <c r="C748" s="340"/>
      <c r="D748" s="146"/>
      <c r="E748" s="146"/>
      <c r="F748" s="146"/>
      <c r="G748" s="146"/>
      <c r="H748" s="146"/>
      <c r="I748" s="146"/>
      <c r="J748" s="339">
        <f t="shared" ref="J748:M748" si="89">SUM(J745:J747)</f>
        <v>109.98</v>
      </c>
      <c r="K748" s="339">
        <f t="shared" si="89"/>
        <v>42.28</v>
      </c>
      <c r="L748" s="339">
        <f t="shared" si="89"/>
        <v>67.7</v>
      </c>
      <c r="M748" s="146">
        <f t="shared" si="89"/>
        <v>4</v>
      </c>
      <c r="N748" s="339">
        <f>K748/M748</f>
        <v>10.57</v>
      </c>
    </row>
    <row r="749">
      <c r="A749" s="358" t="s">
        <v>325</v>
      </c>
      <c r="B749" s="40" t="s">
        <v>367</v>
      </c>
      <c r="C749" s="40">
        <v>389.0</v>
      </c>
      <c r="D749" s="40" t="s">
        <v>1173</v>
      </c>
      <c r="E749" s="40" t="s">
        <v>649</v>
      </c>
      <c r="F749" s="360">
        <v>41926.0</v>
      </c>
      <c r="G749" s="360">
        <v>42386.0</v>
      </c>
      <c r="H749" s="360">
        <v>42386.0</v>
      </c>
      <c r="I749" s="360">
        <v>42386.0</v>
      </c>
      <c r="J749" s="361">
        <v>19.99</v>
      </c>
      <c r="K749" s="361">
        <v>5.99</v>
      </c>
      <c r="L749" s="361">
        <v>14.0</v>
      </c>
      <c r="M749" s="40">
        <v>29.0</v>
      </c>
      <c r="N749" s="361">
        <v>0.21</v>
      </c>
    </row>
    <row r="750">
      <c r="A750" s="358" t="s">
        <v>325</v>
      </c>
      <c r="B750" s="40"/>
      <c r="C750" s="40">
        <v>1061.0</v>
      </c>
      <c r="D750" s="40" t="s">
        <v>1306</v>
      </c>
      <c r="E750" s="40" t="s">
        <v>39</v>
      </c>
      <c r="F750" s="360">
        <v>44645.0</v>
      </c>
      <c r="G750" s="360">
        <v>44708.0</v>
      </c>
      <c r="H750" s="360">
        <v>44710.0</v>
      </c>
      <c r="I750" s="360">
        <v>44719.0</v>
      </c>
      <c r="J750" s="362">
        <v>69.99</v>
      </c>
      <c r="K750" s="362">
        <v>34.99</v>
      </c>
      <c r="L750" s="362">
        <v>35.0</v>
      </c>
      <c r="M750" s="40">
        <v>49.0</v>
      </c>
      <c r="N750" s="361">
        <v>0.71</v>
      </c>
    </row>
    <row r="751">
      <c r="A751" s="74"/>
      <c r="B751" s="74"/>
      <c r="C751" s="340"/>
      <c r="D751" s="146"/>
      <c r="E751" s="146"/>
      <c r="F751" s="146"/>
      <c r="G751" s="146"/>
      <c r="H751" s="146"/>
      <c r="I751" s="146"/>
      <c r="J751" s="339">
        <f t="shared" ref="J751:M751" si="90">SUM(J749:J750)</f>
        <v>89.98</v>
      </c>
      <c r="K751" s="339">
        <f t="shared" si="90"/>
        <v>40.98</v>
      </c>
      <c r="L751" s="339">
        <f t="shared" si="90"/>
        <v>49</v>
      </c>
      <c r="M751" s="146">
        <f t="shared" si="90"/>
        <v>78</v>
      </c>
      <c r="N751" s="339">
        <f>K751/M751</f>
        <v>0.5253846154</v>
      </c>
    </row>
    <row r="752">
      <c r="A752" s="40" t="s">
        <v>325</v>
      </c>
      <c r="B752" s="40" t="s">
        <v>368</v>
      </c>
      <c r="C752" s="40">
        <v>316.0</v>
      </c>
      <c r="D752" s="40" t="s">
        <v>1179</v>
      </c>
      <c r="E752" s="40" t="s">
        <v>649</v>
      </c>
      <c r="F752" s="360">
        <v>42467.0</v>
      </c>
      <c r="G752" s="360">
        <v>42754.0</v>
      </c>
      <c r="H752" s="360">
        <v>42771.0</v>
      </c>
      <c r="I752" s="360">
        <v>44092.0</v>
      </c>
      <c r="J752" s="361">
        <v>19.99</v>
      </c>
      <c r="K752" s="361">
        <v>14.99</v>
      </c>
      <c r="L752" s="361">
        <v>5.0</v>
      </c>
      <c r="M752" s="40">
        <v>4.0</v>
      </c>
      <c r="N752" s="361">
        <v>3.75</v>
      </c>
    </row>
    <row r="753">
      <c r="A753" s="357" t="s">
        <v>325</v>
      </c>
      <c r="B753" s="40" t="s">
        <v>369</v>
      </c>
      <c r="C753" s="40">
        <v>102.0</v>
      </c>
      <c r="D753" s="40" t="s">
        <v>1104</v>
      </c>
      <c r="E753" s="40" t="s">
        <v>645</v>
      </c>
      <c r="F753" s="360">
        <v>37337.0</v>
      </c>
      <c r="G753" s="360">
        <v>44422.0</v>
      </c>
      <c r="H753" s="360">
        <v>44422.0</v>
      </c>
      <c r="I753" s="360">
        <v>44422.0</v>
      </c>
      <c r="J753" s="361">
        <v>10.0</v>
      </c>
      <c r="K753" s="361">
        <v>10.0</v>
      </c>
      <c r="L753" s="361">
        <v>0.0</v>
      </c>
      <c r="M753" s="40">
        <v>1.0</v>
      </c>
      <c r="N753" s="361">
        <v>10.0</v>
      </c>
    </row>
    <row r="754">
      <c r="A754" s="357" t="s">
        <v>325</v>
      </c>
      <c r="B754" s="40"/>
      <c r="C754" s="40">
        <v>77.0</v>
      </c>
      <c r="D754" s="40" t="s">
        <v>1108</v>
      </c>
      <c r="E754" s="40" t="s">
        <v>645</v>
      </c>
      <c r="F754" s="360">
        <v>37694.0</v>
      </c>
      <c r="G754" s="360">
        <v>43115.0</v>
      </c>
      <c r="H754" s="360">
        <v>43124.0</v>
      </c>
      <c r="I754" s="360">
        <v>43124.0</v>
      </c>
      <c r="J754" s="361">
        <v>9.99</v>
      </c>
      <c r="K754" s="361">
        <v>3.99</v>
      </c>
      <c r="L754" s="361">
        <v>6.0</v>
      </c>
      <c r="M754" s="40">
        <v>2.0</v>
      </c>
      <c r="N754" s="361">
        <v>2.0</v>
      </c>
    </row>
    <row r="755">
      <c r="A755" s="357" t="s">
        <v>325</v>
      </c>
      <c r="B755" s="40"/>
      <c r="C755" s="40">
        <v>132.0</v>
      </c>
      <c r="D755" s="40" t="s">
        <v>1118</v>
      </c>
      <c r="E755" s="40" t="s">
        <v>645</v>
      </c>
      <c r="F755" s="360">
        <v>38765.0</v>
      </c>
      <c r="G755" s="360">
        <v>44422.0</v>
      </c>
      <c r="H755" s="360">
        <v>44422.0</v>
      </c>
      <c r="I755" s="360">
        <v>44422.0</v>
      </c>
      <c r="J755" s="361">
        <v>9.99</v>
      </c>
      <c r="K755" s="361">
        <v>9.99</v>
      </c>
      <c r="L755" s="361">
        <v>0.0</v>
      </c>
      <c r="M755" s="40">
        <v>1.0</v>
      </c>
      <c r="N755" s="361">
        <v>9.99</v>
      </c>
    </row>
    <row r="756">
      <c r="A756" s="357" t="s">
        <v>325</v>
      </c>
      <c r="B756" s="40"/>
      <c r="C756" s="40">
        <v>153.0</v>
      </c>
      <c r="D756" s="40" t="s">
        <v>1121</v>
      </c>
      <c r="E756" s="40" t="s">
        <v>37</v>
      </c>
      <c r="F756" s="360">
        <v>38842.0</v>
      </c>
      <c r="G756" s="360">
        <v>42778.0</v>
      </c>
      <c r="H756" s="360">
        <v>42778.0</v>
      </c>
      <c r="I756" s="360">
        <v>42778.0</v>
      </c>
      <c r="J756" s="361">
        <v>7.99</v>
      </c>
      <c r="K756" s="361">
        <v>7.99</v>
      </c>
      <c r="L756" s="361">
        <v>0.0</v>
      </c>
      <c r="M756" s="40">
        <v>1.0</v>
      </c>
      <c r="N756" s="361">
        <v>7.99</v>
      </c>
    </row>
    <row r="757">
      <c r="A757" s="40" t="s">
        <v>325</v>
      </c>
      <c r="B757" s="40"/>
      <c r="C757" s="40">
        <v>173.0</v>
      </c>
      <c r="D757" s="40" t="s">
        <v>1122</v>
      </c>
      <c r="E757" s="40" t="s">
        <v>37</v>
      </c>
      <c r="F757" s="360">
        <v>38891.0</v>
      </c>
      <c r="G757" s="360">
        <v>42945.0</v>
      </c>
      <c r="H757" s="360">
        <v>42945.0</v>
      </c>
      <c r="I757" s="360">
        <v>45351.0</v>
      </c>
      <c r="J757" s="361">
        <v>14.99</v>
      </c>
      <c r="K757" s="361">
        <v>14.99</v>
      </c>
      <c r="L757" s="361">
        <v>0.0</v>
      </c>
      <c r="M757" s="40">
        <v>7.0</v>
      </c>
      <c r="N757" s="361">
        <v>2.14</v>
      </c>
    </row>
    <row r="758">
      <c r="A758" s="358" t="s">
        <v>325</v>
      </c>
      <c r="B758" s="40"/>
      <c r="C758" s="40">
        <v>358.0</v>
      </c>
      <c r="D758" s="40" t="s">
        <v>1138</v>
      </c>
      <c r="E758" s="40" t="s">
        <v>649</v>
      </c>
      <c r="F758" s="360">
        <v>39653.0</v>
      </c>
      <c r="G758" s="360">
        <v>44285.0</v>
      </c>
      <c r="H758" s="360">
        <v>44285.0</v>
      </c>
      <c r="I758" s="360">
        <v>44285.0</v>
      </c>
      <c r="J758" s="361">
        <v>12.99</v>
      </c>
      <c r="K758" s="361">
        <v>12.99</v>
      </c>
      <c r="L758" s="361">
        <v>0.0</v>
      </c>
      <c r="M758" s="40">
        <v>1.0</v>
      </c>
      <c r="N758" s="361">
        <v>12.99</v>
      </c>
    </row>
    <row r="759">
      <c r="A759" s="358" t="s">
        <v>325</v>
      </c>
      <c r="B759" s="40"/>
      <c r="C759" s="40">
        <v>406.0</v>
      </c>
      <c r="D759" s="40" t="s">
        <v>1162</v>
      </c>
      <c r="E759" s="40" t="s">
        <v>649</v>
      </c>
      <c r="F759" s="360">
        <v>41178.0</v>
      </c>
      <c r="G759" s="360">
        <v>41599.0</v>
      </c>
      <c r="H759" s="360">
        <v>41599.0</v>
      </c>
      <c r="I759" s="360">
        <v>44795.0</v>
      </c>
      <c r="J759" s="361">
        <v>12.99</v>
      </c>
      <c r="K759" s="361">
        <v>12.99</v>
      </c>
      <c r="L759" s="361">
        <v>0.0</v>
      </c>
      <c r="M759" s="40">
        <v>25.0</v>
      </c>
      <c r="N759" s="361">
        <v>0.52</v>
      </c>
    </row>
    <row r="760">
      <c r="A760" s="40" t="s">
        <v>325</v>
      </c>
      <c r="B760" s="40"/>
      <c r="C760" s="40">
        <v>444.0</v>
      </c>
      <c r="D760" s="40" t="s">
        <v>1184</v>
      </c>
      <c r="E760" s="40" t="s">
        <v>671</v>
      </c>
      <c r="F760" s="360">
        <v>41075.0</v>
      </c>
      <c r="G760" s="360">
        <v>45545.0</v>
      </c>
      <c r="H760" s="360">
        <v>45545.0</v>
      </c>
      <c r="I760" s="360">
        <v>45545.0</v>
      </c>
      <c r="J760" s="361">
        <v>29.99</v>
      </c>
      <c r="K760" s="361">
        <v>14.99</v>
      </c>
      <c r="L760" s="361">
        <v>15.0</v>
      </c>
      <c r="M760" s="40">
        <v>1.0</v>
      </c>
      <c r="N760" s="361">
        <v>14.99</v>
      </c>
    </row>
    <row r="761">
      <c r="A761" s="40" t="s">
        <v>325</v>
      </c>
      <c r="B761" s="40"/>
      <c r="C761" s="40">
        <v>921.0</v>
      </c>
      <c r="D761" s="40" t="s">
        <v>1195</v>
      </c>
      <c r="E761" s="40" t="s">
        <v>33</v>
      </c>
      <c r="F761" s="360">
        <v>41607.0</v>
      </c>
      <c r="G761" s="360">
        <v>43469.0</v>
      </c>
      <c r="H761" s="360">
        <v>43481.0</v>
      </c>
      <c r="I761" s="360">
        <v>43483.0</v>
      </c>
      <c r="J761" s="361">
        <v>0.0</v>
      </c>
      <c r="K761" s="361">
        <v>0.0</v>
      </c>
      <c r="L761" s="361">
        <v>0.0</v>
      </c>
      <c r="M761" s="40">
        <v>1.0</v>
      </c>
      <c r="N761" s="361">
        <v>0.0</v>
      </c>
    </row>
    <row r="762">
      <c r="A762" s="40" t="s">
        <v>325</v>
      </c>
      <c r="B762" s="40"/>
      <c r="C762" s="40">
        <v>693.0</v>
      </c>
      <c r="D762" s="40" t="s">
        <v>1194</v>
      </c>
      <c r="E762" s="40" t="s">
        <v>33</v>
      </c>
      <c r="F762" s="360">
        <v>41607.0</v>
      </c>
      <c r="G762" s="360">
        <v>44581.0</v>
      </c>
      <c r="H762" s="360">
        <v>44590.0</v>
      </c>
      <c r="I762" s="360">
        <v>44899.0</v>
      </c>
      <c r="J762" s="361">
        <v>19.99</v>
      </c>
      <c r="K762" s="361">
        <v>7.99</v>
      </c>
      <c r="L762" s="361">
        <v>12.0</v>
      </c>
      <c r="M762" s="40">
        <v>45.0</v>
      </c>
      <c r="N762" s="361">
        <v>0.18</v>
      </c>
    </row>
    <row r="763">
      <c r="A763" s="40" t="s">
        <v>325</v>
      </c>
      <c r="B763" s="40"/>
      <c r="C763" s="40">
        <v>915.0</v>
      </c>
      <c r="D763" s="40" t="s">
        <v>1208</v>
      </c>
      <c r="E763" s="40" t="s">
        <v>33</v>
      </c>
      <c r="F763" s="360">
        <v>42710.0</v>
      </c>
      <c r="G763" s="360">
        <v>44389.0</v>
      </c>
      <c r="H763" s="360">
        <v>44389.0</v>
      </c>
      <c r="I763" s="360">
        <v>44389.0</v>
      </c>
      <c r="J763" s="361">
        <v>34.99</v>
      </c>
      <c r="K763" s="361">
        <v>0.0</v>
      </c>
      <c r="L763" s="361">
        <v>34.99</v>
      </c>
      <c r="M763" s="40">
        <v>1.0</v>
      </c>
      <c r="N763" s="361">
        <v>0.0</v>
      </c>
    </row>
    <row r="764">
      <c r="A764" s="40" t="s">
        <v>325</v>
      </c>
      <c r="B764" s="40"/>
      <c r="C764" s="40">
        <v>694.0</v>
      </c>
      <c r="D764" s="40" t="s">
        <v>1227</v>
      </c>
      <c r="E764" s="40" t="s">
        <v>33</v>
      </c>
      <c r="F764" s="360">
        <v>42984.0</v>
      </c>
      <c r="G764" s="360">
        <v>44581.0</v>
      </c>
      <c r="H764" s="360">
        <v>44899.0</v>
      </c>
      <c r="I764" s="360">
        <v>44903.0</v>
      </c>
      <c r="J764" s="361">
        <v>39.99</v>
      </c>
      <c r="K764" s="361">
        <v>13.99</v>
      </c>
      <c r="L764" s="361">
        <v>26.0</v>
      </c>
      <c r="M764" s="40">
        <v>20.0</v>
      </c>
      <c r="N764" s="361">
        <v>0.7</v>
      </c>
    </row>
    <row r="765">
      <c r="A765" s="40" t="s">
        <v>325</v>
      </c>
      <c r="B765" s="40"/>
      <c r="C765" s="40">
        <v>1038.0</v>
      </c>
      <c r="D765" s="40" t="s">
        <v>1300</v>
      </c>
      <c r="E765" s="40" t="s">
        <v>666</v>
      </c>
      <c r="F765" s="360">
        <v>42656.0</v>
      </c>
      <c r="G765" s="360">
        <v>43462.0</v>
      </c>
      <c r="H765" s="360">
        <v>43469.0</v>
      </c>
      <c r="I765" s="360">
        <v>43483.0</v>
      </c>
      <c r="J765" s="361">
        <v>0.0</v>
      </c>
      <c r="K765" s="361">
        <v>0.0</v>
      </c>
      <c r="L765" s="361">
        <v>0.0</v>
      </c>
      <c r="M765" s="40">
        <v>1.0</v>
      </c>
      <c r="N765" s="361">
        <v>0.0</v>
      </c>
    </row>
    <row r="766">
      <c r="A766" s="40" t="s">
        <v>325</v>
      </c>
      <c r="B766" s="40"/>
      <c r="C766" s="40">
        <v>987.0</v>
      </c>
      <c r="D766" s="362" t="s">
        <v>1303</v>
      </c>
      <c r="E766" s="362" t="s">
        <v>666</v>
      </c>
      <c r="F766" s="360">
        <v>43375.0</v>
      </c>
      <c r="G766" s="360">
        <v>43477.0</v>
      </c>
      <c r="H766" s="360">
        <v>43477.0</v>
      </c>
      <c r="I766" s="360">
        <v>44236.0</v>
      </c>
      <c r="J766" s="362">
        <v>39.99</v>
      </c>
      <c r="K766" s="362">
        <v>4.79</v>
      </c>
      <c r="L766" s="361">
        <v>35.2</v>
      </c>
      <c r="M766" s="40">
        <v>15.0</v>
      </c>
      <c r="N766" s="361">
        <v>0.32</v>
      </c>
    </row>
    <row r="767">
      <c r="A767" s="358" t="s">
        <v>325</v>
      </c>
      <c r="B767" s="40"/>
      <c r="C767" s="40">
        <v>1054.0</v>
      </c>
      <c r="D767" s="40" t="s">
        <v>1305</v>
      </c>
      <c r="E767" s="40" t="s">
        <v>39</v>
      </c>
      <c r="F767" s="360">
        <v>44147.0</v>
      </c>
      <c r="G767" s="360">
        <v>44332.0</v>
      </c>
      <c r="H767" s="360">
        <v>44332.0</v>
      </c>
      <c r="I767" s="360">
        <v>44333.0</v>
      </c>
      <c r="J767" s="362">
        <v>0.0</v>
      </c>
      <c r="K767" s="362">
        <v>0.0</v>
      </c>
      <c r="L767" s="361">
        <v>0.0</v>
      </c>
      <c r="M767" s="40">
        <v>7.0</v>
      </c>
      <c r="N767" s="361">
        <v>0.0</v>
      </c>
    </row>
    <row r="768">
      <c r="A768" s="363" t="s">
        <v>325</v>
      </c>
      <c r="B768" s="357"/>
      <c r="C768" s="40">
        <v>1055.0</v>
      </c>
      <c r="D768" s="361" t="s">
        <v>1309</v>
      </c>
      <c r="E768" s="40" t="s">
        <v>39</v>
      </c>
      <c r="F768" s="360">
        <v>45541.0</v>
      </c>
      <c r="G768" s="360">
        <v>45506.0</v>
      </c>
      <c r="H768" s="360">
        <v>45541.0</v>
      </c>
      <c r="I768" s="360">
        <v>45852.0</v>
      </c>
      <c r="J768" s="362">
        <v>69.99</v>
      </c>
      <c r="K768" s="362">
        <v>0.0</v>
      </c>
      <c r="L768" s="361">
        <v>69.99</v>
      </c>
      <c r="M768" s="394">
        <v>21.0</v>
      </c>
      <c r="N768" s="361">
        <v>0.0</v>
      </c>
    </row>
    <row r="769">
      <c r="A769" s="74"/>
      <c r="B769" s="74"/>
      <c r="C769" s="340"/>
      <c r="D769" s="146"/>
      <c r="E769" s="146"/>
      <c r="F769" s="146"/>
      <c r="G769" s="146"/>
      <c r="H769" s="146"/>
      <c r="I769" s="146"/>
      <c r="J769" s="339">
        <f t="shared" ref="J769:M769" si="91">SUM(J753:J768)</f>
        <v>313.88</v>
      </c>
      <c r="K769" s="339">
        <f t="shared" si="91"/>
        <v>114.7</v>
      </c>
      <c r="L769" s="339">
        <f t="shared" si="91"/>
        <v>199.18</v>
      </c>
      <c r="M769" s="146">
        <f t="shared" si="91"/>
        <v>150</v>
      </c>
      <c r="N769" s="339">
        <f>K769/M769</f>
        <v>0.7646666667</v>
      </c>
    </row>
    <row r="770">
      <c r="A770" s="40" t="s">
        <v>325</v>
      </c>
      <c r="B770" s="40" t="s">
        <v>370</v>
      </c>
      <c r="C770" s="40">
        <v>158.0</v>
      </c>
      <c r="D770" s="40" t="s">
        <v>1130</v>
      </c>
      <c r="E770" s="40" t="s">
        <v>37</v>
      </c>
      <c r="F770" s="360">
        <v>40269.0</v>
      </c>
      <c r="G770" s="360">
        <v>42321.0</v>
      </c>
      <c r="H770" s="360">
        <v>42321.0</v>
      </c>
      <c r="I770" s="360">
        <v>42321.0</v>
      </c>
      <c r="J770" s="361">
        <v>14.99</v>
      </c>
      <c r="K770" s="361">
        <v>14.99</v>
      </c>
      <c r="L770" s="361">
        <v>0.0</v>
      </c>
      <c r="M770" s="40">
        <v>1.0</v>
      </c>
      <c r="N770" s="361">
        <v>14.99</v>
      </c>
    </row>
    <row r="771">
      <c r="A771" s="358" t="s">
        <v>325</v>
      </c>
      <c r="B771" s="40"/>
      <c r="C771" s="40">
        <v>219.0</v>
      </c>
      <c r="D771" s="40" t="s">
        <v>1163</v>
      </c>
      <c r="E771" s="40" t="s">
        <v>649</v>
      </c>
      <c r="F771" s="360">
        <v>41180.0</v>
      </c>
      <c r="G771" s="360">
        <v>41374.0</v>
      </c>
      <c r="H771" s="360">
        <v>41374.0</v>
      </c>
      <c r="I771" s="360">
        <v>43897.0</v>
      </c>
      <c r="J771" s="361">
        <v>59.98</v>
      </c>
      <c r="K771" s="361">
        <v>33.98</v>
      </c>
      <c r="L771" s="361">
        <v>26.0</v>
      </c>
      <c r="M771" s="40">
        <v>3.0</v>
      </c>
      <c r="N771" s="361">
        <v>11.33</v>
      </c>
    </row>
    <row r="772">
      <c r="A772" s="40" t="s">
        <v>325</v>
      </c>
      <c r="B772" s="40"/>
      <c r="C772" s="40">
        <v>771.0</v>
      </c>
      <c r="D772" s="40" t="s">
        <v>1259</v>
      </c>
      <c r="E772" s="40" t="s">
        <v>33</v>
      </c>
      <c r="F772" s="360">
        <v>43903.0</v>
      </c>
      <c r="G772" s="360">
        <v>44867.0</v>
      </c>
      <c r="H772" s="360">
        <v>44867.0</v>
      </c>
      <c r="I772" s="360">
        <v>44867.0</v>
      </c>
      <c r="J772" s="361">
        <v>59.99</v>
      </c>
      <c r="K772" s="361">
        <v>0.0</v>
      </c>
      <c r="L772" s="361">
        <v>59.99</v>
      </c>
      <c r="M772" s="40">
        <v>1.0</v>
      </c>
      <c r="N772" s="361">
        <v>0.0</v>
      </c>
    </row>
    <row r="773">
      <c r="A773" s="74"/>
      <c r="B773" s="74"/>
      <c r="C773" s="340"/>
      <c r="D773" s="146"/>
      <c r="E773" s="146"/>
      <c r="F773" s="146"/>
      <c r="G773" s="146"/>
      <c r="H773" s="146"/>
      <c r="I773" s="146"/>
      <c r="J773" s="339">
        <f t="shared" ref="J773:M773" si="92">SUM(J770:J772)</f>
        <v>134.96</v>
      </c>
      <c r="K773" s="339">
        <f t="shared" si="92"/>
        <v>48.97</v>
      </c>
      <c r="L773" s="339">
        <f t="shared" si="92"/>
        <v>85.99</v>
      </c>
      <c r="M773" s="146">
        <f t="shared" si="92"/>
        <v>5</v>
      </c>
      <c r="N773" s="339">
        <f>K773/M773</f>
        <v>9.794</v>
      </c>
    </row>
    <row r="774">
      <c r="A774" s="357" t="s">
        <v>325</v>
      </c>
      <c r="B774" s="357" t="s">
        <v>371</v>
      </c>
      <c r="C774" s="40">
        <v>68.0</v>
      </c>
      <c r="D774" s="40" t="s">
        <v>1081</v>
      </c>
      <c r="E774" s="40" t="s">
        <v>682</v>
      </c>
      <c r="F774" s="360">
        <v>36035.0</v>
      </c>
      <c r="G774" s="360">
        <v>41568.0</v>
      </c>
      <c r="H774" s="360">
        <v>45655.0</v>
      </c>
      <c r="I774" s="360">
        <v>45662.0</v>
      </c>
      <c r="J774" s="361">
        <v>27.98</v>
      </c>
      <c r="K774" s="361">
        <v>4.99</v>
      </c>
      <c r="L774" s="361">
        <v>22.99</v>
      </c>
      <c r="M774" s="40">
        <v>18.0</v>
      </c>
      <c r="N774" s="361">
        <v>0.28</v>
      </c>
    </row>
    <row r="775">
      <c r="A775" s="357" t="s">
        <v>325</v>
      </c>
      <c r="B775" s="40"/>
      <c r="C775" s="40">
        <v>69.0</v>
      </c>
      <c r="D775" s="40" t="s">
        <v>1089</v>
      </c>
      <c r="E775" s="40" t="s">
        <v>682</v>
      </c>
      <c r="F775" s="360">
        <v>36693.0</v>
      </c>
      <c r="G775" s="360">
        <v>43373.0</v>
      </c>
      <c r="H775" s="360">
        <v>45793.0</v>
      </c>
      <c r="I775" s="360">
        <v>45793.0</v>
      </c>
      <c r="J775" s="361">
        <v>7.99</v>
      </c>
      <c r="K775" s="361">
        <v>7.99</v>
      </c>
      <c r="L775" s="361">
        <v>0.0</v>
      </c>
      <c r="M775" s="40">
        <v>2.0</v>
      </c>
      <c r="N775" s="361">
        <v>4.0</v>
      </c>
    </row>
    <row r="776">
      <c r="A776" s="74"/>
      <c r="B776" s="74"/>
      <c r="C776" s="340"/>
      <c r="D776" s="146"/>
      <c r="E776" s="146"/>
      <c r="F776" s="146"/>
      <c r="G776" s="146"/>
      <c r="H776" s="146"/>
      <c r="I776" s="146"/>
      <c r="J776" s="339">
        <f t="shared" ref="J776:M776" si="93">SUM(J774:J775)</f>
        <v>35.97</v>
      </c>
      <c r="K776" s="339">
        <f t="shared" si="93"/>
        <v>12.98</v>
      </c>
      <c r="L776" s="339">
        <f t="shared" si="93"/>
        <v>22.99</v>
      </c>
      <c r="M776" s="146">
        <f t="shared" si="93"/>
        <v>20</v>
      </c>
      <c r="N776" s="339">
        <f>K776/M776</f>
        <v>0.649</v>
      </c>
    </row>
    <row r="777">
      <c r="A777" s="358" t="s">
        <v>325</v>
      </c>
      <c r="B777" s="40" t="s">
        <v>372</v>
      </c>
      <c r="C777" s="40">
        <v>491.0</v>
      </c>
      <c r="D777" s="40" t="s">
        <v>1189</v>
      </c>
      <c r="E777" s="40" t="s">
        <v>671</v>
      </c>
      <c r="F777" s="360">
        <v>42613.0</v>
      </c>
      <c r="G777" s="360">
        <v>43373.0</v>
      </c>
      <c r="H777" s="360">
        <v>43373.0</v>
      </c>
      <c r="I777" s="360">
        <v>43373.0</v>
      </c>
      <c r="J777" s="361">
        <v>9.99</v>
      </c>
      <c r="K777" s="361">
        <v>9.99</v>
      </c>
      <c r="L777" s="361">
        <v>0.0</v>
      </c>
      <c r="M777" s="40">
        <v>5.0</v>
      </c>
      <c r="N777" s="361">
        <v>2.0</v>
      </c>
    </row>
    <row r="778">
      <c r="A778" s="357" t="s">
        <v>325</v>
      </c>
      <c r="B778" s="40" t="s">
        <v>373</v>
      </c>
      <c r="C778" s="40">
        <v>76.0</v>
      </c>
      <c r="D778" s="40" t="s">
        <v>1093</v>
      </c>
      <c r="E778" s="40" t="s">
        <v>682</v>
      </c>
      <c r="F778" s="360">
        <v>36861.0</v>
      </c>
      <c r="G778" s="360">
        <v>40538.0</v>
      </c>
      <c r="H778" s="360">
        <v>40538.0</v>
      </c>
      <c r="I778" s="360">
        <v>40538.0</v>
      </c>
      <c r="J778" s="361">
        <v>9.99</v>
      </c>
      <c r="K778" s="361">
        <v>9.99</v>
      </c>
      <c r="L778" s="361">
        <v>0.0</v>
      </c>
      <c r="M778" s="40">
        <v>45.0</v>
      </c>
      <c r="N778" s="361">
        <v>0.22</v>
      </c>
    </row>
    <row r="779">
      <c r="A779" s="358" t="s">
        <v>325</v>
      </c>
      <c r="B779" s="40"/>
      <c r="C779" s="40">
        <v>412.0</v>
      </c>
      <c r="D779" s="40" t="s">
        <v>1140</v>
      </c>
      <c r="E779" s="40" t="s">
        <v>649</v>
      </c>
      <c r="F779" s="360">
        <v>39955.0</v>
      </c>
      <c r="G779" s="360">
        <v>44115.0</v>
      </c>
      <c r="H779" s="360">
        <v>44425.0</v>
      </c>
      <c r="I779" s="360">
        <v>44425.0</v>
      </c>
      <c r="J779" s="361">
        <v>19.99</v>
      </c>
      <c r="K779" s="361">
        <v>2.0</v>
      </c>
      <c r="L779" s="361">
        <v>17.99</v>
      </c>
      <c r="M779" s="40">
        <v>12.0</v>
      </c>
      <c r="N779" s="361">
        <v>0.17</v>
      </c>
    </row>
    <row r="780">
      <c r="A780" s="74"/>
      <c r="B780" s="74"/>
      <c r="C780" s="340"/>
      <c r="D780" s="146"/>
      <c r="E780" s="146"/>
      <c r="F780" s="146"/>
      <c r="G780" s="146"/>
      <c r="H780" s="146"/>
      <c r="I780" s="146"/>
      <c r="J780" s="339">
        <f t="shared" ref="J780:M780" si="94">SUM(J778:J779)</f>
        <v>29.98</v>
      </c>
      <c r="K780" s="339">
        <f t="shared" si="94"/>
        <v>11.99</v>
      </c>
      <c r="L780" s="339">
        <f t="shared" si="94"/>
        <v>17.99</v>
      </c>
      <c r="M780" s="146">
        <f t="shared" si="94"/>
        <v>57</v>
      </c>
      <c r="N780" s="339">
        <f>K780/M780</f>
        <v>0.2103508772</v>
      </c>
    </row>
    <row r="781">
      <c r="A781" s="320"/>
      <c r="B781" s="318"/>
      <c r="C781" s="319"/>
      <c r="D781" s="320"/>
      <c r="E781" s="320"/>
      <c r="F781" s="320"/>
      <c r="G781" s="320"/>
      <c r="H781" s="320"/>
      <c r="I781" s="320"/>
      <c r="J781" s="321"/>
      <c r="K781" s="321"/>
      <c r="L781" s="321"/>
      <c r="M781" s="320"/>
      <c r="N781" s="321"/>
    </row>
    <row r="782">
      <c r="A782" s="346" t="s">
        <v>375</v>
      </c>
      <c r="B782" s="346" t="s">
        <v>374</v>
      </c>
      <c r="C782" s="346">
        <v>474.0</v>
      </c>
      <c r="D782" s="346" t="s">
        <v>1312</v>
      </c>
      <c r="E782" s="346" t="s">
        <v>671</v>
      </c>
      <c r="F782" s="354">
        <v>42318.0</v>
      </c>
      <c r="G782" s="354">
        <v>42875.0</v>
      </c>
      <c r="H782" s="354">
        <v>45062.0</v>
      </c>
      <c r="I782" s="354">
        <v>45069.0</v>
      </c>
      <c r="J782" s="355">
        <v>49.98</v>
      </c>
      <c r="K782" s="355">
        <v>12.98</v>
      </c>
      <c r="L782" s="355">
        <v>37.0</v>
      </c>
      <c r="M782" s="346">
        <v>20.0</v>
      </c>
      <c r="N782" s="355">
        <v>0.65</v>
      </c>
    </row>
    <row r="783">
      <c r="A783" s="346" t="s">
        <v>375</v>
      </c>
      <c r="B783" s="346" t="s">
        <v>376</v>
      </c>
      <c r="C783" s="346">
        <v>840.0</v>
      </c>
      <c r="D783" s="346" t="s">
        <v>1313</v>
      </c>
      <c r="E783" s="346" t="s">
        <v>33</v>
      </c>
      <c r="F783" s="354">
        <v>44490.0</v>
      </c>
      <c r="G783" s="354">
        <v>45385.0</v>
      </c>
      <c r="H783" s="354">
        <v>45385.0</v>
      </c>
      <c r="I783" s="354">
        <v>45385.0</v>
      </c>
      <c r="J783" s="355">
        <v>16.99</v>
      </c>
      <c r="K783" s="355">
        <v>0.0</v>
      </c>
      <c r="L783" s="355">
        <v>16.99</v>
      </c>
      <c r="M783" s="346">
        <v>1.0</v>
      </c>
      <c r="N783" s="355">
        <v>0.0</v>
      </c>
    </row>
    <row r="784">
      <c r="A784" s="346"/>
      <c r="B784" s="346"/>
      <c r="C784" s="347"/>
      <c r="D784" s="348"/>
      <c r="E784" s="348"/>
      <c r="F784" s="348"/>
      <c r="G784" s="348"/>
      <c r="H784" s="348"/>
      <c r="I784" s="348"/>
      <c r="J784" s="349"/>
      <c r="K784" s="349"/>
      <c r="L784" s="349"/>
      <c r="M784" s="348"/>
      <c r="N784" s="349"/>
    </row>
    <row r="785">
      <c r="A785" s="399" t="s">
        <v>378</v>
      </c>
      <c r="B785" s="399" t="s">
        <v>377</v>
      </c>
      <c r="C785" s="399">
        <v>670.0</v>
      </c>
      <c r="D785" s="399" t="s">
        <v>1314</v>
      </c>
      <c r="E785" s="399" t="s">
        <v>33</v>
      </c>
      <c r="F785" s="400">
        <v>42864.0</v>
      </c>
      <c r="G785" s="400">
        <v>42954.0</v>
      </c>
      <c r="H785" s="400">
        <v>42959.0</v>
      </c>
      <c r="I785" s="400">
        <v>44433.0</v>
      </c>
      <c r="J785" s="401">
        <v>14.99</v>
      </c>
      <c r="K785" s="401">
        <v>9.99</v>
      </c>
      <c r="L785" s="401">
        <v>5.0</v>
      </c>
      <c r="M785" s="399">
        <v>8.0</v>
      </c>
      <c r="N785" s="401">
        <v>1.25</v>
      </c>
    </row>
    <row r="786">
      <c r="A786" s="307"/>
      <c r="B786" s="307"/>
      <c r="C786" s="307"/>
      <c r="D786" s="307"/>
      <c r="E786" s="309"/>
      <c r="F786" s="309"/>
      <c r="G786" s="309"/>
      <c r="H786" s="309"/>
      <c r="I786" s="309"/>
      <c r="J786" s="310"/>
      <c r="K786" s="310"/>
      <c r="L786" s="310"/>
      <c r="M786" s="309"/>
      <c r="N786" s="310"/>
    </row>
    <row r="787">
      <c r="A787" s="40" t="s">
        <v>380</v>
      </c>
      <c r="B787" s="402" t="s">
        <v>379</v>
      </c>
      <c r="C787" s="40">
        <v>839.0</v>
      </c>
      <c r="D787" s="40" t="s">
        <v>1315</v>
      </c>
      <c r="E787" s="40" t="s">
        <v>33</v>
      </c>
      <c r="F787" s="360">
        <v>44258.0</v>
      </c>
      <c r="G787" s="360">
        <v>44351.0</v>
      </c>
      <c r="H787" s="360">
        <v>44351.0</v>
      </c>
      <c r="I787" s="360">
        <v>44354.0</v>
      </c>
      <c r="J787" s="361">
        <v>9.99</v>
      </c>
      <c r="K787" s="361">
        <v>6.99</v>
      </c>
      <c r="L787" s="361">
        <v>3.0</v>
      </c>
      <c r="M787" s="40">
        <v>3.0</v>
      </c>
      <c r="N787" s="361">
        <v>2.33</v>
      </c>
    </row>
    <row r="788">
      <c r="A788" s="318"/>
      <c r="B788" s="318"/>
      <c r="C788" s="319"/>
      <c r="D788" s="320"/>
      <c r="E788" s="318"/>
      <c r="F788" s="318"/>
      <c r="G788" s="318"/>
      <c r="H788" s="318"/>
      <c r="I788" s="318"/>
      <c r="J788" s="321"/>
      <c r="K788" s="321"/>
      <c r="L788" s="321"/>
      <c r="M788" s="320"/>
      <c r="N788" s="321"/>
    </row>
    <row r="789">
      <c r="A789" s="403" t="s">
        <v>382</v>
      </c>
      <c r="B789" s="322" t="s">
        <v>381</v>
      </c>
      <c r="C789" s="322">
        <v>687.0</v>
      </c>
      <c r="D789" s="322" t="s">
        <v>1316</v>
      </c>
      <c r="E789" s="322" t="s">
        <v>33</v>
      </c>
      <c r="F789" s="323">
        <v>43116.0</v>
      </c>
      <c r="G789" s="323">
        <v>43548.0</v>
      </c>
      <c r="H789" s="323">
        <v>43548.0</v>
      </c>
      <c r="I789" s="323">
        <v>43548.0</v>
      </c>
      <c r="J789" s="324">
        <v>39.99</v>
      </c>
      <c r="K789" s="324">
        <v>19.99</v>
      </c>
      <c r="L789" s="324">
        <v>20.0</v>
      </c>
      <c r="M789" s="322">
        <v>2.0</v>
      </c>
      <c r="N789" s="324">
        <v>10.0</v>
      </c>
    </row>
    <row r="790">
      <c r="A790" s="316"/>
      <c r="B790" s="315"/>
      <c r="C790" s="315"/>
      <c r="D790" s="315"/>
      <c r="E790" s="315"/>
      <c r="F790" s="315"/>
      <c r="G790" s="315"/>
      <c r="H790" s="315"/>
      <c r="I790" s="315"/>
      <c r="J790" s="342"/>
      <c r="K790" s="342"/>
      <c r="L790" s="342"/>
      <c r="M790" s="316"/>
      <c r="N790" s="342"/>
    </row>
    <row r="791">
      <c r="A791" s="404" t="s">
        <v>384</v>
      </c>
      <c r="B791" s="404" t="s">
        <v>383</v>
      </c>
      <c r="C791" s="404">
        <v>446.0</v>
      </c>
      <c r="D791" s="404" t="s">
        <v>1319</v>
      </c>
      <c r="E791" s="404" t="s">
        <v>671</v>
      </c>
      <c r="F791" s="405">
        <v>41689.0</v>
      </c>
      <c r="G791" s="405">
        <v>42832.0</v>
      </c>
      <c r="H791" s="405">
        <v>45054.0</v>
      </c>
      <c r="I791" s="405">
        <v>45054.0</v>
      </c>
      <c r="J791" s="406">
        <v>2.49</v>
      </c>
      <c r="K791" s="406">
        <v>2.49</v>
      </c>
      <c r="L791" s="406">
        <v>0.0</v>
      </c>
      <c r="M791" s="404">
        <v>5.0</v>
      </c>
      <c r="N791" s="406">
        <v>0.5</v>
      </c>
    </row>
    <row r="792">
      <c r="A792" s="407" t="s">
        <v>384</v>
      </c>
      <c r="B792" s="404" t="s">
        <v>385</v>
      </c>
      <c r="C792" s="404">
        <v>107.0</v>
      </c>
      <c r="D792" s="404" t="s">
        <v>1317</v>
      </c>
      <c r="E792" s="404" t="s">
        <v>645</v>
      </c>
      <c r="F792" s="405">
        <v>38317.0</v>
      </c>
      <c r="G792" s="405">
        <v>44292.0</v>
      </c>
      <c r="H792" s="405">
        <v>44292.0</v>
      </c>
      <c r="I792" s="405">
        <v>44292.0</v>
      </c>
      <c r="J792" s="406">
        <v>12.99</v>
      </c>
      <c r="K792" s="406">
        <v>12.99</v>
      </c>
      <c r="L792" s="406">
        <v>0.0</v>
      </c>
      <c r="M792" s="404">
        <v>2.0</v>
      </c>
      <c r="N792" s="406">
        <v>6.5</v>
      </c>
    </row>
    <row r="793">
      <c r="A793" s="404" t="s">
        <v>384</v>
      </c>
      <c r="B793" s="404"/>
      <c r="C793" s="404">
        <v>665.0</v>
      </c>
      <c r="D793" s="404" t="s">
        <v>1322</v>
      </c>
      <c r="E793" s="404" t="s">
        <v>33</v>
      </c>
      <c r="F793" s="405">
        <v>42795.0</v>
      </c>
      <c r="G793" s="405">
        <v>42870.0</v>
      </c>
      <c r="H793" s="405">
        <v>42870.0</v>
      </c>
      <c r="I793" s="405">
        <v>44943.0</v>
      </c>
      <c r="J793" s="406">
        <v>34.98</v>
      </c>
      <c r="K793" s="406">
        <v>27.98</v>
      </c>
      <c r="L793" s="406">
        <v>7.0</v>
      </c>
      <c r="M793" s="404">
        <v>100.0</v>
      </c>
      <c r="N793" s="406">
        <v>0.28</v>
      </c>
    </row>
    <row r="794">
      <c r="A794" s="408" t="s">
        <v>384</v>
      </c>
      <c r="B794" s="408"/>
      <c r="C794" s="404">
        <v>666.0</v>
      </c>
      <c r="D794" s="404" t="s">
        <v>1324</v>
      </c>
      <c r="E794" s="404" t="s">
        <v>33</v>
      </c>
      <c r="F794" s="405">
        <v>44610.0</v>
      </c>
      <c r="G794" s="405">
        <v>44923.0</v>
      </c>
      <c r="H794" s="405">
        <v>44946.0</v>
      </c>
      <c r="I794" s="405">
        <v>45630.0</v>
      </c>
      <c r="J794" s="406">
        <v>79.99</v>
      </c>
      <c r="K794" s="406">
        <v>49.59</v>
      </c>
      <c r="L794" s="406">
        <v>30.4</v>
      </c>
      <c r="M794" s="404">
        <v>67.0</v>
      </c>
      <c r="N794" s="406">
        <v>0.74</v>
      </c>
    </row>
    <row r="795">
      <c r="A795" s="409"/>
      <c r="B795" s="409"/>
      <c r="C795" s="410"/>
      <c r="D795" s="411"/>
      <c r="E795" s="1"/>
      <c r="F795" s="1"/>
      <c r="G795" s="1"/>
      <c r="H795" s="1"/>
      <c r="I795" s="1"/>
      <c r="J795" s="412">
        <f t="shared" ref="J795:M795" si="95">SUM(J792:J794)</f>
        <v>127.96</v>
      </c>
      <c r="K795" s="412">
        <f t="shared" si="95"/>
        <v>90.56</v>
      </c>
      <c r="L795" s="412">
        <f t="shared" si="95"/>
        <v>37.4</v>
      </c>
      <c r="M795" s="411">
        <f t="shared" si="95"/>
        <v>169</v>
      </c>
      <c r="N795" s="412">
        <f>K795/M795</f>
        <v>0.5358579882</v>
      </c>
    </row>
    <row r="796">
      <c r="A796" s="404" t="s">
        <v>384</v>
      </c>
      <c r="B796" s="404" t="s">
        <v>386</v>
      </c>
      <c r="C796" s="404">
        <v>1041.0</v>
      </c>
      <c r="D796" s="404" t="s">
        <v>1326</v>
      </c>
      <c r="E796" s="404" t="s">
        <v>666</v>
      </c>
      <c r="F796" s="405">
        <v>43333.0</v>
      </c>
      <c r="G796" s="405">
        <v>43804.0</v>
      </c>
      <c r="H796" s="405">
        <v>43804.0</v>
      </c>
      <c r="I796" s="405">
        <v>43804.0</v>
      </c>
      <c r="J796" s="406">
        <v>19.99</v>
      </c>
      <c r="K796" s="406">
        <v>8.99</v>
      </c>
      <c r="L796" s="406">
        <v>11.0</v>
      </c>
      <c r="M796" s="404">
        <v>1.0</v>
      </c>
      <c r="N796" s="406">
        <v>8.99</v>
      </c>
    </row>
    <row r="797">
      <c r="A797" s="404" t="s">
        <v>384</v>
      </c>
      <c r="B797" s="404"/>
      <c r="C797" s="404">
        <v>1042.0</v>
      </c>
      <c r="D797" s="404" t="s">
        <v>1327</v>
      </c>
      <c r="E797" s="404" t="s">
        <v>666</v>
      </c>
      <c r="F797" s="405">
        <v>44434.0</v>
      </c>
      <c r="G797" s="405">
        <v>44517.0</v>
      </c>
      <c r="H797" s="405">
        <v>44630.0</v>
      </c>
      <c r="I797" s="405">
        <v>44678.0</v>
      </c>
      <c r="J797" s="406">
        <v>19.99</v>
      </c>
      <c r="K797" s="406">
        <v>12.99</v>
      </c>
      <c r="L797" s="406">
        <v>7.0</v>
      </c>
      <c r="M797" s="404">
        <v>1.0</v>
      </c>
      <c r="N797" s="406">
        <v>12.99</v>
      </c>
    </row>
    <row r="798">
      <c r="A798" s="409"/>
      <c r="B798" s="409"/>
      <c r="C798" s="410"/>
      <c r="D798" s="411"/>
      <c r="E798" s="411"/>
      <c r="F798" s="411"/>
      <c r="G798" s="411"/>
      <c r="H798" s="411"/>
      <c r="I798" s="411"/>
      <c r="J798" s="412">
        <f t="shared" ref="J798:M798" si="96">SUM(J796:J797)</f>
        <v>39.98</v>
      </c>
      <c r="K798" s="412">
        <f t="shared" si="96"/>
        <v>21.98</v>
      </c>
      <c r="L798" s="412">
        <f t="shared" si="96"/>
        <v>18</v>
      </c>
      <c r="M798" s="411">
        <f t="shared" si="96"/>
        <v>2</v>
      </c>
      <c r="N798" s="412">
        <f>K798/M798</f>
        <v>10.99</v>
      </c>
    </row>
    <row r="799">
      <c r="A799" s="408" t="s">
        <v>384</v>
      </c>
      <c r="B799" s="404" t="s">
        <v>387</v>
      </c>
      <c r="C799" s="404">
        <v>180.0</v>
      </c>
      <c r="D799" s="404" t="s">
        <v>1318</v>
      </c>
      <c r="E799" s="404" t="s">
        <v>649</v>
      </c>
      <c r="F799" s="405">
        <v>41770.0</v>
      </c>
      <c r="G799" s="405">
        <v>45048.0</v>
      </c>
      <c r="H799" s="405">
        <v>45048.0</v>
      </c>
      <c r="I799" s="405">
        <v>45048.0</v>
      </c>
      <c r="J799" s="406">
        <v>14.99</v>
      </c>
      <c r="K799" s="406">
        <v>1.49</v>
      </c>
      <c r="L799" s="406">
        <v>13.5</v>
      </c>
      <c r="M799" s="404">
        <v>1.0</v>
      </c>
      <c r="N799" s="406">
        <v>1.49</v>
      </c>
    </row>
    <row r="800">
      <c r="A800" s="408" t="s">
        <v>384</v>
      </c>
      <c r="B800" s="408"/>
      <c r="C800" s="404">
        <v>581.0</v>
      </c>
      <c r="D800" s="404" t="s">
        <v>1323</v>
      </c>
      <c r="E800" s="404" t="s">
        <v>33</v>
      </c>
      <c r="F800" s="405">
        <v>44068.0</v>
      </c>
      <c r="G800" s="405">
        <v>45048.0</v>
      </c>
      <c r="H800" s="405">
        <v>45737.0</v>
      </c>
      <c r="I800" s="405">
        <v>45753.0</v>
      </c>
      <c r="J800" s="406">
        <v>21.99</v>
      </c>
      <c r="K800" s="406">
        <v>0.0</v>
      </c>
      <c r="L800" s="406">
        <v>21.99</v>
      </c>
      <c r="M800" s="404">
        <v>19.0</v>
      </c>
      <c r="N800" s="406">
        <v>0.0</v>
      </c>
    </row>
    <row r="801">
      <c r="A801" s="409"/>
      <c r="B801" s="409"/>
      <c r="C801" s="410"/>
      <c r="D801" s="411"/>
      <c r="E801" s="411"/>
      <c r="F801" s="411"/>
      <c r="G801" s="411"/>
      <c r="H801" s="411"/>
      <c r="I801" s="411"/>
      <c r="J801" s="412">
        <f t="shared" ref="J801:M801" si="97">SUM(J799:J800)</f>
        <v>36.98</v>
      </c>
      <c r="K801" s="412">
        <f t="shared" si="97"/>
        <v>1.49</v>
      </c>
      <c r="L801" s="412">
        <f t="shared" si="97"/>
        <v>35.49</v>
      </c>
      <c r="M801" s="411">
        <f t="shared" si="97"/>
        <v>20</v>
      </c>
      <c r="N801" s="412">
        <f>K801/M801</f>
        <v>0.0745</v>
      </c>
    </row>
    <row r="802">
      <c r="A802" s="404" t="s">
        <v>384</v>
      </c>
      <c r="B802" s="404" t="s">
        <v>388</v>
      </c>
      <c r="C802" s="404">
        <v>528.0</v>
      </c>
      <c r="D802" s="404" t="s">
        <v>1320</v>
      </c>
      <c r="E802" s="404" t="s">
        <v>33</v>
      </c>
      <c r="F802" s="405">
        <v>42255.0</v>
      </c>
      <c r="G802" s="405">
        <v>42939.0</v>
      </c>
      <c r="H802" s="405">
        <v>42939.0</v>
      </c>
      <c r="I802" s="405">
        <v>42939.0</v>
      </c>
      <c r="J802" s="406">
        <v>12.99</v>
      </c>
      <c r="K802" s="406">
        <v>3.99</v>
      </c>
      <c r="L802" s="406">
        <v>9.0</v>
      </c>
      <c r="M802" s="404">
        <v>1.0</v>
      </c>
      <c r="N802" s="406">
        <v>3.99</v>
      </c>
    </row>
    <row r="803">
      <c r="A803" s="404" t="s">
        <v>384</v>
      </c>
      <c r="B803" s="404" t="s">
        <v>389</v>
      </c>
      <c r="C803" s="404">
        <v>986.0</v>
      </c>
      <c r="D803" s="404" t="s">
        <v>1325</v>
      </c>
      <c r="E803" s="404" t="s">
        <v>666</v>
      </c>
      <c r="F803" s="405">
        <v>42710.0</v>
      </c>
      <c r="G803" s="405">
        <v>44516.0</v>
      </c>
      <c r="H803" s="405">
        <v>44860.0</v>
      </c>
      <c r="I803" s="405">
        <v>44860.0</v>
      </c>
      <c r="J803" s="406">
        <v>44.99</v>
      </c>
      <c r="K803" s="406">
        <v>11.24</v>
      </c>
      <c r="L803" s="406">
        <v>33.75</v>
      </c>
      <c r="M803" s="404">
        <v>1.0</v>
      </c>
      <c r="N803" s="406">
        <v>11.24</v>
      </c>
    </row>
    <row r="804">
      <c r="A804" s="404" t="s">
        <v>384</v>
      </c>
      <c r="B804" s="404" t="s">
        <v>390</v>
      </c>
      <c r="C804" s="404">
        <v>942.0</v>
      </c>
      <c r="D804" s="404" t="s">
        <v>1321</v>
      </c>
      <c r="E804" s="404" t="s">
        <v>33</v>
      </c>
      <c r="F804" s="405">
        <v>42584.0</v>
      </c>
      <c r="G804" s="405">
        <v>42754.0</v>
      </c>
      <c r="H804" s="405">
        <v>42757.0</v>
      </c>
      <c r="I804" s="405">
        <v>44664.0</v>
      </c>
      <c r="J804" s="406">
        <v>14.99</v>
      </c>
      <c r="K804" s="406">
        <v>5.99</v>
      </c>
      <c r="L804" s="406">
        <v>9.0</v>
      </c>
      <c r="M804" s="404">
        <v>2.0</v>
      </c>
      <c r="N804" s="406">
        <v>3.0</v>
      </c>
    </row>
    <row r="805">
      <c r="A805" s="413"/>
      <c r="B805" s="413"/>
      <c r="C805" s="414"/>
      <c r="D805" s="415"/>
      <c r="E805" s="415"/>
      <c r="F805" s="415"/>
      <c r="G805" s="415"/>
      <c r="H805" s="415"/>
      <c r="I805" s="415"/>
      <c r="J805" s="416"/>
      <c r="K805" s="416"/>
      <c r="L805" s="416"/>
      <c r="M805" s="415"/>
      <c r="N805" s="416"/>
    </row>
    <row r="806">
      <c r="A806" s="12" t="s">
        <v>392</v>
      </c>
      <c r="B806" s="12" t="s">
        <v>391</v>
      </c>
      <c r="C806" s="12">
        <v>1050.0</v>
      </c>
      <c r="D806" s="12" t="s">
        <v>1328</v>
      </c>
      <c r="E806" s="12" t="s">
        <v>666</v>
      </c>
      <c r="F806" s="376">
        <v>44588.0</v>
      </c>
      <c r="G806" s="376">
        <v>44678.0</v>
      </c>
      <c r="H806" s="376">
        <v>44678.0</v>
      </c>
      <c r="I806" s="376">
        <v>44678.0</v>
      </c>
      <c r="J806" s="377">
        <v>39.99</v>
      </c>
      <c r="K806" s="377">
        <v>19.99</v>
      </c>
      <c r="L806" s="377">
        <v>20.0</v>
      </c>
      <c r="M806" s="12">
        <v>1.0</v>
      </c>
      <c r="N806" s="377">
        <v>19.99</v>
      </c>
    </row>
    <row r="807">
      <c r="A807" s="33"/>
      <c r="B807" s="33"/>
      <c r="C807" s="379"/>
      <c r="D807" s="34"/>
      <c r="E807" s="34"/>
      <c r="F807" s="34"/>
      <c r="G807" s="34"/>
      <c r="H807" s="34"/>
      <c r="I807" s="34"/>
      <c r="J807" s="380"/>
      <c r="K807" s="380"/>
      <c r="L807" s="380"/>
      <c r="M807" s="34"/>
      <c r="N807" s="380"/>
    </row>
    <row r="808">
      <c r="A808" s="40" t="s">
        <v>394</v>
      </c>
      <c r="B808" s="40" t="s">
        <v>393</v>
      </c>
      <c r="C808" s="40">
        <v>876.0</v>
      </c>
      <c r="D808" s="40" t="s">
        <v>1329</v>
      </c>
      <c r="E808" s="40" t="s">
        <v>33</v>
      </c>
      <c r="F808" s="360">
        <v>43625.0</v>
      </c>
      <c r="G808" s="360">
        <v>44431.0</v>
      </c>
      <c r="H808" s="360">
        <v>44436.0</v>
      </c>
      <c r="I808" s="360">
        <v>44446.0</v>
      </c>
      <c r="J808" s="361">
        <v>19.99</v>
      </c>
      <c r="K808" s="361">
        <v>11.99</v>
      </c>
      <c r="L808" s="361">
        <v>8.0</v>
      </c>
      <c r="M808" s="40">
        <v>8.0</v>
      </c>
      <c r="N808" s="361">
        <v>1.5</v>
      </c>
    </row>
    <row r="809">
      <c r="A809" s="417" t="s">
        <v>394</v>
      </c>
      <c r="B809" s="358"/>
      <c r="C809" s="40">
        <v>1071.0</v>
      </c>
      <c r="D809" s="40" t="s">
        <v>1330</v>
      </c>
      <c r="E809" s="40" t="s">
        <v>39</v>
      </c>
      <c r="F809" s="360">
        <v>45568.0</v>
      </c>
      <c r="G809" s="360">
        <v>45602.0</v>
      </c>
      <c r="H809" s="360">
        <v>45604.0</v>
      </c>
      <c r="I809" s="360">
        <v>45623.0</v>
      </c>
      <c r="J809" s="362">
        <v>34.99</v>
      </c>
      <c r="K809" s="362">
        <v>23.44</v>
      </c>
      <c r="L809" s="362">
        <v>11.55</v>
      </c>
      <c r="M809" s="40">
        <v>34.0</v>
      </c>
      <c r="N809" s="361">
        <v>0.69</v>
      </c>
    </row>
    <row r="810">
      <c r="A810" s="74"/>
      <c r="B810" s="74"/>
      <c r="C810" s="340"/>
      <c r="D810" s="146"/>
      <c r="E810" s="146"/>
      <c r="F810" s="146"/>
      <c r="G810" s="146"/>
      <c r="H810" s="146"/>
      <c r="I810" s="146"/>
      <c r="J810" s="339">
        <f t="shared" ref="J810:M810" si="98">SUM(J808:J809)</f>
        <v>54.98</v>
      </c>
      <c r="K810" s="339">
        <f t="shared" si="98"/>
        <v>35.43</v>
      </c>
      <c r="L810" s="339">
        <f t="shared" si="98"/>
        <v>19.55</v>
      </c>
      <c r="M810" s="146">
        <f t="shared" si="98"/>
        <v>42</v>
      </c>
      <c r="N810" s="339">
        <f>K810/M810</f>
        <v>0.8435714286</v>
      </c>
    </row>
    <row r="811">
      <c r="A811" s="318"/>
      <c r="B811" s="318"/>
      <c r="C811" s="319"/>
      <c r="D811" s="320"/>
      <c r="E811" s="320"/>
      <c r="F811" s="320"/>
      <c r="G811" s="320"/>
      <c r="H811" s="320"/>
      <c r="I811" s="320"/>
      <c r="J811" s="321"/>
      <c r="K811" s="321"/>
      <c r="L811" s="321"/>
      <c r="M811" s="320"/>
      <c r="N811" s="321"/>
    </row>
    <row r="812">
      <c r="A812" s="74" t="s">
        <v>396</v>
      </c>
      <c r="B812" s="74" t="s">
        <v>395</v>
      </c>
      <c r="C812" s="74">
        <v>723.0</v>
      </c>
      <c r="D812" s="74" t="s">
        <v>1331</v>
      </c>
      <c r="E812" s="74" t="s">
        <v>33</v>
      </c>
      <c r="F812" s="311">
        <v>42654.0</v>
      </c>
      <c r="G812" s="311">
        <v>42951.0</v>
      </c>
      <c r="H812" s="311">
        <v>42998.0</v>
      </c>
      <c r="I812" s="311">
        <v>44385.0</v>
      </c>
      <c r="J812" s="312">
        <v>9.99</v>
      </c>
      <c r="K812" s="312">
        <v>4.99</v>
      </c>
      <c r="L812" s="312">
        <v>5.0</v>
      </c>
      <c r="M812" s="74">
        <v>10.0</v>
      </c>
      <c r="N812" s="312">
        <v>0.5</v>
      </c>
    </row>
    <row r="813">
      <c r="A813" s="146" t="s">
        <v>396</v>
      </c>
      <c r="B813" s="146"/>
      <c r="C813" s="74">
        <v>914.0</v>
      </c>
      <c r="D813" s="74" t="s">
        <v>1332</v>
      </c>
      <c r="E813" s="74" t="s">
        <v>33</v>
      </c>
      <c r="F813" s="311">
        <v>45561.0</v>
      </c>
      <c r="G813" s="311">
        <v>45651.0</v>
      </c>
      <c r="H813" s="311">
        <v>45694.0</v>
      </c>
      <c r="I813" s="311">
        <v>45697.0</v>
      </c>
      <c r="J813" s="313">
        <v>19.99</v>
      </c>
      <c r="K813" s="313">
        <v>0.0</v>
      </c>
      <c r="L813" s="313">
        <v>19.99</v>
      </c>
      <c r="M813" s="74">
        <v>13.0</v>
      </c>
      <c r="N813" s="313">
        <v>0.0</v>
      </c>
    </row>
    <row r="814">
      <c r="A814" s="84"/>
      <c r="B814" s="84"/>
      <c r="C814" s="350"/>
      <c r="D814" s="84"/>
      <c r="E814" s="84"/>
      <c r="F814" s="84"/>
      <c r="G814" s="84"/>
      <c r="H814" s="84"/>
      <c r="I814" s="84"/>
      <c r="J814" s="375">
        <f t="shared" ref="J814:M814" si="99">SUM(J812:J813)</f>
        <v>29.98</v>
      </c>
      <c r="K814" s="375">
        <f t="shared" si="99"/>
        <v>4.99</v>
      </c>
      <c r="L814" s="375">
        <f t="shared" si="99"/>
        <v>24.99</v>
      </c>
      <c r="M814" s="84">
        <f t="shared" si="99"/>
        <v>23</v>
      </c>
      <c r="N814" s="375">
        <f>K814/M814</f>
        <v>0.2169565217</v>
      </c>
    </row>
    <row r="815">
      <c r="A815" s="346"/>
      <c r="B815" s="346"/>
      <c r="C815" s="347"/>
      <c r="D815" s="348"/>
      <c r="E815" s="348"/>
      <c r="F815" s="348"/>
      <c r="G815" s="348"/>
      <c r="H815" s="348"/>
      <c r="I815" s="348"/>
      <c r="J815" s="349"/>
      <c r="K815" s="349"/>
      <c r="L815" s="349"/>
      <c r="M815" s="348"/>
      <c r="N815" s="349"/>
    </row>
    <row r="816">
      <c r="A816" s="74" t="s">
        <v>398</v>
      </c>
      <c r="B816" s="74" t="s">
        <v>397</v>
      </c>
      <c r="C816" s="74">
        <v>824.0</v>
      </c>
      <c r="D816" s="74" t="s">
        <v>1333</v>
      </c>
      <c r="E816" s="74" t="s">
        <v>33</v>
      </c>
      <c r="F816" s="311">
        <v>42752.0</v>
      </c>
      <c r="G816" s="311">
        <v>43519.0</v>
      </c>
      <c r="H816" s="311">
        <v>43520.0</v>
      </c>
      <c r="I816" s="311">
        <v>43520.0</v>
      </c>
      <c r="J816" s="312">
        <v>19.99</v>
      </c>
      <c r="K816" s="312">
        <v>3.99</v>
      </c>
      <c r="L816" s="312">
        <v>16.0</v>
      </c>
      <c r="M816" s="74">
        <v>3.0</v>
      </c>
      <c r="N816" s="312">
        <v>1.33</v>
      </c>
    </row>
    <row r="817">
      <c r="A817" s="146" t="s">
        <v>398</v>
      </c>
      <c r="B817" s="146"/>
      <c r="C817" s="146">
        <v>716.0</v>
      </c>
      <c r="D817" s="146" t="s">
        <v>1334</v>
      </c>
      <c r="E817" s="146" t="s">
        <v>33</v>
      </c>
      <c r="F817" s="311">
        <v>45562.0</v>
      </c>
      <c r="G817" s="311">
        <v>45878.0</v>
      </c>
      <c r="H817" s="311">
        <v>45919.0</v>
      </c>
      <c r="I817" s="311">
        <v>45921.0</v>
      </c>
      <c r="J817" s="148">
        <v>49.99</v>
      </c>
      <c r="K817" s="148">
        <v>17.49</v>
      </c>
      <c r="L817" s="148">
        <f>J817-K817</f>
        <v>32.5</v>
      </c>
      <c r="M817" s="146">
        <v>14.0</v>
      </c>
      <c r="N817" s="148">
        <f t="shared" ref="N817:N818" si="101">K817/M817</f>
        <v>1.249285714</v>
      </c>
    </row>
    <row r="818">
      <c r="A818" s="40"/>
      <c r="B818" s="40"/>
      <c r="C818" s="40"/>
      <c r="D818" s="40"/>
      <c r="E818" s="358"/>
      <c r="F818" s="358"/>
      <c r="G818" s="358"/>
      <c r="H818" s="358"/>
      <c r="I818" s="358"/>
      <c r="J818" s="359">
        <f t="shared" ref="J818:M818" si="100">SUM(J816:J817)</f>
        <v>69.98</v>
      </c>
      <c r="K818" s="359">
        <f t="shared" si="100"/>
        <v>21.48</v>
      </c>
      <c r="L818" s="359">
        <f t="shared" si="100"/>
        <v>48.5</v>
      </c>
      <c r="M818" s="358">
        <f t="shared" si="100"/>
        <v>17</v>
      </c>
      <c r="N818" s="359">
        <f t="shared" si="101"/>
        <v>1.263529412</v>
      </c>
    </row>
    <row r="819">
      <c r="A819" s="318"/>
      <c r="B819" s="318"/>
      <c r="C819" s="318"/>
      <c r="D819" s="318"/>
      <c r="E819" s="320"/>
      <c r="F819" s="320"/>
      <c r="G819" s="320"/>
      <c r="H819" s="320"/>
      <c r="I819" s="320"/>
      <c r="J819" s="321"/>
      <c r="K819" s="321"/>
      <c r="L819" s="321"/>
      <c r="M819" s="320"/>
      <c r="N819" s="321"/>
    </row>
    <row r="820">
      <c r="A820" s="40" t="s">
        <v>400</v>
      </c>
      <c r="B820" s="40" t="s">
        <v>399</v>
      </c>
      <c r="C820" s="40">
        <v>223.0</v>
      </c>
      <c r="D820" s="40" t="s">
        <v>1336</v>
      </c>
      <c r="E820" s="40" t="s">
        <v>649</v>
      </c>
      <c r="F820" s="360">
        <v>41493.0</v>
      </c>
      <c r="G820" s="360">
        <v>42187.0</v>
      </c>
      <c r="H820" s="360">
        <v>42187.0</v>
      </c>
      <c r="I820" s="360">
        <v>42187.0</v>
      </c>
      <c r="J820" s="361">
        <v>0.0</v>
      </c>
      <c r="K820" s="361">
        <v>0.0</v>
      </c>
      <c r="L820" s="361">
        <v>0.0</v>
      </c>
      <c r="M820" s="40">
        <v>1.0</v>
      </c>
      <c r="N820" s="361">
        <v>0.0</v>
      </c>
    </row>
    <row r="821">
      <c r="A821" s="40" t="s">
        <v>400</v>
      </c>
      <c r="B821" s="40" t="s">
        <v>401</v>
      </c>
      <c r="C821" s="40">
        <v>929.0</v>
      </c>
      <c r="D821" s="40" t="s">
        <v>1337</v>
      </c>
      <c r="E821" s="40" t="s">
        <v>33</v>
      </c>
      <c r="F821" s="360">
        <v>42143.0</v>
      </c>
      <c r="G821" s="360">
        <v>43564.0</v>
      </c>
      <c r="H821" s="360">
        <v>43835.0</v>
      </c>
      <c r="I821" s="360">
        <v>43835.0</v>
      </c>
      <c r="J821" s="361">
        <v>74.98</v>
      </c>
      <c r="K821" s="361">
        <v>24.98</v>
      </c>
      <c r="L821" s="361">
        <v>50.0</v>
      </c>
      <c r="M821" s="40">
        <v>10.0</v>
      </c>
      <c r="N821" s="361">
        <v>2.5</v>
      </c>
    </row>
    <row r="822">
      <c r="A822" s="40" t="s">
        <v>400</v>
      </c>
      <c r="B822" s="40"/>
      <c r="C822" s="40">
        <v>565.0</v>
      </c>
      <c r="D822" s="40" t="s">
        <v>1343</v>
      </c>
      <c r="E822" s="40" t="s">
        <v>33</v>
      </c>
      <c r="F822" s="360">
        <v>44175.0</v>
      </c>
      <c r="G822" s="360">
        <v>44607.0</v>
      </c>
      <c r="H822" s="360">
        <v>44609.0</v>
      </c>
      <c r="I822" s="360">
        <v>44652.0</v>
      </c>
      <c r="J822" s="361">
        <v>49.99</v>
      </c>
      <c r="K822" s="361">
        <v>33.49</v>
      </c>
      <c r="L822" s="361">
        <v>16.5</v>
      </c>
      <c r="M822" s="40">
        <v>83.0</v>
      </c>
      <c r="N822" s="361">
        <v>0.4</v>
      </c>
    </row>
    <row r="823">
      <c r="A823" s="74"/>
      <c r="B823" s="74"/>
      <c r="C823" s="340"/>
      <c r="D823" s="146"/>
      <c r="E823" s="146"/>
      <c r="F823" s="146"/>
      <c r="G823" s="146"/>
      <c r="H823" s="146"/>
      <c r="I823" s="146"/>
      <c r="J823" s="339">
        <f t="shared" ref="J823:M823" si="102">SUM(J821:J822)</f>
        <v>124.97</v>
      </c>
      <c r="K823" s="339">
        <f t="shared" si="102"/>
        <v>58.47</v>
      </c>
      <c r="L823" s="339">
        <f t="shared" si="102"/>
        <v>66.5</v>
      </c>
      <c r="M823" s="146">
        <f t="shared" si="102"/>
        <v>93</v>
      </c>
      <c r="N823" s="339">
        <f>K823/M823</f>
        <v>0.6287096774</v>
      </c>
    </row>
    <row r="824">
      <c r="A824" s="40" t="s">
        <v>400</v>
      </c>
      <c r="B824" s="40" t="s">
        <v>402</v>
      </c>
      <c r="C824" s="40">
        <v>939.0</v>
      </c>
      <c r="D824" s="40" t="s">
        <v>1346</v>
      </c>
      <c r="E824" s="40" t="s">
        <v>33</v>
      </c>
      <c r="F824" s="360">
        <v>44686.0</v>
      </c>
      <c r="G824" s="360">
        <v>45083.0</v>
      </c>
      <c r="H824" s="360">
        <v>45083.0</v>
      </c>
      <c r="I824" s="360">
        <v>45083.0</v>
      </c>
      <c r="J824" s="361">
        <v>19.99</v>
      </c>
      <c r="K824" s="361">
        <v>0.0</v>
      </c>
      <c r="L824" s="361">
        <v>19.99</v>
      </c>
      <c r="M824" s="40">
        <v>1.0</v>
      </c>
      <c r="N824" s="361">
        <v>0.0</v>
      </c>
    </row>
    <row r="825">
      <c r="A825" s="40" t="s">
        <v>400</v>
      </c>
      <c r="B825" s="40" t="s">
        <v>403</v>
      </c>
      <c r="C825" s="40">
        <v>905.0</v>
      </c>
      <c r="D825" s="40" t="s">
        <v>1345</v>
      </c>
      <c r="E825" s="40" t="s">
        <v>33</v>
      </c>
      <c r="F825" s="360">
        <v>44455.0</v>
      </c>
      <c r="G825" s="360">
        <v>45176.0</v>
      </c>
      <c r="H825" s="360">
        <v>45176.0</v>
      </c>
      <c r="I825" s="360">
        <v>45176.0</v>
      </c>
      <c r="J825" s="361">
        <v>19.99</v>
      </c>
      <c r="K825" s="361">
        <v>0.0</v>
      </c>
      <c r="L825" s="361">
        <v>19.99</v>
      </c>
      <c r="M825" s="40">
        <v>1.0</v>
      </c>
      <c r="N825" s="361">
        <v>0.0</v>
      </c>
    </row>
    <row r="826">
      <c r="A826" s="40" t="s">
        <v>400</v>
      </c>
      <c r="B826" s="40" t="s">
        <v>404</v>
      </c>
      <c r="C826" s="40">
        <v>823.0</v>
      </c>
      <c r="D826" s="40" t="s">
        <v>1344</v>
      </c>
      <c r="E826" s="40" t="s">
        <v>33</v>
      </c>
      <c r="F826" s="360">
        <v>44439.0</v>
      </c>
      <c r="G826" s="360">
        <v>44708.0</v>
      </c>
      <c r="H826" s="360">
        <v>44817.0</v>
      </c>
      <c r="I826" s="360">
        <v>45451.0</v>
      </c>
      <c r="J826" s="361">
        <v>29.99</v>
      </c>
      <c r="K826" s="361">
        <v>14.99</v>
      </c>
      <c r="L826" s="361">
        <v>15.0</v>
      </c>
      <c r="M826" s="40">
        <v>24.0</v>
      </c>
      <c r="N826" s="361">
        <v>0.62</v>
      </c>
    </row>
    <row r="827">
      <c r="A827" s="40" t="s">
        <v>400</v>
      </c>
      <c r="B827" s="40" t="s">
        <v>405</v>
      </c>
      <c r="C827" s="40">
        <v>756.0</v>
      </c>
      <c r="D827" s="40" t="s">
        <v>1348</v>
      </c>
      <c r="E827" s="40" t="s">
        <v>33</v>
      </c>
      <c r="F827" s="360">
        <v>44861.0</v>
      </c>
      <c r="G827" s="360">
        <v>45542.0</v>
      </c>
      <c r="H827" s="360">
        <v>45549.0</v>
      </c>
      <c r="I827" s="360">
        <v>45549.0</v>
      </c>
      <c r="J827" s="362">
        <v>19.99</v>
      </c>
      <c r="K827" s="362">
        <v>0.0</v>
      </c>
      <c r="L827" s="361">
        <v>19.99</v>
      </c>
      <c r="M827" s="40">
        <v>2.0</v>
      </c>
      <c r="N827" s="361">
        <v>0.0</v>
      </c>
    </row>
    <row r="828">
      <c r="A828" s="40" t="s">
        <v>400</v>
      </c>
      <c r="B828" s="40" t="s">
        <v>406</v>
      </c>
      <c r="C828" s="40">
        <v>703.0</v>
      </c>
      <c r="D828" s="40" t="s">
        <v>1338</v>
      </c>
      <c r="E828" s="40" t="s">
        <v>33</v>
      </c>
      <c r="F828" s="360">
        <v>42640.0</v>
      </c>
      <c r="G828" s="360">
        <v>42950.0</v>
      </c>
      <c r="H828" s="360">
        <v>43059.0</v>
      </c>
      <c r="I828" s="360">
        <v>44917.0</v>
      </c>
      <c r="J828" s="361">
        <v>9.99</v>
      </c>
      <c r="K828" s="361">
        <v>5.99</v>
      </c>
      <c r="L828" s="361">
        <v>4.0</v>
      </c>
      <c r="M828" s="40">
        <v>5.0</v>
      </c>
      <c r="N828" s="361">
        <v>1.2</v>
      </c>
    </row>
    <row r="829">
      <c r="A829" s="40" t="s">
        <v>400</v>
      </c>
      <c r="B829" s="40" t="s">
        <v>407</v>
      </c>
      <c r="C829" s="40">
        <v>835.0</v>
      </c>
      <c r="D829" s="40" t="s">
        <v>1342</v>
      </c>
      <c r="E829" s="40" t="s">
        <v>33</v>
      </c>
      <c r="F829" s="360">
        <v>44070.0</v>
      </c>
      <c r="G829" s="360">
        <v>44398.0</v>
      </c>
      <c r="H829" s="360">
        <v>44445.0</v>
      </c>
      <c r="I829" s="360">
        <v>44448.0</v>
      </c>
      <c r="J829" s="361">
        <v>19.99</v>
      </c>
      <c r="K829" s="361">
        <v>4.99</v>
      </c>
      <c r="L829" s="361">
        <v>15.0</v>
      </c>
      <c r="M829" s="40">
        <v>11.0</v>
      </c>
      <c r="N829" s="361">
        <v>0.45</v>
      </c>
    </row>
    <row r="830">
      <c r="A830" s="40" t="s">
        <v>400</v>
      </c>
      <c r="B830" s="40" t="s">
        <v>408</v>
      </c>
      <c r="C830" s="40">
        <v>527.0</v>
      </c>
      <c r="D830" s="40" t="s">
        <v>1339</v>
      </c>
      <c r="E830" s="40" t="s">
        <v>33</v>
      </c>
      <c r="F830" s="360">
        <v>42824.0</v>
      </c>
      <c r="G830" s="360">
        <v>44431.0</v>
      </c>
      <c r="H830" s="360">
        <v>44566.0</v>
      </c>
      <c r="I830" s="360">
        <v>44569.0</v>
      </c>
      <c r="J830" s="361">
        <v>14.99</v>
      </c>
      <c r="K830" s="361">
        <v>1.49</v>
      </c>
      <c r="L830" s="361">
        <v>13.5</v>
      </c>
      <c r="M830" s="40">
        <v>20.0</v>
      </c>
      <c r="N830" s="361">
        <v>0.07</v>
      </c>
    </row>
    <row r="831">
      <c r="A831" s="40" t="s">
        <v>400</v>
      </c>
      <c r="B831" s="40" t="s">
        <v>409</v>
      </c>
      <c r="C831" s="40">
        <v>500.0</v>
      </c>
      <c r="D831" s="40" t="s">
        <v>1341</v>
      </c>
      <c r="E831" s="40" t="s">
        <v>33</v>
      </c>
      <c r="F831" s="360">
        <v>43896.0</v>
      </c>
      <c r="G831" s="360">
        <v>44915.0</v>
      </c>
      <c r="H831" s="360">
        <v>44933.0</v>
      </c>
      <c r="I831" s="360">
        <v>44936.0</v>
      </c>
      <c r="J831" s="361">
        <v>9.99</v>
      </c>
      <c r="K831" s="361">
        <v>0.0</v>
      </c>
      <c r="L831" s="361">
        <v>9.99</v>
      </c>
      <c r="M831" s="40">
        <v>3.0</v>
      </c>
      <c r="N831" s="361">
        <v>0.0</v>
      </c>
    </row>
    <row r="832">
      <c r="A832" s="40" t="s">
        <v>400</v>
      </c>
      <c r="B832" s="40" t="s">
        <v>410</v>
      </c>
      <c r="C832" s="40">
        <v>1034.0</v>
      </c>
      <c r="D832" s="40" t="s">
        <v>1349</v>
      </c>
      <c r="E832" s="40" t="s">
        <v>666</v>
      </c>
      <c r="F832" s="360">
        <v>42935.0</v>
      </c>
      <c r="G832" s="360">
        <v>43472.0</v>
      </c>
      <c r="H832" s="360">
        <v>43543.0</v>
      </c>
      <c r="I832" s="360">
        <v>43543.0</v>
      </c>
      <c r="J832" s="361">
        <v>24.99</v>
      </c>
      <c r="K832" s="361">
        <v>14.99</v>
      </c>
      <c r="L832" s="361">
        <v>10.0</v>
      </c>
      <c r="M832" s="40">
        <v>1.0</v>
      </c>
      <c r="N832" s="361">
        <v>14.99</v>
      </c>
    </row>
    <row r="833">
      <c r="A833" s="358" t="s">
        <v>400</v>
      </c>
      <c r="B833" s="358" t="s">
        <v>411</v>
      </c>
      <c r="C833" s="40">
        <v>218.0</v>
      </c>
      <c r="D833" s="40" t="s">
        <v>1335</v>
      </c>
      <c r="E833" s="40" t="s">
        <v>649</v>
      </c>
      <c r="F833" s="360">
        <v>40795.0</v>
      </c>
      <c r="G833" s="360">
        <v>45734.0</v>
      </c>
      <c r="H833" s="360">
        <v>45742.0</v>
      </c>
      <c r="I833" s="360">
        <v>45751.0</v>
      </c>
      <c r="J833" s="362">
        <v>19.99</v>
      </c>
      <c r="K833" s="362">
        <v>2.99</v>
      </c>
      <c r="L833" s="362">
        <v>17.0</v>
      </c>
      <c r="M833" s="40">
        <v>23.0</v>
      </c>
      <c r="N833" s="362">
        <v>0.13</v>
      </c>
    </row>
    <row r="834">
      <c r="A834" s="40" t="s">
        <v>400</v>
      </c>
      <c r="B834" s="40" t="s">
        <v>412</v>
      </c>
      <c r="C834" s="40">
        <v>900.0</v>
      </c>
      <c r="D834" s="40" t="s">
        <v>1340</v>
      </c>
      <c r="E834" s="40" t="s">
        <v>33</v>
      </c>
      <c r="F834" s="360">
        <v>43784.0</v>
      </c>
      <c r="G834" s="360">
        <v>44455.0</v>
      </c>
      <c r="H834" s="360">
        <v>44455.0</v>
      </c>
      <c r="I834" s="360">
        <v>44455.0</v>
      </c>
      <c r="J834" s="361">
        <v>44.99</v>
      </c>
      <c r="K834" s="361">
        <v>26.99</v>
      </c>
      <c r="L834" s="361">
        <v>18.0</v>
      </c>
      <c r="M834" s="40">
        <v>1.0</v>
      </c>
      <c r="N834" s="361">
        <v>26.99</v>
      </c>
    </row>
    <row r="835">
      <c r="A835" s="358" t="s">
        <v>400</v>
      </c>
      <c r="B835" s="40"/>
      <c r="C835" s="40">
        <v>1075.0</v>
      </c>
      <c r="D835" s="40" t="s">
        <v>1351</v>
      </c>
      <c r="E835" s="40" t="s">
        <v>39</v>
      </c>
      <c r="F835" s="360">
        <v>45232.0</v>
      </c>
      <c r="G835" s="360">
        <v>45337.0</v>
      </c>
      <c r="H835" s="360">
        <v>45350.0</v>
      </c>
      <c r="I835" s="360">
        <v>45354.0</v>
      </c>
      <c r="J835" s="362">
        <v>59.99</v>
      </c>
      <c r="K835" s="362">
        <v>15.99</v>
      </c>
      <c r="L835" s="362">
        <v>44.0</v>
      </c>
      <c r="M835" s="40">
        <v>17.0</v>
      </c>
      <c r="N835" s="361">
        <v>0.94</v>
      </c>
    </row>
    <row r="836">
      <c r="A836" s="74"/>
      <c r="B836" s="74"/>
      <c r="C836" s="340"/>
      <c r="D836" s="146"/>
      <c r="E836" s="146"/>
      <c r="F836" s="146"/>
      <c r="G836" s="146"/>
      <c r="H836" s="146"/>
      <c r="I836" s="146"/>
      <c r="J836" s="339">
        <f t="shared" ref="J836:M836" si="103">SUM(J834:J835)</f>
        <v>104.98</v>
      </c>
      <c r="K836" s="339">
        <f t="shared" si="103"/>
        <v>42.98</v>
      </c>
      <c r="L836" s="339">
        <f t="shared" si="103"/>
        <v>62</v>
      </c>
      <c r="M836" s="146">
        <f t="shared" si="103"/>
        <v>18</v>
      </c>
      <c r="N836" s="339">
        <f>K836/M836</f>
        <v>2.387777778</v>
      </c>
    </row>
    <row r="837">
      <c r="A837" s="40" t="s">
        <v>400</v>
      </c>
      <c r="B837" s="40" t="s">
        <v>413</v>
      </c>
      <c r="C837" s="40">
        <v>962.0</v>
      </c>
      <c r="D837" s="40" t="s">
        <v>1347</v>
      </c>
      <c r="E837" s="40" t="s">
        <v>33</v>
      </c>
      <c r="F837" s="360">
        <v>44833.0</v>
      </c>
      <c r="G837" s="360">
        <v>45482.0</v>
      </c>
      <c r="H837" s="360">
        <v>45484.0</v>
      </c>
      <c r="I837" s="360">
        <v>45484.0</v>
      </c>
      <c r="J837" s="361">
        <v>24.99</v>
      </c>
      <c r="K837" s="361">
        <v>9.9</v>
      </c>
      <c r="L837" s="361">
        <v>15.09</v>
      </c>
      <c r="M837" s="40">
        <v>2.0</v>
      </c>
      <c r="N837" s="361">
        <v>4.95</v>
      </c>
    </row>
    <row r="838">
      <c r="A838" s="40" t="s">
        <v>400</v>
      </c>
      <c r="B838" s="40" t="s">
        <v>414</v>
      </c>
      <c r="C838" s="40">
        <v>1008.0</v>
      </c>
      <c r="D838" s="40" t="s">
        <v>1350</v>
      </c>
      <c r="E838" s="40" t="s">
        <v>666</v>
      </c>
      <c r="F838" s="360">
        <v>44693.0</v>
      </c>
      <c r="G838" s="360">
        <v>45048.0</v>
      </c>
      <c r="H838" s="360">
        <v>45048.0</v>
      </c>
      <c r="I838" s="360">
        <v>45048.0</v>
      </c>
      <c r="J838" s="361">
        <v>19.99</v>
      </c>
      <c r="K838" s="361">
        <v>12.99</v>
      </c>
      <c r="L838" s="361">
        <v>7.0</v>
      </c>
      <c r="M838" s="40">
        <v>1.0</v>
      </c>
      <c r="N838" s="361">
        <v>12.99</v>
      </c>
    </row>
    <row r="839">
      <c r="A839" s="318"/>
      <c r="B839" s="318"/>
      <c r="C839" s="319"/>
      <c r="D839" s="320"/>
      <c r="E839" s="320"/>
      <c r="F839" s="320"/>
      <c r="G839" s="320"/>
      <c r="H839" s="320"/>
      <c r="I839" s="320"/>
      <c r="J839" s="321"/>
      <c r="K839" s="321"/>
      <c r="L839" s="321"/>
      <c r="M839" s="320"/>
      <c r="N839" s="321"/>
    </row>
    <row r="840">
      <c r="A840" s="418" t="s">
        <v>416</v>
      </c>
      <c r="B840" s="418" t="s">
        <v>415</v>
      </c>
      <c r="C840" s="418">
        <v>1067.0</v>
      </c>
      <c r="D840" s="418" t="s">
        <v>1353</v>
      </c>
      <c r="E840" s="418" t="s">
        <v>39</v>
      </c>
      <c r="F840" s="419">
        <v>45230.0</v>
      </c>
      <c r="G840" s="419">
        <v>45725.0</v>
      </c>
      <c r="H840" s="419">
        <v>45812.0</v>
      </c>
      <c r="I840" s="419">
        <v>45812.0</v>
      </c>
      <c r="J840" s="420">
        <v>19.99</v>
      </c>
      <c r="K840" s="420">
        <v>11.99</v>
      </c>
      <c r="L840" s="420">
        <v>8.0</v>
      </c>
      <c r="M840" s="418">
        <v>2.0</v>
      </c>
      <c r="N840" s="420">
        <v>6.0</v>
      </c>
    </row>
    <row r="841">
      <c r="A841" s="418" t="s">
        <v>416</v>
      </c>
      <c r="B841" s="418" t="s">
        <v>417</v>
      </c>
      <c r="C841" s="418">
        <v>804.0</v>
      </c>
      <c r="D841" s="418" t="s">
        <v>1352</v>
      </c>
      <c r="E841" s="418" t="s">
        <v>33</v>
      </c>
      <c r="F841" s="419">
        <v>42752.0</v>
      </c>
      <c r="G841" s="419">
        <v>42859.0</v>
      </c>
      <c r="H841" s="419">
        <v>45641.0</v>
      </c>
      <c r="I841" s="419">
        <v>45641.0</v>
      </c>
      <c r="J841" s="421">
        <v>8.99</v>
      </c>
      <c r="K841" s="421">
        <v>3.99</v>
      </c>
      <c r="L841" s="421">
        <v>5.0</v>
      </c>
      <c r="M841" s="418">
        <v>3.0</v>
      </c>
      <c r="N841" s="421">
        <v>1.33</v>
      </c>
    </row>
    <row r="842">
      <c r="A842" s="422"/>
      <c r="B842" s="422"/>
      <c r="C842" s="423"/>
      <c r="D842" s="314"/>
      <c r="E842" s="314"/>
      <c r="F842" s="314"/>
      <c r="G842" s="314"/>
      <c r="H842" s="314"/>
      <c r="I842" s="314"/>
      <c r="J842" s="317"/>
      <c r="K842" s="317"/>
      <c r="L842" s="317"/>
      <c r="M842" s="314"/>
      <c r="N842" s="317"/>
    </row>
    <row r="843">
      <c r="A843" s="221" t="s">
        <v>419</v>
      </c>
      <c r="B843" s="221" t="s">
        <v>418</v>
      </c>
      <c r="C843" s="221">
        <v>605.0</v>
      </c>
      <c r="D843" s="221" t="s">
        <v>1354</v>
      </c>
      <c r="E843" s="221" t="s">
        <v>33</v>
      </c>
      <c r="F843" s="222">
        <v>44166.0</v>
      </c>
      <c r="G843" s="222">
        <v>44967.0</v>
      </c>
      <c r="H843" s="222">
        <v>45718.0</v>
      </c>
      <c r="I843" s="222">
        <v>45989.0</v>
      </c>
      <c r="J843" s="223">
        <v>64.98</v>
      </c>
      <c r="K843" s="223">
        <v>19.23</v>
      </c>
      <c r="L843" s="223">
        <v>45.75</v>
      </c>
      <c r="M843" s="221">
        <v>126.0</v>
      </c>
      <c r="N843" s="223">
        <v>0.15261904761904763</v>
      </c>
    </row>
    <row r="844">
      <c r="A844" s="424" t="s">
        <v>419</v>
      </c>
      <c r="B844" s="424" t="s">
        <v>420</v>
      </c>
      <c r="C844" s="424">
        <v>910.0</v>
      </c>
      <c r="D844" s="424" t="s">
        <v>1355</v>
      </c>
      <c r="E844" s="424" t="s">
        <v>33</v>
      </c>
      <c r="F844" s="425">
        <v>44294.0</v>
      </c>
      <c r="G844" s="425">
        <v>44398.0</v>
      </c>
      <c r="H844" s="425">
        <v>44852.0</v>
      </c>
      <c r="I844" s="425">
        <v>44854.0</v>
      </c>
      <c r="J844" s="426">
        <v>12.99</v>
      </c>
      <c r="K844" s="426">
        <v>9.74</v>
      </c>
      <c r="L844" s="426">
        <v>3.25</v>
      </c>
      <c r="M844" s="424">
        <v>12.0</v>
      </c>
      <c r="N844" s="426">
        <v>0.81</v>
      </c>
    </row>
    <row r="845">
      <c r="A845" s="424" t="s">
        <v>419</v>
      </c>
      <c r="B845" s="424"/>
      <c r="C845" s="424">
        <v>911.0</v>
      </c>
      <c r="D845" s="424" t="s">
        <v>1356</v>
      </c>
      <c r="E845" s="424" t="s">
        <v>33</v>
      </c>
      <c r="F845" s="425">
        <v>44301.0</v>
      </c>
      <c r="G845" s="425">
        <v>44854.0</v>
      </c>
      <c r="H845" s="425">
        <v>44854.0</v>
      </c>
      <c r="I845" s="425">
        <v>44858.0</v>
      </c>
      <c r="J845" s="426">
        <v>12.99</v>
      </c>
      <c r="K845" s="426">
        <v>12.99</v>
      </c>
      <c r="L845" s="426">
        <v>0.0</v>
      </c>
      <c r="M845" s="424">
        <v>15.0</v>
      </c>
      <c r="N845" s="426">
        <v>0.87</v>
      </c>
    </row>
    <row r="846">
      <c r="A846" s="307"/>
      <c r="B846" s="307"/>
      <c r="C846" s="307"/>
      <c r="D846" s="307"/>
      <c r="E846" s="307"/>
      <c r="F846" s="307"/>
      <c r="G846" s="307"/>
      <c r="H846" s="307"/>
      <c r="I846" s="307"/>
      <c r="J846" s="310">
        <f t="shared" ref="J846:M846" si="104">SUM(J844:J845)</f>
        <v>25.98</v>
      </c>
      <c r="K846" s="310">
        <f t="shared" si="104"/>
        <v>22.73</v>
      </c>
      <c r="L846" s="310">
        <f t="shared" si="104"/>
        <v>3.25</v>
      </c>
      <c r="M846" s="309">
        <f t="shared" si="104"/>
        <v>27</v>
      </c>
      <c r="N846" s="310">
        <f>K846/M846</f>
        <v>0.8418518519</v>
      </c>
    </row>
    <row r="847">
      <c r="A847" s="307"/>
      <c r="B847" s="307"/>
      <c r="C847" s="307"/>
      <c r="D847" s="307"/>
      <c r="E847" s="307"/>
      <c r="F847" s="307"/>
      <c r="G847" s="307"/>
      <c r="H847" s="307"/>
      <c r="I847" s="307"/>
      <c r="J847" s="310"/>
      <c r="K847" s="310"/>
      <c r="L847" s="310"/>
      <c r="M847" s="309"/>
      <c r="N847" s="310"/>
    </row>
    <row r="848">
      <c r="A848" s="346" t="s">
        <v>422</v>
      </c>
      <c r="B848" s="346" t="s">
        <v>421</v>
      </c>
      <c r="C848" s="346">
        <v>779.0</v>
      </c>
      <c r="D848" s="346" t="s">
        <v>1362</v>
      </c>
      <c r="E848" s="346" t="s">
        <v>33</v>
      </c>
      <c r="F848" s="354">
        <v>44281.0</v>
      </c>
      <c r="G848" s="354">
        <v>44335.0</v>
      </c>
      <c r="H848" s="354">
        <v>44335.0</v>
      </c>
      <c r="I848" s="354">
        <v>44335.0</v>
      </c>
      <c r="J848" s="355">
        <v>4.99</v>
      </c>
      <c r="K848" s="355">
        <v>3.49</v>
      </c>
      <c r="L848" s="355">
        <v>1.5</v>
      </c>
      <c r="M848" s="346">
        <v>2.0</v>
      </c>
      <c r="N848" s="355">
        <v>1.75</v>
      </c>
    </row>
    <row r="849">
      <c r="A849" s="346" t="s">
        <v>422</v>
      </c>
      <c r="B849" s="346" t="s">
        <v>423</v>
      </c>
      <c r="C849" s="346">
        <v>795.0</v>
      </c>
      <c r="D849" s="346" t="s">
        <v>1358</v>
      </c>
      <c r="E849" s="346" t="s">
        <v>33</v>
      </c>
      <c r="F849" s="354">
        <v>43643.0</v>
      </c>
      <c r="G849" s="354">
        <v>44431.0</v>
      </c>
      <c r="H849" s="354">
        <v>44438.0</v>
      </c>
      <c r="I849" s="354">
        <v>44438.0</v>
      </c>
      <c r="J849" s="355">
        <v>9.99</v>
      </c>
      <c r="K849" s="355">
        <v>4.99</v>
      </c>
      <c r="L849" s="355">
        <v>5.0</v>
      </c>
      <c r="M849" s="346">
        <v>1.0</v>
      </c>
      <c r="N849" s="355">
        <v>4.99</v>
      </c>
    </row>
    <row r="850">
      <c r="A850" s="346" t="s">
        <v>422</v>
      </c>
      <c r="B850" s="346" t="s">
        <v>424</v>
      </c>
      <c r="C850" s="346">
        <v>784.0</v>
      </c>
      <c r="D850" s="346" t="s">
        <v>1359</v>
      </c>
      <c r="E850" s="346" t="s">
        <v>33</v>
      </c>
      <c r="F850" s="354">
        <v>43649.0</v>
      </c>
      <c r="G850" s="354">
        <v>44351.0</v>
      </c>
      <c r="H850" s="354">
        <v>44539.0</v>
      </c>
      <c r="I850" s="354">
        <v>44544.0</v>
      </c>
      <c r="J850" s="355">
        <v>6.99</v>
      </c>
      <c r="K850" s="355">
        <v>2.79</v>
      </c>
      <c r="L850" s="355">
        <v>4.2</v>
      </c>
      <c r="M850" s="346">
        <v>2.0</v>
      </c>
      <c r="N850" s="355">
        <v>1.4</v>
      </c>
    </row>
    <row r="851">
      <c r="A851" s="346" t="s">
        <v>422</v>
      </c>
      <c r="B851" s="427" t="s">
        <v>425</v>
      </c>
      <c r="C851" s="346">
        <v>964.0</v>
      </c>
      <c r="D851" s="346" t="s">
        <v>1361</v>
      </c>
      <c r="E851" s="346" t="s">
        <v>33</v>
      </c>
      <c r="F851" s="354">
        <v>44019.0</v>
      </c>
      <c r="G851" s="354">
        <v>44431.0</v>
      </c>
      <c r="H851" s="354">
        <v>45471.0</v>
      </c>
      <c r="I851" s="354">
        <v>45471.0</v>
      </c>
      <c r="J851" s="355">
        <v>14.99</v>
      </c>
      <c r="K851" s="355">
        <v>9.74</v>
      </c>
      <c r="L851" s="355">
        <v>5.25</v>
      </c>
      <c r="M851" s="346">
        <v>2.0</v>
      </c>
      <c r="N851" s="355">
        <v>4.87</v>
      </c>
    </row>
    <row r="852">
      <c r="A852" s="346" t="s">
        <v>422</v>
      </c>
      <c r="B852" s="428" t="s">
        <v>426</v>
      </c>
      <c r="C852" s="346">
        <v>494.0</v>
      </c>
      <c r="D852" s="346" t="s">
        <v>1357</v>
      </c>
      <c r="E852" s="346" t="s">
        <v>671</v>
      </c>
      <c r="F852" s="354">
        <v>44397.0</v>
      </c>
      <c r="G852" s="354">
        <v>45730.0</v>
      </c>
      <c r="H852" s="354">
        <v>45730.0</v>
      </c>
      <c r="I852" s="354">
        <v>45730.0</v>
      </c>
      <c r="J852" s="356">
        <v>9.99</v>
      </c>
      <c r="K852" s="356">
        <v>3.99</v>
      </c>
      <c r="L852" s="355">
        <v>6.0</v>
      </c>
      <c r="M852" s="429">
        <v>1.0</v>
      </c>
      <c r="N852" s="355">
        <v>3.99</v>
      </c>
    </row>
    <row r="853">
      <c r="A853" s="346" t="s">
        <v>422</v>
      </c>
      <c r="B853" s="346" t="s">
        <v>427</v>
      </c>
      <c r="C853" s="346">
        <v>672.0</v>
      </c>
      <c r="D853" s="346" t="s">
        <v>1360</v>
      </c>
      <c r="E853" s="346" t="s">
        <v>33</v>
      </c>
      <c r="F853" s="354">
        <v>43986.0</v>
      </c>
      <c r="G853" s="354">
        <v>44351.0</v>
      </c>
      <c r="H853" s="354">
        <v>44673.0</v>
      </c>
      <c r="I853" s="354">
        <v>44673.0</v>
      </c>
      <c r="J853" s="355">
        <v>7.99</v>
      </c>
      <c r="K853" s="355">
        <v>5.59</v>
      </c>
      <c r="L853" s="355">
        <v>2.4</v>
      </c>
      <c r="M853" s="346">
        <v>5.0</v>
      </c>
      <c r="N853" s="355">
        <v>1.12</v>
      </c>
    </row>
    <row r="854">
      <c r="A854" s="346" t="s">
        <v>422</v>
      </c>
      <c r="B854" s="346" t="s">
        <v>428</v>
      </c>
      <c r="C854" s="346">
        <v>760.0</v>
      </c>
      <c r="D854" s="346" t="s">
        <v>1363</v>
      </c>
      <c r="E854" s="346" t="s">
        <v>33</v>
      </c>
      <c r="F854" s="354">
        <v>44623.0</v>
      </c>
      <c r="G854" s="354">
        <v>45176.0</v>
      </c>
      <c r="H854" s="354">
        <v>45176.0</v>
      </c>
      <c r="I854" s="354">
        <v>45176.0</v>
      </c>
      <c r="J854" s="355">
        <v>6.99</v>
      </c>
      <c r="K854" s="355">
        <v>0.0</v>
      </c>
      <c r="L854" s="355">
        <v>6.99</v>
      </c>
      <c r="M854" s="346">
        <v>1.0</v>
      </c>
      <c r="N854" s="355">
        <v>0.0</v>
      </c>
    </row>
    <row r="855">
      <c r="A855" s="346"/>
      <c r="B855" s="346"/>
      <c r="C855" s="347"/>
      <c r="D855" s="348"/>
      <c r="E855" s="346"/>
      <c r="F855" s="346"/>
      <c r="G855" s="346"/>
      <c r="H855" s="346"/>
      <c r="I855" s="346"/>
      <c r="J855" s="349"/>
      <c r="K855" s="349"/>
      <c r="L855" s="349"/>
      <c r="M855" s="348"/>
      <c r="N855" s="349"/>
    </row>
    <row r="856">
      <c r="A856" s="430" t="s">
        <v>430</v>
      </c>
      <c r="B856" s="431" t="s">
        <v>429</v>
      </c>
      <c r="C856" s="431">
        <v>573.0</v>
      </c>
      <c r="D856" s="431" t="s">
        <v>1371</v>
      </c>
      <c r="E856" s="431" t="s">
        <v>33</v>
      </c>
      <c r="F856" s="432">
        <v>43830.0</v>
      </c>
      <c r="G856" s="432">
        <v>44431.0</v>
      </c>
      <c r="H856" s="432">
        <v>44433.0</v>
      </c>
      <c r="I856" s="432">
        <v>44440.0</v>
      </c>
      <c r="J856" s="433">
        <v>14.99</v>
      </c>
      <c r="K856" s="433">
        <v>2.99</v>
      </c>
      <c r="L856" s="433">
        <v>12.0</v>
      </c>
      <c r="M856" s="431">
        <v>50.0</v>
      </c>
      <c r="N856" s="433">
        <v>0.06</v>
      </c>
    </row>
    <row r="857">
      <c r="A857" s="431" t="s">
        <v>430</v>
      </c>
      <c r="B857" s="431" t="s">
        <v>431</v>
      </c>
      <c r="C857" s="431">
        <v>837.0</v>
      </c>
      <c r="D857" s="431" t="s">
        <v>1370</v>
      </c>
      <c r="E857" s="431" t="s">
        <v>33</v>
      </c>
      <c r="F857" s="432">
        <v>42824.0</v>
      </c>
      <c r="G857" s="432">
        <v>42951.0</v>
      </c>
      <c r="H857" s="432">
        <v>43080.0</v>
      </c>
      <c r="I857" s="432">
        <v>43324.0</v>
      </c>
      <c r="J857" s="433">
        <v>8.99</v>
      </c>
      <c r="K857" s="433">
        <v>5.49</v>
      </c>
      <c r="L857" s="433">
        <v>3.5</v>
      </c>
      <c r="M857" s="431">
        <v>5.0</v>
      </c>
      <c r="N857" s="433">
        <v>1.1</v>
      </c>
    </row>
    <row r="858">
      <c r="A858" s="430" t="s">
        <v>430</v>
      </c>
      <c r="B858" s="431" t="s">
        <v>432</v>
      </c>
      <c r="C858" s="431">
        <v>98.0</v>
      </c>
      <c r="D858" s="431" t="s">
        <v>1364</v>
      </c>
      <c r="E858" s="431" t="s">
        <v>645</v>
      </c>
      <c r="F858" s="432">
        <v>37190.0</v>
      </c>
      <c r="G858" s="432">
        <v>42619.0</v>
      </c>
      <c r="H858" s="432">
        <v>42624.0</v>
      </c>
      <c r="I858" s="432">
        <v>43935.0</v>
      </c>
      <c r="J858" s="433">
        <v>10.99</v>
      </c>
      <c r="K858" s="433">
        <v>5.99</v>
      </c>
      <c r="L858" s="433">
        <v>5.0</v>
      </c>
      <c r="M858" s="431">
        <v>55.0</v>
      </c>
      <c r="N858" s="433">
        <v>0.11</v>
      </c>
    </row>
    <row r="859">
      <c r="A859" s="430" t="s">
        <v>430</v>
      </c>
      <c r="B859" s="430"/>
      <c r="C859" s="431">
        <v>99.0</v>
      </c>
      <c r="D859" s="431" t="s">
        <v>1365</v>
      </c>
      <c r="E859" s="431" t="s">
        <v>645</v>
      </c>
      <c r="F859" s="432">
        <v>37568.0</v>
      </c>
      <c r="G859" s="432">
        <v>42619.0</v>
      </c>
      <c r="H859" s="432">
        <v>43935.0</v>
      </c>
      <c r="I859" s="432">
        <v>45694.0</v>
      </c>
      <c r="J859" s="433">
        <v>12.0</v>
      </c>
      <c r="K859" s="433">
        <v>7.0</v>
      </c>
      <c r="L859" s="433">
        <v>5.0</v>
      </c>
      <c r="M859" s="431">
        <v>60.0</v>
      </c>
      <c r="N859" s="433">
        <v>0.12</v>
      </c>
    </row>
    <row r="860">
      <c r="A860" s="430" t="s">
        <v>430</v>
      </c>
      <c r="B860" s="431"/>
      <c r="C860" s="431">
        <v>113.0</v>
      </c>
      <c r="D860" s="431" t="s">
        <v>1366</v>
      </c>
      <c r="E860" s="431" t="s">
        <v>645</v>
      </c>
      <c r="F860" s="432">
        <v>37946.0</v>
      </c>
      <c r="G860" s="432">
        <v>42950.0</v>
      </c>
      <c r="H860" s="432">
        <v>44471.0</v>
      </c>
      <c r="I860" s="432">
        <v>44475.0</v>
      </c>
      <c r="J860" s="433">
        <v>13.99</v>
      </c>
      <c r="K860" s="433">
        <v>5.99</v>
      </c>
      <c r="L860" s="433">
        <v>8.0</v>
      </c>
      <c r="M860" s="431">
        <v>25.0</v>
      </c>
      <c r="N860" s="433">
        <v>0.24</v>
      </c>
    </row>
    <row r="861">
      <c r="A861" s="430" t="s">
        <v>430</v>
      </c>
      <c r="B861" s="431"/>
      <c r="C861" s="431">
        <v>100.0</v>
      </c>
      <c r="D861" s="431" t="s">
        <v>1367</v>
      </c>
      <c r="E861" s="431" t="s">
        <v>645</v>
      </c>
      <c r="F861" s="432">
        <v>38289.0</v>
      </c>
      <c r="G861" s="432">
        <v>42619.0</v>
      </c>
      <c r="H861" s="432">
        <v>42917.0</v>
      </c>
      <c r="I861" s="432">
        <v>44324.0</v>
      </c>
      <c r="J861" s="433">
        <v>12.0</v>
      </c>
      <c r="K861" s="433">
        <v>7.0</v>
      </c>
      <c r="L861" s="433">
        <v>5.0</v>
      </c>
      <c r="M861" s="431">
        <v>110.0</v>
      </c>
      <c r="N861" s="433">
        <v>0.06</v>
      </c>
    </row>
    <row r="862">
      <c r="A862" s="434" t="s">
        <v>430</v>
      </c>
      <c r="B862" s="431"/>
      <c r="C862" s="431">
        <v>256.0</v>
      </c>
      <c r="D862" s="431" t="s">
        <v>1368</v>
      </c>
      <c r="E862" s="431" t="s">
        <v>649</v>
      </c>
      <c r="F862" s="432">
        <v>39567.0</v>
      </c>
      <c r="G862" s="432">
        <v>40342.0</v>
      </c>
      <c r="H862" s="432">
        <v>40342.0</v>
      </c>
      <c r="I862" s="432">
        <v>45468.0</v>
      </c>
      <c r="J862" s="433">
        <v>59.99</v>
      </c>
      <c r="K862" s="433">
        <v>59.99</v>
      </c>
      <c r="L862" s="433">
        <v>0.0</v>
      </c>
      <c r="M862" s="431">
        <v>60.0</v>
      </c>
      <c r="N862" s="433">
        <v>1.0</v>
      </c>
    </row>
    <row r="863">
      <c r="A863" s="434" t="s">
        <v>430</v>
      </c>
      <c r="B863" s="431"/>
      <c r="C863" s="431">
        <v>257.0</v>
      </c>
      <c r="D863" s="431" t="s">
        <v>1369</v>
      </c>
      <c r="E863" s="431" t="s">
        <v>649</v>
      </c>
      <c r="F863" s="432">
        <v>41534.0</v>
      </c>
      <c r="G863" s="432">
        <v>41551.0</v>
      </c>
      <c r="H863" s="432">
        <v>41551.0</v>
      </c>
      <c r="I863" s="432">
        <v>44672.0</v>
      </c>
      <c r="J863" s="433">
        <v>109.98</v>
      </c>
      <c r="K863" s="433">
        <v>34.98</v>
      </c>
      <c r="L863" s="433">
        <v>75.0</v>
      </c>
      <c r="M863" s="431">
        <v>170.0</v>
      </c>
      <c r="N863" s="433">
        <v>0.21</v>
      </c>
    </row>
    <row r="864">
      <c r="A864" s="435"/>
      <c r="B864" s="435"/>
      <c r="C864" s="436"/>
      <c r="D864" s="437"/>
      <c r="E864" s="437"/>
      <c r="F864" s="437"/>
      <c r="G864" s="437"/>
      <c r="H864" s="437"/>
      <c r="I864" s="437"/>
      <c r="J864" s="438">
        <f t="shared" ref="J864:M864" si="105">SUM(J858:J863)</f>
        <v>218.95</v>
      </c>
      <c r="K864" s="438">
        <f t="shared" si="105"/>
        <v>120.95</v>
      </c>
      <c r="L864" s="438">
        <f t="shared" si="105"/>
        <v>98</v>
      </c>
      <c r="M864" s="437">
        <f t="shared" si="105"/>
        <v>480</v>
      </c>
      <c r="N864" s="438">
        <f t="shared" ref="N864:N865" si="106">K864/M864</f>
        <v>0.2519791667</v>
      </c>
    </row>
    <row r="865">
      <c r="A865" s="434" t="s">
        <v>430</v>
      </c>
      <c r="B865" s="434" t="s">
        <v>433</v>
      </c>
      <c r="C865" s="434">
        <v>1085.0</v>
      </c>
      <c r="D865" s="434" t="s">
        <v>1373</v>
      </c>
      <c r="E865" s="434" t="s">
        <v>39</v>
      </c>
      <c r="F865" s="432">
        <v>45125.0</v>
      </c>
      <c r="G865" s="432">
        <v>45902.0</v>
      </c>
      <c r="H865" s="432">
        <v>45907.0</v>
      </c>
      <c r="I865" s="432">
        <v>45911.0</v>
      </c>
      <c r="J865" s="439">
        <v>24.99</v>
      </c>
      <c r="K865" s="439">
        <v>0.0</v>
      </c>
      <c r="L865" s="439">
        <f>J865-K865</f>
        <v>24.99</v>
      </c>
      <c r="M865" s="434">
        <v>13.0</v>
      </c>
      <c r="N865" s="439">
        <f t="shared" si="106"/>
        <v>0</v>
      </c>
    </row>
    <row r="866">
      <c r="A866" s="431" t="s">
        <v>430</v>
      </c>
      <c r="B866" s="431" t="s">
        <v>434</v>
      </c>
      <c r="C866" s="431">
        <v>1051.0</v>
      </c>
      <c r="D866" s="431" t="s">
        <v>1372</v>
      </c>
      <c r="E866" s="431" t="s">
        <v>666</v>
      </c>
      <c r="F866" s="432">
        <v>44358.0</v>
      </c>
      <c r="G866" s="432">
        <v>44383.0</v>
      </c>
      <c r="H866" s="432">
        <v>44383.0</v>
      </c>
      <c r="I866" s="432">
        <v>44383.0</v>
      </c>
      <c r="J866" s="433">
        <v>0.0</v>
      </c>
      <c r="K866" s="433">
        <v>0.0</v>
      </c>
      <c r="L866" s="433">
        <v>0.0</v>
      </c>
      <c r="M866" s="431">
        <v>1.0</v>
      </c>
      <c r="N866" s="433">
        <v>0.0</v>
      </c>
    </row>
    <row r="867">
      <c r="A867" s="315"/>
      <c r="B867" s="315"/>
      <c r="C867" s="341"/>
      <c r="D867" s="316"/>
      <c r="E867" s="316"/>
      <c r="F867" s="316"/>
      <c r="G867" s="316"/>
      <c r="H867" s="316"/>
      <c r="I867" s="316"/>
      <c r="J867" s="342"/>
      <c r="K867" s="342"/>
      <c r="L867" s="342"/>
      <c r="M867" s="316"/>
      <c r="N867" s="342"/>
    </row>
    <row r="868">
      <c r="A868" s="146" t="s">
        <v>436</v>
      </c>
      <c r="B868" s="146" t="s">
        <v>435</v>
      </c>
      <c r="C868" s="146">
        <v>661.0</v>
      </c>
      <c r="D868" s="146" t="s">
        <v>1375</v>
      </c>
      <c r="E868" s="146" t="s">
        <v>33</v>
      </c>
      <c r="F868" s="311">
        <v>42198.0</v>
      </c>
      <c r="G868" s="311">
        <v>45256.0</v>
      </c>
      <c r="H868" s="311">
        <v>45911.0</v>
      </c>
      <c r="I868" s="311">
        <v>45916.0</v>
      </c>
      <c r="J868" s="339">
        <v>14.99</v>
      </c>
      <c r="K868" s="339">
        <v>1.49</v>
      </c>
      <c r="L868" s="339">
        <f>J868-K868</f>
        <v>13.5</v>
      </c>
      <c r="M868" s="146">
        <v>33.0</v>
      </c>
      <c r="N868" s="339">
        <f>K868/M868</f>
        <v>0.04515151515</v>
      </c>
    </row>
    <row r="869">
      <c r="A869" s="74" t="s">
        <v>436</v>
      </c>
      <c r="B869" s="74"/>
      <c r="C869" s="74">
        <v>662.0</v>
      </c>
      <c r="D869" s="74" t="s">
        <v>1376</v>
      </c>
      <c r="E869" s="74" t="s">
        <v>33</v>
      </c>
      <c r="F869" s="311">
        <v>42780.0</v>
      </c>
      <c r="G869" s="311">
        <v>45256.0</v>
      </c>
      <c r="H869" s="311">
        <v>45256.0</v>
      </c>
      <c r="I869" s="311">
        <v>45256.0</v>
      </c>
      <c r="J869" s="312">
        <v>14.99</v>
      </c>
      <c r="K869" s="312">
        <v>1.49</v>
      </c>
      <c r="L869" s="312">
        <v>13.5</v>
      </c>
      <c r="M869" s="74">
        <v>1.0</v>
      </c>
      <c r="N869" s="312">
        <v>1.49</v>
      </c>
    </row>
    <row r="870">
      <c r="A870" s="74" t="s">
        <v>436</v>
      </c>
      <c r="B870" s="74"/>
      <c r="C870" s="74">
        <v>663.0</v>
      </c>
      <c r="D870" s="74" t="s">
        <v>1377</v>
      </c>
      <c r="E870" s="74" t="s">
        <v>33</v>
      </c>
      <c r="F870" s="311">
        <v>43006.0</v>
      </c>
      <c r="G870" s="311">
        <v>45256.0</v>
      </c>
      <c r="H870" s="311">
        <v>45256.0</v>
      </c>
      <c r="I870" s="311">
        <v>45256.0</v>
      </c>
      <c r="J870" s="312">
        <v>14.99</v>
      </c>
      <c r="K870" s="312">
        <v>1.49</v>
      </c>
      <c r="L870" s="312">
        <v>13.5</v>
      </c>
      <c r="M870" s="74">
        <v>1.0</v>
      </c>
      <c r="N870" s="312">
        <v>1.49</v>
      </c>
    </row>
    <row r="871">
      <c r="A871" s="40"/>
      <c r="B871" s="40"/>
      <c r="C871" s="357"/>
      <c r="D871" s="358"/>
      <c r="E871" s="358"/>
      <c r="F871" s="358"/>
      <c r="G871" s="358"/>
      <c r="H871" s="358"/>
      <c r="I871" s="358"/>
      <c r="J871" s="359">
        <f t="shared" ref="J871:M871" si="107">SUM(J868:J870)</f>
        <v>44.97</v>
      </c>
      <c r="K871" s="359">
        <f t="shared" si="107"/>
        <v>4.47</v>
      </c>
      <c r="L871" s="359">
        <f t="shared" si="107"/>
        <v>40.5</v>
      </c>
      <c r="M871" s="358">
        <f t="shared" si="107"/>
        <v>35</v>
      </c>
      <c r="N871" s="359">
        <f>K871/M871</f>
        <v>0.1277142857</v>
      </c>
    </row>
    <row r="872">
      <c r="A872" s="74" t="s">
        <v>436</v>
      </c>
      <c r="B872" s="74" t="s">
        <v>437</v>
      </c>
      <c r="C872" s="74">
        <v>463.0</v>
      </c>
      <c r="D872" s="74" t="s">
        <v>1374</v>
      </c>
      <c r="E872" s="74" t="s">
        <v>671</v>
      </c>
      <c r="F872" s="311">
        <v>42486.0</v>
      </c>
      <c r="G872" s="311">
        <v>42619.0</v>
      </c>
      <c r="H872" s="311">
        <v>44049.0</v>
      </c>
      <c r="I872" s="311">
        <v>44049.0</v>
      </c>
      <c r="J872" s="312">
        <v>12.99</v>
      </c>
      <c r="K872" s="312">
        <v>12.99</v>
      </c>
      <c r="L872" s="312">
        <v>0.0</v>
      </c>
      <c r="M872" s="74">
        <v>3.0</v>
      </c>
      <c r="N872" s="312">
        <v>4.33</v>
      </c>
    </row>
    <row r="873">
      <c r="A873" s="318"/>
      <c r="B873" s="318"/>
      <c r="C873" s="319"/>
      <c r="D873" s="320"/>
      <c r="E873" s="320"/>
      <c r="F873" s="320"/>
      <c r="G873" s="320"/>
      <c r="H873" s="320"/>
      <c r="I873" s="320"/>
      <c r="J873" s="321"/>
      <c r="K873" s="321"/>
      <c r="L873" s="321"/>
      <c r="M873" s="320"/>
      <c r="N873" s="321"/>
    </row>
    <row r="874">
      <c r="A874" s="346" t="s">
        <v>439</v>
      </c>
      <c r="B874" s="346" t="s">
        <v>438</v>
      </c>
      <c r="C874" s="346">
        <v>765.0</v>
      </c>
      <c r="D874" s="346" t="s">
        <v>1378</v>
      </c>
      <c r="E874" s="346" t="s">
        <v>33</v>
      </c>
      <c r="F874" s="354">
        <v>42955.0</v>
      </c>
      <c r="G874" s="354">
        <v>44708.0</v>
      </c>
      <c r="H874" s="354">
        <v>44708.0</v>
      </c>
      <c r="I874" s="354">
        <v>44708.0</v>
      </c>
      <c r="J874" s="355">
        <v>9.99</v>
      </c>
      <c r="K874" s="355">
        <v>4.99</v>
      </c>
      <c r="L874" s="355">
        <v>5.0</v>
      </c>
      <c r="M874" s="346">
        <v>1.0</v>
      </c>
      <c r="N874" s="355">
        <v>4.99</v>
      </c>
    </row>
    <row r="875">
      <c r="A875" s="346"/>
      <c r="B875" s="346"/>
      <c r="C875" s="347"/>
      <c r="D875" s="348"/>
      <c r="E875" s="348"/>
      <c r="F875" s="348"/>
      <c r="G875" s="348"/>
      <c r="H875" s="348"/>
      <c r="I875" s="348"/>
      <c r="J875" s="349"/>
      <c r="K875" s="349"/>
      <c r="L875" s="349"/>
      <c r="M875" s="348"/>
      <c r="N875" s="349"/>
    </row>
    <row r="876">
      <c r="A876" s="297" t="s">
        <v>441</v>
      </c>
      <c r="B876" s="297" t="s">
        <v>440</v>
      </c>
      <c r="C876" s="298">
        <v>536.0</v>
      </c>
      <c r="D876" s="298" t="s">
        <v>1379</v>
      </c>
      <c r="E876" s="298" t="s">
        <v>33</v>
      </c>
      <c r="F876" s="299">
        <v>42430.0</v>
      </c>
      <c r="G876" s="299">
        <v>42750.0</v>
      </c>
      <c r="H876" s="299">
        <v>42753.0</v>
      </c>
      <c r="I876" s="299">
        <v>44009.0</v>
      </c>
      <c r="J876" s="300">
        <v>14.99</v>
      </c>
      <c r="K876" s="300">
        <v>4.99</v>
      </c>
      <c r="L876" s="300">
        <v>10.0</v>
      </c>
      <c r="M876" s="298">
        <v>18.0</v>
      </c>
      <c r="N876" s="300">
        <v>0.28</v>
      </c>
    </row>
    <row r="877">
      <c r="A877" s="297" t="s">
        <v>441</v>
      </c>
      <c r="B877" s="297"/>
      <c r="C877" s="297">
        <v>1092.0</v>
      </c>
      <c r="D877" s="297" t="s">
        <v>1380</v>
      </c>
      <c r="E877" s="297" t="s">
        <v>39</v>
      </c>
      <c r="F877" s="299">
        <v>45839.0</v>
      </c>
      <c r="G877" s="299">
        <v>45920.0</v>
      </c>
      <c r="H877" s="299">
        <v>45921.0</v>
      </c>
      <c r="I877" s="299">
        <v>45921.0</v>
      </c>
      <c r="J877" s="440">
        <v>19.99</v>
      </c>
      <c r="K877" s="440">
        <v>0.0</v>
      </c>
      <c r="L877" s="440">
        <f>J877-K877</f>
        <v>19.99</v>
      </c>
      <c r="M877" s="297">
        <v>2.0</v>
      </c>
      <c r="N877" s="440">
        <f t="shared" ref="N877:N878" si="109">K877/M877</f>
        <v>0</v>
      </c>
    </row>
    <row r="878">
      <c r="A878" s="303"/>
      <c r="B878" s="303"/>
      <c r="C878" s="305"/>
      <c r="D878" s="305"/>
      <c r="E878" s="305"/>
      <c r="F878" s="305"/>
      <c r="G878" s="305"/>
      <c r="H878" s="305"/>
      <c r="I878" s="305"/>
      <c r="J878" s="441">
        <f t="shared" ref="J878:M878" si="108">SUM(J876:J877)</f>
        <v>34.98</v>
      </c>
      <c r="K878" s="441">
        <f t="shared" si="108"/>
        <v>4.99</v>
      </c>
      <c r="L878" s="441">
        <f t="shared" si="108"/>
        <v>29.99</v>
      </c>
      <c r="M878" s="303">
        <f t="shared" si="108"/>
        <v>20</v>
      </c>
      <c r="N878" s="441">
        <f t="shared" si="109"/>
        <v>0.2495</v>
      </c>
    </row>
    <row r="879">
      <c r="A879" s="307"/>
      <c r="B879" s="307"/>
      <c r="C879" s="308"/>
      <c r="D879" s="309"/>
      <c r="E879" s="309"/>
      <c r="F879" s="309"/>
      <c r="G879" s="309"/>
      <c r="H879" s="309"/>
      <c r="I879" s="309"/>
      <c r="J879" s="310"/>
      <c r="K879" s="310"/>
      <c r="L879" s="310"/>
      <c r="M879" s="309"/>
      <c r="N879" s="310"/>
    </row>
    <row r="880">
      <c r="A880" s="442" t="s">
        <v>443</v>
      </c>
      <c r="B880" s="442" t="s">
        <v>442</v>
      </c>
      <c r="C880" s="442">
        <v>655.0</v>
      </c>
      <c r="D880" s="442" t="s">
        <v>1383</v>
      </c>
      <c r="E880" s="442" t="s">
        <v>33</v>
      </c>
      <c r="F880" s="443">
        <v>42545.0</v>
      </c>
      <c r="G880" s="443">
        <v>42925.0</v>
      </c>
      <c r="H880" s="443">
        <v>43047.0</v>
      </c>
      <c r="I880" s="443">
        <v>45235.0</v>
      </c>
      <c r="J880" s="444">
        <v>19.99</v>
      </c>
      <c r="K880" s="444">
        <v>3.99</v>
      </c>
      <c r="L880" s="444">
        <v>16.0</v>
      </c>
      <c r="M880" s="442">
        <v>4.0</v>
      </c>
      <c r="N880" s="444">
        <v>1.0</v>
      </c>
    </row>
    <row r="881">
      <c r="A881" s="442" t="s">
        <v>443</v>
      </c>
      <c r="B881" s="442" t="s">
        <v>444</v>
      </c>
      <c r="C881" s="442">
        <v>755.0</v>
      </c>
      <c r="D881" s="442" t="s">
        <v>1388</v>
      </c>
      <c r="E881" s="442" t="s">
        <v>33</v>
      </c>
      <c r="F881" s="443">
        <v>44118.0</v>
      </c>
      <c r="G881" s="443">
        <v>45176.0</v>
      </c>
      <c r="H881" s="443">
        <v>45225.0</v>
      </c>
      <c r="I881" s="443">
        <v>45228.0</v>
      </c>
      <c r="J881" s="444">
        <v>15.99</v>
      </c>
      <c r="K881" s="444">
        <v>0.0</v>
      </c>
      <c r="L881" s="444">
        <v>15.99</v>
      </c>
      <c r="M881" s="442">
        <v>5.0</v>
      </c>
      <c r="N881" s="444">
        <v>0.0</v>
      </c>
    </row>
    <row r="882">
      <c r="A882" s="442" t="s">
        <v>443</v>
      </c>
      <c r="B882" s="442" t="s">
        <v>445</v>
      </c>
      <c r="C882" s="442">
        <v>607.0</v>
      </c>
      <c r="D882" s="442" t="s">
        <v>1390</v>
      </c>
      <c r="E882" s="442" t="s">
        <v>33</v>
      </c>
      <c r="F882" s="443">
        <v>44761.0</v>
      </c>
      <c r="G882" s="443">
        <v>45111.0</v>
      </c>
      <c r="H882" s="443">
        <v>45111.0</v>
      </c>
      <c r="I882" s="443">
        <v>45111.0</v>
      </c>
      <c r="J882" s="444">
        <v>29.99</v>
      </c>
      <c r="K882" s="444">
        <v>0.0</v>
      </c>
      <c r="L882" s="444">
        <v>29.99</v>
      </c>
      <c r="M882" s="442">
        <v>1.0</v>
      </c>
      <c r="N882" s="444">
        <v>0.0</v>
      </c>
    </row>
    <row r="883">
      <c r="A883" s="442" t="s">
        <v>443</v>
      </c>
      <c r="B883" s="442" t="s">
        <v>446</v>
      </c>
      <c r="C883" s="442">
        <v>611.0</v>
      </c>
      <c r="D883" s="442" t="s">
        <v>1389</v>
      </c>
      <c r="E883" s="442" t="s">
        <v>33</v>
      </c>
      <c r="F883" s="443">
        <v>44280.0</v>
      </c>
      <c r="G883" s="443">
        <v>44351.0</v>
      </c>
      <c r="H883" s="443">
        <v>44371.0</v>
      </c>
      <c r="I883" s="443">
        <v>44371.0</v>
      </c>
      <c r="J883" s="444">
        <v>12.99</v>
      </c>
      <c r="K883" s="444">
        <v>9.09</v>
      </c>
      <c r="L883" s="444">
        <v>3.9</v>
      </c>
      <c r="M883" s="442">
        <v>1.0</v>
      </c>
      <c r="N883" s="444">
        <v>9.09</v>
      </c>
    </row>
    <row r="884">
      <c r="A884" s="442" t="s">
        <v>443</v>
      </c>
      <c r="B884" s="442" t="s">
        <v>447</v>
      </c>
      <c r="C884" s="442">
        <v>531.0</v>
      </c>
      <c r="D884" s="442" t="s">
        <v>1384</v>
      </c>
      <c r="E884" s="442" t="s">
        <v>33</v>
      </c>
      <c r="F884" s="443">
        <v>43783.0</v>
      </c>
      <c r="G884" s="443">
        <v>44708.0</v>
      </c>
      <c r="H884" s="443">
        <v>44708.0</v>
      </c>
      <c r="I884" s="443">
        <v>44708.0</v>
      </c>
      <c r="J884" s="444">
        <v>39.99</v>
      </c>
      <c r="K884" s="444">
        <v>7.99</v>
      </c>
      <c r="L884" s="444">
        <v>32.0</v>
      </c>
      <c r="M884" s="442">
        <v>1.0</v>
      </c>
      <c r="N884" s="444">
        <v>7.99</v>
      </c>
    </row>
    <row r="885">
      <c r="A885" s="442" t="s">
        <v>443</v>
      </c>
      <c r="B885" s="442" t="s">
        <v>448</v>
      </c>
      <c r="C885" s="442">
        <v>597.0</v>
      </c>
      <c r="D885" s="442" t="s">
        <v>1385</v>
      </c>
      <c r="E885" s="442" t="s">
        <v>33</v>
      </c>
      <c r="F885" s="443">
        <v>43822.0</v>
      </c>
      <c r="G885" s="443">
        <v>43824.0</v>
      </c>
      <c r="H885" s="443">
        <v>44836.0</v>
      </c>
      <c r="I885" s="443">
        <v>44839.0</v>
      </c>
      <c r="J885" s="444">
        <v>5.99</v>
      </c>
      <c r="K885" s="444">
        <v>5.99</v>
      </c>
      <c r="L885" s="444">
        <v>0.0</v>
      </c>
      <c r="M885" s="442">
        <v>5.0</v>
      </c>
      <c r="N885" s="444">
        <v>1.2</v>
      </c>
    </row>
    <row r="886">
      <c r="A886" s="442" t="s">
        <v>443</v>
      </c>
      <c r="B886" s="442" t="s">
        <v>449</v>
      </c>
      <c r="C886" s="442">
        <v>1005.0</v>
      </c>
      <c r="D886" s="442" t="s">
        <v>1392</v>
      </c>
      <c r="E886" s="442" t="s">
        <v>666</v>
      </c>
      <c r="F886" s="443">
        <v>43725.0</v>
      </c>
      <c r="G886" s="443">
        <v>43804.0</v>
      </c>
      <c r="H886" s="443">
        <v>43810.0</v>
      </c>
      <c r="I886" s="443">
        <v>43810.0</v>
      </c>
      <c r="J886" s="444">
        <v>19.99</v>
      </c>
      <c r="K886" s="444">
        <v>19.99</v>
      </c>
      <c r="L886" s="444">
        <v>0.0</v>
      </c>
      <c r="M886" s="442">
        <v>2.0</v>
      </c>
      <c r="N886" s="444">
        <v>10.0</v>
      </c>
    </row>
    <row r="887">
      <c r="A887" s="246" t="s">
        <v>443</v>
      </c>
      <c r="B887" s="442" t="s">
        <v>450</v>
      </c>
      <c r="C887" s="442">
        <v>483.0</v>
      </c>
      <c r="D887" s="442" t="s">
        <v>1382</v>
      </c>
      <c r="E887" s="442" t="s">
        <v>671</v>
      </c>
      <c r="F887" s="443">
        <v>43018.0</v>
      </c>
      <c r="G887" s="443">
        <v>44335.0</v>
      </c>
      <c r="H887" s="443">
        <v>44335.0</v>
      </c>
      <c r="I887" s="443">
        <v>44466.0</v>
      </c>
      <c r="J887" s="444">
        <v>7.99</v>
      </c>
      <c r="K887" s="444">
        <v>5.99</v>
      </c>
      <c r="L887" s="444">
        <v>2.0</v>
      </c>
      <c r="M887" s="442">
        <v>2.0</v>
      </c>
      <c r="N887" s="444">
        <v>3.0</v>
      </c>
    </row>
    <row r="888">
      <c r="A888" s="442" t="s">
        <v>443</v>
      </c>
      <c r="B888" s="442"/>
      <c r="C888" s="442">
        <v>555.0</v>
      </c>
      <c r="D888" s="442" t="s">
        <v>1387</v>
      </c>
      <c r="E888" s="442" t="s">
        <v>33</v>
      </c>
      <c r="F888" s="443">
        <v>43970.0</v>
      </c>
      <c r="G888" s="443">
        <v>44351.0</v>
      </c>
      <c r="H888" s="443">
        <v>44351.0</v>
      </c>
      <c r="I888" s="443">
        <v>44351.0</v>
      </c>
      <c r="J888" s="444">
        <v>4.99</v>
      </c>
      <c r="K888" s="444">
        <v>3.24</v>
      </c>
      <c r="L888" s="444">
        <v>1.75</v>
      </c>
      <c r="M888" s="442">
        <v>1.0</v>
      </c>
      <c r="N888" s="444">
        <v>3.24</v>
      </c>
    </row>
    <row r="889">
      <c r="A889" s="445"/>
      <c r="B889" s="445"/>
      <c r="C889" s="446"/>
      <c r="D889" s="447"/>
      <c r="E889" s="447"/>
      <c r="F889" s="447"/>
      <c r="G889" s="447"/>
      <c r="H889" s="447"/>
      <c r="I889" s="447"/>
      <c r="J889" s="448">
        <f t="shared" ref="J889:M889" si="110">SUM(J887:J888)</f>
        <v>12.98</v>
      </c>
      <c r="K889" s="448">
        <f t="shared" si="110"/>
        <v>9.23</v>
      </c>
      <c r="L889" s="448">
        <f t="shared" si="110"/>
        <v>3.75</v>
      </c>
      <c r="M889" s="447">
        <f t="shared" si="110"/>
        <v>3</v>
      </c>
      <c r="N889" s="448">
        <f>K889/M889</f>
        <v>3.076666667</v>
      </c>
    </row>
    <row r="890">
      <c r="A890" s="442" t="s">
        <v>443</v>
      </c>
      <c r="B890" s="442" t="s">
        <v>451</v>
      </c>
      <c r="C890" s="442">
        <v>467.0</v>
      </c>
      <c r="D890" s="442" t="s">
        <v>1381</v>
      </c>
      <c r="E890" s="442" t="s">
        <v>671</v>
      </c>
      <c r="F890" s="443">
        <v>42572.0</v>
      </c>
      <c r="G890" s="443">
        <v>42832.0</v>
      </c>
      <c r="H890" s="443">
        <v>42834.0</v>
      </c>
      <c r="I890" s="443">
        <v>44613.0</v>
      </c>
      <c r="J890" s="444">
        <v>4.99</v>
      </c>
      <c r="K890" s="444">
        <v>1.99</v>
      </c>
      <c r="L890" s="444">
        <v>3.0</v>
      </c>
      <c r="M890" s="442">
        <v>15.0</v>
      </c>
      <c r="N890" s="444">
        <v>0.13</v>
      </c>
    </row>
    <row r="891">
      <c r="A891" s="442" t="s">
        <v>443</v>
      </c>
      <c r="B891" s="442" t="s">
        <v>452</v>
      </c>
      <c r="C891" s="442">
        <v>994.0</v>
      </c>
      <c r="D891" s="442" t="s">
        <v>1391</v>
      </c>
      <c r="E891" s="442" t="s">
        <v>666</v>
      </c>
      <c r="F891" s="443">
        <v>43229.0</v>
      </c>
      <c r="G891" s="443">
        <v>43472.0</v>
      </c>
      <c r="H891" s="443">
        <v>43472.0</v>
      </c>
      <c r="I891" s="443">
        <v>43472.0</v>
      </c>
      <c r="J891" s="444">
        <v>19.99</v>
      </c>
      <c r="K891" s="444">
        <v>6.99</v>
      </c>
      <c r="L891" s="444">
        <v>13.0</v>
      </c>
      <c r="M891" s="442">
        <v>1.0</v>
      </c>
      <c r="N891" s="444">
        <v>6.99</v>
      </c>
    </row>
    <row r="892">
      <c r="A892" s="442" t="s">
        <v>443</v>
      </c>
      <c r="B892" s="442" t="s">
        <v>453</v>
      </c>
      <c r="C892" s="442">
        <v>874.0</v>
      </c>
      <c r="D892" s="442" t="s">
        <v>1386</v>
      </c>
      <c r="E892" s="442" t="s">
        <v>33</v>
      </c>
      <c r="F892" s="443">
        <v>43857.0</v>
      </c>
      <c r="G892" s="443">
        <v>44384.0</v>
      </c>
      <c r="H892" s="443">
        <v>44393.0</v>
      </c>
      <c r="I892" s="443">
        <v>44393.0</v>
      </c>
      <c r="J892" s="444">
        <v>19.99</v>
      </c>
      <c r="K892" s="444">
        <v>5.99</v>
      </c>
      <c r="L892" s="444">
        <v>14.0</v>
      </c>
      <c r="M892" s="442">
        <v>1.0</v>
      </c>
      <c r="N892" s="444">
        <v>5.99</v>
      </c>
    </row>
    <row r="893">
      <c r="A893" s="332"/>
      <c r="B893" s="332"/>
      <c r="C893" s="333"/>
      <c r="D893" s="334"/>
      <c r="E893" s="334"/>
      <c r="F893" s="334"/>
      <c r="G893" s="334"/>
      <c r="H893" s="334"/>
      <c r="I893" s="334"/>
      <c r="J893" s="335"/>
      <c r="K893" s="335"/>
      <c r="L893" s="335"/>
      <c r="M893" s="334"/>
      <c r="N893" s="335"/>
    </row>
    <row r="894">
      <c r="A894" s="343" t="s">
        <v>455</v>
      </c>
      <c r="B894" s="343" t="s">
        <v>454</v>
      </c>
      <c r="C894" s="343">
        <v>657.0</v>
      </c>
      <c r="D894" s="343" t="s">
        <v>1407</v>
      </c>
      <c r="E894" s="343" t="s">
        <v>33</v>
      </c>
      <c r="F894" s="344">
        <v>42067.0</v>
      </c>
      <c r="G894" s="344">
        <v>43016.0</v>
      </c>
      <c r="H894" s="344">
        <v>43017.0</v>
      </c>
      <c r="I894" s="344">
        <v>45051.0</v>
      </c>
      <c r="J894" s="345">
        <v>29.99</v>
      </c>
      <c r="K894" s="345">
        <v>29.99</v>
      </c>
      <c r="L894" s="345">
        <v>0.0</v>
      </c>
      <c r="M894" s="343">
        <v>3.0</v>
      </c>
      <c r="N894" s="345">
        <v>10.0</v>
      </c>
    </row>
    <row r="895">
      <c r="A895" s="449" t="s">
        <v>455</v>
      </c>
      <c r="B895" s="343" t="s">
        <v>456</v>
      </c>
      <c r="C895" s="343">
        <v>253.0</v>
      </c>
      <c r="D895" s="343" t="s">
        <v>1403</v>
      </c>
      <c r="E895" s="343" t="s">
        <v>649</v>
      </c>
      <c r="F895" s="344">
        <v>42228.0</v>
      </c>
      <c r="G895" s="344">
        <v>42650.0</v>
      </c>
      <c r="H895" s="344">
        <v>42655.0</v>
      </c>
      <c r="I895" s="344">
        <v>44037.0</v>
      </c>
      <c r="J895" s="345">
        <v>31.95</v>
      </c>
      <c r="K895" s="345">
        <v>18.55</v>
      </c>
      <c r="L895" s="345">
        <v>13.4</v>
      </c>
      <c r="M895" s="343">
        <v>20.0</v>
      </c>
      <c r="N895" s="345">
        <v>0.93</v>
      </c>
    </row>
    <row r="896">
      <c r="A896" s="449" t="s">
        <v>455</v>
      </c>
      <c r="B896" s="449"/>
      <c r="C896" s="343">
        <v>1062.0</v>
      </c>
      <c r="D896" s="343" t="s">
        <v>1432</v>
      </c>
      <c r="E896" s="343" t="s">
        <v>39</v>
      </c>
      <c r="F896" s="344">
        <v>44882.0</v>
      </c>
      <c r="G896" s="344">
        <v>45362.0</v>
      </c>
      <c r="H896" s="344">
        <v>45365.0</v>
      </c>
      <c r="I896" s="344">
        <v>45761.0</v>
      </c>
      <c r="J896" s="450">
        <v>29.99</v>
      </c>
      <c r="K896" s="450">
        <v>14.99</v>
      </c>
      <c r="L896" s="345">
        <v>15.0</v>
      </c>
      <c r="M896" s="343">
        <v>14.0</v>
      </c>
      <c r="N896" s="345">
        <v>1.07</v>
      </c>
    </row>
    <row r="897">
      <c r="A897" s="451"/>
      <c r="B897" s="451"/>
      <c r="C897" s="452"/>
      <c r="D897" s="453"/>
      <c r="E897" s="453"/>
      <c r="F897" s="453"/>
      <c r="G897" s="453"/>
      <c r="H897" s="453"/>
      <c r="I897" s="453"/>
      <c r="J897" s="454">
        <f t="shared" ref="J897:M897" si="111">SUM(J895:J896)</f>
        <v>61.94</v>
      </c>
      <c r="K897" s="454">
        <f t="shared" si="111"/>
        <v>33.54</v>
      </c>
      <c r="L897" s="454">
        <f t="shared" si="111"/>
        <v>28.4</v>
      </c>
      <c r="M897" s="453">
        <f t="shared" si="111"/>
        <v>34</v>
      </c>
      <c r="N897" s="454">
        <f>K897/M897</f>
        <v>0.9864705882</v>
      </c>
    </row>
    <row r="898">
      <c r="A898" s="343" t="s">
        <v>455</v>
      </c>
      <c r="B898" s="343" t="s">
        <v>457</v>
      </c>
      <c r="C898" s="343">
        <v>954.0</v>
      </c>
      <c r="D898" s="343" t="s">
        <v>1409</v>
      </c>
      <c r="E898" s="343" t="s">
        <v>33</v>
      </c>
      <c r="F898" s="344">
        <v>42409.0</v>
      </c>
      <c r="G898" s="344">
        <v>42754.0</v>
      </c>
      <c r="H898" s="344">
        <v>42754.0</v>
      </c>
      <c r="I898" s="344">
        <v>42754.0</v>
      </c>
      <c r="J898" s="345">
        <v>19.99</v>
      </c>
      <c r="K898" s="345">
        <v>7.99</v>
      </c>
      <c r="L898" s="345">
        <v>12.0</v>
      </c>
      <c r="M898" s="343">
        <v>1.0</v>
      </c>
      <c r="N898" s="345">
        <v>7.99</v>
      </c>
    </row>
    <row r="899">
      <c r="A899" s="449" t="s">
        <v>455</v>
      </c>
      <c r="B899" s="343" t="s">
        <v>458</v>
      </c>
      <c r="C899" s="343">
        <v>262.0</v>
      </c>
      <c r="D899" s="343" t="s">
        <v>1398</v>
      </c>
      <c r="E899" s="343" t="s">
        <v>649</v>
      </c>
      <c r="F899" s="344">
        <v>41451.0</v>
      </c>
      <c r="G899" s="344">
        <v>41748.0</v>
      </c>
      <c r="H899" s="344">
        <v>41748.0</v>
      </c>
      <c r="I899" s="344">
        <v>44869.0</v>
      </c>
      <c r="J899" s="345">
        <v>9.99</v>
      </c>
      <c r="K899" s="345">
        <v>9.99</v>
      </c>
      <c r="L899" s="345">
        <v>0.0</v>
      </c>
      <c r="M899" s="343">
        <v>8.0</v>
      </c>
      <c r="N899" s="345">
        <v>1.25</v>
      </c>
    </row>
    <row r="900">
      <c r="A900" s="343" t="s">
        <v>455</v>
      </c>
      <c r="B900" s="343"/>
      <c r="C900" s="343">
        <v>263.0</v>
      </c>
      <c r="D900" s="343" t="s">
        <v>1402</v>
      </c>
      <c r="E900" s="343" t="s">
        <v>649</v>
      </c>
      <c r="F900" s="344">
        <v>42073.0</v>
      </c>
      <c r="G900" s="344">
        <v>42750.0</v>
      </c>
      <c r="H900" s="344">
        <v>44430.0</v>
      </c>
      <c r="I900" s="344">
        <v>44430.0</v>
      </c>
      <c r="J900" s="345">
        <v>14.99</v>
      </c>
      <c r="K900" s="345">
        <v>3.59</v>
      </c>
      <c r="L900" s="345">
        <v>11.4</v>
      </c>
      <c r="M900" s="343">
        <v>2.0</v>
      </c>
      <c r="N900" s="345">
        <v>1.8</v>
      </c>
    </row>
    <row r="901">
      <c r="A901" s="451"/>
      <c r="B901" s="451"/>
      <c r="C901" s="452"/>
      <c r="D901" s="453"/>
      <c r="E901" s="453"/>
      <c r="F901" s="453"/>
      <c r="G901" s="453"/>
      <c r="H901" s="453"/>
      <c r="I901" s="453"/>
      <c r="J901" s="454">
        <f t="shared" ref="J901:M901" si="112">SUM(J899:J900)</f>
        <v>24.98</v>
      </c>
      <c r="K901" s="454">
        <f t="shared" si="112"/>
        <v>13.58</v>
      </c>
      <c r="L901" s="454">
        <f t="shared" si="112"/>
        <v>11.4</v>
      </c>
      <c r="M901" s="453">
        <f t="shared" si="112"/>
        <v>10</v>
      </c>
      <c r="N901" s="454">
        <f>K901/M901</f>
        <v>1.358</v>
      </c>
    </row>
    <row r="902">
      <c r="A902" s="343" t="s">
        <v>455</v>
      </c>
      <c r="B902" s="343" t="s">
        <v>459</v>
      </c>
      <c r="C902" s="343">
        <v>683.0</v>
      </c>
      <c r="D902" s="343" t="s">
        <v>1422</v>
      </c>
      <c r="E902" s="343" t="s">
        <v>33</v>
      </c>
      <c r="F902" s="344">
        <v>44336.0</v>
      </c>
      <c r="G902" s="344">
        <v>44678.0</v>
      </c>
      <c r="H902" s="344">
        <v>44679.0</v>
      </c>
      <c r="I902" s="344">
        <v>44686.0</v>
      </c>
      <c r="J902" s="345">
        <v>13.99</v>
      </c>
      <c r="K902" s="345">
        <v>6.29</v>
      </c>
      <c r="L902" s="345">
        <v>7.7</v>
      </c>
      <c r="M902" s="343">
        <v>14.0</v>
      </c>
      <c r="N902" s="345">
        <v>0.45</v>
      </c>
    </row>
    <row r="903">
      <c r="A903" s="449" t="s">
        <v>455</v>
      </c>
      <c r="B903" s="343" t="s">
        <v>460</v>
      </c>
      <c r="C903" s="343">
        <v>192.0</v>
      </c>
      <c r="D903" s="343" t="s">
        <v>1395</v>
      </c>
      <c r="E903" s="343" t="s">
        <v>649</v>
      </c>
      <c r="F903" s="344">
        <v>40844.0</v>
      </c>
      <c r="G903" s="344">
        <v>44422.0</v>
      </c>
      <c r="H903" s="344">
        <v>44422.0</v>
      </c>
      <c r="I903" s="344">
        <v>44422.0</v>
      </c>
      <c r="J903" s="345">
        <v>19.99</v>
      </c>
      <c r="K903" s="345">
        <v>0.0</v>
      </c>
      <c r="L903" s="345">
        <v>19.99</v>
      </c>
      <c r="M903" s="343">
        <v>1.0</v>
      </c>
      <c r="N903" s="345">
        <v>0.0</v>
      </c>
    </row>
    <row r="904">
      <c r="A904" s="343" t="s">
        <v>455</v>
      </c>
      <c r="B904" s="343"/>
      <c r="C904" s="343">
        <v>524.0</v>
      </c>
      <c r="D904" s="343" t="s">
        <v>1411</v>
      </c>
      <c r="E904" s="343" t="s">
        <v>33</v>
      </c>
      <c r="F904" s="344">
        <v>42664.0</v>
      </c>
      <c r="G904" s="344">
        <v>44334.0</v>
      </c>
      <c r="H904" s="344">
        <v>44334.0</v>
      </c>
      <c r="I904" s="344">
        <v>44334.0</v>
      </c>
      <c r="J904" s="345">
        <v>19.99</v>
      </c>
      <c r="K904" s="345">
        <v>0.0</v>
      </c>
      <c r="L904" s="345">
        <v>19.99</v>
      </c>
      <c r="M904" s="343">
        <v>1.0</v>
      </c>
      <c r="N904" s="345">
        <v>0.0</v>
      </c>
    </row>
    <row r="905">
      <c r="A905" s="343" t="s">
        <v>455</v>
      </c>
      <c r="B905" s="343"/>
      <c r="C905" s="343">
        <v>525.0</v>
      </c>
      <c r="D905" s="343" t="s">
        <v>1425</v>
      </c>
      <c r="E905" s="343" t="s">
        <v>33</v>
      </c>
      <c r="F905" s="344">
        <v>44519.0</v>
      </c>
      <c r="G905" s="344">
        <v>44992.0</v>
      </c>
      <c r="H905" s="344">
        <v>44992.0</v>
      </c>
      <c r="I905" s="344">
        <v>44992.0</v>
      </c>
      <c r="J905" s="345">
        <v>79.99</v>
      </c>
      <c r="K905" s="345">
        <v>0.0</v>
      </c>
      <c r="L905" s="345">
        <v>79.99</v>
      </c>
      <c r="M905" s="343">
        <v>1.0</v>
      </c>
      <c r="N905" s="345">
        <v>0.0</v>
      </c>
    </row>
    <row r="906">
      <c r="A906" s="451"/>
      <c r="B906" s="451"/>
      <c r="C906" s="452"/>
      <c r="D906" s="453"/>
      <c r="E906" s="453"/>
      <c r="F906" s="453"/>
      <c r="G906" s="453"/>
      <c r="H906" s="453"/>
      <c r="I906" s="453"/>
      <c r="J906" s="454">
        <f t="shared" ref="J906:M906" si="113">SUM(J903:J905)</f>
        <v>119.97</v>
      </c>
      <c r="K906" s="454">
        <f t="shared" si="113"/>
        <v>0</v>
      </c>
      <c r="L906" s="454">
        <f t="shared" si="113"/>
        <v>119.97</v>
      </c>
      <c r="M906" s="453">
        <f t="shared" si="113"/>
        <v>3</v>
      </c>
      <c r="N906" s="454">
        <f>K906/M906</f>
        <v>0</v>
      </c>
    </row>
    <row r="907">
      <c r="A907" s="343" t="s">
        <v>455</v>
      </c>
      <c r="B907" s="343" t="s">
        <v>461</v>
      </c>
      <c r="C907" s="343">
        <v>763.0</v>
      </c>
      <c r="D907" s="343" t="s">
        <v>1417</v>
      </c>
      <c r="E907" s="343" t="s">
        <v>33</v>
      </c>
      <c r="F907" s="344">
        <v>43777.0</v>
      </c>
      <c r="G907" s="344">
        <v>44811.0</v>
      </c>
      <c r="H907" s="344">
        <v>44830.0</v>
      </c>
      <c r="I907" s="344">
        <v>44917.0</v>
      </c>
      <c r="J907" s="345">
        <v>69.99</v>
      </c>
      <c r="K907" s="345">
        <v>0.0</v>
      </c>
      <c r="L907" s="345">
        <v>69.99</v>
      </c>
      <c r="M907" s="343">
        <v>11.0</v>
      </c>
      <c r="N907" s="345">
        <v>0.0</v>
      </c>
    </row>
    <row r="908">
      <c r="A908" s="343" t="s">
        <v>455</v>
      </c>
      <c r="B908" s="343" t="s">
        <v>462</v>
      </c>
      <c r="C908" s="343">
        <v>530.0</v>
      </c>
      <c r="D908" s="343" t="s">
        <v>1423</v>
      </c>
      <c r="E908" s="343" t="s">
        <v>33</v>
      </c>
      <c r="F908" s="344">
        <v>44341.0</v>
      </c>
      <c r="G908" s="344">
        <v>44813.0</v>
      </c>
      <c r="H908" s="344">
        <v>44824.0</v>
      </c>
      <c r="I908" s="344">
        <v>44883.0</v>
      </c>
      <c r="J908" s="345">
        <v>59.99</v>
      </c>
      <c r="K908" s="345">
        <v>29.99</v>
      </c>
      <c r="L908" s="345">
        <v>30.0</v>
      </c>
      <c r="M908" s="343">
        <v>49.0</v>
      </c>
      <c r="N908" s="345">
        <v>0.61</v>
      </c>
    </row>
    <row r="909">
      <c r="A909" s="343" t="s">
        <v>455</v>
      </c>
      <c r="B909" s="343" t="s">
        <v>463</v>
      </c>
      <c r="C909" s="343">
        <v>984.0</v>
      </c>
      <c r="D909" s="343" t="s">
        <v>1429</v>
      </c>
      <c r="E909" s="343" t="s">
        <v>666</v>
      </c>
      <c r="F909" s="344">
        <v>43151.0</v>
      </c>
      <c r="G909" s="344">
        <v>43472.0</v>
      </c>
      <c r="H909" s="344">
        <v>43472.0</v>
      </c>
      <c r="I909" s="344">
        <v>43472.0</v>
      </c>
      <c r="J909" s="345">
        <v>19.99</v>
      </c>
      <c r="K909" s="345">
        <v>14.99</v>
      </c>
      <c r="L909" s="345">
        <v>5.0</v>
      </c>
      <c r="M909" s="343">
        <v>1.0</v>
      </c>
      <c r="N909" s="345">
        <v>14.99</v>
      </c>
    </row>
    <row r="910">
      <c r="A910" s="343" t="s">
        <v>455</v>
      </c>
      <c r="B910" s="343" t="s">
        <v>464</v>
      </c>
      <c r="C910" s="343">
        <v>507.0</v>
      </c>
      <c r="D910" s="343" t="s">
        <v>1412</v>
      </c>
      <c r="E910" s="343" t="s">
        <v>33</v>
      </c>
      <c r="F910" s="344">
        <v>42696.0</v>
      </c>
      <c r="G910" s="344">
        <v>44139.0</v>
      </c>
      <c r="H910" s="344">
        <v>44139.0</v>
      </c>
      <c r="I910" s="344">
        <v>44139.0</v>
      </c>
      <c r="J910" s="345">
        <v>14.25</v>
      </c>
      <c r="K910" s="345">
        <v>1.57</v>
      </c>
      <c r="L910" s="345">
        <v>12.68</v>
      </c>
      <c r="M910" s="343">
        <v>1.0</v>
      </c>
      <c r="N910" s="345">
        <v>1.57</v>
      </c>
    </row>
    <row r="911">
      <c r="A911" s="343" t="s">
        <v>455</v>
      </c>
      <c r="B911" s="343" t="s">
        <v>465</v>
      </c>
      <c r="C911" s="343">
        <v>31.0</v>
      </c>
      <c r="D911" s="343" t="s">
        <v>1393</v>
      </c>
      <c r="E911" s="343" t="s">
        <v>682</v>
      </c>
      <c r="F911" s="344">
        <v>35986.0</v>
      </c>
      <c r="G911" s="344">
        <v>40794.0</v>
      </c>
      <c r="H911" s="344">
        <v>40794.0</v>
      </c>
      <c r="I911" s="344">
        <v>40794.0</v>
      </c>
      <c r="J911" s="345">
        <v>4.99</v>
      </c>
      <c r="K911" s="345">
        <v>4.99</v>
      </c>
      <c r="L911" s="345">
        <v>0.0</v>
      </c>
      <c r="M911" s="343">
        <v>3.0</v>
      </c>
      <c r="N911" s="345">
        <v>1.66</v>
      </c>
    </row>
    <row r="912">
      <c r="A912" s="343" t="s">
        <v>455</v>
      </c>
      <c r="B912" s="343" t="s">
        <v>466</v>
      </c>
      <c r="C912" s="343">
        <v>678.0</v>
      </c>
      <c r="D912" s="343" t="s">
        <v>1421</v>
      </c>
      <c r="E912" s="343" t="s">
        <v>33</v>
      </c>
      <c r="F912" s="344">
        <v>44281.0</v>
      </c>
      <c r="G912" s="344">
        <v>44567.0</v>
      </c>
      <c r="H912" s="344">
        <v>44567.0</v>
      </c>
      <c r="I912" s="344">
        <v>44567.0</v>
      </c>
      <c r="J912" s="345">
        <v>39.99</v>
      </c>
      <c r="K912" s="345">
        <v>19.99</v>
      </c>
      <c r="L912" s="345">
        <v>20.0</v>
      </c>
      <c r="M912" s="343">
        <v>1.0</v>
      </c>
      <c r="N912" s="345">
        <v>19.99</v>
      </c>
    </row>
    <row r="913">
      <c r="A913" s="343" t="s">
        <v>455</v>
      </c>
      <c r="B913" s="343" t="s">
        <v>467</v>
      </c>
      <c r="C913" s="343">
        <v>469.0</v>
      </c>
      <c r="D913" s="343" t="s">
        <v>1404</v>
      </c>
      <c r="E913" s="343" t="s">
        <v>671</v>
      </c>
      <c r="F913" s="344">
        <v>41717.0</v>
      </c>
      <c r="G913" s="344">
        <v>42750.0</v>
      </c>
      <c r="H913" s="344">
        <v>42753.0</v>
      </c>
      <c r="I913" s="344">
        <v>44585.0</v>
      </c>
      <c r="J913" s="345">
        <v>8.99</v>
      </c>
      <c r="K913" s="345">
        <v>1.99</v>
      </c>
      <c r="L913" s="345">
        <v>7.0</v>
      </c>
      <c r="M913" s="343">
        <v>10.0</v>
      </c>
      <c r="N913" s="345">
        <v>0.2</v>
      </c>
    </row>
    <row r="914">
      <c r="A914" s="343" t="s">
        <v>455</v>
      </c>
      <c r="B914" s="343"/>
      <c r="C914" s="343">
        <v>470.0</v>
      </c>
      <c r="D914" s="343" t="s">
        <v>1405</v>
      </c>
      <c r="E914" s="343" t="s">
        <v>671</v>
      </c>
      <c r="F914" s="344">
        <v>42529.0</v>
      </c>
      <c r="G914" s="344">
        <v>42754.0</v>
      </c>
      <c r="H914" s="344">
        <v>43004.0</v>
      </c>
      <c r="I914" s="344">
        <v>45183.0</v>
      </c>
      <c r="J914" s="345">
        <v>14.99</v>
      </c>
      <c r="K914" s="345">
        <v>9.99</v>
      </c>
      <c r="L914" s="345">
        <v>5.0</v>
      </c>
      <c r="M914" s="343">
        <v>9.0</v>
      </c>
      <c r="N914" s="345">
        <v>1.11</v>
      </c>
    </row>
    <row r="915">
      <c r="A915" s="343" t="s">
        <v>455</v>
      </c>
      <c r="B915" s="343"/>
      <c r="C915" s="343">
        <v>471.0</v>
      </c>
      <c r="D915" s="343" t="s">
        <v>1406</v>
      </c>
      <c r="E915" s="343" t="s">
        <v>671</v>
      </c>
      <c r="F915" s="344">
        <v>43005.0</v>
      </c>
      <c r="G915" s="344">
        <v>44567.0</v>
      </c>
      <c r="H915" s="344">
        <v>44569.0</v>
      </c>
      <c r="I915" s="344">
        <v>44576.0</v>
      </c>
      <c r="J915" s="345">
        <v>19.99</v>
      </c>
      <c r="K915" s="345">
        <v>4.99</v>
      </c>
      <c r="L915" s="345">
        <v>15.0</v>
      </c>
      <c r="M915" s="343">
        <v>4.0</v>
      </c>
      <c r="N915" s="345">
        <v>1.25</v>
      </c>
    </row>
    <row r="916">
      <c r="A916" s="449" t="s">
        <v>455</v>
      </c>
      <c r="B916" s="449"/>
      <c r="C916" s="343">
        <v>859.0</v>
      </c>
      <c r="D916" s="343" t="s">
        <v>1427</v>
      </c>
      <c r="E916" s="343" t="s">
        <v>33</v>
      </c>
      <c r="F916" s="344">
        <v>45261.0</v>
      </c>
      <c r="G916" s="344">
        <v>45586.0</v>
      </c>
      <c r="H916" s="344">
        <v>45586.0</v>
      </c>
      <c r="I916" s="344">
        <v>45586.0</v>
      </c>
      <c r="J916" s="450">
        <v>29.99</v>
      </c>
      <c r="K916" s="450">
        <v>15.74</v>
      </c>
      <c r="L916" s="450">
        <v>14.25</v>
      </c>
      <c r="M916" s="343">
        <v>1.0</v>
      </c>
      <c r="N916" s="345">
        <v>15.74</v>
      </c>
    </row>
    <row r="917">
      <c r="A917" s="451"/>
      <c r="B917" s="451"/>
      <c r="C917" s="452"/>
      <c r="D917" s="453"/>
      <c r="E917" s="453"/>
      <c r="F917" s="453"/>
      <c r="G917" s="453"/>
      <c r="H917" s="453"/>
      <c r="I917" s="453"/>
      <c r="J917" s="454">
        <f t="shared" ref="J917:M917" si="114">SUM(J913:J916)</f>
        <v>73.96</v>
      </c>
      <c r="K917" s="454">
        <f t="shared" si="114"/>
        <v>32.71</v>
      </c>
      <c r="L917" s="454">
        <f t="shared" si="114"/>
        <v>41.25</v>
      </c>
      <c r="M917" s="453">
        <f t="shared" si="114"/>
        <v>24</v>
      </c>
      <c r="N917" s="454">
        <f>K917/M917</f>
        <v>1.362916667</v>
      </c>
    </row>
    <row r="918">
      <c r="A918" s="343" t="s">
        <v>455</v>
      </c>
      <c r="B918" s="343" t="s">
        <v>468</v>
      </c>
      <c r="C918" s="343">
        <v>551.0</v>
      </c>
      <c r="D918" s="343" t="s">
        <v>1410</v>
      </c>
      <c r="E918" s="343" t="s">
        <v>33</v>
      </c>
      <c r="F918" s="344">
        <v>42640.0</v>
      </c>
      <c r="G918" s="344">
        <v>44067.0</v>
      </c>
      <c r="H918" s="344">
        <v>44393.0</v>
      </c>
      <c r="I918" s="344">
        <v>44393.0</v>
      </c>
      <c r="J918" s="345">
        <v>14.99</v>
      </c>
      <c r="K918" s="345">
        <v>4.49</v>
      </c>
      <c r="L918" s="345">
        <v>10.5</v>
      </c>
      <c r="M918" s="343">
        <v>2.0</v>
      </c>
      <c r="N918" s="345">
        <v>2.25</v>
      </c>
    </row>
    <row r="919">
      <c r="A919" s="343" t="s">
        <v>455</v>
      </c>
      <c r="B919" s="343" t="s">
        <v>469</v>
      </c>
      <c r="C919" s="343">
        <v>769.0</v>
      </c>
      <c r="D919" s="343" t="s">
        <v>1424</v>
      </c>
      <c r="E919" s="343" t="s">
        <v>33</v>
      </c>
      <c r="F919" s="344">
        <v>44474.0</v>
      </c>
      <c r="G919" s="344">
        <v>44720.0</v>
      </c>
      <c r="H919" s="344">
        <v>44814.0</v>
      </c>
      <c r="I919" s="344">
        <v>44815.0</v>
      </c>
      <c r="J919" s="345">
        <v>49.99</v>
      </c>
      <c r="K919" s="345">
        <v>0.0</v>
      </c>
      <c r="L919" s="345">
        <v>49.99</v>
      </c>
      <c r="M919" s="343">
        <v>11.0</v>
      </c>
      <c r="N919" s="345">
        <v>0.0</v>
      </c>
    </row>
    <row r="920">
      <c r="A920" s="449" t="s">
        <v>455</v>
      </c>
      <c r="B920" s="343" t="s">
        <v>470</v>
      </c>
      <c r="C920" s="343">
        <v>422.0</v>
      </c>
      <c r="D920" s="343" t="s">
        <v>1401</v>
      </c>
      <c r="E920" s="343" t="s">
        <v>649</v>
      </c>
      <c r="F920" s="344">
        <v>41779.0</v>
      </c>
      <c r="G920" s="344">
        <v>45058.0</v>
      </c>
      <c r="H920" s="344">
        <v>45058.0</v>
      </c>
      <c r="I920" s="344">
        <v>45058.0</v>
      </c>
      <c r="J920" s="345">
        <v>19.99</v>
      </c>
      <c r="K920" s="345">
        <v>3.5</v>
      </c>
      <c r="L920" s="345">
        <v>16.49</v>
      </c>
      <c r="M920" s="343">
        <v>1.0</v>
      </c>
      <c r="N920" s="345">
        <v>3.5</v>
      </c>
    </row>
    <row r="921">
      <c r="A921" s="343" t="s">
        <v>455</v>
      </c>
      <c r="B921" s="343"/>
      <c r="C921" s="343">
        <v>965.0</v>
      </c>
      <c r="D921" s="343" t="s">
        <v>1408</v>
      </c>
      <c r="E921" s="343" t="s">
        <v>33</v>
      </c>
      <c r="F921" s="344">
        <v>42129.0</v>
      </c>
      <c r="G921" s="344">
        <v>45058.0</v>
      </c>
      <c r="H921" s="344">
        <v>45058.0</v>
      </c>
      <c r="I921" s="344">
        <v>45058.0</v>
      </c>
      <c r="J921" s="345">
        <v>19.99</v>
      </c>
      <c r="K921" s="345">
        <v>3.5</v>
      </c>
      <c r="L921" s="345">
        <v>16.49</v>
      </c>
      <c r="M921" s="343">
        <v>1.0</v>
      </c>
      <c r="N921" s="345">
        <v>3.5</v>
      </c>
    </row>
    <row r="922">
      <c r="A922" s="343" t="s">
        <v>455</v>
      </c>
      <c r="B922" s="343"/>
      <c r="C922" s="343">
        <v>966.0</v>
      </c>
      <c r="D922" s="343" t="s">
        <v>1414</v>
      </c>
      <c r="E922" s="343" t="s">
        <v>33</v>
      </c>
      <c r="F922" s="344">
        <v>43035.0</v>
      </c>
      <c r="G922" s="344">
        <v>45058.0</v>
      </c>
      <c r="H922" s="344">
        <v>45058.0</v>
      </c>
      <c r="I922" s="344">
        <v>45058.0</v>
      </c>
      <c r="J922" s="345">
        <v>39.99</v>
      </c>
      <c r="K922" s="345">
        <v>3.5</v>
      </c>
      <c r="L922" s="345">
        <v>36.49</v>
      </c>
      <c r="M922" s="343">
        <v>1.0</v>
      </c>
      <c r="N922" s="345">
        <v>3.5</v>
      </c>
    </row>
    <row r="923">
      <c r="A923" s="343" t="s">
        <v>455</v>
      </c>
      <c r="B923" s="343"/>
      <c r="C923" s="343">
        <v>967.0</v>
      </c>
      <c r="D923" s="343" t="s">
        <v>1416</v>
      </c>
      <c r="E923" s="343" t="s">
        <v>33</v>
      </c>
      <c r="F923" s="344">
        <v>43672.0</v>
      </c>
      <c r="G923" s="344">
        <v>45058.0</v>
      </c>
      <c r="H923" s="344">
        <v>45058.0</v>
      </c>
      <c r="I923" s="344">
        <v>45058.0</v>
      </c>
      <c r="J923" s="345">
        <v>19.99</v>
      </c>
      <c r="K923" s="345">
        <v>3.49</v>
      </c>
      <c r="L923" s="345">
        <v>16.5</v>
      </c>
      <c r="M923" s="343">
        <v>1.0</v>
      </c>
      <c r="N923" s="345">
        <v>3.49</v>
      </c>
    </row>
    <row r="924">
      <c r="A924" s="451"/>
      <c r="B924" s="451"/>
      <c r="C924" s="452"/>
      <c r="D924" s="453"/>
      <c r="E924" s="453"/>
      <c r="F924" s="453"/>
      <c r="G924" s="453"/>
      <c r="H924" s="453"/>
      <c r="I924" s="453"/>
      <c r="J924" s="454">
        <f t="shared" ref="J924:M924" si="115">SUM(J920:J923)</f>
        <v>99.96</v>
      </c>
      <c r="K924" s="454">
        <f t="shared" si="115"/>
        <v>13.99</v>
      </c>
      <c r="L924" s="454">
        <f t="shared" si="115"/>
        <v>85.97</v>
      </c>
      <c r="M924" s="453">
        <f t="shared" si="115"/>
        <v>4</v>
      </c>
      <c r="N924" s="454">
        <f>K924/M924</f>
        <v>3.4975</v>
      </c>
    </row>
    <row r="925">
      <c r="A925" s="449" t="s">
        <v>455</v>
      </c>
      <c r="B925" s="343" t="s">
        <v>471</v>
      </c>
      <c r="C925" s="343">
        <v>300.0</v>
      </c>
      <c r="D925" s="343" t="s">
        <v>1400</v>
      </c>
      <c r="E925" s="343" t="s">
        <v>649</v>
      </c>
      <c r="F925" s="344">
        <v>41626.0</v>
      </c>
      <c r="G925" s="344">
        <v>45427.0</v>
      </c>
      <c r="H925" s="344">
        <v>45427.0</v>
      </c>
      <c r="I925" s="344">
        <v>45427.0</v>
      </c>
      <c r="J925" s="345">
        <v>18.99</v>
      </c>
      <c r="K925" s="345">
        <v>8.46</v>
      </c>
      <c r="L925" s="345">
        <v>10.53</v>
      </c>
      <c r="M925" s="343">
        <v>1.0</v>
      </c>
      <c r="N925" s="345">
        <v>8.46</v>
      </c>
    </row>
    <row r="926">
      <c r="A926" s="449" t="s">
        <v>455</v>
      </c>
      <c r="B926" s="449"/>
      <c r="C926" s="343">
        <v>751.0</v>
      </c>
      <c r="D926" s="343" t="s">
        <v>1418</v>
      </c>
      <c r="E926" s="343" t="s">
        <v>33</v>
      </c>
      <c r="F926" s="344">
        <v>43977.0</v>
      </c>
      <c r="G926" s="344">
        <v>44992.0</v>
      </c>
      <c r="H926" s="344">
        <v>45705.0</v>
      </c>
      <c r="I926" s="344">
        <v>45708.0</v>
      </c>
      <c r="J926" s="345">
        <v>19.99</v>
      </c>
      <c r="K926" s="345">
        <v>0.0</v>
      </c>
      <c r="L926" s="345">
        <v>19.99</v>
      </c>
      <c r="M926" s="343">
        <v>10.0</v>
      </c>
      <c r="N926" s="345">
        <v>0.0</v>
      </c>
    </row>
    <row r="927">
      <c r="A927" s="343" t="s">
        <v>455</v>
      </c>
      <c r="B927" s="343"/>
      <c r="C927" s="343">
        <v>752.0</v>
      </c>
      <c r="D927" s="343" t="s">
        <v>1426</v>
      </c>
      <c r="E927" s="343" t="s">
        <v>33</v>
      </c>
      <c r="F927" s="344">
        <v>45034.0</v>
      </c>
      <c r="G927" s="344">
        <v>45385.0</v>
      </c>
      <c r="H927" s="344">
        <v>45385.0</v>
      </c>
      <c r="I927" s="344">
        <v>45385.0</v>
      </c>
      <c r="J927" s="345">
        <v>39.99</v>
      </c>
      <c r="K927" s="345">
        <v>0.0</v>
      </c>
      <c r="L927" s="345">
        <v>39.99</v>
      </c>
      <c r="M927" s="343">
        <v>1.0</v>
      </c>
      <c r="N927" s="345">
        <v>0.0</v>
      </c>
    </row>
    <row r="928">
      <c r="A928" s="451"/>
      <c r="B928" s="451"/>
      <c r="C928" s="452"/>
      <c r="D928" s="453"/>
      <c r="E928" s="453"/>
      <c r="F928" s="453"/>
      <c r="G928" s="453"/>
      <c r="H928" s="453"/>
      <c r="I928" s="453"/>
      <c r="J928" s="454">
        <f t="shared" ref="J928:M928" si="116">SUM(J925:J927)</f>
        <v>78.97</v>
      </c>
      <c r="K928" s="454">
        <f t="shared" si="116"/>
        <v>8.46</v>
      </c>
      <c r="L928" s="454">
        <f t="shared" si="116"/>
        <v>70.51</v>
      </c>
      <c r="M928" s="453">
        <f t="shared" si="116"/>
        <v>12</v>
      </c>
      <c r="N928" s="454">
        <f>K928/M928</f>
        <v>0.705</v>
      </c>
    </row>
    <row r="929">
      <c r="A929" s="343" t="s">
        <v>455</v>
      </c>
      <c r="B929" s="343" t="s">
        <v>472</v>
      </c>
      <c r="C929" s="343">
        <v>991.0</v>
      </c>
      <c r="D929" s="343" t="s">
        <v>1430</v>
      </c>
      <c r="E929" s="343" t="s">
        <v>666</v>
      </c>
      <c r="F929" s="344">
        <v>43966.0</v>
      </c>
      <c r="G929" s="344">
        <v>45176.0</v>
      </c>
      <c r="H929" s="344">
        <v>45176.0</v>
      </c>
      <c r="I929" s="344">
        <v>45176.0</v>
      </c>
      <c r="J929" s="345">
        <v>24.99</v>
      </c>
      <c r="K929" s="345">
        <v>0.0</v>
      </c>
      <c r="L929" s="345">
        <v>24.99</v>
      </c>
      <c r="M929" s="343">
        <v>1.0</v>
      </c>
      <c r="N929" s="345">
        <v>0.0</v>
      </c>
    </row>
    <row r="930">
      <c r="A930" s="449" t="s">
        <v>455</v>
      </c>
      <c r="B930" s="343" t="s">
        <v>473</v>
      </c>
      <c r="C930" s="343">
        <v>320.0</v>
      </c>
      <c r="D930" s="343" t="s">
        <v>1396</v>
      </c>
      <c r="E930" s="343" t="s">
        <v>649</v>
      </c>
      <c r="F930" s="344">
        <v>40849.0</v>
      </c>
      <c r="G930" s="344">
        <v>41461.0</v>
      </c>
      <c r="H930" s="344">
        <v>41461.0</v>
      </c>
      <c r="I930" s="344">
        <v>44781.0</v>
      </c>
      <c r="J930" s="345">
        <v>16.99</v>
      </c>
      <c r="K930" s="345">
        <v>12.99</v>
      </c>
      <c r="L930" s="345">
        <v>4.0</v>
      </c>
      <c r="M930" s="343">
        <v>2.0</v>
      </c>
      <c r="N930" s="345">
        <v>6.5</v>
      </c>
    </row>
    <row r="931">
      <c r="A931" s="449" t="s">
        <v>455</v>
      </c>
      <c r="B931" s="449" t="s">
        <v>474</v>
      </c>
      <c r="C931" s="343">
        <v>937.0</v>
      </c>
      <c r="D931" s="343" t="s">
        <v>1419</v>
      </c>
      <c r="E931" s="343" t="s">
        <v>33</v>
      </c>
      <c r="F931" s="344">
        <v>44057.0</v>
      </c>
      <c r="G931" s="344">
        <v>45176.0</v>
      </c>
      <c r="H931" s="344">
        <v>45759.0</v>
      </c>
      <c r="I931" s="344">
        <v>45761.0</v>
      </c>
      <c r="J931" s="345">
        <v>9.99</v>
      </c>
      <c r="K931" s="345">
        <v>0.0</v>
      </c>
      <c r="L931" s="345">
        <v>9.99</v>
      </c>
      <c r="M931" s="343">
        <v>4.0</v>
      </c>
      <c r="N931" s="345">
        <v>0.0</v>
      </c>
    </row>
    <row r="932">
      <c r="A932" s="449" t="s">
        <v>455</v>
      </c>
      <c r="B932" s="343" t="s">
        <v>475</v>
      </c>
      <c r="C932" s="343">
        <v>1083.0</v>
      </c>
      <c r="D932" s="343" t="s">
        <v>1431</v>
      </c>
      <c r="E932" s="343" t="s">
        <v>39</v>
      </c>
      <c r="F932" s="344">
        <v>44456.0</v>
      </c>
      <c r="G932" s="344">
        <v>44811.0</v>
      </c>
      <c r="H932" s="344">
        <v>44828.0</v>
      </c>
      <c r="I932" s="344">
        <v>44829.0</v>
      </c>
      <c r="J932" s="450">
        <v>19.99</v>
      </c>
      <c r="K932" s="450">
        <v>0.0</v>
      </c>
      <c r="L932" s="345">
        <v>19.99</v>
      </c>
      <c r="M932" s="343">
        <v>10.0</v>
      </c>
      <c r="N932" s="345">
        <v>0.0</v>
      </c>
    </row>
    <row r="933">
      <c r="A933" s="449" t="s">
        <v>455</v>
      </c>
      <c r="B933" s="343" t="s">
        <v>476</v>
      </c>
      <c r="C933" s="343">
        <v>387.0</v>
      </c>
      <c r="D933" s="343" t="s">
        <v>1394</v>
      </c>
      <c r="E933" s="343" t="s">
        <v>649</v>
      </c>
      <c r="F933" s="344">
        <v>39283.0</v>
      </c>
      <c r="G933" s="344">
        <v>44091.0</v>
      </c>
      <c r="H933" s="344">
        <v>44091.0</v>
      </c>
      <c r="I933" s="344">
        <v>44091.0</v>
      </c>
      <c r="J933" s="345">
        <v>29.99</v>
      </c>
      <c r="K933" s="345">
        <v>3.0</v>
      </c>
      <c r="L933" s="345">
        <v>26.99</v>
      </c>
      <c r="M933" s="343">
        <v>1.0</v>
      </c>
      <c r="N933" s="345">
        <v>3.0</v>
      </c>
    </row>
    <row r="934">
      <c r="A934" s="449" t="s">
        <v>455</v>
      </c>
      <c r="B934" s="343"/>
      <c r="C934" s="343">
        <v>377.0</v>
      </c>
      <c r="D934" s="343" t="s">
        <v>1397</v>
      </c>
      <c r="E934" s="343" t="s">
        <v>649</v>
      </c>
      <c r="F934" s="344">
        <v>40963.0</v>
      </c>
      <c r="G934" s="344">
        <v>41693.0</v>
      </c>
      <c r="H934" s="344">
        <v>41693.0</v>
      </c>
      <c r="I934" s="344">
        <v>44796.0</v>
      </c>
      <c r="J934" s="345">
        <v>19.99</v>
      </c>
      <c r="K934" s="345">
        <v>1.0</v>
      </c>
      <c r="L934" s="345">
        <v>18.99</v>
      </c>
      <c r="M934" s="343">
        <v>15.0</v>
      </c>
      <c r="N934" s="345">
        <v>0.07</v>
      </c>
    </row>
    <row r="935">
      <c r="A935" s="449" t="s">
        <v>455</v>
      </c>
      <c r="B935" s="343"/>
      <c r="C935" s="343">
        <v>205.0</v>
      </c>
      <c r="D935" s="343" t="s">
        <v>1399</v>
      </c>
      <c r="E935" s="343" t="s">
        <v>649</v>
      </c>
      <c r="F935" s="344">
        <v>41520.0</v>
      </c>
      <c r="G935" s="344">
        <v>44314.0</v>
      </c>
      <c r="H935" s="344">
        <v>44314.0</v>
      </c>
      <c r="I935" s="344">
        <v>44314.0</v>
      </c>
      <c r="J935" s="345">
        <v>19.99</v>
      </c>
      <c r="K935" s="345">
        <v>4.99</v>
      </c>
      <c r="L935" s="345">
        <v>15.0</v>
      </c>
      <c r="M935" s="343">
        <v>1.0</v>
      </c>
      <c r="N935" s="345">
        <v>4.99</v>
      </c>
    </row>
    <row r="936">
      <c r="A936" s="451"/>
      <c r="B936" s="451"/>
      <c r="C936" s="452"/>
      <c r="D936" s="453"/>
      <c r="E936" s="453"/>
      <c r="F936" s="453"/>
      <c r="G936" s="453"/>
      <c r="H936" s="453"/>
      <c r="I936" s="453"/>
      <c r="J936" s="454">
        <f t="shared" ref="J936:M936" si="117">SUM(J933:J935)</f>
        <v>69.97</v>
      </c>
      <c r="K936" s="454">
        <f t="shared" si="117"/>
        <v>8.99</v>
      </c>
      <c r="L936" s="454">
        <f t="shared" si="117"/>
        <v>60.98</v>
      </c>
      <c r="M936" s="453">
        <f t="shared" si="117"/>
        <v>17</v>
      </c>
      <c r="N936" s="454">
        <f>K936/M936</f>
        <v>0.5288235294</v>
      </c>
    </row>
    <row r="937">
      <c r="A937" s="343" t="s">
        <v>455</v>
      </c>
      <c r="B937" s="343" t="s">
        <v>477</v>
      </c>
      <c r="C937" s="343">
        <v>638.0</v>
      </c>
      <c r="D937" s="343" t="s">
        <v>1415</v>
      </c>
      <c r="E937" s="343" t="s">
        <v>33</v>
      </c>
      <c r="F937" s="344">
        <v>43550.0</v>
      </c>
      <c r="G937" s="344">
        <v>45174.0</v>
      </c>
      <c r="H937" s="344">
        <v>45174.0</v>
      </c>
      <c r="I937" s="344">
        <v>45174.0</v>
      </c>
      <c r="J937" s="345">
        <v>29.99</v>
      </c>
      <c r="K937" s="345">
        <v>0.0</v>
      </c>
      <c r="L937" s="345">
        <v>29.99</v>
      </c>
      <c r="M937" s="343">
        <v>1.0</v>
      </c>
      <c r="N937" s="345">
        <v>0.0</v>
      </c>
    </row>
    <row r="938">
      <c r="A938" s="449" t="s">
        <v>455</v>
      </c>
      <c r="B938" s="343" t="s">
        <v>478</v>
      </c>
      <c r="C938" s="343">
        <v>714.0</v>
      </c>
      <c r="D938" s="343" t="s">
        <v>1413</v>
      </c>
      <c r="E938" s="343" t="s">
        <v>33</v>
      </c>
      <c r="F938" s="344">
        <v>42853.0</v>
      </c>
      <c r="G938" s="344">
        <v>44776.0</v>
      </c>
      <c r="H938" s="344">
        <v>44776.0</v>
      </c>
      <c r="I938" s="344">
        <v>44776.0</v>
      </c>
      <c r="J938" s="345">
        <v>19.99</v>
      </c>
      <c r="K938" s="345">
        <v>0.0</v>
      </c>
      <c r="L938" s="345">
        <v>19.99</v>
      </c>
      <c r="M938" s="343">
        <v>1.0</v>
      </c>
      <c r="N938" s="345">
        <v>0.0</v>
      </c>
    </row>
    <row r="939">
      <c r="A939" s="343" t="s">
        <v>455</v>
      </c>
      <c r="B939" s="343"/>
      <c r="C939" s="343">
        <v>715.0</v>
      </c>
      <c r="D939" s="343" t="s">
        <v>1420</v>
      </c>
      <c r="E939" s="343" t="s">
        <v>33</v>
      </c>
      <c r="F939" s="344">
        <v>44238.0</v>
      </c>
      <c r="G939" s="344">
        <v>45538.0</v>
      </c>
      <c r="H939" s="344">
        <v>45538.0</v>
      </c>
      <c r="I939" s="344">
        <v>45538.0</v>
      </c>
      <c r="J939" s="450">
        <v>29.99</v>
      </c>
      <c r="K939" s="450">
        <v>0.0</v>
      </c>
      <c r="L939" s="345">
        <v>29.99</v>
      </c>
      <c r="M939" s="343">
        <v>1.0</v>
      </c>
      <c r="N939" s="345">
        <v>0.0</v>
      </c>
    </row>
    <row r="940">
      <c r="A940" s="451"/>
      <c r="B940" s="451"/>
      <c r="C940" s="452"/>
      <c r="D940" s="453"/>
      <c r="E940" s="453"/>
      <c r="F940" s="453"/>
      <c r="G940" s="453"/>
      <c r="H940" s="453"/>
      <c r="I940" s="453"/>
      <c r="J940" s="454">
        <f t="shared" ref="J940:M940" si="118">SUM(J938:J939)</f>
        <v>49.98</v>
      </c>
      <c r="K940" s="454">
        <f t="shared" si="118"/>
        <v>0</v>
      </c>
      <c r="L940" s="454">
        <f t="shared" si="118"/>
        <v>49.98</v>
      </c>
      <c r="M940" s="453">
        <f t="shared" si="118"/>
        <v>2</v>
      </c>
      <c r="N940" s="454">
        <f>K940/M940</f>
        <v>0</v>
      </c>
    </row>
    <row r="941">
      <c r="A941" s="343" t="s">
        <v>455</v>
      </c>
      <c r="B941" s="343" t="s">
        <v>479</v>
      </c>
      <c r="C941" s="343">
        <v>1049.0</v>
      </c>
      <c r="D941" s="343" t="s">
        <v>1428</v>
      </c>
      <c r="E941" s="343" t="s">
        <v>666</v>
      </c>
      <c r="F941" s="344">
        <v>43087.0</v>
      </c>
      <c r="G941" s="344">
        <v>43466.0</v>
      </c>
      <c r="H941" s="344">
        <v>43466.0</v>
      </c>
      <c r="I941" s="344">
        <v>43466.0</v>
      </c>
      <c r="J941" s="345">
        <v>14.99</v>
      </c>
      <c r="K941" s="345">
        <v>5.99</v>
      </c>
      <c r="L941" s="345">
        <v>9.0</v>
      </c>
      <c r="M941" s="343">
        <v>1.0</v>
      </c>
      <c r="N941" s="345">
        <v>5.99</v>
      </c>
    </row>
    <row r="942">
      <c r="A942" s="346"/>
      <c r="B942" s="346"/>
      <c r="C942" s="347"/>
      <c r="D942" s="348"/>
      <c r="E942" s="348"/>
      <c r="F942" s="348"/>
      <c r="G942" s="348"/>
      <c r="H942" s="348"/>
      <c r="I942" s="348"/>
      <c r="J942" s="349"/>
      <c r="K942" s="349"/>
      <c r="L942" s="349"/>
      <c r="M942" s="348"/>
      <c r="N942" s="349"/>
    </row>
    <row r="943">
      <c r="A943" s="74" t="s">
        <v>481</v>
      </c>
      <c r="B943" s="74" t="s">
        <v>480</v>
      </c>
      <c r="C943" s="74">
        <v>623.0</v>
      </c>
      <c r="D943" s="74" t="s">
        <v>1433</v>
      </c>
      <c r="E943" s="74" t="s">
        <v>33</v>
      </c>
      <c r="F943" s="311">
        <v>44522.0</v>
      </c>
      <c r="G943" s="311">
        <v>45202.0</v>
      </c>
      <c r="H943" s="311">
        <v>45202.0</v>
      </c>
      <c r="I943" s="311">
        <v>45202.0</v>
      </c>
      <c r="J943" s="312">
        <v>39.99</v>
      </c>
      <c r="K943" s="312">
        <v>0.0</v>
      </c>
      <c r="L943" s="312">
        <v>39.99</v>
      </c>
      <c r="M943" s="74">
        <v>1.0</v>
      </c>
      <c r="N943" s="312">
        <v>0.0</v>
      </c>
    </row>
    <row r="944">
      <c r="A944" s="318"/>
      <c r="B944" s="318"/>
      <c r="C944" s="319"/>
      <c r="D944" s="320"/>
      <c r="E944" s="320"/>
      <c r="F944" s="320"/>
      <c r="G944" s="320"/>
      <c r="H944" s="320"/>
      <c r="I944" s="320"/>
      <c r="J944" s="321"/>
      <c r="K944" s="321"/>
      <c r="L944" s="321"/>
      <c r="M944" s="320"/>
      <c r="N944" s="321"/>
    </row>
    <row r="945">
      <c r="A945" s="85" t="s">
        <v>483</v>
      </c>
      <c r="B945" s="85" t="s">
        <v>482</v>
      </c>
      <c r="C945" s="85">
        <v>601.0</v>
      </c>
      <c r="D945" s="85" t="s">
        <v>1434</v>
      </c>
      <c r="E945" s="85" t="s">
        <v>33</v>
      </c>
      <c r="F945" s="351">
        <v>44939.0</v>
      </c>
      <c r="G945" s="351">
        <v>45176.0</v>
      </c>
      <c r="H945" s="351">
        <v>45472.0</v>
      </c>
      <c r="I945" s="351">
        <v>45753.0</v>
      </c>
      <c r="J945" s="353">
        <v>14.99</v>
      </c>
      <c r="K945" s="353">
        <v>0.0</v>
      </c>
      <c r="L945" s="353">
        <v>14.99</v>
      </c>
      <c r="M945" s="85">
        <v>21.0</v>
      </c>
      <c r="N945" s="353">
        <v>0.0</v>
      </c>
    </row>
    <row r="946">
      <c r="A946" s="346"/>
      <c r="B946" s="346"/>
      <c r="C946" s="347"/>
      <c r="D946" s="348"/>
      <c r="E946" s="346"/>
      <c r="F946" s="346"/>
      <c r="G946" s="346"/>
      <c r="H946" s="346"/>
      <c r="I946" s="346"/>
      <c r="J946" s="349"/>
      <c r="K946" s="349"/>
      <c r="L946" s="349"/>
      <c r="M946" s="348"/>
      <c r="N946" s="349"/>
    </row>
    <row r="947">
      <c r="A947" s="434" t="s">
        <v>485</v>
      </c>
      <c r="B947" s="434" t="s">
        <v>484</v>
      </c>
      <c r="C947" s="434">
        <v>1088.0</v>
      </c>
      <c r="D947" s="434" t="s">
        <v>1435</v>
      </c>
      <c r="E947" s="434" t="s">
        <v>39</v>
      </c>
      <c r="F947" s="455">
        <v>45490.0</v>
      </c>
      <c r="G947" s="455">
        <v>45910.0</v>
      </c>
      <c r="H947" s="455">
        <v>45975.0</v>
      </c>
      <c r="I947" s="455">
        <v>45977.0</v>
      </c>
      <c r="J947" s="439">
        <v>19.99</v>
      </c>
      <c r="K947" s="439">
        <v>0.0</v>
      </c>
      <c r="L947" s="439">
        <v>19.99</v>
      </c>
      <c r="M947" s="434">
        <v>4.0</v>
      </c>
      <c r="N947" s="439">
        <v>0.0</v>
      </c>
    </row>
    <row r="948">
      <c r="A948" s="346"/>
      <c r="B948" s="346"/>
      <c r="C948" s="347"/>
      <c r="D948" s="348"/>
      <c r="E948" s="346"/>
      <c r="F948" s="346"/>
      <c r="G948" s="346"/>
      <c r="H948" s="346"/>
      <c r="I948" s="346"/>
      <c r="J948" s="349"/>
      <c r="K948" s="349"/>
      <c r="L948" s="349"/>
      <c r="M948" s="348"/>
      <c r="N948" s="349"/>
    </row>
    <row r="949">
      <c r="A949" s="449" t="s">
        <v>487</v>
      </c>
      <c r="B949" s="343" t="s">
        <v>486</v>
      </c>
      <c r="C949" s="343">
        <v>299.0</v>
      </c>
      <c r="D949" s="343" t="s">
        <v>1436</v>
      </c>
      <c r="E949" s="343" t="s">
        <v>649</v>
      </c>
      <c r="F949" s="344">
        <v>41411.0</v>
      </c>
      <c r="G949" s="344">
        <v>44431.0</v>
      </c>
      <c r="H949" s="344">
        <v>44431.0</v>
      </c>
      <c r="I949" s="344">
        <v>44431.0</v>
      </c>
      <c r="J949" s="345">
        <v>15.0</v>
      </c>
      <c r="K949" s="345">
        <v>2.25</v>
      </c>
      <c r="L949" s="345">
        <v>12.75</v>
      </c>
      <c r="M949" s="343">
        <v>1.0</v>
      </c>
      <c r="N949" s="345">
        <v>2.25</v>
      </c>
    </row>
    <row r="950">
      <c r="A950" s="343" t="s">
        <v>487</v>
      </c>
      <c r="B950" s="343"/>
      <c r="C950" s="343">
        <v>748.0</v>
      </c>
      <c r="D950" s="343" t="s">
        <v>1437</v>
      </c>
      <c r="E950" s="343" t="s">
        <v>33</v>
      </c>
      <c r="F950" s="344">
        <v>41880.0</v>
      </c>
      <c r="G950" s="344">
        <v>44431.0</v>
      </c>
      <c r="H950" s="344">
        <v>44431.0</v>
      </c>
      <c r="I950" s="344">
        <v>44431.0</v>
      </c>
      <c r="J950" s="345">
        <v>14.99</v>
      </c>
      <c r="K950" s="345">
        <v>2.24</v>
      </c>
      <c r="L950" s="345">
        <v>12.75</v>
      </c>
      <c r="M950" s="343">
        <v>1.0</v>
      </c>
      <c r="N950" s="345">
        <v>2.24</v>
      </c>
    </row>
    <row r="951">
      <c r="A951" s="343" t="s">
        <v>487</v>
      </c>
      <c r="B951" s="343"/>
      <c r="C951" s="343">
        <v>749.0</v>
      </c>
      <c r="D951" s="343" t="s">
        <v>1439</v>
      </c>
      <c r="E951" s="343" t="s">
        <v>33</v>
      </c>
      <c r="F951" s="344">
        <v>43511.0</v>
      </c>
      <c r="G951" s="344">
        <v>44405.0</v>
      </c>
      <c r="H951" s="344">
        <v>44405.0</v>
      </c>
      <c r="I951" s="344">
        <v>44405.0</v>
      </c>
      <c r="J951" s="345">
        <v>39.99</v>
      </c>
      <c r="K951" s="345">
        <v>9.99</v>
      </c>
      <c r="L951" s="345">
        <v>30.0</v>
      </c>
      <c r="M951" s="343">
        <v>1.0</v>
      </c>
      <c r="N951" s="345">
        <v>9.99</v>
      </c>
    </row>
    <row r="952">
      <c r="A952" s="451"/>
      <c r="B952" s="451"/>
      <c r="C952" s="452"/>
      <c r="D952" s="453"/>
      <c r="E952" s="453"/>
      <c r="F952" s="453"/>
      <c r="G952" s="453"/>
      <c r="H952" s="453"/>
      <c r="I952" s="453"/>
      <c r="J952" s="454">
        <f t="shared" ref="J952:M952" si="119">SUM(J949:J951)</f>
        <v>69.98</v>
      </c>
      <c r="K952" s="454">
        <f t="shared" si="119"/>
        <v>14.48</v>
      </c>
      <c r="L952" s="454">
        <f t="shared" si="119"/>
        <v>55.5</v>
      </c>
      <c r="M952" s="453">
        <f t="shared" si="119"/>
        <v>3</v>
      </c>
      <c r="N952" s="454">
        <f>K952/M952</f>
        <v>4.826666667</v>
      </c>
    </row>
    <row r="953">
      <c r="A953" s="343" t="s">
        <v>487</v>
      </c>
      <c r="B953" s="343" t="s">
        <v>488</v>
      </c>
      <c r="C953" s="343">
        <v>923.0</v>
      </c>
      <c r="D953" s="343" t="s">
        <v>1440</v>
      </c>
      <c r="E953" s="343" t="s">
        <v>33</v>
      </c>
      <c r="F953" s="344">
        <v>43643.0</v>
      </c>
      <c r="G953" s="344">
        <v>44398.0</v>
      </c>
      <c r="H953" s="344">
        <v>44474.0</v>
      </c>
      <c r="I953" s="344">
        <v>44499.0</v>
      </c>
      <c r="J953" s="345">
        <v>64.99</v>
      </c>
      <c r="K953" s="345">
        <v>45.49</v>
      </c>
      <c r="L953" s="345">
        <v>19.5</v>
      </c>
      <c r="M953" s="343">
        <v>4.0</v>
      </c>
      <c r="N953" s="345">
        <v>11.37</v>
      </c>
    </row>
    <row r="954">
      <c r="A954" s="343" t="s">
        <v>487</v>
      </c>
      <c r="B954" s="343" t="s">
        <v>489</v>
      </c>
      <c r="C954" s="343">
        <v>789.0</v>
      </c>
      <c r="D954" s="343" t="s">
        <v>1438</v>
      </c>
      <c r="E954" s="343" t="s">
        <v>33</v>
      </c>
      <c r="F954" s="344">
        <v>42486.0</v>
      </c>
      <c r="G954" s="344">
        <v>42951.0</v>
      </c>
      <c r="H954" s="344">
        <v>43270.0</v>
      </c>
      <c r="I954" s="344">
        <v>43604.0</v>
      </c>
      <c r="J954" s="345">
        <v>12.99</v>
      </c>
      <c r="K954" s="345">
        <v>4.99</v>
      </c>
      <c r="L954" s="345">
        <v>8.0</v>
      </c>
      <c r="M954" s="343">
        <v>9.0</v>
      </c>
      <c r="N954" s="345">
        <v>0.55</v>
      </c>
    </row>
    <row r="955">
      <c r="A955" s="343" t="s">
        <v>487</v>
      </c>
      <c r="B955" s="343"/>
      <c r="C955" s="343">
        <v>790.0</v>
      </c>
      <c r="D955" s="343" t="s">
        <v>1441</v>
      </c>
      <c r="E955" s="343" t="s">
        <v>33</v>
      </c>
      <c r="F955" s="344">
        <v>44082.0</v>
      </c>
      <c r="G955" s="344">
        <v>44965.0</v>
      </c>
      <c r="H955" s="344">
        <v>44965.0</v>
      </c>
      <c r="I955" s="344">
        <v>44965.0</v>
      </c>
      <c r="J955" s="345">
        <v>19.99</v>
      </c>
      <c r="K955" s="345">
        <v>4.99</v>
      </c>
      <c r="L955" s="345">
        <v>15.0</v>
      </c>
      <c r="M955" s="343">
        <v>1.0</v>
      </c>
      <c r="N955" s="345">
        <v>4.99</v>
      </c>
    </row>
    <row r="956">
      <c r="A956" s="451"/>
      <c r="B956" s="451"/>
      <c r="C956" s="452"/>
      <c r="D956" s="453"/>
      <c r="E956" s="453"/>
      <c r="F956" s="453"/>
      <c r="G956" s="453"/>
      <c r="H956" s="453"/>
      <c r="I956" s="453"/>
      <c r="J956" s="454">
        <f t="shared" ref="J956:M956" si="120">SUM(J954:J955)</f>
        <v>32.98</v>
      </c>
      <c r="K956" s="454">
        <f t="shared" si="120"/>
        <v>9.98</v>
      </c>
      <c r="L956" s="454">
        <f t="shared" si="120"/>
        <v>23</v>
      </c>
      <c r="M956" s="453">
        <f t="shared" si="120"/>
        <v>10</v>
      </c>
      <c r="N956" s="454">
        <f>K956/M956</f>
        <v>0.998</v>
      </c>
    </row>
    <row r="957">
      <c r="A957" s="332"/>
      <c r="B957" s="332"/>
      <c r="C957" s="333"/>
      <c r="D957" s="334"/>
      <c r="E957" s="334"/>
      <c r="F957" s="334"/>
      <c r="G957" s="334"/>
      <c r="H957" s="334"/>
      <c r="I957" s="334"/>
      <c r="J957" s="335"/>
      <c r="K957" s="335"/>
      <c r="L957" s="335"/>
      <c r="M957" s="334"/>
      <c r="N957" s="335"/>
    </row>
    <row r="958">
      <c r="A958" s="358" t="s">
        <v>29</v>
      </c>
      <c r="B958" s="40" t="s">
        <v>490</v>
      </c>
      <c r="C958" s="40">
        <v>197.0</v>
      </c>
      <c r="D958" s="40" t="s">
        <v>1498</v>
      </c>
      <c r="E958" s="40" t="s">
        <v>649</v>
      </c>
      <c r="F958" s="360">
        <v>39738.0</v>
      </c>
      <c r="G958" s="360">
        <v>42969.0</v>
      </c>
      <c r="H958" s="360">
        <v>43033.0</v>
      </c>
      <c r="I958" s="360">
        <v>44282.0</v>
      </c>
      <c r="J958" s="361">
        <v>12.5</v>
      </c>
      <c r="K958" s="361">
        <v>5.0</v>
      </c>
      <c r="L958" s="361">
        <v>7.5</v>
      </c>
      <c r="M958" s="40">
        <v>15.0</v>
      </c>
      <c r="N958" s="361">
        <v>0.33</v>
      </c>
    </row>
    <row r="959">
      <c r="A959" s="358" t="s">
        <v>29</v>
      </c>
      <c r="B959" s="40"/>
      <c r="C959" s="40">
        <v>199.0</v>
      </c>
      <c r="D959" s="40" t="s">
        <v>1546</v>
      </c>
      <c r="E959" s="40" t="s">
        <v>649</v>
      </c>
      <c r="F959" s="360">
        <v>41359.0</v>
      </c>
      <c r="G959" s="360">
        <v>42969.0</v>
      </c>
      <c r="H959" s="360">
        <v>42969.0</v>
      </c>
      <c r="I959" s="360">
        <v>42969.0</v>
      </c>
      <c r="J959" s="361">
        <v>24.99</v>
      </c>
      <c r="K959" s="361">
        <v>9.99</v>
      </c>
      <c r="L959" s="361">
        <v>15.0</v>
      </c>
      <c r="M959" s="40">
        <v>1.0</v>
      </c>
      <c r="N959" s="361">
        <v>9.99</v>
      </c>
    </row>
    <row r="960">
      <c r="A960" s="146"/>
      <c r="B960" s="146"/>
      <c r="C960" s="340"/>
      <c r="D960" s="146"/>
      <c r="E960" s="146"/>
      <c r="F960" s="146"/>
      <c r="G960" s="146"/>
      <c r="H960" s="146"/>
      <c r="I960" s="146"/>
      <c r="J960" s="339">
        <f t="shared" ref="J960:M960" si="121">SUM(J958:J959)</f>
        <v>37.49</v>
      </c>
      <c r="K960" s="339">
        <f t="shared" si="121"/>
        <v>14.99</v>
      </c>
      <c r="L960" s="339">
        <f t="shared" si="121"/>
        <v>22.5</v>
      </c>
      <c r="M960" s="146">
        <f t="shared" si="121"/>
        <v>16</v>
      </c>
      <c r="N960" s="339">
        <f>K960/M960</f>
        <v>0.936875</v>
      </c>
    </row>
    <row r="961">
      <c r="A961" s="358" t="s">
        <v>29</v>
      </c>
      <c r="B961" s="40" t="s">
        <v>491</v>
      </c>
      <c r="C961" s="40">
        <v>198.0</v>
      </c>
      <c r="D961" s="40" t="s">
        <v>1508</v>
      </c>
      <c r="E961" s="40" t="s">
        <v>649</v>
      </c>
      <c r="F961" s="360">
        <v>40218.0</v>
      </c>
      <c r="G961" s="360">
        <v>42969.0</v>
      </c>
      <c r="H961" s="360">
        <v>44280.0</v>
      </c>
      <c r="I961" s="360">
        <v>44281.0</v>
      </c>
      <c r="J961" s="361">
        <v>12.49</v>
      </c>
      <c r="K961" s="361">
        <v>4.99</v>
      </c>
      <c r="L961" s="361">
        <v>7.5</v>
      </c>
      <c r="M961" s="40">
        <v>15.0</v>
      </c>
      <c r="N961" s="361">
        <v>0.33</v>
      </c>
    </row>
    <row r="962">
      <c r="A962" s="40" t="s">
        <v>29</v>
      </c>
      <c r="B962" s="40" t="s">
        <v>492</v>
      </c>
      <c r="C962" s="40">
        <v>828.0</v>
      </c>
      <c r="D962" s="40" t="s">
        <v>1632</v>
      </c>
      <c r="E962" s="40" t="s">
        <v>33</v>
      </c>
      <c r="F962" s="360">
        <v>43361.0</v>
      </c>
      <c r="G962" s="360">
        <v>43912.0</v>
      </c>
      <c r="H962" s="360">
        <v>43923.0</v>
      </c>
      <c r="I962" s="360">
        <v>43923.0</v>
      </c>
      <c r="J962" s="361">
        <v>14.99</v>
      </c>
      <c r="K962" s="361">
        <v>4.99</v>
      </c>
      <c r="L962" s="361">
        <v>10.0</v>
      </c>
      <c r="M962" s="40">
        <v>2.0</v>
      </c>
      <c r="N962" s="361">
        <v>2.5</v>
      </c>
    </row>
    <row r="963">
      <c r="A963" s="40" t="s">
        <v>29</v>
      </c>
      <c r="B963" s="40"/>
      <c r="C963" s="40">
        <v>829.0</v>
      </c>
      <c r="D963" s="40" t="s">
        <v>1633</v>
      </c>
      <c r="E963" s="40" t="s">
        <v>33</v>
      </c>
      <c r="F963" s="360">
        <v>43361.0</v>
      </c>
      <c r="G963" s="360">
        <v>43912.0</v>
      </c>
      <c r="H963" s="360">
        <v>43923.0</v>
      </c>
      <c r="I963" s="360">
        <v>43923.0</v>
      </c>
      <c r="J963" s="361">
        <v>14.99</v>
      </c>
      <c r="K963" s="361">
        <v>4.99</v>
      </c>
      <c r="L963" s="361">
        <v>10.0</v>
      </c>
      <c r="M963" s="40">
        <v>1.0</v>
      </c>
      <c r="N963" s="361">
        <v>4.99</v>
      </c>
    </row>
    <row r="964">
      <c r="A964" s="146"/>
      <c r="B964" s="146"/>
      <c r="C964" s="340"/>
      <c r="D964" s="146"/>
      <c r="E964" s="146"/>
      <c r="F964" s="146"/>
      <c r="G964" s="146"/>
      <c r="H964" s="146"/>
      <c r="I964" s="146"/>
      <c r="J964" s="339">
        <f t="shared" ref="J964:M964" si="122">SUM(J962:J963)</f>
        <v>29.98</v>
      </c>
      <c r="K964" s="339">
        <f t="shared" si="122"/>
        <v>9.98</v>
      </c>
      <c r="L964" s="339">
        <f t="shared" si="122"/>
        <v>20</v>
      </c>
      <c r="M964" s="146">
        <f t="shared" si="122"/>
        <v>3</v>
      </c>
      <c r="N964" s="339">
        <f>K964/M964</f>
        <v>3.326666667</v>
      </c>
    </row>
    <row r="965">
      <c r="A965" s="40" t="s">
        <v>29</v>
      </c>
      <c r="B965" s="40" t="s">
        <v>493</v>
      </c>
      <c r="C965" s="40">
        <v>647.0</v>
      </c>
      <c r="D965" s="40" t="s">
        <v>1666</v>
      </c>
      <c r="E965" s="40" t="s">
        <v>33</v>
      </c>
      <c r="F965" s="360">
        <v>44098.0</v>
      </c>
      <c r="G965" s="360">
        <v>45177.0</v>
      </c>
      <c r="H965" s="360">
        <v>45395.0</v>
      </c>
      <c r="I965" s="360">
        <v>45401.0</v>
      </c>
      <c r="J965" s="361">
        <v>19.99</v>
      </c>
      <c r="K965" s="361">
        <v>0.0</v>
      </c>
      <c r="L965" s="361">
        <v>19.99</v>
      </c>
      <c r="M965" s="40">
        <v>25.0</v>
      </c>
      <c r="N965" s="361">
        <v>0.0</v>
      </c>
    </row>
    <row r="966">
      <c r="A966" s="358" t="s">
        <v>29</v>
      </c>
      <c r="B966" s="40" t="s">
        <v>494</v>
      </c>
      <c r="C966" s="40">
        <v>330.0</v>
      </c>
      <c r="D966" s="40" t="s">
        <v>1533</v>
      </c>
      <c r="E966" s="40" t="s">
        <v>649</v>
      </c>
      <c r="F966" s="360">
        <v>41101.0</v>
      </c>
      <c r="G966" s="360">
        <v>44422.0</v>
      </c>
      <c r="H966" s="360">
        <v>45071.0</v>
      </c>
      <c r="I966" s="360">
        <v>45090.0</v>
      </c>
      <c r="J966" s="361">
        <v>10.99</v>
      </c>
      <c r="K966" s="361">
        <v>10.99</v>
      </c>
      <c r="L966" s="361">
        <v>0.0</v>
      </c>
      <c r="M966" s="40">
        <v>7.0</v>
      </c>
      <c r="N966" s="361">
        <v>1.57</v>
      </c>
    </row>
    <row r="967">
      <c r="A967" s="358" t="s">
        <v>29</v>
      </c>
      <c r="B967" s="40" t="s">
        <v>495</v>
      </c>
      <c r="C967" s="40">
        <v>1065.0</v>
      </c>
      <c r="D967" s="362" t="s">
        <v>1737</v>
      </c>
      <c r="E967" s="362" t="s">
        <v>39</v>
      </c>
      <c r="F967" s="360">
        <v>44964.0</v>
      </c>
      <c r="G967" s="360">
        <v>44811.0</v>
      </c>
      <c r="H967" s="360">
        <v>44964.0</v>
      </c>
      <c r="I967" s="360">
        <v>44979.0</v>
      </c>
      <c r="J967" s="362">
        <v>84.99</v>
      </c>
      <c r="K967" s="362">
        <v>0.0</v>
      </c>
      <c r="L967" s="361">
        <v>84.99</v>
      </c>
      <c r="M967" s="40">
        <v>93.0</v>
      </c>
      <c r="N967" s="361">
        <v>0.0</v>
      </c>
    </row>
    <row r="968">
      <c r="A968" s="40" t="s">
        <v>29</v>
      </c>
      <c r="B968" s="40" t="s">
        <v>496</v>
      </c>
      <c r="C968" s="40">
        <v>593.0</v>
      </c>
      <c r="D968" s="40" t="s">
        <v>1630</v>
      </c>
      <c r="E968" s="40" t="s">
        <v>33</v>
      </c>
      <c r="F968" s="360">
        <v>43340.0</v>
      </c>
      <c r="G968" s="360">
        <v>43856.0</v>
      </c>
      <c r="H968" s="360">
        <v>43857.0</v>
      </c>
      <c r="I968" s="360">
        <v>44385.0</v>
      </c>
      <c r="J968" s="361">
        <v>12.99</v>
      </c>
      <c r="K968" s="361">
        <v>6.49</v>
      </c>
      <c r="L968" s="361">
        <v>6.5</v>
      </c>
      <c r="M968" s="40">
        <v>6.0</v>
      </c>
      <c r="N968" s="361">
        <v>1.08</v>
      </c>
    </row>
    <row r="969">
      <c r="A969" s="357" t="s">
        <v>29</v>
      </c>
      <c r="B969" s="40" t="s">
        <v>497</v>
      </c>
      <c r="C969" s="40">
        <v>59.0</v>
      </c>
      <c r="D969" s="40" t="s">
        <v>1456</v>
      </c>
      <c r="E969" s="40" t="s">
        <v>682</v>
      </c>
      <c r="F969" s="360">
        <v>36357.0</v>
      </c>
      <c r="G969" s="360">
        <v>43014.0</v>
      </c>
      <c r="H969" s="360">
        <v>43014.0</v>
      </c>
      <c r="I969" s="360">
        <v>43014.0</v>
      </c>
      <c r="J969" s="361">
        <v>4.99</v>
      </c>
      <c r="K969" s="361">
        <v>2.49</v>
      </c>
      <c r="L969" s="361">
        <v>2.5</v>
      </c>
      <c r="M969" s="40">
        <v>1.0</v>
      </c>
      <c r="N969" s="361">
        <v>2.49</v>
      </c>
    </row>
    <row r="970">
      <c r="A970" s="40" t="s">
        <v>29</v>
      </c>
      <c r="B970" s="40"/>
      <c r="C970" s="40">
        <v>177.0</v>
      </c>
      <c r="D970" s="40" t="s">
        <v>1490</v>
      </c>
      <c r="E970" s="40" t="s">
        <v>37</v>
      </c>
      <c r="F970" s="360">
        <v>39892.0</v>
      </c>
      <c r="G970" s="360">
        <v>42279.0</v>
      </c>
      <c r="H970" s="360">
        <v>42279.0</v>
      </c>
      <c r="I970" s="360">
        <v>42279.0</v>
      </c>
      <c r="J970" s="361">
        <v>7.99</v>
      </c>
      <c r="K970" s="361">
        <v>2.99</v>
      </c>
      <c r="L970" s="361">
        <v>5.0</v>
      </c>
      <c r="M970" s="40">
        <v>1.0</v>
      </c>
      <c r="N970" s="361">
        <v>2.99</v>
      </c>
    </row>
    <row r="971">
      <c r="A971" s="40" t="s">
        <v>29</v>
      </c>
      <c r="B971" s="40"/>
      <c r="C971" s="40">
        <v>486.0</v>
      </c>
      <c r="D971" s="40" t="s">
        <v>1565</v>
      </c>
      <c r="E971" s="40" t="s">
        <v>671</v>
      </c>
      <c r="F971" s="360">
        <v>40961.0</v>
      </c>
      <c r="G971" s="360">
        <v>42218.0</v>
      </c>
      <c r="H971" s="360">
        <v>42218.0</v>
      </c>
      <c r="I971" s="360">
        <v>44992.0</v>
      </c>
      <c r="J971" s="361">
        <v>24.99</v>
      </c>
      <c r="K971" s="361">
        <v>6.99</v>
      </c>
      <c r="L971" s="361">
        <v>18.0</v>
      </c>
      <c r="M971" s="40">
        <v>50.0</v>
      </c>
      <c r="N971" s="361">
        <v>0.14</v>
      </c>
    </row>
    <row r="972">
      <c r="A972" s="40" t="s">
        <v>29</v>
      </c>
      <c r="B972" s="40"/>
      <c r="C972" s="40">
        <v>487.0</v>
      </c>
      <c r="D972" s="40" t="s">
        <v>1569</v>
      </c>
      <c r="E972" s="40" t="s">
        <v>671</v>
      </c>
      <c r="F972" s="360">
        <v>41248.0</v>
      </c>
      <c r="G972" s="360">
        <v>42246.0</v>
      </c>
      <c r="H972" s="360">
        <v>42246.0</v>
      </c>
      <c r="I972" s="360">
        <v>44992.0</v>
      </c>
      <c r="J972" s="361">
        <v>4.99</v>
      </c>
      <c r="K972" s="361">
        <v>4.99</v>
      </c>
      <c r="L972" s="361">
        <v>0.0</v>
      </c>
      <c r="M972" s="40">
        <v>15.0</v>
      </c>
      <c r="N972" s="361">
        <v>0.33</v>
      </c>
    </row>
    <row r="973">
      <c r="A973" s="357" t="s">
        <v>29</v>
      </c>
      <c r="B973" s="40"/>
      <c r="C973" s="40">
        <v>571.0</v>
      </c>
      <c r="D973" s="40" t="s">
        <v>1644</v>
      </c>
      <c r="E973" s="40" t="s">
        <v>33</v>
      </c>
      <c r="F973" s="360">
        <v>43581.0</v>
      </c>
      <c r="G973" s="360">
        <v>44334.0</v>
      </c>
      <c r="H973" s="360">
        <v>44339.0</v>
      </c>
      <c r="I973" s="360">
        <v>44382.0</v>
      </c>
      <c r="J973" s="361">
        <v>69.99</v>
      </c>
      <c r="K973" s="361">
        <v>0.0</v>
      </c>
      <c r="L973" s="361">
        <v>69.99</v>
      </c>
      <c r="M973" s="40">
        <v>57.0</v>
      </c>
      <c r="N973" s="361">
        <v>0.0</v>
      </c>
    </row>
    <row r="974">
      <c r="A974" s="146"/>
      <c r="B974" s="146"/>
      <c r="C974" s="340"/>
      <c r="D974" s="146"/>
      <c r="E974" s="146"/>
      <c r="F974" s="146"/>
      <c r="G974" s="146"/>
      <c r="H974" s="146"/>
      <c r="I974" s="146"/>
      <c r="J974" s="339">
        <f t="shared" ref="J974:M974" si="123">SUM(J969:J973)</f>
        <v>112.95</v>
      </c>
      <c r="K974" s="339">
        <f t="shared" si="123"/>
        <v>17.46</v>
      </c>
      <c r="L974" s="339">
        <f t="shared" si="123"/>
        <v>95.49</v>
      </c>
      <c r="M974" s="146">
        <f t="shared" si="123"/>
        <v>124</v>
      </c>
      <c r="N974" s="339">
        <f>K974/M974</f>
        <v>0.1408064516</v>
      </c>
    </row>
    <row r="975">
      <c r="A975" s="40" t="s">
        <v>29</v>
      </c>
      <c r="B975" s="40" t="s">
        <v>498</v>
      </c>
      <c r="C975" s="40">
        <v>617.0</v>
      </c>
      <c r="D975" s="40" t="s">
        <v>1593</v>
      </c>
      <c r="E975" s="40" t="s">
        <v>33</v>
      </c>
      <c r="F975" s="360">
        <v>42318.0</v>
      </c>
      <c r="G975" s="360">
        <v>43668.0</v>
      </c>
      <c r="H975" s="360">
        <v>44197.0</v>
      </c>
      <c r="I975" s="360">
        <v>44208.0</v>
      </c>
      <c r="J975" s="361">
        <v>19.99</v>
      </c>
      <c r="K975" s="361">
        <v>12.99</v>
      </c>
      <c r="L975" s="361">
        <v>7.0</v>
      </c>
      <c r="M975" s="40">
        <v>56.0</v>
      </c>
      <c r="N975" s="361">
        <v>0.23</v>
      </c>
    </row>
    <row r="976">
      <c r="A976" s="40" t="s">
        <v>29</v>
      </c>
      <c r="B976" s="40"/>
      <c r="C976" s="40">
        <v>618.0</v>
      </c>
      <c r="D976" s="40" t="s">
        <v>1628</v>
      </c>
      <c r="E976" s="40" t="s">
        <v>33</v>
      </c>
      <c r="F976" s="360">
        <v>43261.0</v>
      </c>
      <c r="G976" s="360">
        <v>45423.0</v>
      </c>
      <c r="H976" s="360">
        <v>45423.0</v>
      </c>
      <c r="I976" s="360">
        <v>45423.0</v>
      </c>
      <c r="J976" s="361">
        <v>6.96</v>
      </c>
      <c r="K976" s="361">
        <v>0.0</v>
      </c>
      <c r="L976" s="361">
        <v>6.96</v>
      </c>
      <c r="M976" s="40">
        <v>1.0</v>
      </c>
      <c r="N976" s="361">
        <v>0.0</v>
      </c>
    </row>
    <row r="977">
      <c r="A977" s="40" t="s">
        <v>29</v>
      </c>
      <c r="B977" s="40"/>
      <c r="C977" s="40">
        <v>1036.0</v>
      </c>
      <c r="D977" s="40" t="s">
        <v>1717</v>
      </c>
      <c r="E977" s="40" t="s">
        <v>666</v>
      </c>
      <c r="F977" s="360">
        <v>43056.0</v>
      </c>
      <c r="G977" s="360">
        <v>43469.0</v>
      </c>
      <c r="H977" s="360">
        <v>43469.0</v>
      </c>
      <c r="I977" s="360">
        <v>43469.0</v>
      </c>
      <c r="J977" s="361">
        <v>69.99</v>
      </c>
      <c r="K977" s="361">
        <v>0.0</v>
      </c>
      <c r="L977" s="361">
        <v>69.99</v>
      </c>
      <c r="M977" s="40">
        <v>1.0</v>
      </c>
      <c r="N977" s="361">
        <v>0.0</v>
      </c>
    </row>
    <row r="978">
      <c r="A978" s="146"/>
      <c r="B978" s="146"/>
      <c r="C978" s="340"/>
      <c r="D978" s="146"/>
      <c r="E978" s="146"/>
      <c r="F978" s="146"/>
      <c r="G978" s="146"/>
      <c r="H978" s="146"/>
      <c r="I978" s="146"/>
      <c r="J978" s="339">
        <f t="shared" ref="J978:M978" si="124">SUM(J975:J977)</f>
        <v>96.94</v>
      </c>
      <c r="K978" s="339">
        <f t="shared" si="124"/>
        <v>12.99</v>
      </c>
      <c r="L978" s="339">
        <f t="shared" si="124"/>
        <v>83.95</v>
      </c>
      <c r="M978" s="146">
        <f t="shared" si="124"/>
        <v>58</v>
      </c>
      <c r="N978" s="339">
        <f>K978/M978</f>
        <v>0.2239655172</v>
      </c>
    </row>
    <row r="979">
      <c r="A979" s="358" t="s">
        <v>29</v>
      </c>
      <c r="B979" s="40" t="s">
        <v>499</v>
      </c>
      <c r="C979" s="40">
        <v>276.0</v>
      </c>
      <c r="D979" s="40" t="s">
        <v>1529</v>
      </c>
      <c r="E979" s="40" t="s">
        <v>649</v>
      </c>
      <c r="F979" s="360">
        <v>40949.0</v>
      </c>
      <c r="G979" s="360">
        <v>44502.0</v>
      </c>
      <c r="H979" s="360">
        <v>44502.0</v>
      </c>
      <c r="I979" s="360">
        <v>44502.0</v>
      </c>
      <c r="J979" s="361">
        <v>39.99</v>
      </c>
      <c r="K979" s="361">
        <v>0.0</v>
      </c>
      <c r="L979" s="361">
        <v>39.99</v>
      </c>
      <c r="M979" s="40">
        <v>1.0</v>
      </c>
      <c r="N979" s="361">
        <v>0.0</v>
      </c>
    </row>
    <row r="980">
      <c r="A980" s="40" t="s">
        <v>29</v>
      </c>
      <c r="B980" s="40" t="s">
        <v>500</v>
      </c>
      <c r="C980" s="40">
        <v>1044.0</v>
      </c>
      <c r="D980" s="40" t="s">
        <v>1719</v>
      </c>
      <c r="E980" s="40" t="s">
        <v>666</v>
      </c>
      <c r="F980" s="360">
        <v>43088.0</v>
      </c>
      <c r="G980" s="360">
        <v>43912.0</v>
      </c>
      <c r="H980" s="360">
        <v>43912.0</v>
      </c>
      <c r="I980" s="360">
        <v>43912.0</v>
      </c>
      <c r="J980" s="361">
        <v>21.99</v>
      </c>
      <c r="K980" s="361">
        <v>6.99</v>
      </c>
      <c r="L980" s="361">
        <v>15.0</v>
      </c>
      <c r="M980" s="40">
        <v>2.0</v>
      </c>
      <c r="N980" s="361">
        <v>3.5</v>
      </c>
    </row>
    <row r="981">
      <c r="A981" s="40" t="s">
        <v>29</v>
      </c>
      <c r="B981" s="40" t="s">
        <v>501</v>
      </c>
      <c r="C981" s="40">
        <v>582.0</v>
      </c>
      <c r="D981" s="40" t="s">
        <v>1624</v>
      </c>
      <c r="E981" s="40" t="s">
        <v>33</v>
      </c>
      <c r="F981" s="360">
        <v>42984.0</v>
      </c>
      <c r="G981" s="360">
        <v>44964.0</v>
      </c>
      <c r="H981" s="360">
        <v>44964.0</v>
      </c>
      <c r="I981" s="360">
        <v>44964.0</v>
      </c>
      <c r="J981" s="361">
        <v>59.98</v>
      </c>
      <c r="K981" s="361">
        <v>0.0</v>
      </c>
      <c r="L981" s="361">
        <v>59.98</v>
      </c>
      <c r="M981" s="40">
        <v>1.0</v>
      </c>
      <c r="N981" s="361">
        <v>0.0</v>
      </c>
    </row>
    <row r="982">
      <c r="A982" s="40" t="s">
        <v>29</v>
      </c>
      <c r="B982" s="40" t="s">
        <v>502</v>
      </c>
      <c r="C982" s="40">
        <v>1019.0</v>
      </c>
      <c r="D982" s="40" t="s">
        <v>1731</v>
      </c>
      <c r="E982" s="40" t="s">
        <v>666</v>
      </c>
      <c r="F982" s="360">
        <v>44015.0</v>
      </c>
      <c r="G982" s="360">
        <v>44091.0</v>
      </c>
      <c r="H982" s="360">
        <v>44257.0</v>
      </c>
      <c r="I982" s="360">
        <v>44257.0</v>
      </c>
      <c r="J982" s="361">
        <v>39.99</v>
      </c>
      <c r="K982" s="361">
        <v>0.0</v>
      </c>
      <c r="L982" s="361">
        <v>39.99</v>
      </c>
      <c r="M982" s="40">
        <v>3.0</v>
      </c>
      <c r="N982" s="361">
        <v>0.0</v>
      </c>
    </row>
    <row r="983">
      <c r="A983" s="40" t="s">
        <v>29</v>
      </c>
      <c r="B983" s="40" t="s">
        <v>503</v>
      </c>
      <c r="C983" s="40">
        <v>992.0</v>
      </c>
      <c r="D983" s="40" t="s">
        <v>1713</v>
      </c>
      <c r="E983" s="40" t="s">
        <v>666</v>
      </c>
      <c r="F983" s="360">
        <v>42671.0</v>
      </c>
      <c r="G983" s="360">
        <v>43468.0</v>
      </c>
      <c r="H983" s="360">
        <v>43475.0</v>
      </c>
      <c r="I983" s="360">
        <v>43475.0</v>
      </c>
      <c r="J983" s="361">
        <v>19.99</v>
      </c>
      <c r="K983" s="361">
        <v>4.99</v>
      </c>
      <c r="L983" s="361">
        <v>15.0</v>
      </c>
      <c r="M983" s="40">
        <v>1.0</v>
      </c>
      <c r="N983" s="361">
        <v>4.99</v>
      </c>
    </row>
    <row r="984">
      <c r="A984" s="40" t="s">
        <v>29</v>
      </c>
      <c r="B984" s="40" t="s">
        <v>504</v>
      </c>
      <c r="C984" s="40">
        <v>506.0</v>
      </c>
      <c r="D984" s="40" t="s">
        <v>1685</v>
      </c>
      <c r="E984" s="40" t="s">
        <v>33</v>
      </c>
      <c r="F984" s="360">
        <v>44432.0</v>
      </c>
      <c r="G984" s="360">
        <v>45237.0</v>
      </c>
      <c r="H984" s="360">
        <v>45237.0</v>
      </c>
      <c r="I984" s="360">
        <v>45237.0</v>
      </c>
      <c r="J984" s="361">
        <v>29.99</v>
      </c>
      <c r="K984" s="361">
        <v>0.0</v>
      </c>
      <c r="L984" s="361">
        <v>29.99</v>
      </c>
      <c r="M984" s="40">
        <v>1.0</v>
      </c>
      <c r="N984" s="361">
        <v>0.0</v>
      </c>
    </row>
    <row r="985">
      <c r="A985" s="40" t="s">
        <v>29</v>
      </c>
      <c r="B985" s="40" t="s">
        <v>505</v>
      </c>
      <c r="C985" s="40">
        <v>758.0</v>
      </c>
      <c r="D985" s="40" t="s">
        <v>1661</v>
      </c>
      <c r="E985" s="40" t="s">
        <v>33</v>
      </c>
      <c r="F985" s="360">
        <v>44061.0</v>
      </c>
      <c r="G985" s="360">
        <v>44539.0</v>
      </c>
      <c r="H985" s="360">
        <v>44539.0</v>
      </c>
      <c r="I985" s="360">
        <v>44539.0</v>
      </c>
      <c r="J985" s="361">
        <v>29.99</v>
      </c>
      <c r="K985" s="361">
        <v>0.0</v>
      </c>
      <c r="L985" s="361">
        <v>29.99</v>
      </c>
      <c r="M985" s="40">
        <v>1.0</v>
      </c>
      <c r="N985" s="361">
        <v>0.0</v>
      </c>
    </row>
    <row r="986">
      <c r="A986" s="357" t="s">
        <v>29</v>
      </c>
      <c r="B986" s="357" t="s">
        <v>506</v>
      </c>
      <c r="C986" s="357">
        <v>858.0</v>
      </c>
      <c r="D986" s="357" t="s">
        <v>1611</v>
      </c>
      <c r="E986" s="357" t="s">
        <v>33</v>
      </c>
      <c r="F986" s="364">
        <v>42717.0</v>
      </c>
      <c r="G986" s="364">
        <v>42950.0</v>
      </c>
      <c r="H986" s="364">
        <v>44151.0</v>
      </c>
      <c r="I986" s="364">
        <v>46012.0</v>
      </c>
      <c r="J986" s="359">
        <v>14.99</v>
      </c>
      <c r="K986" s="359">
        <v>7.99</v>
      </c>
      <c r="L986" s="359">
        <v>7.0</v>
      </c>
      <c r="M986" s="357">
        <v>147.0</v>
      </c>
      <c r="N986" s="359">
        <v>0.05435374149659864</v>
      </c>
    </row>
    <row r="987">
      <c r="A987" s="358" t="s">
        <v>29</v>
      </c>
      <c r="B987" s="40" t="s">
        <v>507</v>
      </c>
      <c r="C987" s="40">
        <v>1063.0</v>
      </c>
      <c r="D987" s="40" t="s">
        <v>1735</v>
      </c>
      <c r="E987" s="40" t="s">
        <v>39</v>
      </c>
      <c r="F987" s="360">
        <v>44154.0</v>
      </c>
      <c r="G987" s="360">
        <v>44539.0</v>
      </c>
      <c r="H987" s="360">
        <v>44539.0</v>
      </c>
      <c r="I987" s="360">
        <v>44539.0</v>
      </c>
      <c r="J987" s="362">
        <v>14.99</v>
      </c>
      <c r="K987" s="362">
        <v>0.0</v>
      </c>
      <c r="L987" s="361">
        <v>14.99</v>
      </c>
      <c r="M987" s="40">
        <v>1.0</v>
      </c>
      <c r="N987" s="361">
        <v>0.0</v>
      </c>
    </row>
    <row r="988">
      <c r="A988" s="40" t="s">
        <v>29</v>
      </c>
      <c r="B988" s="40" t="s">
        <v>508</v>
      </c>
      <c r="C988" s="40">
        <v>485.0</v>
      </c>
      <c r="D988" s="40" t="s">
        <v>1581</v>
      </c>
      <c r="E988" s="40" t="s">
        <v>671</v>
      </c>
      <c r="F988" s="360">
        <v>42773.0</v>
      </c>
      <c r="G988" s="360">
        <v>44431.0</v>
      </c>
      <c r="H988" s="360">
        <v>44486.0</v>
      </c>
      <c r="I988" s="360">
        <v>44486.0</v>
      </c>
      <c r="J988" s="361">
        <v>14.49</v>
      </c>
      <c r="K988" s="361">
        <v>3.62</v>
      </c>
      <c r="L988" s="361">
        <v>10.87</v>
      </c>
      <c r="M988" s="40">
        <v>2.0</v>
      </c>
      <c r="N988" s="361">
        <v>1.81</v>
      </c>
    </row>
    <row r="989">
      <c r="A989" s="358" t="s">
        <v>29</v>
      </c>
      <c r="B989" s="358" t="s">
        <v>509</v>
      </c>
      <c r="C989" s="358">
        <v>24.0</v>
      </c>
      <c r="D989" s="358" t="s">
        <v>1446</v>
      </c>
      <c r="E989" s="358" t="s">
        <v>682</v>
      </c>
      <c r="F989" s="360">
        <v>35156.0</v>
      </c>
      <c r="G989" s="360">
        <v>42279.0</v>
      </c>
      <c r="H989" s="360">
        <v>45924.0</v>
      </c>
      <c r="I989" s="360">
        <v>45926.0</v>
      </c>
      <c r="J989" s="359">
        <v>14.99</v>
      </c>
      <c r="K989" s="359">
        <v>10.0</v>
      </c>
      <c r="L989" s="359">
        <f t="shared" ref="L989:L991" si="125">J989-K989</f>
        <v>4.99</v>
      </c>
      <c r="M989" s="358">
        <v>7.0</v>
      </c>
      <c r="N989" s="359">
        <f t="shared" ref="N989:N991" si="126">K989/M989</f>
        <v>1.428571429</v>
      </c>
    </row>
    <row r="990">
      <c r="A990" s="358" t="s">
        <v>29</v>
      </c>
      <c r="B990" s="358"/>
      <c r="C990" s="358">
        <v>25.0</v>
      </c>
      <c r="D990" s="358" t="s">
        <v>1451</v>
      </c>
      <c r="E990" s="358" t="s">
        <v>682</v>
      </c>
      <c r="F990" s="360">
        <v>35888.0</v>
      </c>
      <c r="G990" s="360">
        <v>42279.0</v>
      </c>
      <c r="H990" s="360">
        <v>45925.0</v>
      </c>
      <c r="I990" s="360">
        <v>45927.0</v>
      </c>
      <c r="J990" s="359">
        <v>15.99</v>
      </c>
      <c r="K990" s="359">
        <v>10.5</v>
      </c>
      <c r="L990" s="359">
        <f t="shared" si="125"/>
        <v>5.49</v>
      </c>
      <c r="M990" s="358">
        <v>4.0</v>
      </c>
      <c r="N990" s="359">
        <f t="shared" si="126"/>
        <v>2.625</v>
      </c>
    </row>
    <row r="991">
      <c r="A991" s="358" t="s">
        <v>29</v>
      </c>
      <c r="B991" s="358"/>
      <c r="C991" s="358">
        <v>26.0</v>
      </c>
      <c r="D991" s="358" t="s">
        <v>1455</v>
      </c>
      <c r="E991" s="358" t="s">
        <v>682</v>
      </c>
      <c r="F991" s="360">
        <v>36260.0</v>
      </c>
      <c r="G991" s="360">
        <v>42279.0</v>
      </c>
      <c r="H991" s="360">
        <v>45927.0</v>
      </c>
      <c r="I991" s="360">
        <v>45928.0</v>
      </c>
      <c r="J991" s="359">
        <v>15.98</v>
      </c>
      <c r="K991" s="359">
        <v>10.49</v>
      </c>
      <c r="L991" s="359">
        <f t="shared" si="125"/>
        <v>5.49</v>
      </c>
      <c r="M991" s="358">
        <v>6.0</v>
      </c>
      <c r="N991" s="359">
        <f t="shared" si="126"/>
        <v>1.748333333</v>
      </c>
    </row>
    <row r="992">
      <c r="A992" s="357" t="s">
        <v>29</v>
      </c>
      <c r="B992" s="40"/>
      <c r="C992" s="40">
        <v>148.0</v>
      </c>
      <c r="D992" s="40" t="s">
        <v>1483</v>
      </c>
      <c r="E992" s="40" t="s">
        <v>645</v>
      </c>
      <c r="F992" s="360">
        <v>38814.0</v>
      </c>
      <c r="G992" s="360">
        <v>42806.0</v>
      </c>
      <c r="H992" s="360">
        <v>42806.0</v>
      </c>
      <c r="I992" s="360">
        <v>42806.0</v>
      </c>
      <c r="J992" s="361">
        <v>9.99</v>
      </c>
      <c r="K992" s="361">
        <v>3.99</v>
      </c>
      <c r="L992" s="361">
        <v>6.0</v>
      </c>
      <c r="M992" s="40">
        <v>1.0</v>
      </c>
      <c r="N992" s="361">
        <v>3.99</v>
      </c>
    </row>
    <row r="993">
      <c r="A993" s="357" t="s">
        <v>29</v>
      </c>
      <c r="B993" s="40"/>
      <c r="C993" s="40">
        <v>149.0</v>
      </c>
      <c r="D993" s="40" t="s">
        <v>1486</v>
      </c>
      <c r="E993" s="40" t="s">
        <v>645</v>
      </c>
      <c r="F993" s="360">
        <v>39234.0</v>
      </c>
      <c r="G993" s="360">
        <v>42806.0</v>
      </c>
      <c r="H993" s="360">
        <v>42806.0</v>
      </c>
      <c r="I993" s="360">
        <v>42806.0</v>
      </c>
      <c r="J993" s="361">
        <v>9.99</v>
      </c>
      <c r="K993" s="361">
        <v>3.99</v>
      </c>
      <c r="L993" s="361">
        <v>6.0</v>
      </c>
      <c r="M993" s="40">
        <v>1.0</v>
      </c>
      <c r="N993" s="361">
        <v>3.99</v>
      </c>
    </row>
    <row r="994">
      <c r="A994" s="358" t="s">
        <v>29</v>
      </c>
      <c r="B994" s="40"/>
      <c r="C994" s="40">
        <v>407.0</v>
      </c>
      <c r="D994" s="40" t="s">
        <v>1545</v>
      </c>
      <c r="E994" s="40" t="s">
        <v>649</v>
      </c>
      <c r="F994" s="360">
        <v>41338.0</v>
      </c>
      <c r="G994" s="360">
        <v>41707.0</v>
      </c>
      <c r="H994" s="360">
        <v>41707.0</v>
      </c>
      <c r="I994" s="360">
        <v>45051.0</v>
      </c>
      <c r="J994" s="361">
        <v>24.99</v>
      </c>
      <c r="K994" s="361">
        <v>5.0</v>
      </c>
      <c r="L994" s="361">
        <v>19.99</v>
      </c>
      <c r="M994" s="40">
        <v>45.0</v>
      </c>
      <c r="N994" s="361">
        <v>0.11</v>
      </c>
    </row>
    <row r="995">
      <c r="A995" s="40" t="s">
        <v>29</v>
      </c>
      <c r="B995" s="40"/>
      <c r="C995" s="40">
        <v>816.0</v>
      </c>
      <c r="D995" s="40" t="s">
        <v>1610</v>
      </c>
      <c r="E995" s="40" t="s">
        <v>33</v>
      </c>
      <c r="F995" s="360">
        <v>42654.0</v>
      </c>
      <c r="G995" s="360">
        <v>43275.0</v>
      </c>
      <c r="H995" s="360">
        <v>43278.0</v>
      </c>
      <c r="I995" s="360">
        <v>45264.0</v>
      </c>
      <c r="J995" s="361">
        <v>29.99</v>
      </c>
      <c r="K995" s="361">
        <v>14.99</v>
      </c>
      <c r="L995" s="361">
        <v>15.0</v>
      </c>
      <c r="M995" s="40">
        <v>52.0</v>
      </c>
      <c r="N995" s="361">
        <v>0.29</v>
      </c>
    </row>
    <row r="996">
      <c r="A996" s="146"/>
      <c r="B996" s="146"/>
      <c r="C996" s="340"/>
      <c r="D996" s="146"/>
      <c r="E996" s="146"/>
      <c r="F996" s="146"/>
      <c r="G996" s="146"/>
      <c r="H996" s="146"/>
      <c r="I996" s="146"/>
      <c r="J996" s="339">
        <f t="shared" ref="J996:M996" si="127">SUM(J989:J995)</f>
        <v>121.92</v>
      </c>
      <c r="K996" s="339">
        <f t="shared" si="127"/>
        <v>58.96</v>
      </c>
      <c r="L996" s="339">
        <f t="shared" si="127"/>
        <v>62.96</v>
      </c>
      <c r="M996" s="146">
        <f t="shared" si="127"/>
        <v>116</v>
      </c>
      <c r="N996" s="339">
        <f>K996/M996</f>
        <v>0.5082758621</v>
      </c>
    </row>
    <row r="997">
      <c r="A997" s="40" t="s">
        <v>29</v>
      </c>
      <c r="B997" s="40" t="s">
        <v>510</v>
      </c>
      <c r="C997" s="40">
        <v>780.0</v>
      </c>
      <c r="D997" s="40" t="s">
        <v>1664</v>
      </c>
      <c r="E997" s="40" t="s">
        <v>33</v>
      </c>
      <c r="F997" s="360">
        <v>44084.0</v>
      </c>
      <c r="G997" s="360">
        <v>44335.0</v>
      </c>
      <c r="H997" s="360">
        <v>44473.0</v>
      </c>
      <c r="I997" s="360">
        <v>44474.0</v>
      </c>
      <c r="J997" s="361">
        <v>14.99</v>
      </c>
      <c r="K997" s="361">
        <v>8.24</v>
      </c>
      <c r="L997" s="361">
        <v>6.75</v>
      </c>
      <c r="M997" s="40">
        <v>5.0</v>
      </c>
      <c r="N997" s="361">
        <v>1.65</v>
      </c>
    </row>
    <row r="998">
      <c r="A998" s="358" t="s">
        <v>29</v>
      </c>
      <c r="B998" s="358" t="s">
        <v>511</v>
      </c>
      <c r="C998" s="40">
        <v>1078.0</v>
      </c>
      <c r="D998" s="40" t="s">
        <v>1742</v>
      </c>
      <c r="E998" s="40" t="s">
        <v>39</v>
      </c>
      <c r="F998" s="360">
        <v>45580.0</v>
      </c>
      <c r="G998" s="360">
        <v>45602.0</v>
      </c>
      <c r="H998" s="360">
        <v>45603.0</v>
      </c>
      <c r="I998" s="360">
        <v>45604.0</v>
      </c>
      <c r="J998" s="362">
        <v>19.99</v>
      </c>
      <c r="K998" s="362">
        <v>13.99</v>
      </c>
      <c r="L998" s="362">
        <v>6.0</v>
      </c>
      <c r="M998" s="40">
        <v>8.0</v>
      </c>
      <c r="N998" s="361">
        <v>1.75</v>
      </c>
    </row>
    <row r="999">
      <c r="A999" s="358" t="s">
        <v>29</v>
      </c>
      <c r="B999" s="40" t="s">
        <v>512</v>
      </c>
      <c r="C999" s="40">
        <v>349.0</v>
      </c>
      <c r="D999" s="40" t="s">
        <v>1497</v>
      </c>
      <c r="E999" s="40" t="s">
        <v>649</v>
      </c>
      <c r="F999" s="360">
        <v>39738.0</v>
      </c>
      <c r="G999" s="360">
        <v>44971.0</v>
      </c>
      <c r="H999" s="360">
        <v>44971.0</v>
      </c>
      <c r="I999" s="360">
        <v>44971.0</v>
      </c>
      <c r="J999" s="361">
        <v>4.99</v>
      </c>
      <c r="K999" s="361">
        <v>0.0</v>
      </c>
      <c r="L999" s="361">
        <v>4.99</v>
      </c>
      <c r="M999" s="40">
        <v>3.0</v>
      </c>
      <c r="N999" s="361">
        <v>0.0</v>
      </c>
    </row>
    <row r="1000">
      <c r="A1000" s="358" t="s">
        <v>29</v>
      </c>
      <c r="B1000" s="357"/>
      <c r="C1000" s="40">
        <v>350.0</v>
      </c>
      <c r="D1000" s="40" t="s">
        <v>1527</v>
      </c>
      <c r="E1000" s="40" t="s">
        <v>649</v>
      </c>
      <c r="F1000" s="360">
        <v>40865.0</v>
      </c>
      <c r="G1000" s="360">
        <v>40933.0</v>
      </c>
      <c r="H1000" s="360">
        <v>40933.0</v>
      </c>
      <c r="I1000" s="360">
        <v>45673.0</v>
      </c>
      <c r="J1000" s="361">
        <v>49.98</v>
      </c>
      <c r="K1000" s="361">
        <v>39.98</v>
      </c>
      <c r="L1000" s="361">
        <v>10.0</v>
      </c>
      <c r="M1000" s="40">
        <v>155.0</v>
      </c>
      <c r="N1000" s="361">
        <v>0.26</v>
      </c>
    </row>
    <row r="1001">
      <c r="A1001" s="358" t="s">
        <v>29</v>
      </c>
      <c r="B1001" s="40"/>
      <c r="C1001" s="40">
        <v>351.0</v>
      </c>
      <c r="D1001" s="40" t="s">
        <v>1553</v>
      </c>
      <c r="E1001" s="40" t="s">
        <v>649</v>
      </c>
      <c r="F1001" s="360">
        <v>41509.0</v>
      </c>
      <c r="G1001" s="360">
        <v>42263.0</v>
      </c>
      <c r="H1001" s="360">
        <v>42263.0</v>
      </c>
      <c r="I1001" s="360">
        <v>44395.0</v>
      </c>
      <c r="J1001" s="361">
        <v>34.98</v>
      </c>
      <c r="K1001" s="361">
        <v>7.49</v>
      </c>
      <c r="L1001" s="361">
        <v>27.49</v>
      </c>
      <c r="M1001" s="40">
        <v>100.0</v>
      </c>
      <c r="N1001" s="361">
        <v>0.07</v>
      </c>
    </row>
    <row r="1002">
      <c r="A1002" s="358" t="s">
        <v>29</v>
      </c>
      <c r="B1002" s="357"/>
      <c r="C1002" s="40">
        <v>352.0</v>
      </c>
      <c r="D1002" s="40" t="s">
        <v>1563</v>
      </c>
      <c r="E1002" s="40" t="s">
        <v>649</v>
      </c>
      <c r="F1002" s="360">
        <v>42027.0</v>
      </c>
      <c r="G1002" s="360">
        <v>44091.0</v>
      </c>
      <c r="H1002" s="360">
        <v>45671.0</v>
      </c>
      <c r="I1002" s="360">
        <v>45675.0</v>
      </c>
      <c r="J1002" s="361">
        <v>19.99</v>
      </c>
      <c r="K1002" s="361">
        <v>7.99</v>
      </c>
      <c r="L1002" s="361">
        <v>12.0</v>
      </c>
      <c r="M1002" s="40">
        <v>20.0</v>
      </c>
      <c r="N1002" s="361">
        <v>0.4</v>
      </c>
    </row>
    <row r="1003">
      <c r="A1003" s="40" t="s">
        <v>29</v>
      </c>
      <c r="B1003" s="40"/>
      <c r="C1003" s="40">
        <v>826.0</v>
      </c>
      <c r="D1003" s="40" t="s">
        <v>1690</v>
      </c>
      <c r="E1003" s="40" t="s">
        <v>33</v>
      </c>
      <c r="F1003" s="360">
        <v>44796.0</v>
      </c>
      <c r="G1003" s="360">
        <v>45174.0</v>
      </c>
      <c r="H1003" s="360">
        <v>45246.0</v>
      </c>
      <c r="I1003" s="360">
        <v>45254.0</v>
      </c>
      <c r="J1003" s="361">
        <v>69.99</v>
      </c>
      <c r="K1003" s="361">
        <v>0.0</v>
      </c>
      <c r="L1003" s="361">
        <v>69.99</v>
      </c>
      <c r="M1003" s="40">
        <v>62.0</v>
      </c>
      <c r="N1003" s="361">
        <v>0.0</v>
      </c>
    </row>
    <row r="1004">
      <c r="A1004" s="146"/>
      <c r="B1004" s="146"/>
      <c r="C1004" s="340"/>
      <c r="D1004" s="146"/>
      <c r="E1004" s="146"/>
      <c r="F1004" s="146"/>
      <c r="G1004" s="146"/>
      <c r="H1004" s="146"/>
      <c r="I1004" s="146"/>
      <c r="J1004" s="339">
        <f t="shared" ref="J1004:M1004" si="128">SUM(J999:J1003)</f>
        <v>179.93</v>
      </c>
      <c r="K1004" s="339">
        <f t="shared" si="128"/>
        <v>55.46</v>
      </c>
      <c r="L1004" s="339">
        <f t="shared" si="128"/>
        <v>124.47</v>
      </c>
      <c r="M1004" s="146">
        <f t="shared" si="128"/>
        <v>340</v>
      </c>
      <c r="N1004" s="339">
        <f>K1004/M1004</f>
        <v>0.1631176471</v>
      </c>
    </row>
    <row r="1005">
      <c r="A1005" s="40" t="s">
        <v>29</v>
      </c>
      <c r="B1005" s="40" t="s">
        <v>513</v>
      </c>
      <c r="C1005" s="40">
        <v>460.0</v>
      </c>
      <c r="D1005" s="40" t="s">
        <v>1574</v>
      </c>
      <c r="E1005" s="40" t="s">
        <v>671</v>
      </c>
      <c r="F1005" s="360">
        <v>42269.0</v>
      </c>
      <c r="G1005" s="360">
        <v>43295.0</v>
      </c>
      <c r="H1005" s="360">
        <v>43295.0</v>
      </c>
      <c r="I1005" s="360">
        <v>45005.0</v>
      </c>
      <c r="J1005" s="361">
        <v>10.99</v>
      </c>
      <c r="K1005" s="361">
        <v>10.99</v>
      </c>
      <c r="L1005" s="361">
        <v>0.0</v>
      </c>
      <c r="M1005" s="40">
        <v>10.0</v>
      </c>
      <c r="N1005" s="361">
        <v>1.1</v>
      </c>
    </row>
    <row r="1006">
      <c r="A1006" s="40" t="s">
        <v>29</v>
      </c>
      <c r="B1006" s="40" t="s">
        <v>514</v>
      </c>
      <c r="C1006" s="40">
        <v>504.0</v>
      </c>
      <c r="D1006" s="40" t="s">
        <v>1653</v>
      </c>
      <c r="E1006" s="40" t="s">
        <v>33</v>
      </c>
      <c r="F1006" s="360">
        <v>43767.0</v>
      </c>
      <c r="G1006" s="360">
        <v>43824.0</v>
      </c>
      <c r="H1006" s="360">
        <v>43824.0</v>
      </c>
      <c r="I1006" s="360">
        <v>43824.0</v>
      </c>
      <c r="J1006" s="361">
        <v>17.5</v>
      </c>
      <c r="K1006" s="361">
        <v>17.5</v>
      </c>
      <c r="L1006" s="361">
        <v>0.0</v>
      </c>
      <c r="M1006" s="40">
        <v>1.0</v>
      </c>
      <c r="N1006" s="361">
        <v>17.5</v>
      </c>
    </row>
    <row r="1007">
      <c r="A1007" s="40" t="s">
        <v>29</v>
      </c>
      <c r="B1007" s="40"/>
      <c r="C1007" s="40">
        <v>917.0</v>
      </c>
      <c r="D1007" s="40" t="s">
        <v>1652</v>
      </c>
      <c r="E1007" s="40" t="s">
        <v>33</v>
      </c>
      <c r="F1007" s="360">
        <v>43767.0</v>
      </c>
      <c r="G1007" s="360">
        <v>43824.0</v>
      </c>
      <c r="H1007" s="360">
        <v>43824.0</v>
      </c>
      <c r="I1007" s="360">
        <v>43824.0</v>
      </c>
      <c r="J1007" s="361">
        <v>17.49</v>
      </c>
      <c r="K1007" s="361">
        <v>17.49</v>
      </c>
      <c r="L1007" s="361">
        <v>0.0</v>
      </c>
      <c r="M1007" s="40">
        <v>1.0</v>
      </c>
      <c r="N1007" s="361">
        <v>17.49</v>
      </c>
    </row>
    <row r="1008">
      <c r="A1008" s="146"/>
      <c r="B1008" s="146"/>
      <c r="C1008" s="340"/>
      <c r="D1008" s="146"/>
      <c r="E1008" s="146"/>
      <c r="F1008" s="146"/>
      <c r="G1008" s="146"/>
      <c r="H1008" s="146"/>
      <c r="I1008" s="146"/>
      <c r="J1008" s="339">
        <f t="shared" ref="J1008:M1008" si="129">SUM(J1006:J1007)</f>
        <v>34.99</v>
      </c>
      <c r="K1008" s="339">
        <f t="shared" si="129"/>
        <v>34.99</v>
      </c>
      <c r="L1008" s="339">
        <f t="shared" si="129"/>
        <v>0</v>
      </c>
      <c r="M1008" s="146">
        <f t="shared" si="129"/>
        <v>2</v>
      </c>
      <c r="N1008" s="339">
        <f>K1008/M1008</f>
        <v>17.495</v>
      </c>
    </row>
    <row r="1009">
      <c r="A1009" s="456" t="s">
        <v>29</v>
      </c>
      <c r="B1009" s="393" t="s">
        <v>515</v>
      </c>
      <c r="C1009" s="40">
        <v>712.0</v>
      </c>
      <c r="D1009" s="40" t="s">
        <v>1700</v>
      </c>
      <c r="E1009" s="394" t="s">
        <v>33</v>
      </c>
      <c r="F1009" s="395">
        <v>45125.0</v>
      </c>
      <c r="G1009" s="395">
        <v>45812.0</v>
      </c>
      <c r="H1009" s="395">
        <v>45812.0</v>
      </c>
      <c r="I1009" s="395">
        <v>45812.0</v>
      </c>
      <c r="J1009" s="396">
        <v>12.5</v>
      </c>
      <c r="K1009" s="396">
        <v>6.25</v>
      </c>
      <c r="L1009" s="362">
        <v>6.25</v>
      </c>
      <c r="M1009" s="394">
        <v>1.0</v>
      </c>
      <c r="N1009" s="396">
        <v>6.25</v>
      </c>
    </row>
    <row r="1010">
      <c r="A1010" s="456" t="s">
        <v>29</v>
      </c>
      <c r="B1010" s="393"/>
      <c r="C1010" s="40">
        <v>713.0</v>
      </c>
      <c r="D1010" s="40" t="s">
        <v>1701</v>
      </c>
      <c r="E1010" s="394" t="s">
        <v>33</v>
      </c>
      <c r="F1010" s="395">
        <v>45125.0</v>
      </c>
      <c r="G1010" s="395">
        <v>45812.0</v>
      </c>
      <c r="H1010" s="395">
        <v>45812.0</v>
      </c>
      <c r="I1010" s="395">
        <v>45812.0</v>
      </c>
      <c r="J1010" s="396">
        <v>12.49</v>
      </c>
      <c r="K1010" s="396">
        <v>6.24</v>
      </c>
      <c r="L1010" s="362">
        <v>6.25</v>
      </c>
      <c r="M1010" s="394">
        <v>1.0</v>
      </c>
      <c r="N1010" s="396">
        <v>6.24</v>
      </c>
    </row>
    <row r="1011">
      <c r="A1011" s="146"/>
      <c r="B1011" s="146"/>
      <c r="C1011" s="340"/>
      <c r="D1011" s="146"/>
      <c r="E1011" s="146"/>
      <c r="F1011" s="146"/>
      <c r="G1011" s="146"/>
      <c r="H1011" s="146"/>
      <c r="I1011" s="146"/>
      <c r="J1011" s="339">
        <f t="shared" ref="J1011:M1011" si="130">SUM(J1009:J1010)</f>
        <v>24.99</v>
      </c>
      <c r="K1011" s="339">
        <f t="shared" si="130"/>
        <v>12.49</v>
      </c>
      <c r="L1011" s="339">
        <f t="shared" si="130"/>
        <v>12.5</v>
      </c>
      <c r="M1011" s="340">
        <f t="shared" si="130"/>
        <v>2</v>
      </c>
      <c r="N1011" s="339">
        <f>K1011/M1011</f>
        <v>6.245</v>
      </c>
    </row>
    <row r="1012">
      <c r="A1012" s="40" t="s">
        <v>29</v>
      </c>
      <c r="B1012" s="40" t="s">
        <v>516</v>
      </c>
      <c r="C1012" s="40">
        <v>608.0</v>
      </c>
      <c r="D1012" s="40" t="s">
        <v>1597</v>
      </c>
      <c r="E1012" s="40" t="s">
        <v>33</v>
      </c>
      <c r="F1012" s="360">
        <v>42465.0</v>
      </c>
      <c r="G1012" s="360">
        <v>42754.0</v>
      </c>
      <c r="H1012" s="360">
        <v>42939.0</v>
      </c>
      <c r="I1012" s="360">
        <v>44432.0</v>
      </c>
      <c r="J1012" s="361">
        <v>14.99</v>
      </c>
      <c r="K1012" s="361">
        <v>7.49</v>
      </c>
      <c r="L1012" s="361">
        <v>7.5</v>
      </c>
      <c r="M1012" s="40">
        <v>17.0</v>
      </c>
      <c r="N1012" s="361">
        <v>0.44</v>
      </c>
    </row>
    <row r="1013">
      <c r="A1013" s="40" t="s">
        <v>29</v>
      </c>
      <c r="B1013" s="40"/>
      <c r="C1013" s="40">
        <v>612.0</v>
      </c>
      <c r="D1013" s="40" t="s">
        <v>1674</v>
      </c>
      <c r="E1013" s="40" t="s">
        <v>33</v>
      </c>
      <c r="F1013" s="360">
        <v>44148.0</v>
      </c>
      <c r="G1013" s="360">
        <v>44426.0</v>
      </c>
      <c r="H1013" s="360">
        <v>44427.0</v>
      </c>
      <c r="I1013" s="360">
        <v>44427.0</v>
      </c>
      <c r="J1013" s="361">
        <v>9.99</v>
      </c>
      <c r="K1013" s="361">
        <v>6.99</v>
      </c>
      <c r="L1013" s="361">
        <v>3.0</v>
      </c>
      <c r="M1013" s="40">
        <v>2.0</v>
      </c>
      <c r="N1013" s="361">
        <v>3.5</v>
      </c>
    </row>
    <row r="1014">
      <c r="A1014" s="146"/>
      <c r="B1014" s="146"/>
      <c r="C1014" s="340"/>
      <c r="D1014" s="146"/>
      <c r="E1014" s="146"/>
      <c r="F1014" s="146"/>
      <c r="G1014" s="146"/>
      <c r="H1014" s="146"/>
      <c r="I1014" s="146"/>
      <c r="J1014" s="339">
        <f t="shared" ref="J1014:M1014" si="131">SUM(J1012:J1013)</f>
        <v>24.98</v>
      </c>
      <c r="K1014" s="339">
        <f t="shared" si="131"/>
        <v>14.48</v>
      </c>
      <c r="L1014" s="339">
        <f t="shared" si="131"/>
        <v>10.5</v>
      </c>
      <c r="M1014" s="146">
        <f t="shared" si="131"/>
        <v>19</v>
      </c>
      <c r="N1014" s="339">
        <f>K1014/M1014</f>
        <v>0.7621052632</v>
      </c>
    </row>
    <row r="1015">
      <c r="A1015" s="357" t="s">
        <v>29</v>
      </c>
      <c r="B1015" s="40" t="s">
        <v>517</v>
      </c>
      <c r="C1015" s="40">
        <v>123.0</v>
      </c>
      <c r="D1015" s="40" t="s">
        <v>1481</v>
      </c>
      <c r="E1015" s="40" t="s">
        <v>645</v>
      </c>
      <c r="F1015" s="360">
        <v>38758.0</v>
      </c>
      <c r="G1015" s="360">
        <v>42623.0</v>
      </c>
      <c r="H1015" s="360">
        <v>44409.0</v>
      </c>
      <c r="I1015" s="360">
        <v>44412.0</v>
      </c>
      <c r="J1015" s="361">
        <v>10.99</v>
      </c>
      <c r="K1015" s="361">
        <v>7.99</v>
      </c>
      <c r="L1015" s="361">
        <v>3.0</v>
      </c>
      <c r="M1015" s="40">
        <v>20.0</v>
      </c>
      <c r="N1015" s="361">
        <v>0.4</v>
      </c>
    </row>
    <row r="1016">
      <c r="A1016" s="358" t="s">
        <v>29</v>
      </c>
      <c r="B1016" s="40"/>
      <c r="C1016" s="40">
        <v>385.0</v>
      </c>
      <c r="D1016" s="40" t="s">
        <v>1544</v>
      </c>
      <c r="E1016" s="40" t="s">
        <v>649</v>
      </c>
      <c r="F1016" s="360">
        <v>41297.0</v>
      </c>
      <c r="G1016" s="360">
        <v>41297.0</v>
      </c>
      <c r="H1016" s="360">
        <v>45077.0</v>
      </c>
      <c r="I1016" s="360">
        <v>45077.0</v>
      </c>
      <c r="J1016" s="361">
        <v>12.99</v>
      </c>
      <c r="K1016" s="361">
        <v>0.0</v>
      </c>
      <c r="L1016" s="361">
        <v>12.99</v>
      </c>
      <c r="M1016" s="40">
        <v>5.0</v>
      </c>
      <c r="N1016" s="361">
        <v>0.0</v>
      </c>
    </row>
    <row r="1017">
      <c r="A1017" s="40" t="s">
        <v>29</v>
      </c>
      <c r="B1017" s="40"/>
      <c r="C1017" s="40">
        <v>431.0</v>
      </c>
      <c r="D1017" s="40" t="s">
        <v>1573</v>
      </c>
      <c r="E1017" s="40" t="s">
        <v>671</v>
      </c>
      <c r="F1017" s="360">
        <v>42123.0</v>
      </c>
      <c r="G1017" s="360">
        <v>42950.0</v>
      </c>
      <c r="H1017" s="360">
        <v>42950.0</v>
      </c>
      <c r="I1017" s="360">
        <v>42950.0</v>
      </c>
      <c r="J1017" s="361">
        <v>14.99</v>
      </c>
      <c r="K1017" s="361">
        <v>6.99</v>
      </c>
      <c r="L1017" s="361">
        <v>8.0</v>
      </c>
      <c r="M1017" s="40">
        <v>1.0</v>
      </c>
      <c r="N1017" s="361">
        <v>6.99</v>
      </c>
    </row>
    <row r="1018">
      <c r="A1018" s="40" t="s">
        <v>29</v>
      </c>
      <c r="B1018" s="40"/>
      <c r="C1018" s="40">
        <v>802.0</v>
      </c>
      <c r="D1018" s="40" t="s">
        <v>1686</v>
      </c>
      <c r="E1018" s="40" t="s">
        <v>33</v>
      </c>
      <c r="F1018" s="360">
        <v>44433.0</v>
      </c>
      <c r="G1018" s="360">
        <v>44521.0</v>
      </c>
      <c r="H1018" s="360">
        <v>44522.0</v>
      </c>
      <c r="I1018" s="360">
        <v>44526.0</v>
      </c>
      <c r="J1018" s="361">
        <v>59.99</v>
      </c>
      <c r="K1018" s="361">
        <v>41.99</v>
      </c>
      <c r="L1018" s="361">
        <v>18.0</v>
      </c>
      <c r="M1018" s="40">
        <v>22.0</v>
      </c>
      <c r="N1018" s="361">
        <v>1.91</v>
      </c>
    </row>
    <row r="1019">
      <c r="A1019" s="40" t="s">
        <v>29</v>
      </c>
      <c r="B1019" s="40"/>
      <c r="C1019" s="40">
        <v>1024.0</v>
      </c>
      <c r="D1019" s="40" t="s">
        <v>1715</v>
      </c>
      <c r="E1019" s="40" t="s">
        <v>666</v>
      </c>
      <c r="F1019" s="360">
        <v>42787.0</v>
      </c>
      <c r="G1019" s="360">
        <v>43472.0</v>
      </c>
      <c r="H1019" s="360">
        <v>44521.0</v>
      </c>
      <c r="I1019" s="360">
        <v>44522.0</v>
      </c>
      <c r="J1019" s="361">
        <v>18.99</v>
      </c>
      <c r="K1019" s="361">
        <v>6.49</v>
      </c>
      <c r="L1019" s="361">
        <v>12.5</v>
      </c>
      <c r="M1019" s="40">
        <v>3.0</v>
      </c>
      <c r="N1019" s="361">
        <v>2.16</v>
      </c>
    </row>
    <row r="1020">
      <c r="A1020" s="146"/>
      <c r="B1020" s="146"/>
      <c r="C1020" s="340"/>
      <c r="D1020" s="146"/>
      <c r="E1020" s="146"/>
      <c r="F1020" s="146"/>
      <c r="G1020" s="146"/>
      <c r="H1020" s="146"/>
      <c r="I1020" s="146"/>
      <c r="J1020" s="339">
        <f t="shared" ref="J1020:M1020" si="132">SUM(J1015:J1019)</f>
        <v>117.95</v>
      </c>
      <c r="K1020" s="339">
        <f t="shared" si="132"/>
        <v>63.46</v>
      </c>
      <c r="L1020" s="339">
        <f t="shared" si="132"/>
        <v>54.49</v>
      </c>
      <c r="M1020" s="146">
        <f t="shared" si="132"/>
        <v>51</v>
      </c>
      <c r="N1020" s="339">
        <f>K1020/M1020</f>
        <v>1.244313725</v>
      </c>
    </row>
    <row r="1021">
      <c r="A1021" s="358" t="s">
        <v>29</v>
      </c>
      <c r="B1021" s="40" t="s">
        <v>518</v>
      </c>
      <c r="C1021" s="40">
        <v>213.0</v>
      </c>
      <c r="D1021" s="40" t="s">
        <v>1561</v>
      </c>
      <c r="E1021" s="40" t="s">
        <v>649</v>
      </c>
      <c r="F1021" s="360">
        <v>41871.0</v>
      </c>
      <c r="G1021" s="360">
        <v>42925.0</v>
      </c>
      <c r="H1021" s="360">
        <v>43080.0</v>
      </c>
      <c r="I1021" s="360">
        <v>43241.0</v>
      </c>
      <c r="J1021" s="361">
        <v>12.99</v>
      </c>
      <c r="K1021" s="361">
        <v>3.99</v>
      </c>
      <c r="L1021" s="361">
        <v>9.0</v>
      </c>
      <c r="M1021" s="40">
        <v>5.0</v>
      </c>
      <c r="N1021" s="361">
        <v>0.8</v>
      </c>
    </row>
    <row r="1022">
      <c r="A1022" s="358" t="s">
        <v>29</v>
      </c>
      <c r="B1022" s="40" t="s">
        <v>519</v>
      </c>
      <c r="C1022" s="40">
        <v>402.0</v>
      </c>
      <c r="D1022" s="40" t="s">
        <v>1512</v>
      </c>
      <c r="E1022" s="40" t="s">
        <v>649</v>
      </c>
      <c r="F1022" s="360">
        <v>40361.0</v>
      </c>
      <c r="G1022" s="360">
        <v>40405.0</v>
      </c>
      <c r="H1022" s="360">
        <v>40405.0</v>
      </c>
      <c r="I1022" s="360">
        <v>44743.0</v>
      </c>
      <c r="J1022" s="361">
        <v>29.99</v>
      </c>
      <c r="K1022" s="361">
        <v>1.0</v>
      </c>
      <c r="L1022" s="361">
        <v>28.99</v>
      </c>
      <c r="M1022" s="40">
        <v>25.0</v>
      </c>
      <c r="N1022" s="361">
        <v>0.04</v>
      </c>
    </row>
    <row r="1023">
      <c r="A1023" s="358" t="s">
        <v>29</v>
      </c>
      <c r="B1023" s="40" t="s">
        <v>520</v>
      </c>
      <c r="C1023" s="40">
        <v>411.0</v>
      </c>
      <c r="D1023" s="40" t="s">
        <v>1531</v>
      </c>
      <c r="E1023" s="40" t="s">
        <v>649</v>
      </c>
      <c r="F1023" s="360">
        <v>40984.0</v>
      </c>
      <c r="G1023" s="360">
        <v>44115.0</v>
      </c>
      <c r="H1023" s="360">
        <v>44115.0</v>
      </c>
      <c r="I1023" s="360">
        <v>44115.0</v>
      </c>
      <c r="J1023" s="361">
        <v>24.99</v>
      </c>
      <c r="K1023" s="361">
        <v>5.0</v>
      </c>
      <c r="L1023" s="361">
        <v>19.99</v>
      </c>
      <c r="M1023" s="40">
        <v>1.0</v>
      </c>
      <c r="N1023" s="361">
        <v>5.0</v>
      </c>
    </row>
    <row r="1024">
      <c r="A1024" s="358" t="s">
        <v>29</v>
      </c>
      <c r="B1024" s="40" t="s">
        <v>521</v>
      </c>
      <c r="C1024" s="40">
        <v>686.0</v>
      </c>
      <c r="D1024" s="40" t="s">
        <v>1687</v>
      </c>
      <c r="E1024" s="40" t="s">
        <v>33</v>
      </c>
      <c r="F1024" s="360">
        <v>44460.0</v>
      </c>
      <c r="G1024" s="360">
        <v>44555.0</v>
      </c>
      <c r="H1024" s="360">
        <v>44562.0</v>
      </c>
      <c r="I1024" s="360">
        <v>44566.0</v>
      </c>
      <c r="J1024" s="361">
        <v>39.99</v>
      </c>
      <c r="K1024" s="361">
        <v>0.0</v>
      </c>
      <c r="L1024" s="361">
        <v>39.99</v>
      </c>
      <c r="M1024" s="40">
        <v>19.0</v>
      </c>
      <c r="N1024" s="361">
        <v>0.0</v>
      </c>
    </row>
    <row r="1025">
      <c r="A1025" s="357" t="s">
        <v>29</v>
      </c>
      <c r="B1025" s="40" t="s">
        <v>522</v>
      </c>
      <c r="C1025" s="40">
        <v>574.0</v>
      </c>
      <c r="D1025" s="40" t="s">
        <v>1604</v>
      </c>
      <c r="E1025" s="40" t="s">
        <v>33</v>
      </c>
      <c r="F1025" s="360">
        <v>42583.0</v>
      </c>
      <c r="G1025" s="360">
        <v>42750.0</v>
      </c>
      <c r="H1025" s="360">
        <v>42851.0</v>
      </c>
      <c r="I1025" s="360">
        <v>45412.0</v>
      </c>
      <c r="J1025" s="361">
        <v>4.99</v>
      </c>
      <c r="K1025" s="361">
        <v>2.99</v>
      </c>
      <c r="L1025" s="361">
        <v>2.0</v>
      </c>
      <c r="M1025" s="40">
        <v>1.0</v>
      </c>
      <c r="N1025" s="361">
        <v>2.99</v>
      </c>
    </row>
    <row r="1026">
      <c r="A1026" s="40" t="s">
        <v>29</v>
      </c>
      <c r="B1026" s="40" t="s">
        <v>523</v>
      </c>
      <c r="C1026" s="40">
        <v>1025.0</v>
      </c>
      <c r="D1026" s="40" t="s">
        <v>1710</v>
      </c>
      <c r="E1026" s="40" t="s">
        <v>666</v>
      </c>
      <c r="F1026" s="360">
        <v>42656.0</v>
      </c>
      <c r="G1026" s="360">
        <v>43543.0</v>
      </c>
      <c r="H1026" s="360">
        <v>43543.0</v>
      </c>
      <c r="I1026" s="360">
        <v>43543.0</v>
      </c>
      <c r="J1026" s="361">
        <v>29.99</v>
      </c>
      <c r="K1026" s="361">
        <v>14.99</v>
      </c>
      <c r="L1026" s="361">
        <v>15.0</v>
      </c>
      <c r="M1026" s="40">
        <v>2.0</v>
      </c>
      <c r="N1026" s="361">
        <v>7.5</v>
      </c>
    </row>
    <row r="1027">
      <c r="A1027" s="40" t="s">
        <v>29</v>
      </c>
      <c r="B1027" s="40" t="s">
        <v>524</v>
      </c>
      <c r="C1027" s="40">
        <v>636.0</v>
      </c>
      <c r="D1027" s="40" t="s">
        <v>1620</v>
      </c>
      <c r="E1027" s="40" t="s">
        <v>33</v>
      </c>
      <c r="F1027" s="360">
        <v>42941.0</v>
      </c>
      <c r="G1027" s="360">
        <v>43265.0</v>
      </c>
      <c r="H1027" s="360">
        <v>43265.0</v>
      </c>
      <c r="I1027" s="360">
        <v>43265.0</v>
      </c>
      <c r="J1027" s="361">
        <v>0.0</v>
      </c>
      <c r="K1027" s="361">
        <v>0.0</v>
      </c>
      <c r="L1027" s="361">
        <v>0.0</v>
      </c>
      <c r="M1027" s="40">
        <v>1.0</v>
      </c>
      <c r="N1027" s="361">
        <v>0.0</v>
      </c>
    </row>
    <row r="1028">
      <c r="A1028" s="40" t="s">
        <v>29</v>
      </c>
      <c r="B1028" s="40" t="s">
        <v>525</v>
      </c>
      <c r="C1028" s="40">
        <v>817.0</v>
      </c>
      <c r="D1028" s="40" t="s">
        <v>1636</v>
      </c>
      <c r="E1028" s="40" t="s">
        <v>33</v>
      </c>
      <c r="F1028" s="360">
        <v>43410.0</v>
      </c>
      <c r="G1028" s="360">
        <v>44398.0</v>
      </c>
      <c r="H1028" s="360">
        <v>44406.0</v>
      </c>
      <c r="I1028" s="360">
        <v>44407.0</v>
      </c>
      <c r="J1028" s="361">
        <v>19.99</v>
      </c>
      <c r="K1028" s="361">
        <v>7.99</v>
      </c>
      <c r="L1028" s="361">
        <v>12.0</v>
      </c>
      <c r="M1028" s="40">
        <v>14.0</v>
      </c>
      <c r="N1028" s="361">
        <v>0.57</v>
      </c>
    </row>
    <row r="1029">
      <c r="A1029" s="358" t="s">
        <v>29</v>
      </c>
      <c r="B1029" s="40" t="s">
        <v>526</v>
      </c>
      <c r="C1029" s="40">
        <v>424.0</v>
      </c>
      <c r="D1029" s="40" t="s">
        <v>1536</v>
      </c>
      <c r="E1029" s="40" t="s">
        <v>649</v>
      </c>
      <c r="F1029" s="360">
        <v>41194.0</v>
      </c>
      <c r="G1029" s="360">
        <v>41449.0</v>
      </c>
      <c r="H1029" s="360">
        <v>41449.0</v>
      </c>
      <c r="I1029" s="360">
        <v>44782.0</v>
      </c>
      <c r="J1029" s="361">
        <v>39.98</v>
      </c>
      <c r="K1029" s="361">
        <v>25.98</v>
      </c>
      <c r="L1029" s="361">
        <v>14.0</v>
      </c>
      <c r="M1029" s="40">
        <v>15.0</v>
      </c>
      <c r="N1029" s="361">
        <v>1.73</v>
      </c>
    </row>
    <row r="1030">
      <c r="A1030" s="40" t="s">
        <v>29</v>
      </c>
      <c r="B1030" s="40"/>
      <c r="C1030" s="40">
        <v>976.0</v>
      </c>
      <c r="D1030" s="40" t="s">
        <v>1608</v>
      </c>
      <c r="E1030" s="40" t="s">
        <v>33</v>
      </c>
      <c r="F1030" s="360">
        <v>42643.0</v>
      </c>
      <c r="G1030" s="360">
        <v>44063.0</v>
      </c>
      <c r="H1030" s="360">
        <v>44063.0</v>
      </c>
      <c r="I1030" s="360">
        <v>44063.0</v>
      </c>
      <c r="J1030" s="361">
        <v>49.99</v>
      </c>
      <c r="K1030" s="361">
        <v>12.49</v>
      </c>
      <c r="L1030" s="361">
        <v>37.5</v>
      </c>
      <c r="M1030" s="40">
        <v>1.0</v>
      </c>
      <c r="N1030" s="361">
        <v>12.49</v>
      </c>
    </row>
    <row r="1031">
      <c r="A1031" s="146"/>
      <c r="B1031" s="146"/>
      <c r="C1031" s="340"/>
      <c r="D1031" s="146"/>
      <c r="E1031" s="146"/>
      <c r="F1031" s="146"/>
      <c r="G1031" s="146"/>
      <c r="H1031" s="146"/>
      <c r="I1031" s="146"/>
      <c r="J1031" s="339">
        <f t="shared" ref="J1031:M1031" si="133">SUM(J1029:J1030)</f>
        <v>89.97</v>
      </c>
      <c r="K1031" s="339">
        <f t="shared" si="133"/>
        <v>38.47</v>
      </c>
      <c r="L1031" s="339">
        <f t="shared" si="133"/>
        <v>51.5</v>
      </c>
      <c r="M1031" s="146">
        <f t="shared" si="133"/>
        <v>16</v>
      </c>
      <c r="N1031" s="339">
        <f>K1031/M1031</f>
        <v>2.404375</v>
      </c>
    </row>
    <row r="1032">
      <c r="A1032" s="40" t="s">
        <v>29</v>
      </c>
      <c r="B1032" s="40" t="s">
        <v>527</v>
      </c>
      <c r="C1032" s="40">
        <v>642.0</v>
      </c>
      <c r="D1032" s="40" t="s">
        <v>1602</v>
      </c>
      <c r="E1032" s="40" t="s">
        <v>33</v>
      </c>
      <c r="F1032" s="360">
        <v>42566.0</v>
      </c>
      <c r="G1032" s="360">
        <v>43275.0</v>
      </c>
      <c r="H1032" s="360">
        <v>43407.0</v>
      </c>
      <c r="I1032" s="360">
        <v>44842.0</v>
      </c>
      <c r="J1032" s="361">
        <v>29.99</v>
      </c>
      <c r="K1032" s="361">
        <v>7.99</v>
      </c>
      <c r="L1032" s="361">
        <v>22.0</v>
      </c>
      <c r="M1032" s="40">
        <v>9.0</v>
      </c>
      <c r="N1032" s="361">
        <v>0.89</v>
      </c>
    </row>
    <row r="1033">
      <c r="A1033" s="40" t="s">
        <v>29</v>
      </c>
      <c r="B1033" s="40" t="s">
        <v>528</v>
      </c>
      <c r="C1033" s="40">
        <v>819.0</v>
      </c>
      <c r="D1033" s="40" t="s">
        <v>1668</v>
      </c>
      <c r="E1033" s="40" t="s">
        <v>33</v>
      </c>
      <c r="F1033" s="360">
        <v>44105.0</v>
      </c>
      <c r="G1033" s="360">
        <v>44335.0</v>
      </c>
      <c r="H1033" s="360">
        <v>44335.0</v>
      </c>
      <c r="I1033" s="360">
        <v>44335.0</v>
      </c>
      <c r="J1033" s="361">
        <v>0.0</v>
      </c>
      <c r="K1033" s="361">
        <v>0.0</v>
      </c>
      <c r="L1033" s="361">
        <v>0.0</v>
      </c>
      <c r="M1033" s="40">
        <v>1.0</v>
      </c>
      <c r="N1033" s="361">
        <v>0.0</v>
      </c>
    </row>
    <row r="1034">
      <c r="A1034" s="40" t="s">
        <v>29</v>
      </c>
      <c r="B1034" s="40" t="s">
        <v>529</v>
      </c>
      <c r="C1034" s="40">
        <v>990.0</v>
      </c>
      <c r="D1034" s="40" t="s">
        <v>1728</v>
      </c>
      <c r="E1034" s="40" t="s">
        <v>666</v>
      </c>
      <c r="F1034" s="360">
        <v>43585.0</v>
      </c>
      <c r="G1034" s="360">
        <v>43824.0</v>
      </c>
      <c r="H1034" s="360">
        <v>43843.0</v>
      </c>
      <c r="I1034" s="360">
        <v>44679.0</v>
      </c>
      <c r="J1034" s="361">
        <v>29.99</v>
      </c>
      <c r="K1034" s="361">
        <v>17.99</v>
      </c>
      <c r="L1034" s="361">
        <v>12.0</v>
      </c>
      <c r="M1034" s="40">
        <v>2.0</v>
      </c>
      <c r="N1034" s="361">
        <v>9.0</v>
      </c>
    </row>
    <row r="1035">
      <c r="A1035" s="40" t="s">
        <v>29</v>
      </c>
      <c r="B1035" s="40" t="s">
        <v>530</v>
      </c>
      <c r="C1035" s="40">
        <v>1007.0</v>
      </c>
      <c r="D1035" s="40" t="s">
        <v>1711</v>
      </c>
      <c r="E1035" s="40" t="s">
        <v>666</v>
      </c>
      <c r="F1035" s="360">
        <v>42656.0</v>
      </c>
      <c r="G1035" s="360">
        <v>43466.0</v>
      </c>
      <c r="H1035" s="360">
        <v>43467.0</v>
      </c>
      <c r="I1035" s="360">
        <v>44023.0</v>
      </c>
      <c r="J1035" s="361">
        <v>28.98</v>
      </c>
      <c r="K1035" s="361">
        <v>14.98</v>
      </c>
      <c r="L1035" s="361">
        <v>14.0</v>
      </c>
      <c r="M1035" s="40">
        <v>8.0</v>
      </c>
      <c r="N1035" s="361">
        <v>1.87</v>
      </c>
    </row>
    <row r="1036">
      <c r="A1036" s="40" t="s">
        <v>29</v>
      </c>
      <c r="B1036" s="40" t="s">
        <v>531</v>
      </c>
      <c r="C1036" s="40">
        <v>437.0</v>
      </c>
      <c r="D1036" s="40" t="s">
        <v>1567</v>
      </c>
      <c r="E1036" s="40" t="s">
        <v>671</v>
      </c>
      <c r="F1036" s="360">
        <v>40961.0</v>
      </c>
      <c r="G1036" s="360">
        <v>42929.0</v>
      </c>
      <c r="H1036" s="360">
        <v>42929.0</v>
      </c>
      <c r="I1036" s="360">
        <v>42929.0</v>
      </c>
      <c r="J1036" s="361">
        <v>19.99</v>
      </c>
      <c r="K1036" s="361">
        <v>19.99</v>
      </c>
      <c r="L1036" s="361">
        <v>0.0</v>
      </c>
      <c r="M1036" s="40">
        <v>1.0</v>
      </c>
      <c r="N1036" s="361">
        <v>19.99</v>
      </c>
    </row>
    <row r="1037">
      <c r="A1037" s="40" t="s">
        <v>29</v>
      </c>
      <c r="B1037" s="40"/>
      <c r="C1037" s="40">
        <v>624.0</v>
      </c>
      <c r="D1037" s="40" t="s">
        <v>1594</v>
      </c>
      <c r="E1037" s="40" t="s">
        <v>33</v>
      </c>
      <c r="F1037" s="360">
        <v>42343.0</v>
      </c>
      <c r="G1037" s="360">
        <v>42650.0</v>
      </c>
      <c r="H1037" s="360">
        <v>42828.0</v>
      </c>
      <c r="I1037" s="360">
        <v>44188.0</v>
      </c>
      <c r="J1037" s="361">
        <v>19.99</v>
      </c>
      <c r="K1037" s="361">
        <v>9.99</v>
      </c>
      <c r="L1037" s="361">
        <v>10.0</v>
      </c>
      <c r="M1037" s="40">
        <v>19.0</v>
      </c>
      <c r="N1037" s="361">
        <v>0.53</v>
      </c>
    </row>
    <row r="1038">
      <c r="A1038" s="146"/>
      <c r="B1038" s="146"/>
      <c r="C1038" s="340"/>
      <c r="D1038" s="146"/>
      <c r="E1038" s="146"/>
      <c r="F1038" s="146"/>
      <c r="G1038" s="146"/>
      <c r="H1038" s="146"/>
      <c r="I1038" s="146"/>
      <c r="J1038" s="339">
        <f t="shared" ref="J1038:M1038" si="134">SUM(J1036:J1037)</f>
        <v>39.98</v>
      </c>
      <c r="K1038" s="339">
        <f t="shared" si="134"/>
        <v>29.98</v>
      </c>
      <c r="L1038" s="339">
        <f t="shared" si="134"/>
        <v>10</v>
      </c>
      <c r="M1038" s="146">
        <f t="shared" si="134"/>
        <v>20</v>
      </c>
      <c r="N1038" s="339">
        <f>K1038/M1038</f>
        <v>1.499</v>
      </c>
    </row>
    <row r="1039">
      <c r="A1039" s="358" t="s">
        <v>29</v>
      </c>
      <c r="B1039" s="40" t="s">
        <v>532</v>
      </c>
      <c r="C1039" s="40">
        <v>201.0</v>
      </c>
      <c r="D1039" s="40" t="s">
        <v>1505</v>
      </c>
      <c r="E1039" s="40" t="s">
        <v>649</v>
      </c>
      <c r="F1039" s="360">
        <v>40109.0</v>
      </c>
      <c r="G1039" s="360">
        <v>41762.0</v>
      </c>
      <c r="H1039" s="360">
        <v>41762.0</v>
      </c>
      <c r="I1039" s="360">
        <v>45348.0</v>
      </c>
      <c r="J1039" s="361">
        <v>29.99</v>
      </c>
      <c r="K1039" s="361">
        <v>29.99</v>
      </c>
      <c r="L1039" s="361">
        <v>0.0</v>
      </c>
      <c r="M1039" s="40">
        <v>71.0</v>
      </c>
      <c r="N1039" s="361">
        <v>0.42</v>
      </c>
    </row>
    <row r="1040">
      <c r="A1040" s="358" t="s">
        <v>29</v>
      </c>
      <c r="B1040" s="40"/>
      <c r="C1040" s="40">
        <v>230.0</v>
      </c>
      <c r="D1040" s="40" t="s">
        <v>1519</v>
      </c>
      <c r="E1040" s="40" t="s">
        <v>649</v>
      </c>
      <c r="F1040" s="360">
        <v>40704.0</v>
      </c>
      <c r="G1040" s="360">
        <v>44091.0</v>
      </c>
      <c r="H1040" s="360">
        <v>44175.0</v>
      </c>
      <c r="I1040" s="360">
        <v>44177.0</v>
      </c>
      <c r="J1040" s="361">
        <v>19.99</v>
      </c>
      <c r="K1040" s="361">
        <v>3.5</v>
      </c>
      <c r="L1040" s="361">
        <v>16.49</v>
      </c>
      <c r="M1040" s="40">
        <v>15.0</v>
      </c>
      <c r="N1040" s="361">
        <v>0.23</v>
      </c>
    </row>
    <row r="1041">
      <c r="A1041" s="358" t="s">
        <v>29</v>
      </c>
      <c r="B1041" s="40"/>
      <c r="C1041" s="40">
        <v>203.0</v>
      </c>
      <c r="D1041" s="40" t="s">
        <v>1535</v>
      </c>
      <c r="E1041" s="40" t="s">
        <v>649</v>
      </c>
      <c r="F1041" s="360">
        <v>41173.0</v>
      </c>
      <c r="G1041" s="360">
        <v>41913.0</v>
      </c>
      <c r="H1041" s="360">
        <v>41913.0</v>
      </c>
      <c r="I1041" s="360">
        <v>43901.0</v>
      </c>
      <c r="J1041" s="361">
        <v>54.99</v>
      </c>
      <c r="K1041" s="361">
        <v>31.49</v>
      </c>
      <c r="L1041" s="361">
        <v>23.5</v>
      </c>
      <c r="M1041" s="40">
        <v>69.0</v>
      </c>
      <c r="N1041" s="361">
        <v>0.46</v>
      </c>
    </row>
    <row r="1042">
      <c r="A1042" s="40" t="s">
        <v>29</v>
      </c>
      <c r="B1042" s="40"/>
      <c r="C1042" s="40">
        <v>534.0</v>
      </c>
      <c r="D1042" s="40" t="s">
        <v>1647</v>
      </c>
      <c r="E1042" s="40" t="s">
        <v>33</v>
      </c>
      <c r="F1042" s="360">
        <v>43721.0</v>
      </c>
      <c r="G1042" s="360">
        <v>43559.0</v>
      </c>
      <c r="H1042" s="360">
        <v>43722.0</v>
      </c>
      <c r="I1042" s="360">
        <v>45797.0</v>
      </c>
      <c r="J1042" s="361">
        <v>114.98</v>
      </c>
      <c r="K1042" s="361">
        <v>114.98</v>
      </c>
      <c r="L1042" s="361">
        <v>0.0</v>
      </c>
      <c r="M1042" s="40">
        <v>241.0</v>
      </c>
      <c r="N1042" s="361">
        <v>0.48</v>
      </c>
    </row>
    <row r="1043">
      <c r="A1043" s="358" t="s">
        <v>29</v>
      </c>
      <c r="B1043" s="358"/>
      <c r="C1043" s="40">
        <v>933.0</v>
      </c>
      <c r="D1043" s="40" t="s">
        <v>1689</v>
      </c>
      <c r="E1043" s="40" t="s">
        <v>33</v>
      </c>
      <c r="F1043" s="360">
        <v>44645.0</v>
      </c>
      <c r="G1043" s="360">
        <v>44960.0</v>
      </c>
      <c r="H1043" s="360">
        <v>44985.0</v>
      </c>
      <c r="I1043" s="360">
        <v>45708.0</v>
      </c>
      <c r="J1043" s="361">
        <v>89.99</v>
      </c>
      <c r="K1043" s="361">
        <v>44.99</v>
      </c>
      <c r="L1043" s="361">
        <v>45.0</v>
      </c>
      <c r="M1043" s="40">
        <v>48.0</v>
      </c>
      <c r="N1043" s="361">
        <v>0.94</v>
      </c>
    </row>
    <row r="1044">
      <c r="A1044" s="40" t="s">
        <v>29</v>
      </c>
      <c r="B1044" s="40"/>
      <c r="C1044" s="40">
        <v>1022.0</v>
      </c>
      <c r="D1044" s="40" t="s">
        <v>1729</v>
      </c>
      <c r="E1044" s="40" t="s">
        <v>666</v>
      </c>
      <c r="F1044" s="360">
        <v>43655.0</v>
      </c>
      <c r="G1044" s="360">
        <v>43699.0</v>
      </c>
      <c r="H1044" s="360">
        <v>44041.0</v>
      </c>
      <c r="I1044" s="360">
        <v>44041.0</v>
      </c>
      <c r="J1044" s="361">
        <v>19.99</v>
      </c>
      <c r="K1044" s="361">
        <v>19.99</v>
      </c>
      <c r="L1044" s="361">
        <v>0.0</v>
      </c>
      <c r="M1044" s="40">
        <v>2.0</v>
      </c>
      <c r="N1044" s="361">
        <v>10.0</v>
      </c>
    </row>
    <row r="1045">
      <c r="A1045" s="146"/>
      <c r="B1045" s="146"/>
      <c r="C1045" s="340"/>
      <c r="D1045" s="146"/>
      <c r="E1045" s="146"/>
      <c r="F1045" s="146"/>
      <c r="G1045" s="146"/>
      <c r="H1045" s="146"/>
      <c r="I1045" s="146"/>
      <c r="J1045" s="339">
        <f t="shared" ref="J1045:M1045" si="135">SUM(J1039:J1044)</f>
        <v>329.93</v>
      </c>
      <c r="K1045" s="339">
        <f t="shared" si="135"/>
        <v>244.94</v>
      </c>
      <c r="L1045" s="339">
        <f t="shared" si="135"/>
        <v>84.99</v>
      </c>
      <c r="M1045" s="146">
        <f t="shared" si="135"/>
        <v>446</v>
      </c>
      <c r="N1045" s="339">
        <f>K1045/M1045</f>
        <v>0.5491928251</v>
      </c>
    </row>
    <row r="1046">
      <c r="A1046" s="358" t="s">
        <v>29</v>
      </c>
      <c r="B1046" s="40" t="s">
        <v>533</v>
      </c>
      <c r="C1046" s="40">
        <v>397.0</v>
      </c>
      <c r="D1046" s="40" t="s">
        <v>1537</v>
      </c>
      <c r="E1046" s="40" t="s">
        <v>649</v>
      </c>
      <c r="F1046" s="360">
        <v>41206.0</v>
      </c>
      <c r="G1046" s="360">
        <v>42925.0</v>
      </c>
      <c r="H1046" s="360">
        <v>43280.0</v>
      </c>
      <c r="I1046" s="360">
        <v>44872.0</v>
      </c>
      <c r="J1046" s="361">
        <v>12.99</v>
      </c>
      <c r="K1046" s="361">
        <v>2.99</v>
      </c>
      <c r="L1046" s="361">
        <v>10.0</v>
      </c>
      <c r="M1046" s="40">
        <v>20.0</v>
      </c>
      <c r="N1046" s="361">
        <v>0.15</v>
      </c>
    </row>
    <row r="1047">
      <c r="A1047" s="40" t="s">
        <v>29</v>
      </c>
      <c r="B1047" s="40" t="s">
        <v>534</v>
      </c>
      <c r="C1047" s="40">
        <v>503.0</v>
      </c>
      <c r="D1047" s="40" t="s">
        <v>1606</v>
      </c>
      <c r="E1047" s="40" t="s">
        <v>33</v>
      </c>
      <c r="F1047" s="360">
        <v>42584.0</v>
      </c>
      <c r="G1047" s="360">
        <v>44432.0</v>
      </c>
      <c r="H1047" s="360">
        <v>44432.0</v>
      </c>
      <c r="I1047" s="360">
        <v>44432.0</v>
      </c>
      <c r="J1047" s="361">
        <v>19.99</v>
      </c>
      <c r="K1047" s="361">
        <v>0.0</v>
      </c>
      <c r="L1047" s="361">
        <v>19.99</v>
      </c>
      <c r="M1047" s="40">
        <v>2.0</v>
      </c>
      <c r="N1047" s="361">
        <v>0.0</v>
      </c>
    </row>
    <row r="1048">
      <c r="A1048" s="40" t="s">
        <v>29</v>
      </c>
      <c r="B1048" s="40" t="s">
        <v>535</v>
      </c>
      <c r="C1048" s="40">
        <v>1016.0</v>
      </c>
      <c r="D1048" s="40" t="s">
        <v>1724</v>
      </c>
      <c r="E1048" s="40" t="s">
        <v>666</v>
      </c>
      <c r="F1048" s="360">
        <v>43167.0</v>
      </c>
      <c r="G1048" s="360">
        <v>43468.0</v>
      </c>
      <c r="H1048" s="360">
        <v>43469.0</v>
      </c>
      <c r="I1048" s="360">
        <v>43469.0</v>
      </c>
      <c r="J1048" s="361">
        <v>19.99</v>
      </c>
      <c r="K1048" s="361">
        <v>14.99</v>
      </c>
      <c r="L1048" s="361">
        <v>5.0</v>
      </c>
      <c r="M1048" s="40">
        <v>1.0</v>
      </c>
      <c r="N1048" s="361">
        <v>14.99</v>
      </c>
    </row>
    <row r="1049">
      <c r="A1049" s="40" t="s">
        <v>29</v>
      </c>
      <c r="B1049" s="40" t="s">
        <v>536</v>
      </c>
      <c r="C1049" s="40">
        <v>724.0</v>
      </c>
      <c r="D1049" s="40" t="s">
        <v>1676</v>
      </c>
      <c r="E1049" s="40" t="s">
        <v>33</v>
      </c>
      <c r="F1049" s="360">
        <v>44257.0</v>
      </c>
      <c r="G1049" s="360">
        <v>44351.0</v>
      </c>
      <c r="H1049" s="360">
        <v>44462.0</v>
      </c>
      <c r="I1049" s="360">
        <v>44463.0</v>
      </c>
      <c r="J1049" s="361">
        <v>17.99</v>
      </c>
      <c r="K1049" s="361">
        <v>14.39</v>
      </c>
      <c r="L1049" s="361">
        <v>3.6</v>
      </c>
      <c r="M1049" s="40">
        <v>5.0</v>
      </c>
      <c r="N1049" s="361">
        <v>2.88</v>
      </c>
    </row>
    <row r="1050">
      <c r="A1050" s="40" t="s">
        <v>29</v>
      </c>
      <c r="B1050" s="40" t="s">
        <v>537</v>
      </c>
      <c r="C1050" s="40">
        <v>432.0</v>
      </c>
      <c r="D1050" s="40" t="s">
        <v>1579</v>
      </c>
      <c r="E1050" s="40" t="s">
        <v>671</v>
      </c>
      <c r="F1050" s="360">
        <v>42613.0</v>
      </c>
      <c r="G1050" s="360">
        <v>42832.0</v>
      </c>
      <c r="H1050" s="360">
        <v>43080.0</v>
      </c>
      <c r="I1050" s="360">
        <v>44856.0</v>
      </c>
      <c r="J1050" s="361">
        <v>16.99</v>
      </c>
      <c r="K1050" s="361">
        <v>4.99</v>
      </c>
      <c r="L1050" s="361">
        <v>12.0</v>
      </c>
      <c r="M1050" s="40">
        <v>1.0</v>
      </c>
      <c r="N1050" s="361">
        <v>4.99</v>
      </c>
    </row>
    <row r="1051">
      <c r="A1051" s="40" t="s">
        <v>29</v>
      </c>
      <c r="B1051" s="40" t="s">
        <v>538</v>
      </c>
      <c r="C1051" s="40">
        <v>720.0</v>
      </c>
      <c r="D1051" s="40" t="s">
        <v>1609</v>
      </c>
      <c r="E1051" s="40" t="s">
        <v>33</v>
      </c>
      <c r="F1051" s="360">
        <v>42650.0</v>
      </c>
      <c r="G1051" s="360">
        <v>43937.0</v>
      </c>
      <c r="H1051" s="360">
        <v>43937.0</v>
      </c>
      <c r="I1051" s="360">
        <v>43937.0</v>
      </c>
      <c r="J1051" s="361">
        <v>39.99</v>
      </c>
      <c r="K1051" s="361">
        <v>9.99</v>
      </c>
      <c r="L1051" s="361">
        <v>30.0</v>
      </c>
      <c r="M1051" s="40">
        <v>1.0</v>
      </c>
      <c r="N1051" s="361">
        <v>9.99</v>
      </c>
    </row>
    <row r="1052">
      <c r="A1052" s="40" t="s">
        <v>29</v>
      </c>
      <c r="B1052" s="40"/>
      <c r="C1052" s="40">
        <v>721.0</v>
      </c>
      <c r="D1052" s="40" t="s">
        <v>1667</v>
      </c>
      <c r="E1052" s="40" t="s">
        <v>33</v>
      </c>
      <c r="F1052" s="360">
        <v>44099.0</v>
      </c>
      <c r="G1052" s="360">
        <v>44176.0</v>
      </c>
      <c r="H1052" s="360">
        <v>44179.0</v>
      </c>
      <c r="I1052" s="360">
        <v>44180.0</v>
      </c>
      <c r="J1052" s="361">
        <v>39.99</v>
      </c>
      <c r="K1052" s="361">
        <v>29.99</v>
      </c>
      <c r="L1052" s="361">
        <v>10.0</v>
      </c>
      <c r="M1052" s="40">
        <v>13.0</v>
      </c>
      <c r="N1052" s="361">
        <v>2.31</v>
      </c>
    </row>
    <row r="1053">
      <c r="A1053" s="146"/>
      <c r="B1053" s="146"/>
      <c r="C1053" s="340"/>
      <c r="D1053" s="146"/>
      <c r="E1053" s="146"/>
      <c r="F1053" s="146"/>
      <c r="G1053" s="146"/>
      <c r="H1053" s="146"/>
      <c r="I1053" s="146"/>
      <c r="J1053" s="339">
        <f t="shared" ref="J1053:M1053" si="136">SUM(J1051:J1052)</f>
        <v>79.98</v>
      </c>
      <c r="K1053" s="339">
        <f t="shared" si="136"/>
        <v>39.98</v>
      </c>
      <c r="L1053" s="339">
        <f t="shared" si="136"/>
        <v>40</v>
      </c>
      <c r="M1053" s="146">
        <f t="shared" si="136"/>
        <v>14</v>
      </c>
      <c r="N1053" s="339">
        <f>K1053/M1053</f>
        <v>2.855714286</v>
      </c>
    </row>
    <row r="1054">
      <c r="A1054" s="40" t="s">
        <v>29</v>
      </c>
      <c r="B1054" s="40" t="s">
        <v>539</v>
      </c>
      <c r="C1054" s="40">
        <v>1028.0</v>
      </c>
      <c r="D1054" s="40" t="s">
        <v>1734</v>
      </c>
      <c r="E1054" s="40" t="s">
        <v>666</v>
      </c>
      <c r="F1054" s="360">
        <v>44615.0</v>
      </c>
      <c r="G1054" s="360">
        <v>44708.0</v>
      </c>
      <c r="H1054" s="360">
        <v>44708.0</v>
      </c>
      <c r="I1054" s="360">
        <v>44708.0</v>
      </c>
      <c r="J1054" s="361">
        <v>19.99</v>
      </c>
      <c r="K1054" s="361">
        <v>13.99</v>
      </c>
      <c r="L1054" s="361">
        <v>6.0</v>
      </c>
      <c r="M1054" s="40">
        <v>1.0</v>
      </c>
      <c r="N1054" s="361">
        <v>13.99</v>
      </c>
    </row>
    <row r="1055">
      <c r="A1055" s="40" t="s">
        <v>29</v>
      </c>
      <c r="B1055" s="40" t="s">
        <v>540</v>
      </c>
      <c r="C1055" s="40">
        <v>509.0</v>
      </c>
      <c r="D1055" s="40" t="s">
        <v>1595</v>
      </c>
      <c r="E1055" s="40" t="s">
        <v>33</v>
      </c>
      <c r="F1055" s="360">
        <v>42374.0</v>
      </c>
      <c r="G1055" s="360">
        <v>42754.0</v>
      </c>
      <c r="H1055" s="360">
        <v>43140.0</v>
      </c>
      <c r="I1055" s="360">
        <v>45794.0</v>
      </c>
      <c r="J1055" s="361">
        <v>19.99</v>
      </c>
      <c r="K1055" s="361">
        <v>9.99</v>
      </c>
      <c r="L1055" s="361">
        <v>10.0</v>
      </c>
      <c r="M1055" s="40">
        <v>3.0</v>
      </c>
      <c r="N1055" s="361">
        <v>3.33</v>
      </c>
    </row>
    <row r="1056">
      <c r="A1056" s="358" t="s">
        <v>29</v>
      </c>
      <c r="B1056" s="40" t="s">
        <v>541</v>
      </c>
      <c r="C1056" s="40">
        <v>233.0</v>
      </c>
      <c r="D1056" s="40" t="s">
        <v>1541</v>
      </c>
      <c r="E1056" s="40" t="s">
        <v>649</v>
      </c>
      <c r="F1056" s="360">
        <v>41236.0</v>
      </c>
      <c r="G1056" s="360">
        <v>44091.0</v>
      </c>
      <c r="H1056" s="360">
        <v>44095.0</v>
      </c>
      <c r="I1056" s="360">
        <v>44127.0</v>
      </c>
      <c r="J1056" s="361">
        <v>59.99</v>
      </c>
      <c r="K1056" s="361">
        <v>8.0</v>
      </c>
      <c r="L1056" s="361">
        <v>51.99</v>
      </c>
      <c r="M1056" s="40">
        <v>40.0</v>
      </c>
      <c r="N1056" s="361">
        <v>0.2</v>
      </c>
    </row>
    <row r="1057">
      <c r="A1057" s="40" t="s">
        <v>29</v>
      </c>
      <c r="B1057" s="40" t="s">
        <v>35</v>
      </c>
      <c r="C1057" s="40">
        <v>176.0</v>
      </c>
      <c r="D1057" s="40" t="s">
        <v>50</v>
      </c>
      <c r="E1057" s="40" t="s">
        <v>37</v>
      </c>
      <c r="F1057" s="360">
        <v>39213.0</v>
      </c>
      <c r="G1057" s="360">
        <v>42279.0</v>
      </c>
      <c r="H1057" s="360">
        <v>45501.0</v>
      </c>
      <c r="I1057" s="360">
        <v>45522.0</v>
      </c>
      <c r="J1057" s="361">
        <v>7.99</v>
      </c>
      <c r="K1057" s="361">
        <v>4.0</v>
      </c>
      <c r="L1057" s="361">
        <v>3.99</v>
      </c>
      <c r="M1057" s="40">
        <v>15.0</v>
      </c>
      <c r="N1057" s="361">
        <v>0.27</v>
      </c>
    </row>
    <row r="1058">
      <c r="A1058" s="363" t="s">
        <v>29</v>
      </c>
      <c r="B1058" s="358"/>
      <c r="C1058" s="358">
        <v>1103.0</v>
      </c>
      <c r="D1058" s="358" t="s">
        <v>36</v>
      </c>
      <c r="E1058" s="358" t="s">
        <v>37</v>
      </c>
      <c r="F1058" s="364">
        <v>39640.0</v>
      </c>
      <c r="G1058" s="364">
        <v>46016.0</v>
      </c>
      <c r="H1058" s="364">
        <v>46018.0</v>
      </c>
      <c r="I1058" s="364">
        <v>46021.0</v>
      </c>
      <c r="J1058" s="363">
        <v>9.99</v>
      </c>
      <c r="K1058" s="363">
        <v>5.76</v>
      </c>
      <c r="L1058" s="363">
        <v>4.23</v>
      </c>
      <c r="M1058" s="357">
        <v>16.0</v>
      </c>
      <c r="N1058" s="363">
        <v>0.36</v>
      </c>
    </row>
    <row r="1059">
      <c r="A1059" s="40" t="s">
        <v>29</v>
      </c>
      <c r="B1059" s="40"/>
      <c r="C1059" s="40">
        <v>167.0</v>
      </c>
      <c r="D1059" s="40" t="s">
        <v>51</v>
      </c>
      <c r="E1059" s="40" t="s">
        <v>37</v>
      </c>
      <c r="F1059" s="360">
        <v>40137.0</v>
      </c>
      <c r="G1059" s="360">
        <v>43014.0</v>
      </c>
      <c r="H1059" s="360">
        <v>45486.0</v>
      </c>
      <c r="I1059" s="360">
        <v>45486.0</v>
      </c>
      <c r="J1059" s="361">
        <v>7.99</v>
      </c>
      <c r="K1059" s="361">
        <v>3.99</v>
      </c>
      <c r="L1059" s="361">
        <v>4.0</v>
      </c>
      <c r="M1059" s="40">
        <v>2.0</v>
      </c>
      <c r="N1059" s="361">
        <v>2.0</v>
      </c>
    </row>
    <row r="1060">
      <c r="A1060" s="146"/>
      <c r="B1060" s="146"/>
      <c r="C1060" s="340"/>
      <c r="D1060" s="146"/>
      <c r="E1060" s="146"/>
      <c r="F1060" s="146"/>
      <c r="G1060" s="146"/>
      <c r="H1060" s="146"/>
      <c r="I1060" s="146"/>
      <c r="J1060" s="339">
        <f t="shared" ref="J1060:M1060" si="137">SUM(J1057:J1059)</f>
        <v>25.97</v>
      </c>
      <c r="K1060" s="339">
        <f t="shared" si="137"/>
        <v>13.75</v>
      </c>
      <c r="L1060" s="339">
        <f t="shared" si="137"/>
        <v>12.22</v>
      </c>
      <c r="M1060" s="146">
        <f t="shared" si="137"/>
        <v>33</v>
      </c>
      <c r="N1060" s="339">
        <f>K1060/M1060</f>
        <v>0.4166666667</v>
      </c>
    </row>
    <row r="1061">
      <c r="A1061" s="358" t="s">
        <v>29</v>
      </c>
      <c r="B1061" s="40" t="s">
        <v>542</v>
      </c>
      <c r="C1061" s="40">
        <v>222.0</v>
      </c>
      <c r="D1061" s="40" t="s">
        <v>1552</v>
      </c>
      <c r="E1061" s="40" t="s">
        <v>649</v>
      </c>
      <c r="F1061" s="360">
        <v>41453.0</v>
      </c>
      <c r="G1061" s="360">
        <v>42382.0</v>
      </c>
      <c r="H1061" s="360">
        <v>42382.0</v>
      </c>
      <c r="I1061" s="360">
        <v>43910.0</v>
      </c>
      <c r="J1061" s="361">
        <v>39.99</v>
      </c>
      <c r="K1061" s="361">
        <v>19.99</v>
      </c>
      <c r="L1061" s="361">
        <v>20.0</v>
      </c>
      <c r="M1061" s="40">
        <v>40.0</v>
      </c>
      <c r="N1061" s="361">
        <v>0.5</v>
      </c>
    </row>
    <row r="1062">
      <c r="A1062" s="40" t="s">
        <v>29</v>
      </c>
      <c r="B1062" s="40" t="s">
        <v>543</v>
      </c>
      <c r="C1062" s="40">
        <v>461.0</v>
      </c>
      <c r="D1062" s="40" t="s">
        <v>1578</v>
      </c>
      <c r="E1062" s="40" t="s">
        <v>671</v>
      </c>
      <c r="F1062" s="360">
        <v>42472.0</v>
      </c>
      <c r="G1062" s="360">
        <v>42950.0</v>
      </c>
      <c r="H1062" s="360">
        <v>42950.0</v>
      </c>
      <c r="I1062" s="360">
        <v>42950.0</v>
      </c>
      <c r="J1062" s="361">
        <v>8.99</v>
      </c>
      <c r="K1062" s="361">
        <v>3.99</v>
      </c>
      <c r="L1062" s="361">
        <v>5.0</v>
      </c>
      <c r="M1062" s="40">
        <v>1.0</v>
      </c>
      <c r="N1062" s="361">
        <v>3.99</v>
      </c>
    </row>
    <row r="1063">
      <c r="A1063" s="358" t="s">
        <v>29</v>
      </c>
      <c r="B1063" s="40" t="s">
        <v>544</v>
      </c>
      <c r="C1063" s="40">
        <v>229.0</v>
      </c>
      <c r="D1063" s="40" t="s">
        <v>1558</v>
      </c>
      <c r="E1063" s="40" t="s">
        <v>649</v>
      </c>
      <c r="F1063" s="360">
        <v>41610.0</v>
      </c>
      <c r="G1063" s="360">
        <v>42925.0</v>
      </c>
      <c r="H1063" s="360">
        <v>42932.0</v>
      </c>
      <c r="I1063" s="360">
        <v>45171.0</v>
      </c>
      <c r="J1063" s="361">
        <v>8.98</v>
      </c>
      <c r="K1063" s="361">
        <v>3.48</v>
      </c>
      <c r="L1063" s="361">
        <v>5.5</v>
      </c>
      <c r="M1063" s="40">
        <v>11.0</v>
      </c>
      <c r="N1063" s="361">
        <v>0.32</v>
      </c>
    </row>
    <row r="1064">
      <c r="A1064" s="40" t="s">
        <v>29</v>
      </c>
      <c r="B1064" s="40"/>
      <c r="C1064" s="40">
        <v>934.0</v>
      </c>
      <c r="D1064" s="362" t="s">
        <v>1643</v>
      </c>
      <c r="E1064" s="362" t="s">
        <v>33</v>
      </c>
      <c r="F1064" s="360">
        <v>43525.0</v>
      </c>
      <c r="G1064" s="360">
        <v>43519.0</v>
      </c>
      <c r="H1064" s="360">
        <v>43526.0</v>
      </c>
      <c r="I1064" s="360">
        <v>43896.0</v>
      </c>
      <c r="J1064" s="361">
        <v>18.89</v>
      </c>
      <c r="K1064" s="361">
        <v>18.89</v>
      </c>
      <c r="L1064" s="361">
        <v>0.0</v>
      </c>
      <c r="M1064" s="40">
        <v>26.0</v>
      </c>
      <c r="N1064" s="361">
        <v>0.73</v>
      </c>
    </row>
    <row r="1065">
      <c r="A1065" s="146"/>
      <c r="B1065" s="146"/>
      <c r="C1065" s="340"/>
      <c r="D1065" s="146"/>
      <c r="E1065" s="146"/>
      <c r="F1065" s="146"/>
      <c r="G1065" s="146"/>
      <c r="H1065" s="146"/>
      <c r="I1065" s="146"/>
      <c r="J1065" s="339">
        <f t="shared" ref="J1065:M1065" si="138">SUM(J1063:J1064)</f>
        <v>27.87</v>
      </c>
      <c r="K1065" s="339">
        <f t="shared" si="138"/>
        <v>22.37</v>
      </c>
      <c r="L1065" s="339">
        <f t="shared" si="138"/>
        <v>5.5</v>
      </c>
      <c r="M1065" s="146">
        <f t="shared" si="138"/>
        <v>37</v>
      </c>
      <c r="N1065" s="339">
        <f>K1065/M1065</f>
        <v>0.6045945946</v>
      </c>
    </row>
    <row r="1066">
      <c r="A1066" s="40" t="s">
        <v>29</v>
      </c>
      <c r="B1066" s="40" t="s">
        <v>545</v>
      </c>
      <c r="C1066" s="40">
        <v>14.0</v>
      </c>
      <c r="D1066" s="40" t="s">
        <v>1442</v>
      </c>
      <c r="E1066" s="40" t="s">
        <v>682</v>
      </c>
      <c r="F1066" s="360">
        <v>35019.0</v>
      </c>
      <c r="G1066" s="360">
        <v>44708.0</v>
      </c>
      <c r="H1066" s="360">
        <v>44708.0</v>
      </c>
      <c r="I1066" s="360">
        <v>44708.0</v>
      </c>
      <c r="J1066" s="361">
        <v>4.99</v>
      </c>
      <c r="K1066" s="361">
        <v>2.49</v>
      </c>
      <c r="L1066" s="361">
        <v>2.5</v>
      </c>
      <c r="M1066" s="40">
        <v>1.0</v>
      </c>
      <c r="N1066" s="361">
        <v>2.49</v>
      </c>
    </row>
    <row r="1067">
      <c r="A1067" s="40" t="s">
        <v>29</v>
      </c>
      <c r="B1067" s="40"/>
      <c r="C1067" s="40">
        <v>13.0</v>
      </c>
      <c r="D1067" s="40" t="s">
        <v>1443</v>
      </c>
      <c r="E1067" s="40" t="s">
        <v>682</v>
      </c>
      <c r="F1067" s="360">
        <v>35034.0</v>
      </c>
      <c r="G1067" s="360">
        <v>44708.0</v>
      </c>
      <c r="H1067" s="360">
        <v>44708.0</v>
      </c>
      <c r="I1067" s="360">
        <v>44708.0</v>
      </c>
      <c r="J1067" s="361">
        <v>4.99</v>
      </c>
      <c r="K1067" s="361">
        <v>2.49</v>
      </c>
      <c r="L1067" s="361">
        <v>2.5</v>
      </c>
      <c r="M1067" s="40">
        <v>1.0</v>
      </c>
      <c r="N1067" s="361">
        <v>2.49</v>
      </c>
    </row>
    <row r="1068">
      <c r="A1068" s="40" t="s">
        <v>29</v>
      </c>
      <c r="B1068" s="40"/>
      <c r="C1068" s="40">
        <v>803.0</v>
      </c>
      <c r="D1068" s="40" t="s">
        <v>1684</v>
      </c>
      <c r="E1068" s="40" t="s">
        <v>33</v>
      </c>
      <c r="F1068" s="360">
        <v>44427.0</v>
      </c>
      <c r="G1068" s="360">
        <v>44708.0</v>
      </c>
      <c r="H1068" s="360">
        <v>44708.0</v>
      </c>
      <c r="I1068" s="360">
        <v>44708.0</v>
      </c>
      <c r="J1068" s="361">
        <v>9.99</v>
      </c>
      <c r="K1068" s="361">
        <v>4.99</v>
      </c>
      <c r="L1068" s="361">
        <v>5.0</v>
      </c>
      <c r="M1068" s="40">
        <v>1.0</v>
      </c>
      <c r="N1068" s="361">
        <v>4.99</v>
      </c>
    </row>
    <row r="1069">
      <c r="A1069" s="40" t="s">
        <v>29</v>
      </c>
      <c r="B1069" s="40"/>
      <c r="C1069" s="40">
        <v>996.0</v>
      </c>
      <c r="D1069" s="40" t="s">
        <v>1718</v>
      </c>
      <c r="E1069" s="40" t="s">
        <v>666</v>
      </c>
      <c r="F1069" s="360">
        <v>43070.0</v>
      </c>
      <c r="G1069" s="360">
        <v>43468.0</v>
      </c>
      <c r="H1069" s="360">
        <v>43468.0</v>
      </c>
      <c r="I1069" s="360">
        <v>45151.0</v>
      </c>
      <c r="J1069" s="361">
        <v>29.99</v>
      </c>
      <c r="K1069" s="361">
        <v>0.0</v>
      </c>
      <c r="L1069" s="361">
        <v>29.99</v>
      </c>
      <c r="M1069" s="40">
        <v>2.0</v>
      </c>
      <c r="N1069" s="361">
        <v>0.0</v>
      </c>
    </row>
    <row r="1070">
      <c r="A1070" s="146"/>
      <c r="B1070" s="146"/>
      <c r="C1070" s="340"/>
      <c r="D1070" s="146"/>
      <c r="E1070" s="146"/>
      <c r="F1070" s="146"/>
      <c r="G1070" s="146"/>
      <c r="H1070" s="146"/>
      <c r="I1070" s="146"/>
      <c r="J1070" s="339">
        <f t="shared" ref="J1070:M1070" si="139">SUM(J1066:J1069)</f>
        <v>49.96</v>
      </c>
      <c r="K1070" s="339">
        <f t="shared" si="139"/>
        <v>9.97</v>
      </c>
      <c r="L1070" s="339">
        <f t="shared" si="139"/>
        <v>39.99</v>
      </c>
      <c r="M1070" s="146">
        <f t="shared" si="139"/>
        <v>5</v>
      </c>
      <c r="N1070" s="339">
        <f>K1070/M1070</f>
        <v>1.994</v>
      </c>
    </row>
    <row r="1071">
      <c r="A1071" s="357" t="s">
        <v>29</v>
      </c>
      <c r="B1071" s="40" t="s">
        <v>546</v>
      </c>
      <c r="C1071" s="40">
        <v>150.0</v>
      </c>
      <c r="D1071" s="40" t="s">
        <v>1463</v>
      </c>
      <c r="E1071" s="40" t="s">
        <v>645</v>
      </c>
      <c r="F1071" s="360">
        <v>37232.0</v>
      </c>
      <c r="G1071" s="360">
        <v>42343.0</v>
      </c>
      <c r="H1071" s="360">
        <v>42343.0</v>
      </c>
      <c r="I1071" s="360">
        <v>42343.0</v>
      </c>
      <c r="J1071" s="361">
        <v>9.99</v>
      </c>
      <c r="K1071" s="361">
        <v>4.99</v>
      </c>
      <c r="L1071" s="361">
        <v>5.0</v>
      </c>
      <c r="M1071" s="40">
        <v>1.0</v>
      </c>
      <c r="N1071" s="361">
        <v>4.99</v>
      </c>
    </row>
    <row r="1072">
      <c r="A1072" s="358" t="s">
        <v>29</v>
      </c>
      <c r="B1072" s="40" t="s">
        <v>547</v>
      </c>
      <c r="C1072" s="40">
        <v>208.0</v>
      </c>
      <c r="D1072" s="40" t="s">
        <v>1507</v>
      </c>
      <c r="E1072" s="40" t="s">
        <v>649</v>
      </c>
      <c r="F1072" s="360">
        <v>40127.0</v>
      </c>
      <c r="G1072" s="360">
        <v>40197.0</v>
      </c>
      <c r="H1072" s="360">
        <v>40197.0</v>
      </c>
      <c r="I1072" s="360">
        <v>44727.0</v>
      </c>
      <c r="J1072" s="361">
        <v>29.99</v>
      </c>
      <c r="K1072" s="361">
        <v>4.0</v>
      </c>
      <c r="L1072" s="361">
        <v>25.99</v>
      </c>
      <c r="M1072" s="40">
        <v>20.0</v>
      </c>
      <c r="N1072" s="361">
        <v>0.2</v>
      </c>
    </row>
    <row r="1073">
      <c r="A1073" s="40" t="s">
        <v>29</v>
      </c>
      <c r="B1073" s="40" t="s">
        <v>548</v>
      </c>
      <c r="C1073" s="40">
        <v>850.0</v>
      </c>
      <c r="D1073" s="40" t="s">
        <v>1654</v>
      </c>
      <c r="E1073" s="40" t="s">
        <v>33</v>
      </c>
      <c r="F1073" s="360">
        <v>43770.0</v>
      </c>
      <c r="G1073" s="360">
        <v>44343.0</v>
      </c>
      <c r="H1073" s="360">
        <v>44354.0</v>
      </c>
      <c r="I1073" s="360">
        <v>45370.0</v>
      </c>
      <c r="J1073" s="361">
        <v>24.99</v>
      </c>
      <c r="K1073" s="361">
        <v>12.49</v>
      </c>
      <c r="L1073" s="361">
        <v>12.5</v>
      </c>
      <c r="M1073" s="40">
        <v>13.0</v>
      </c>
      <c r="N1073" s="361">
        <v>0.96</v>
      </c>
    </row>
    <row r="1074">
      <c r="A1074" s="357" t="s">
        <v>29</v>
      </c>
      <c r="B1074" s="40" t="s">
        <v>549</v>
      </c>
      <c r="C1074" s="40">
        <v>50.0</v>
      </c>
      <c r="D1074" s="40" t="s">
        <v>1452</v>
      </c>
      <c r="E1074" s="40" t="s">
        <v>682</v>
      </c>
      <c r="F1074" s="360">
        <v>36091.0</v>
      </c>
      <c r="G1074" s="360">
        <v>41684.0</v>
      </c>
      <c r="H1074" s="360">
        <v>41684.0</v>
      </c>
      <c r="I1074" s="360">
        <v>41684.0</v>
      </c>
      <c r="J1074" s="361">
        <v>3.99</v>
      </c>
      <c r="K1074" s="361">
        <v>3.99</v>
      </c>
      <c r="L1074" s="361">
        <v>0.0</v>
      </c>
      <c r="M1074" s="40">
        <v>40.0</v>
      </c>
      <c r="N1074" s="361">
        <v>0.1</v>
      </c>
    </row>
    <row r="1075">
      <c r="A1075" s="357" t="s">
        <v>29</v>
      </c>
      <c r="B1075" s="40"/>
      <c r="C1075" s="40">
        <v>51.0</v>
      </c>
      <c r="D1075" s="40" t="s">
        <v>1458</v>
      </c>
      <c r="E1075" s="40" t="s">
        <v>682</v>
      </c>
      <c r="F1075" s="360">
        <v>36469.0</v>
      </c>
      <c r="G1075" s="360">
        <v>41684.0</v>
      </c>
      <c r="H1075" s="360">
        <v>41684.0</v>
      </c>
      <c r="I1075" s="360">
        <v>41684.0</v>
      </c>
      <c r="J1075" s="361">
        <v>3.0</v>
      </c>
      <c r="K1075" s="361">
        <v>3.0</v>
      </c>
      <c r="L1075" s="361">
        <v>0.0</v>
      </c>
      <c r="M1075" s="40">
        <v>55.0</v>
      </c>
      <c r="N1075" s="361">
        <v>0.05</v>
      </c>
    </row>
    <row r="1076">
      <c r="A1076" s="357" t="s">
        <v>29</v>
      </c>
      <c r="B1076" s="40"/>
      <c r="C1076" s="40">
        <v>52.0</v>
      </c>
      <c r="D1076" s="40" t="s">
        <v>1460</v>
      </c>
      <c r="E1076" s="40" t="s">
        <v>682</v>
      </c>
      <c r="F1076" s="360">
        <v>36840.0</v>
      </c>
      <c r="G1076" s="360">
        <v>41684.0</v>
      </c>
      <c r="H1076" s="360">
        <v>41684.0</v>
      </c>
      <c r="I1076" s="360">
        <v>41684.0</v>
      </c>
      <c r="J1076" s="361">
        <v>3.0</v>
      </c>
      <c r="K1076" s="361">
        <v>3.0</v>
      </c>
      <c r="L1076" s="361">
        <v>0.0</v>
      </c>
      <c r="M1076" s="40">
        <v>65.0</v>
      </c>
      <c r="N1076" s="361">
        <v>0.05</v>
      </c>
    </row>
    <row r="1077">
      <c r="A1077" s="357" t="s">
        <v>29</v>
      </c>
      <c r="B1077" s="40"/>
      <c r="C1077" s="40">
        <v>124.0</v>
      </c>
      <c r="D1077" s="40" t="s">
        <v>1465</v>
      </c>
      <c r="E1077" s="40" t="s">
        <v>645</v>
      </c>
      <c r="F1077" s="360">
        <v>37568.0</v>
      </c>
      <c r="G1077" s="360">
        <v>41979.0</v>
      </c>
      <c r="H1077" s="360">
        <v>41983.0</v>
      </c>
      <c r="I1077" s="360">
        <v>44900.0</v>
      </c>
      <c r="J1077" s="361">
        <v>8.99</v>
      </c>
      <c r="K1077" s="361">
        <v>3.99</v>
      </c>
      <c r="L1077" s="361">
        <v>5.0</v>
      </c>
      <c r="M1077" s="40">
        <v>100.0</v>
      </c>
      <c r="N1077" s="361">
        <v>0.04</v>
      </c>
    </row>
    <row r="1078">
      <c r="A1078" s="357" t="s">
        <v>29</v>
      </c>
      <c r="B1078" s="40"/>
      <c r="C1078" s="40">
        <v>125.0</v>
      </c>
      <c r="D1078" s="40" t="s">
        <v>1470</v>
      </c>
      <c r="E1078" s="40" t="s">
        <v>645</v>
      </c>
      <c r="F1078" s="360">
        <v>37946.0</v>
      </c>
      <c r="G1078" s="360">
        <v>41979.0</v>
      </c>
      <c r="H1078" s="360">
        <v>41992.0</v>
      </c>
      <c r="I1078" s="360">
        <v>44551.0</v>
      </c>
      <c r="J1078" s="361">
        <v>8.0</v>
      </c>
      <c r="K1078" s="361">
        <v>3.0</v>
      </c>
      <c r="L1078" s="361">
        <v>5.0</v>
      </c>
      <c r="M1078" s="40">
        <v>90.0</v>
      </c>
      <c r="N1078" s="361">
        <v>0.03</v>
      </c>
    </row>
    <row r="1079">
      <c r="A1079" s="357" t="s">
        <v>29</v>
      </c>
      <c r="B1079" s="40"/>
      <c r="C1079" s="40">
        <v>126.0</v>
      </c>
      <c r="D1079" s="40" t="s">
        <v>1473</v>
      </c>
      <c r="E1079" s="40" t="s">
        <v>645</v>
      </c>
      <c r="F1079" s="360">
        <v>38303.0</v>
      </c>
      <c r="G1079" s="360">
        <v>41979.0</v>
      </c>
      <c r="H1079" s="360">
        <v>41996.0</v>
      </c>
      <c r="I1079" s="360">
        <v>44555.0</v>
      </c>
      <c r="J1079" s="361">
        <v>8.0</v>
      </c>
      <c r="K1079" s="361">
        <v>3.0</v>
      </c>
      <c r="L1079" s="361">
        <v>5.0</v>
      </c>
      <c r="M1079" s="40">
        <v>110.0</v>
      </c>
      <c r="N1079" s="361">
        <v>0.03</v>
      </c>
    </row>
    <row r="1080">
      <c r="A1080" s="357" t="s">
        <v>29</v>
      </c>
      <c r="B1080" s="40"/>
      <c r="C1080" s="40">
        <v>127.0</v>
      </c>
      <c r="D1080" s="40" t="s">
        <v>1479</v>
      </c>
      <c r="E1080" s="40" t="s">
        <v>645</v>
      </c>
      <c r="F1080" s="360">
        <v>38674.0</v>
      </c>
      <c r="G1080" s="360">
        <v>42011.0</v>
      </c>
      <c r="H1080" s="360">
        <v>42012.0</v>
      </c>
      <c r="I1080" s="360">
        <v>44290.0</v>
      </c>
      <c r="J1080" s="361">
        <v>14.99</v>
      </c>
      <c r="K1080" s="361">
        <v>14.99</v>
      </c>
      <c r="L1080" s="361">
        <v>0.0</v>
      </c>
      <c r="M1080" s="40">
        <v>55.0</v>
      </c>
      <c r="N1080" s="361">
        <v>0.27</v>
      </c>
    </row>
    <row r="1081">
      <c r="A1081" s="358" t="s">
        <v>29</v>
      </c>
      <c r="B1081" s="40"/>
      <c r="C1081" s="40">
        <v>345.0</v>
      </c>
      <c r="D1081" s="40" t="s">
        <v>1492</v>
      </c>
      <c r="E1081" s="40" t="s">
        <v>649</v>
      </c>
      <c r="F1081" s="360">
        <v>39164.0</v>
      </c>
      <c r="G1081" s="360">
        <v>44091.0</v>
      </c>
      <c r="H1081" s="360">
        <v>44091.0</v>
      </c>
      <c r="I1081" s="360">
        <v>44091.0</v>
      </c>
      <c r="J1081" s="361">
        <v>14.99</v>
      </c>
      <c r="K1081" s="361">
        <v>2.0</v>
      </c>
      <c r="L1081" s="361">
        <v>12.99</v>
      </c>
      <c r="M1081" s="40">
        <v>1.0</v>
      </c>
      <c r="N1081" s="361">
        <v>2.0</v>
      </c>
    </row>
    <row r="1082">
      <c r="A1082" s="358" t="s">
        <v>29</v>
      </c>
      <c r="B1082" s="40"/>
      <c r="C1082" s="40">
        <v>331.0</v>
      </c>
      <c r="D1082" s="40" t="s">
        <v>1494</v>
      </c>
      <c r="E1082" s="40" t="s">
        <v>649</v>
      </c>
      <c r="F1082" s="360">
        <v>39395.0</v>
      </c>
      <c r="G1082" s="360">
        <v>40143.0</v>
      </c>
      <c r="H1082" s="360">
        <v>40143.0</v>
      </c>
      <c r="I1082" s="360">
        <v>40147.0</v>
      </c>
      <c r="J1082" s="361">
        <v>14.99</v>
      </c>
      <c r="K1082" s="361">
        <v>10.0</v>
      </c>
      <c r="L1082" s="361">
        <v>4.99</v>
      </c>
      <c r="M1082" s="40">
        <v>45.0</v>
      </c>
      <c r="N1082" s="361">
        <v>0.22</v>
      </c>
    </row>
    <row r="1083">
      <c r="A1083" s="358" t="s">
        <v>29</v>
      </c>
      <c r="B1083" s="40"/>
      <c r="C1083" s="40">
        <v>332.0</v>
      </c>
      <c r="D1083" s="40" t="s">
        <v>1496</v>
      </c>
      <c r="E1083" s="40" t="s">
        <v>649</v>
      </c>
      <c r="F1083" s="360">
        <v>39681.0</v>
      </c>
      <c r="G1083" s="360">
        <v>40153.0</v>
      </c>
      <c r="H1083" s="360">
        <v>40153.0</v>
      </c>
      <c r="I1083" s="360">
        <v>40156.0</v>
      </c>
      <c r="J1083" s="361">
        <v>9.99</v>
      </c>
      <c r="K1083" s="361">
        <v>9.99</v>
      </c>
      <c r="L1083" s="361">
        <v>0.0</v>
      </c>
      <c r="M1083" s="40">
        <v>5.0</v>
      </c>
      <c r="N1083" s="361">
        <v>2.0</v>
      </c>
    </row>
    <row r="1084">
      <c r="A1084" s="358" t="s">
        <v>29</v>
      </c>
      <c r="B1084" s="40"/>
      <c r="C1084" s="40">
        <v>333.0</v>
      </c>
      <c r="D1084" s="40" t="s">
        <v>1506</v>
      </c>
      <c r="E1084" s="40" t="s">
        <v>649</v>
      </c>
      <c r="F1084" s="360">
        <v>40123.0</v>
      </c>
      <c r="G1084" s="360">
        <v>40338.0</v>
      </c>
      <c r="H1084" s="360">
        <v>40338.0</v>
      </c>
      <c r="I1084" s="360">
        <v>44125.0</v>
      </c>
      <c r="J1084" s="361">
        <v>14.99</v>
      </c>
      <c r="K1084" s="361">
        <v>10.0</v>
      </c>
      <c r="L1084" s="361">
        <v>4.99</v>
      </c>
      <c r="M1084" s="40">
        <v>50.0</v>
      </c>
      <c r="N1084" s="361">
        <v>0.2</v>
      </c>
    </row>
    <row r="1085">
      <c r="A1085" s="358" t="s">
        <v>29</v>
      </c>
      <c r="B1085" s="40"/>
      <c r="C1085" s="40">
        <v>334.0</v>
      </c>
      <c r="D1085" s="40" t="s">
        <v>1542</v>
      </c>
      <c r="E1085" s="40" t="s">
        <v>649</v>
      </c>
      <c r="F1085" s="360">
        <v>41243.0</v>
      </c>
      <c r="G1085" s="360">
        <v>41318.0</v>
      </c>
      <c r="H1085" s="360">
        <v>41318.0</v>
      </c>
      <c r="I1085" s="360">
        <v>44549.0</v>
      </c>
      <c r="J1085" s="361">
        <v>14.99</v>
      </c>
      <c r="K1085" s="361">
        <v>4.99</v>
      </c>
      <c r="L1085" s="361">
        <v>10.0</v>
      </c>
      <c r="M1085" s="40">
        <v>20.0</v>
      </c>
      <c r="N1085" s="361">
        <v>0.25</v>
      </c>
    </row>
    <row r="1086">
      <c r="A1086" s="358" t="s">
        <v>29</v>
      </c>
      <c r="B1086" s="40"/>
      <c r="C1086" s="40">
        <v>335.0</v>
      </c>
      <c r="D1086" s="40" t="s">
        <v>1557</v>
      </c>
      <c r="E1086" s="40" t="s">
        <v>649</v>
      </c>
      <c r="F1086" s="360">
        <v>41600.0</v>
      </c>
      <c r="G1086" s="360">
        <v>44237.0</v>
      </c>
      <c r="H1086" s="360">
        <v>44238.0</v>
      </c>
      <c r="I1086" s="360">
        <v>44240.0</v>
      </c>
      <c r="J1086" s="361">
        <v>19.99</v>
      </c>
      <c r="K1086" s="361">
        <v>14.99</v>
      </c>
      <c r="L1086" s="361">
        <v>5.0</v>
      </c>
      <c r="M1086" s="40">
        <v>15.0</v>
      </c>
      <c r="N1086" s="361">
        <v>1.0</v>
      </c>
    </row>
    <row r="1087">
      <c r="A1087" s="40" t="s">
        <v>29</v>
      </c>
      <c r="B1087" s="40"/>
      <c r="C1087" s="40">
        <v>805.0</v>
      </c>
      <c r="D1087" s="362" t="s">
        <v>1598</v>
      </c>
      <c r="E1087" s="362" t="s">
        <v>33</v>
      </c>
      <c r="F1087" s="360">
        <v>42480.0</v>
      </c>
      <c r="G1087" s="360">
        <v>43091.0</v>
      </c>
      <c r="H1087" s="360">
        <v>43092.0</v>
      </c>
      <c r="I1087" s="360">
        <v>44135.0</v>
      </c>
      <c r="J1087" s="361">
        <v>39.99</v>
      </c>
      <c r="K1087" s="361">
        <v>16.49</v>
      </c>
      <c r="L1087" s="361">
        <v>23.5</v>
      </c>
      <c r="M1087" s="40">
        <v>28.0</v>
      </c>
      <c r="N1087" s="361">
        <v>0.59</v>
      </c>
    </row>
    <row r="1088">
      <c r="A1088" s="40" t="s">
        <v>29</v>
      </c>
      <c r="B1088" s="40"/>
      <c r="C1088" s="40">
        <v>726.0</v>
      </c>
      <c r="D1088" s="40" t="s">
        <v>1631</v>
      </c>
      <c r="E1088" s="40" t="s">
        <v>33</v>
      </c>
      <c r="F1088" s="360">
        <v>43350.0</v>
      </c>
      <c r="G1088" s="360">
        <v>43306.0</v>
      </c>
      <c r="H1088" s="360">
        <v>43350.0</v>
      </c>
      <c r="I1088" s="360">
        <v>43479.0</v>
      </c>
      <c r="J1088" s="361">
        <v>79.99</v>
      </c>
      <c r="K1088" s="361">
        <v>0.0</v>
      </c>
      <c r="L1088" s="361">
        <v>79.99</v>
      </c>
      <c r="M1088" s="40">
        <v>82.0</v>
      </c>
      <c r="N1088" s="361">
        <v>0.0</v>
      </c>
    </row>
    <row r="1089">
      <c r="A1089" s="40" t="s">
        <v>29</v>
      </c>
      <c r="B1089" s="40"/>
      <c r="C1089" s="40">
        <v>727.0</v>
      </c>
      <c r="D1089" s="40" t="s">
        <v>1671</v>
      </c>
      <c r="E1089" s="40" t="s">
        <v>33</v>
      </c>
      <c r="F1089" s="360">
        <v>44147.0</v>
      </c>
      <c r="G1089" s="360">
        <v>44883.0</v>
      </c>
      <c r="H1089" s="360">
        <v>44889.0</v>
      </c>
      <c r="I1089" s="360">
        <v>44892.0</v>
      </c>
      <c r="J1089" s="361">
        <v>59.99</v>
      </c>
      <c r="K1089" s="361">
        <v>29.99</v>
      </c>
      <c r="L1089" s="361">
        <v>30.0</v>
      </c>
      <c r="M1089" s="40">
        <v>29.0</v>
      </c>
      <c r="N1089" s="361">
        <v>1.03</v>
      </c>
    </row>
    <row r="1090">
      <c r="A1090" s="358" t="s">
        <v>29</v>
      </c>
      <c r="B1090" s="40"/>
      <c r="C1090" s="40">
        <v>1073.0</v>
      </c>
      <c r="D1090" s="362" t="s">
        <v>1736</v>
      </c>
      <c r="E1090" s="362" t="s">
        <v>39</v>
      </c>
      <c r="F1090" s="360">
        <v>44358.0</v>
      </c>
      <c r="G1090" s="360">
        <v>44555.0</v>
      </c>
      <c r="H1090" s="360">
        <v>44557.0</v>
      </c>
      <c r="I1090" s="360">
        <v>44559.0</v>
      </c>
      <c r="J1090" s="362">
        <v>79.99</v>
      </c>
      <c r="K1090" s="362">
        <v>0.0</v>
      </c>
      <c r="L1090" s="361">
        <v>79.99</v>
      </c>
      <c r="M1090" s="40">
        <v>19.0</v>
      </c>
      <c r="N1090" s="361">
        <v>0.0</v>
      </c>
    </row>
    <row r="1091">
      <c r="A1091" s="358" t="s">
        <v>29</v>
      </c>
      <c r="B1091" s="40"/>
      <c r="C1091" s="40">
        <v>1068.0</v>
      </c>
      <c r="D1091" s="40" t="s">
        <v>1738</v>
      </c>
      <c r="E1091" s="40" t="s">
        <v>39</v>
      </c>
      <c r="F1091" s="360">
        <v>45219.0</v>
      </c>
      <c r="G1091" s="360">
        <v>45176.0</v>
      </c>
      <c r="H1091" s="360">
        <v>45219.0</v>
      </c>
      <c r="I1091" s="360">
        <v>45384.0</v>
      </c>
      <c r="J1091" s="362">
        <v>89.99</v>
      </c>
      <c r="K1091" s="362">
        <v>0.0</v>
      </c>
      <c r="L1091" s="361">
        <v>89.99</v>
      </c>
      <c r="M1091" s="40">
        <v>44.0</v>
      </c>
      <c r="N1091" s="361">
        <v>0.0</v>
      </c>
    </row>
    <row r="1092">
      <c r="A1092" s="146"/>
      <c r="B1092" s="146"/>
      <c r="C1092" s="340"/>
      <c r="D1092" s="146"/>
      <c r="E1092" s="146"/>
      <c r="F1092" s="146"/>
      <c r="G1092" s="146"/>
      <c r="H1092" s="146"/>
      <c r="I1092" s="146"/>
      <c r="J1092" s="339">
        <f t="shared" ref="J1092:M1092" si="140">SUM(J1074:J1091)</f>
        <v>489.86</v>
      </c>
      <c r="K1092" s="339">
        <f t="shared" si="140"/>
        <v>133.42</v>
      </c>
      <c r="L1092" s="339">
        <f t="shared" si="140"/>
        <v>356.44</v>
      </c>
      <c r="M1092" s="146">
        <f t="shared" si="140"/>
        <v>853</v>
      </c>
      <c r="N1092" s="339">
        <f>K1092/M1092</f>
        <v>0.1564126612</v>
      </c>
    </row>
    <row r="1093">
      <c r="A1093" s="357" t="s">
        <v>29</v>
      </c>
      <c r="B1093" s="40" t="s">
        <v>550</v>
      </c>
      <c r="C1093" s="40">
        <v>88.0</v>
      </c>
      <c r="D1093" s="40" t="s">
        <v>1464</v>
      </c>
      <c r="E1093" s="40" t="s">
        <v>645</v>
      </c>
      <c r="F1093" s="360">
        <v>37414.0</v>
      </c>
      <c r="G1093" s="360">
        <v>44300.0</v>
      </c>
      <c r="H1093" s="360">
        <v>44300.0</v>
      </c>
      <c r="I1093" s="360">
        <v>44300.0</v>
      </c>
      <c r="J1093" s="361">
        <v>9.99</v>
      </c>
      <c r="K1093" s="361">
        <v>9.99</v>
      </c>
      <c r="L1093" s="361">
        <v>0.0</v>
      </c>
      <c r="M1093" s="40">
        <v>1.0</v>
      </c>
      <c r="N1093" s="361">
        <v>9.99</v>
      </c>
    </row>
    <row r="1094">
      <c r="A1094" s="358" t="s">
        <v>29</v>
      </c>
      <c r="B1094" s="358" t="s">
        <v>551</v>
      </c>
      <c r="C1094" s="358">
        <v>1086.0</v>
      </c>
      <c r="D1094" s="358" t="s">
        <v>1708</v>
      </c>
      <c r="E1094" s="358" t="s">
        <v>33</v>
      </c>
      <c r="F1094" s="360">
        <v>45849.0</v>
      </c>
      <c r="G1094" s="360">
        <v>45907.0</v>
      </c>
      <c r="H1094" s="360">
        <v>45907.0</v>
      </c>
      <c r="I1094" s="360">
        <v>45907.0</v>
      </c>
      <c r="J1094" s="71">
        <v>25.0</v>
      </c>
      <c r="K1094" s="71">
        <v>0.0</v>
      </c>
      <c r="L1094" s="71">
        <f t="shared" ref="L1094:L1095" si="141">J1094-K1094</f>
        <v>25</v>
      </c>
      <c r="M1094" s="39">
        <v>2.0</v>
      </c>
      <c r="N1094" s="71">
        <f t="shared" ref="N1094:N1096" si="142">K1094/M1094</f>
        <v>0</v>
      </c>
    </row>
    <row r="1095">
      <c r="A1095" s="358" t="s">
        <v>29</v>
      </c>
      <c r="B1095" s="358"/>
      <c r="C1095" s="358">
        <v>1087.0</v>
      </c>
      <c r="D1095" s="358" t="s">
        <v>1709</v>
      </c>
      <c r="E1095" s="358" t="s">
        <v>33</v>
      </c>
      <c r="F1095" s="360">
        <v>45849.0</v>
      </c>
      <c r="G1095" s="360">
        <v>45907.0</v>
      </c>
      <c r="H1095" s="360">
        <v>45907.0</v>
      </c>
      <c r="I1095" s="360">
        <v>45907.0</v>
      </c>
      <c r="J1095" s="71">
        <v>24.99</v>
      </c>
      <c r="K1095" s="71">
        <v>0.0</v>
      </c>
      <c r="L1095" s="71">
        <f t="shared" si="141"/>
        <v>24.99</v>
      </c>
      <c r="M1095" s="39">
        <v>2.0</v>
      </c>
      <c r="N1095" s="71">
        <f t="shared" si="142"/>
        <v>0</v>
      </c>
    </row>
    <row r="1096">
      <c r="A1096" s="74"/>
      <c r="B1096" s="74"/>
      <c r="C1096" s="340"/>
      <c r="D1096" s="146"/>
      <c r="E1096" s="146"/>
      <c r="F1096" s="146"/>
      <c r="G1096" s="146"/>
      <c r="H1096" s="146"/>
      <c r="I1096" s="146"/>
      <c r="J1096" s="339">
        <f t="shared" ref="J1096:M1096" si="143">SUM(J1094:J1095)</f>
        <v>49.99</v>
      </c>
      <c r="K1096" s="339">
        <f t="shared" si="143"/>
        <v>0</v>
      </c>
      <c r="L1096" s="339">
        <f t="shared" si="143"/>
        <v>49.99</v>
      </c>
      <c r="M1096" s="146">
        <f t="shared" si="143"/>
        <v>4</v>
      </c>
      <c r="N1096" s="339">
        <f t="shared" si="142"/>
        <v>0</v>
      </c>
    </row>
    <row r="1097">
      <c r="A1097" s="358" t="s">
        <v>29</v>
      </c>
      <c r="B1097" s="40" t="s">
        <v>552</v>
      </c>
      <c r="C1097" s="40">
        <v>1069.0</v>
      </c>
      <c r="D1097" s="40" t="s">
        <v>1739</v>
      </c>
      <c r="E1097" s="40" t="s">
        <v>39</v>
      </c>
      <c r="F1097" s="360">
        <v>45344.0</v>
      </c>
      <c r="G1097" s="360">
        <v>45491.0</v>
      </c>
      <c r="H1097" s="360">
        <v>45501.0</v>
      </c>
      <c r="I1097" s="360">
        <v>45501.0</v>
      </c>
      <c r="J1097" s="362">
        <v>29.99</v>
      </c>
      <c r="K1097" s="362">
        <v>17.99</v>
      </c>
      <c r="L1097" s="361">
        <v>12.0</v>
      </c>
      <c r="M1097" s="40">
        <v>1.0</v>
      </c>
      <c r="N1097" s="361">
        <v>17.99</v>
      </c>
    </row>
    <row r="1098">
      <c r="A1098" s="362" t="s">
        <v>29</v>
      </c>
      <c r="B1098" s="358" t="s">
        <v>28</v>
      </c>
      <c r="C1098" s="358">
        <v>1102.0</v>
      </c>
      <c r="D1098" s="358" t="s">
        <v>38</v>
      </c>
      <c r="E1098" s="358" t="s">
        <v>39</v>
      </c>
      <c r="F1098" s="364">
        <v>45727.0</v>
      </c>
      <c r="G1098" s="364">
        <v>46016.0</v>
      </c>
      <c r="H1098" s="364">
        <v>46016.0</v>
      </c>
      <c r="I1098" s="364">
        <v>46016.0</v>
      </c>
      <c r="J1098" s="363">
        <v>24.99</v>
      </c>
      <c r="K1098" s="363">
        <v>0.0</v>
      </c>
      <c r="L1098" s="363">
        <v>24.99</v>
      </c>
      <c r="M1098" s="357">
        <v>1.0</v>
      </c>
      <c r="N1098" s="363">
        <v>0.0</v>
      </c>
    </row>
    <row r="1099">
      <c r="A1099" s="358" t="s">
        <v>29</v>
      </c>
      <c r="B1099" s="40" t="s">
        <v>553</v>
      </c>
      <c r="C1099" s="40">
        <v>404.0</v>
      </c>
      <c r="D1099" s="40" t="s">
        <v>1538</v>
      </c>
      <c r="E1099" s="40" t="s">
        <v>649</v>
      </c>
      <c r="F1099" s="360">
        <v>41220.0</v>
      </c>
      <c r="G1099" s="360">
        <v>44237.0</v>
      </c>
      <c r="H1099" s="360">
        <v>44237.0</v>
      </c>
      <c r="I1099" s="360">
        <v>44238.0</v>
      </c>
      <c r="J1099" s="361">
        <v>2.75</v>
      </c>
      <c r="K1099" s="361">
        <v>2.75</v>
      </c>
      <c r="L1099" s="361">
        <v>0.0</v>
      </c>
      <c r="M1099" s="40">
        <v>10.0</v>
      </c>
      <c r="N1099" s="361">
        <v>0.28</v>
      </c>
    </row>
    <row r="1100">
      <c r="A1100" s="358" t="s">
        <v>29</v>
      </c>
      <c r="B1100" s="40"/>
      <c r="C1100" s="40">
        <v>405.0</v>
      </c>
      <c r="D1100" s="40" t="s">
        <v>1539</v>
      </c>
      <c r="E1100" s="40" t="s">
        <v>649</v>
      </c>
      <c r="F1100" s="360">
        <v>41220.0</v>
      </c>
      <c r="G1100" s="360">
        <v>44237.0</v>
      </c>
      <c r="H1100" s="360">
        <v>44240.0</v>
      </c>
      <c r="I1100" s="360">
        <v>44240.0</v>
      </c>
      <c r="J1100" s="361">
        <v>2.74</v>
      </c>
      <c r="K1100" s="361">
        <v>2.74</v>
      </c>
      <c r="L1100" s="361">
        <v>0.0</v>
      </c>
      <c r="M1100" s="40">
        <v>5.0</v>
      </c>
      <c r="N1100" s="361">
        <v>0.55</v>
      </c>
    </row>
    <row r="1101">
      <c r="A1101" s="146"/>
      <c r="B1101" s="146"/>
      <c r="C1101" s="340"/>
      <c r="D1101" s="146"/>
      <c r="E1101" s="146"/>
      <c r="F1101" s="146"/>
      <c r="G1101" s="146"/>
      <c r="H1101" s="146"/>
      <c r="I1101" s="146"/>
      <c r="J1101" s="339">
        <f t="shared" ref="J1101:M1101" si="144">SUM(J1099:J1100)</f>
        <v>5.49</v>
      </c>
      <c r="K1101" s="339">
        <f t="shared" si="144"/>
        <v>5.49</v>
      </c>
      <c r="L1101" s="339">
        <f t="shared" si="144"/>
        <v>0</v>
      </c>
      <c r="M1101" s="146">
        <f t="shared" si="144"/>
        <v>15</v>
      </c>
      <c r="N1101" s="339">
        <f>K1101/M1101</f>
        <v>0.366</v>
      </c>
    </row>
    <row r="1102">
      <c r="A1102" s="40" t="s">
        <v>29</v>
      </c>
      <c r="B1102" s="40" t="s">
        <v>554</v>
      </c>
      <c r="C1102" s="40">
        <v>17.0</v>
      </c>
      <c r="D1102" s="40" t="s">
        <v>1459</v>
      </c>
      <c r="E1102" s="40" t="s">
        <v>682</v>
      </c>
      <c r="F1102" s="360">
        <v>36741.0</v>
      </c>
      <c r="G1102" s="360">
        <v>44300.0</v>
      </c>
      <c r="H1102" s="360">
        <v>44300.0</v>
      </c>
      <c r="I1102" s="360">
        <v>44300.0</v>
      </c>
      <c r="J1102" s="361">
        <v>6.99</v>
      </c>
      <c r="K1102" s="361">
        <v>6.99</v>
      </c>
      <c r="L1102" s="361">
        <v>0.0</v>
      </c>
      <c r="M1102" s="40">
        <v>1.0</v>
      </c>
      <c r="N1102" s="361">
        <v>6.99</v>
      </c>
    </row>
    <row r="1103">
      <c r="A1103" s="40" t="s">
        <v>29</v>
      </c>
      <c r="B1103" s="40"/>
      <c r="C1103" s="40">
        <v>18.0</v>
      </c>
      <c r="D1103" s="40" t="s">
        <v>1461</v>
      </c>
      <c r="E1103" s="40" t="s">
        <v>682</v>
      </c>
      <c r="F1103" s="360">
        <v>36973.0</v>
      </c>
      <c r="G1103" s="360">
        <v>44300.0</v>
      </c>
      <c r="H1103" s="360">
        <v>44300.0</v>
      </c>
      <c r="I1103" s="360">
        <v>44300.0</v>
      </c>
      <c r="J1103" s="361">
        <v>6.99</v>
      </c>
      <c r="K1103" s="361">
        <v>6.99</v>
      </c>
      <c r="L1103" s="361">
        <v>0.0</v>
      </c>
      <c r="M1103" s="40">
        <v>1.0</v>
      </c>
      <c r="N1103" s="361">
        <v>6.99</v>
      </c>
    </row>
    <row r="1104">
      <c r="A1104" s="146"/>
      <c r="B1104" s="146"/>
      <c r="C1104" s="340"/>
      <c r="D1104" s="146"/>
      <c r="E1104" s="146"/>
      <c r="F1104" s="146"/>
      <c r="G1104" s="146"/>
      <c r="H1104" s="146"/>
      <c r="I1104" s="146"/>
      <c r="J1104" s="339">
        <f t="shared" ref="J1104:M1104" si="145">SUM(J1102:J1103)</f>
        <v>13.98</v>
      </c>
      <c r="K1104" s="339">
        <f t="shared" si="145"/>
        <v>13.98</v>
      </c>
      <c r="L1104" s="339">
        <f t="shared" si="145"/>
        <v>0</v>
      </c>
      <c r="M1104" s="146">
        <f t="shared" si="145"/>
        <v>2</v>
      </c>
      <c r="N1104" s="339">
        <f>K1104/M1104</f>
        <v>6.99</v>
      </c>
    </row>
    <row r="1105">
      <c r="A1105" s="358" t="s">
        <v>29</v>
      </c>
      <c r="B1105" s="40" t="s">
        <v>555</v>
      </c>
      <c r="C1105" s="40">
        <v>252.0</v>
      </c>
      <c r="D1105" s="40" t="s">
        <v>1555</v>
      </c>
      <c r="E1105" s="40" t="s">
        <v>649</v>
      </c>
      <c r="F1105" s="360">
        <v>41549.0</v>
      </c>
      <c r="G1105" s="360">
        <v>44299.0</v>
      </c>
      <c r="H1105" s="360">
        <v>45109.0</v>
      </c>
      <c r="I1105" s="360">
        <v>45126.0</v>
      </c>
      <c r="J1105" s="361">
        <v>7.99</v>
      </c>
      <c r="K1105" s="361">
        <v>7.99</v>
      </c>
      <c r="L1105" s="361">
        <v>0.0</v>
      </c>
      <c r="M1105" s="40">
        <v>5.0</v>
      </c>
      <c r="N1105" s="361">
        <v>1.6</v>
      </c>
    </row>
    <row r="1106">
      <c r="A1106" s="358" t="s">
        <v>29</v>
      </c>
      <c r="B1106" s="40" t="s">
        <v>556</v>
      </c>
      <c r="C1106" s="40">
        <v>392.0</v>
      </c>
      <c r="D1106" s="40" t="s">
        <v>1502</v>
      </c>
      <c r="E1106" s="40" t="s">
        <v>649</v>
      </c>
      <c r="F1106" s="360">
        <v>40009.0</v>
      </c>
      <c r="G1106" s="360">
        <v>44237.0</v>
      </c>
      <c r="H1106" s="360">
        <v>44237.0</v>
      </c>
      <c r="I1106" s="360">
        <v>44237.0</v>
      </c>
      <c r="J1106" s="361">
        <v>4.99</v>
      </c>
      <c r="K1106" s="361">
        <v>4.99</v>
      </c>
      <c r="L1106" s="361">
        <v>0.0</v>
      </c>
      <c r="M1106" s="40">
        <v>1.0</v>
      </c>
      <c r="N1106" s="361">
        <v>4.99</v>
      </c>
    </row>
    <row r="1107">
      <c r="A1107" s="40" t="s">
        <v>29</v>
      </c>
      <c r="B1107" s="40"/>
      <c r="C1107" s="40">
        <v>445.0</v>
      </c>
      <c r="D1107" s="40" t="s">
        <v>1572</v>
      </c>
      <c r="E1107" s="40" t="s">
        <v>671</v>
      </c>
      <c r="F1107" s="360">
        <v>42031.0</v>
      </c>
      <c r="G1107" s="360">
        <v>42778.0</v>
      </c>
      <c r="H1107" s="360">
        <v>42810.0</v>
      </c>
      <c r="I1107" s="360">
        <v>42810.0</v>
      </c>
      <c r="J1107" s="361">
        <v>14.99</v>
      </c>
      <c r="K1107" s="361">
        <v>3.99</v>
      </c>
      <c r="L1107" s="361">
        <v>11.0</v>
      </c>
      <c r="M1107" s="40">
        <v>1.0</v>
      </c>
      <c r="N1107" s="361">
        <v>3.99</v>
      </c>
    </row>
    <row r="1108">
      <c r="A1108" s="40" t="s">
        <v>29</v>
      </c>
      <c r="B1108" s="40"/>
      <c r="C1108" s="40">
        <v>435.0</v>
      </c>
      <c r="D1108" s="40" t="s">
        <v>1577</v>
      </c>
      <c r="E1108" s="40" t="s">
        <v>671</v>
      </c>
      <c r="F1108" s="360">
        <v>42451.0</v>
      </c>
      <c r="G1108" s="360">
        <v>42811.0</v>
      </c>
      <c r="H1108" s="360">
        <v>42851.0</v>
      </c>
      <c r="I1108" s="360">
        <v>42851.0</v>
      </c>
      <c r="J1108" s="361">
        <v>14.99</v>
      </c>
      <c r="K1108" s="361">
        <v>4.74</v>
      </c>
      <c r="L1108" s="361">
        <v>10.25</v>
      </c>
      <c r="M1108" s="40">
        <v>16.0</v>
      </c>
      <c r="N1108" s="361">
        <v>0.3</v>
      </c>
    </row>
    <row r="1109">
      <c r="A1109" s="40" t="s">
        <v>29</v>
      </c>
      <c r="B1109" s="40"/>
      <c r="C1109" s="40">
        <v>856.0</v>
      </c>
      <c r="D1109" s="40" t="s">
        <v>1659</v>
      </c>
      <c r="E1109" s="40" t="s">
        <v>33</v>
      </c>
      <c r="F1109" s="360">
        <v>44005.0</v>
      </c>
      <c r="G1109" s="360">
        <v>44071.0</v>
      </c>
      <c r="H1109" s="360">
        <v>44188.0</v>
      </c>
      <c r="I1109" s="360">
        <v>44189.0</v>
      </c>
      <c r="J1109" s="361">
        <v>14.99</v>
      </c>
      <c r="K1109" s="361">
        <v>9.74</v>
      </c>
      <c r="L1109" s="361">
        <v>5.25</v>
      </c>
      <c r="M1109" s="40">
        <v>7.0</v>
      </c>
      <c r="N1109" s="361">
        <v>1.39</v>
      </c>
    </row>
    <row r="1110">
      <c r="A1110" s="146"/>
      <c r="B1110" s="146"/>
      <c r="C1110" s="340"/>
      <c r="D1110" s="146"/>
      <c r="E1110" s="146"/>
      <c r="F1110" s="146"/>
      <c r="G1110" s="146"/>
      <c r="H1110" s="146"/>
      <c r="I1110" s="146"/>
      <c r="J1110" s="339">
        <f t="shared" ref="J1110:M1110" si="146">SUM(J1106:J1109)</f>
        <v>49.96</v>
      </c>
      <c r="K1110" s="339">
        <f t="shared" si="146"/>
        <v>23.46</v>
      </c>
      <c r="L1110" s="339">
        <f t="shared" si="146"/>
        <v>26.5</v>
      </c>
      <c r="M1110" s="146">
        <f t="shared" si="146"/>
        <v>25</v>
      </c>
      <c r="N1110" s="339">
        <f>K1110/M1110</f>
        <v>0.9384</v>
      </c>
    </row>
    <row r="1111">
      <c r="A1111" s="357" t="s">
        <v>29</v>
      </c>
      <c r="B1111" s="40" t="s">
        <v>557</v>
      </c>
      <c r="C1111" s="40">
        <v>142.0</v>
      </c>
      <c r="D1111" s="40" t="s">
        <v>1467</v>
      </c>
      <c r="E1111" s="40" t="s">
        <v>645</v>
      </c>
      <c r="F1111" s="360">
        <v>37652.0</v>
      </c>
      <c r="G1111" s="360">
        <v>41578.0</v>
      </c>
      <c r="H1111" s="360">
        <v>41578.0</v>
      </c>
      <c r="I1111" s="360">
        <v>41578.0</v>
      </c>
      <c r="J1111" s="361">
        <v>14.99</v>
      </c>
      <c r="K1111" s="361">
        <v>14.99</v>
      </c>
      <c r="L1111" s="361">
        <v>0.0</v>
      </c>
      <c r="M1111" s="40">
        <v>50.0</v>
      </c>
      <c r="N1111" s="361">
        <v>0.3</v>
      </c>
    </row>
    <row r="1112">
      <c r="A1112" s="357" t="s">
        <v>29</v>
      </c>
      <c r="B1112" s="40"/>
      <c r="C1112" s="40">
        <v>143.0</v>
      </c>
      <c r="D1112" s="40" t="s">
        <v>1478</v>
      </c>
      <c r="E1112" s="40" t="s">
        <v>645</v>
      </c>
      <c r="F1112" s="360">
        <v>38660.0</v>
      </c>
      <c r="G1112" s="360">
        <v>41578.0</v>
      </c>
      <c r="H1112" s="360">
        <v>41578.0</v>
      </c>
      <c r="I1112" s="360">
        <v>41578.0</v>
      </c>
      <c r="J1112" s="361">
        <v>14.99</v>
      </c>
      <c r="K1112" s="361">
        <v>14.99</v>
      </c>
      <c r="L1112" s="361">
        <v>0.0</v>
      </c>
      <c r="M1112" s="40">
        <v>80.0</v>
      </c>
      <c r="N1112" s="361">
        <v>0.19</v>
      </c>
    </row>
    <row r="1113">
      <c r="A1113" s="358" t="s">
        <v>29</v>
      </c>
      <c r="B1113" s="40"/>
      <c r="C1113" s="40">
        <v>394.0</v>
      </c>
      <c r="D1113" s="40" t="s">
        <v>1513</v>
      </c>
      <c r="E1113" s="40" t="s">
        <v>649</v>
      </c>
      <c r="F1113" s="360">
        <v>40480.0</v>
      </c>
      <c r="G1113" s="360">
        <v>40489.0</v>
      </c>
      <c r="H1113" s="360">
        <v>40489.0</v>
      </c>
      <c r="I1113" s="360">
        <v>40635.0</v>
      </c>
      <c r="J1113" s="361">
        <v>19.99</v>
      </c>
      <c r="K1113" s="361">
        <v>18.0</v>
      </c>
      <c r="L1113" s="361">
        <v>1.99</v>
      </c>
      <c r="M1113" s="40">
        <v>5.0</v>
      </c>
      <c r="N1113" s="361">
        <v>3.6</v>
      </c>
    </row>
    <row r="1114">
      <c r="A1114" s="358" t="s">
        <v>29</v>
      </c>
      <c r="B1114" s="40"/>
      <c r="C1114" s="40">
        <v>395.0</v>
      </c>
      <c r="D1114" s="40" t="s">
        <v>1524</v>
      </c>
      <c r="E1114" s="40" t="s">
        <v>649</v>
      </c>
      <c r="F1114" s="360">
        <v>40837.0</v>
      </c>
      <c r="G1114" s="360">
        <v>40837.0</v>
      </c>
      <c r="H1114" s="360">
        <v>40837.0</v>
      </c>
      <c r="I1114" s="360">
        <v>40837.0</v>
      </c>
      <c r="J1114" s="361">
        <v>19.99</v>
      </c>
      <c r="K1114" s="361">
        <v>18.0</v>
      </c>
      <c r="L1114" s="361">
        <v>1.99</v>
      </c>
      <c r="M1114" s="40">
        <v>5.0</v>
      </c>
      <c r="N1114" s="361">
        <v>3.6</v>
      </c>
    </row>
    <row r="1115">
      <c r="A1115" s="40" t="s">
        <v>29</v>
      </c>
      <c r="B1115" s="40"/>
      <c r="C1115" s="40">
        <v>922.0</v>
      </c>
      <c r="D1115" s="40" t="s">
        <v>1626</v>
      </c>
      <c r="E1115" s="40" t="s">
        <v>33</v>
      </c>
      <c r="F1115" s="360">
        <v>43056.0</v>
      </c>
      <c r="G1115" s="360">
        <v>43077.0</v>
      </c>
      <c r="H1115" s="360">
        <v>43305.0</v>
      </c>
      <c r="I1115" s="360">
        <v>43305.0</v>
      </c>
      <c r="J1115" s="361">
        <v>869.61</v>
      </c>
      <c r="K1115" s="361">
        <v>682.41</v>
      </c>
      <c r="L1115" s="361">
        <v>187.2</v>
      </c>
      <c r="M1115" s="40">
        <v>18.0</v>
      </c>
      <c r="N1115" s="361">
        <v>37.91</v>
      </c>
    </row>
    <row r="1116">
      <c r="A1116" s="146"/>
      <c r="B1116" s="146"/>
      <c r="C1116" s="340"/>
      <c r="D1116" s="146"/>
      <c r="E1116" s="146"/>
      <c r="F1116" s="146"/>
      <c r="G1116" s="146"/>
      <c r="H1116" s="146"/>
      <c r="I1116" s="146"/>
      <c r="J1116" s="339">
        <f t="shared" ref="J1116:M1116" si="147">SUM(J1111:J1115)</f>
        <v>939.57</v>
      </c>
      <c r="K1116" s="339">
        <f t="shared" si="147"/>
        <v>748.39</v>
      </c>
      <c r="L1116" s="339">
        <f t="shared" si="147"/>
        <v>191.18</v>
      </c>
      <c r="M1116" s="146">
        <f t="shared" si="147"/>
        <v>158</v>
      </c>
      <c r="N1116" s="339">
        <f>K1116/M1116</f>
        <v>4.73664557</v>
      </c>
    </row>
    <row r="1117">
      <c r="A1117" s="40" t="s">
        <v>29</v>
      </c>
      <c r="B1117" s="40" t="s">
        <v>558</v>
      </c>
      <c r="C1117" s="40">
        <v>841.0</v>
      </c>
      <c r="D1117" s="40" t="s">
        <v>1645</v>
      </c>
      <c r="E1117" s="40" t="s">
        <v>33</v>
      </c>
      <c r="F1117" s="360">
        <v>43606.0</v>
      </c>
      <c r="G1117" s="360">
        <v>44656.0</v>
      </c>
      <c r="H1117" s="360">
        <v>44666.0</v>
      </c>
      <c r="I1117" s="360">
        <v>44675.0</v>
      </c>
      <c r="J1117" s="361">
        <v>24.99</v>
      </c>
      <c r="K1117" s="361">
        <v>0.0</v>
      </c>
      <c r="L1117" s="361">
        <v>24.99</v>
      </c>
      <c r="M1117" s="40">
        <v>35.0</v>
      </c>
      <c r="N1117" s="361">
        <v>0.0</v>
      </c>
    </row>
    <row r="1118">
      <c r="A1118" s="358" t="s">
        <v>29</v>
      </c>
      <c r="B1118" s="40" t="s">
        <v>559</v>
      </c>
      <c r="C1118" s="40">
        <v>36.0</v>
      </c>
      <c r="D1118" s="40" t="s">
        <v>1444</v>
      </c>
      <c r="E1118" s="40" t="s">
        <v>682</v>
      </c>
      <c r="F1118" s="360">
        <v>35041.0</v>
      </c>
      <c r="G1118" s="360">
        <v>44422.0</v>
      </c>
      <c r="H1118" s="360">
        <v>44422.0</v>
      </c>
      <c r="I1118" s="360">
        <v>44422.0</v>
      </c>
      <c r="J1118" s="362">
        <v>3.33</v>
      </c>
      <c r="K1118" s="362">
        <v>3.33</v>
      </c>
      <c r="L1118" s="361">
        <v>0.0</v>
      </c>
      <c r="M1118" s="40">
        <v>1.0</v>
      </c>
      <c r="N1118" s="361">
        <v>3.33</v>
      </c>
    </row>
    <row r="1119">
      <c r="A1119" s="358" t="s">
        <v>29</v>
      </c>
      <c r="B1119" s="40"/>
      <c r="C1119" s="40">
        <v>304.0</v>
      </c>
      <c r="D1119" s="40" t="s">
        <v>1520</v>
      </c>
      <c r="E1119" s="40" t="s">
        <v>649</v>
      </c>
      <c r="F1119" s="360">
        <v>40785.0</v>
      </c>
      <c r="G1119" s="360">
        <v>44422.0</v>
      </c>
      <c r="H1119" s="360">
        <v>44422.0</v>
      </c>
      <c r="I1119" s="360">
        <v>44422.0</v>
      </c>
      <c r="J1119" s="361">
        <v>3.33</v>
      </c>
      <c r="K1119" s="361">
        <v>3.33</v>
      </c>
      <c r="L1119" s="361">
        <v>0.0</v>
      </c>
      <c r="M1119" s="40">
        <v>1.0</v>
      </c>
      <c r="N1119" s="361">
        <v>3.33</v>
      </c>
    </row>
    <row r="1120">
      <c r="A1120" s="358" t="s">
        <v>29</v>
      </c>
      <c r="B1120" s="40"/>
      <c r="C1120" s="40">
        <v>305.0</v>
      </c>
      <c r="D1120" s="40" t="s">
        <v>1521</v>
      </c>
      <c r="E1120" s="40" t="s">
        <v>649</v>
      </c>
      <c r="F1120" s="360">
        <v>40785.0</v>
      </c>
      <c r="G1120" s="360">
        <v>44422.0</v>
      </c>
      <c r="H1120" s="360">
        <v>44422.0</v>
      </c>
      <c r="I1120" s="360">
        <v>44422.0</v>
      </c>
      <c r="J1120" s="361">
        <v>3.33</v>
      </c>
      <c r="K1120" s="361">
        <v>3.33</v>
      </c>
      <c r="L1120" s="361">
        <v>0.0</v>
      </c>
      <c r="M1120" s="40">
        <v>1.0</v>
      </c>
      <c r="N1120" s="361">
        <v>3.33</v>
      </c>
    </row>
    <row r="1121">
      <c r="A1121" s="40" t="s">
        <v>29</v>
      </c>
      <c r="B1121" s="40"/>
      <c r="C1121" s="40">
        <v>594.0</v>
      </c>
      <c r="D1121" s="40" t="s">
        <v>1656</v>
      </c>
      <c r="E1121" s="40" t="s">
        <v>33</v>
      </c>
      <c r="F1121" s="360">
        <v>43910.0</v>
      </c>
      <c r="G1121" s="360">
        <v>44708.0</v>
      </c>
      <c r="H1121" s="360">
        <v>44708.0</v>
      </c>
      <c r="I1121" s="360">
        <v>44708.0</v>
      </c>
      <c r="J1121" s="361">
        <v>4.99</v>
      </c>
      <c r="K1121" s="361">
        <v>2.49</v>
      </c>
      <c r="L1121" s="361">
        <v>2.5</v>
      </c>
      <c r="M1121" s="40">
        <v>1.0</v>
      </c>
      <c r="N1121" s="361">
        <v>2.49</v>
      </c>
    </row>
    <row r="1122">
      <c r="A1122" s="146"/>
      <c r="B1122" s="146"/>
      <c r="C1122" s="340"/>
      <c r="D1122" s="146"/>
      <c r="E1122" s="146"/>
      <c r="F1122" s="146"/>
      <c r="G1122" s="146"/>
      <c r="H1122" s="146"/>
      <c r="I1122" s="146"/>
      <c r="J1122" s="339">
        <f t="shared" ref="J1122:M1122" si="148">SUM(J1118:J1121)</f>
        <v>14.98</v>
      </c>
      <c r="K1122" s="339">
        <f t="shared" si="148"/>
        <v>12.48</v>
      </c>
      <c r="L1122" s="339">
        <f t="shared" si="148"/>
        <v>2.5</v>
      </c>
      <c r="M1122" s="146">
        <f t="shared" si="148"/>
        <v>4</v>
      </c>
      <c r="N1122" s="339">
        <f>K1122/M1122</f>
        <v>3.12</v>
      </c>
    </row>
    <row r="1123">
      <c r="A1123" s="358" t="s">
        <v>29</v>
      </c>
      <c r="B1123" s="40" t="s">
        <v>560</v>
      </c>
      <c r="C1123" s="40">
        <v>239.0</v>
      </c>
      <c r="D1123" s="40" t="s">
        <v>1493</v>
      </c>
      <c r="E1123" s="40" t="s">
        <v>649</v>
      </c>
      <c r="F1123" s="360">
        <v>39192.0</v>
      </c>
      <c r="G1123" s="360">
        <v>44091.0</v>
      </c>
      <c r="H1123" s="360">
        <v>44091.0</v>
      </c>
      <c r="I1123" s="360">
        <v>44091.0</v>
      </c>
      <c r="J1123" s="361">
        <v>12.0</v>
      </c>
      <c r="K1123" s="361">
        <v>12.0</v>
      </c>
      <c r="L1123" s="361">
        <v>0.0</v>
      </c>
      <c r="M1123" s="40">
        <v>1.0</v>
      </c>
      <c r="N1123" s="361">
        <v>12.0</v>
      </c>
    </row>
    <row r="1124">
      <c r="A1124" s="358" t="s">
        <v>29</v>
      </c>
      <c r="B1124" s="40" t="s">
        <v>561</v>
      </c>
      <c r="C1124" s="40">
        <v>369.0</v>
      </c>
      <c r="D1124" s="40" t="s">
        <v>1554</v>
      </c>
      <c r="E1124" s="40" t="s">
        <v>649</v>
      </c>
      <c r="F1124" s="360">
        <v>41514.0</v>
      </c>
      <c r="G1124" s="360">
        <v>44190.0</v>
      </c>
      <c r="H1124" s="360">
        <v>44194.0</v>
      </c>
      <c r="I1124" s="360">
        <v>44195.0</v>
      </c>
      <c r="J1124" s="361">
        <v>14.99</v>
      </c>
      <c r="K1124" s="361">
        <v>0.0</v>
      </c>
      <c r="L1124" s="361">
        <v>14.99</v>
      </c>
      <c r="M1124" s="40">
        <v>8.0</v>
      </c>
      <c r="N1124" s="361">
        <v>0.0</v>
      </c>
    </row>
    <row r="1125">
      <c r="A1125" s="40" t="s">
        <v>29</v>
      </c>
      <c r="B1125" s="40" t="s">
        <v>562</v>
      </c>
      <c r="C1125" s="40">
        <v>518.0</v>
      </c>
      <c r="D1125" s="40" t="s">
        <v>1619</v>
      </c>
      <c r="E1125" s="40" t="s">
        <v>33</v>
      </c>
      <c r="F1125" s="360">
        <v>42941.0</v>
      </c>
      <c r="G1125" s="360">
        <v>43903.0</v>
      </c>
      <c r="H1125" s="360">
        <v>43903.0</v>
      </c>
      <c r="I1125" s="360">
        <v>43903.0</v>
      </c>
      <c r="J1125" s="361">
        <v>29.99</v>
      </c>
      <c r="K1125" s="361">
        <v>14.99</v>
      </c>
      <c r="L1125" s="361">
        <v>15.0</v>
      </c>
      <c r="M1125" s="40">
        <v>2.0</v>
      </c>
      <c r="N1125" s="361">
        <v>7.5</v>
      </c>
    </row>
    <row r="1126">
      <c r="A1126" s="40" t="s">
        <v>29</v>
      </c>
      <c r="B1126" s="40" t="s">
        <v>563</v>
      </c>
      <c r="C1126" s="40">
        <v>7.0</v>
      </c>
      <c r="D1126" s="40" t="s">
        <v>1447</v>
      </c>
      <c r="E1126" s="40" t="s">
        <v>682</v>
      </c>
      <c r="F1126" s="360">
        <v>35377.0</v>
      </c>
      <c r="G1126" s="360">
        <v>40557.0</v>
      </c>
      <c r="H1126" s="360">
        <v>40557.0</v>
      </c>
      <c r="I1126" s="360">
        <v>40557.0</v>
      </c>
      <c r="J1126" s="361">
        <v>4.99</v>
      </c>
      <c r="K1126" s="361">
        <v>4.99</v>
      </c>
      <c r="L1126" s="361">
        <v>0.0</v>
      </c>
      <c r="M1126" s="40">
        <v>30.0</v>
      </c>
      <c r="N1126" s="361">
        <v>0.17</v>
      </c>
    </row>
    <row r="1127">
      <c r="A1127" s="357" t="s">
        <v>29</v>
      </c>
      <c r="B1127" s="357"/>
      <c r="C1127" s="40">
        <v>8.0</v>
      </c>
      <c r="D1127" s="40" t="s">
        <v>1450</v>
      </c>
      <c r="E1127" s="40" t="s">
        <v>682</v>
      </c>
      <c r="F1127" s="360">
        <v>35769.0</v>
      </c>
      <c r="G1127" s="360">
        <v>40579.0</v>
      </c>
      <c r="H1127" s="360">
        <v>40579.0</v>
      </c>
      <c r="I1127" s="360">
        <v>45685.0</v>
      </c>
      <c r="J1127" s="361">
        <v>4.99</v>
      </c>
      <c r="K1127" s="361">
        <v>4.99</v>
      </c>
      <c r="L1127" s="361">
        <v>0.0</v>
      </c>
      <c r="M1127" s="40">
        <v>40.0</v>
      </c>
      <c r="N1127" s="361">
        <v>0.12</v>
      </c>
    </row>
    <row r="1128">
      <c r="A1128" s="40" t="s">
        <v>29</v>
      </c>
      <c r="B1128" s="40"/>
      <c r="C1128" s="40">
        <v>9.0</v>
      </c>
      <c r="D1128" s="40" t="s">
        <v>1454</v>
      </c>
      <c r="E1128" s="40" t="s">
        <v>682</v>
      </c>
      <c r="F1128" s="360">
        <v>36140.0</v>
      </c>
      <c r="G1128" s="360">
        <v>40583.0</v>
      </c>
      <c r="H1128" s="360">
        <v>40583.0</v>
      </c>
      <c r="I1128" s="360">
        <v>40583.0</v>
      </c>
      <c r="J1128" s="361">
        <v>4.99</v>
      </c>
      <c r="K1128" s="361">
        <v>4.99</v>
      </c>
      <c r="L1128" s="361">
        <v>0.0</v>
      </c>
      <c r="M1128" s="40">
        <v>50.0</v>
      </c>
      <c r="N1128" s="361">
        <v>0.1</v>
      </c>
    </row>
    <row r="1129">
      <c r="A1129" s="40" t="s">
        <v>29</v>
      </c>
      <c r="B1129" s="40"/>
      <c r="C1129" s="40">
        <v>10.0</v>
      </c>
      <c r="D1129" s="40" t="s">
        <v>1457</v>
      </c>
      <c r="E1129" s="40" t="s">
        <v>682</v>
      </c>
      <c r="F1129" s="360">
        <v>36453.0</v>
      </c>
      <c r="G1129" s="360">
        <v>40583.0</v>
      </c>
      <c r="H1129" s="360">
        <v>40583.0</v>
      </c>
      <c r="I1129" s="360">
        <v>40583.0</v>
      </c>
      <c r="J1129" s="361">
        <v>4.99</v>
      </c>
      <c r="K1129" s="361">
        <v>4.99</v>
      </c>
      <c r="L1129" s="361">
        <v>0.0</v>
      </c>
      <c r="M1129" s="40">
        <v>80.0</v>
      </c>
      <c r="N1129" s="361">
        <v>0.06</v>
      </c>
    </row>
    <row r="1130">
      <c r="A1130" s="357" t="s">
        <v>29</v>
      </c>
      <c r="B1130" s="40"/>
      <c r="C1130" s="40">
        <v>103.0</v>
      </c>
      <c r="D1130" s="40" t="s">
        <v>1462</v>
      </c>
      <c r="E1130" s="40" t="s">
        <v>645</v>
      </c>
      <c r="F1130" s="360">
        <v>37232.0</v>
      </c>
      <c r="G1130" s="360">
        <v>41240.0</v>
      </c>
      <c r="H1130" s="360">
        <v>41240.0</v>
      </c>
      <c r="I1130" s="360">
        <v>43123.0</v>
      </c>
      <c r="J1130" s="361">
        <v>26.98</v>
      </c>
      <c r="K1130" s="361">
        <v>26.98</v>
      </c>
      <c r="L1130" s="361">
        <v>0.0</v>
      </c>
      <c r="M1130" s="40">
        <v>55.0</v>
      </c>
      <c r="N1130" s="361">
        <v>0.49</v>
      </c>
    </row>
    <row r="1131">
      <c r="A1131" s="357" t="s">
        <v>29</v>
      </c>
      <c r="B1131" s="40"/>
      <c r="C1131" s="40">
        <v>104.0</v>
      </c>
      <c r="D1131" s="40" t="s">
        <v>1469</v>
      </c>
      <c r="E1131" s="40" t="s">
        <v>645</v>
      </c>
      <c r="F1131" s="360">
        <v>37911.0</v>
      </c>
      <c r="G1131" s="360">
        <v>41240.0</v>
      </c>
      <c r="H1131" s="360">
        <v>41240.0</v>
      </c>
      <c r="I1131" s="360">
        <v>43310.0</v>
      </c>
      <c r="J1131" s="361">
        <v>24.97</v>
      </c>
      <c r="K1131" s="361">
        <v>24.97</v>
      </c>
      <c r="L1131" s="361">
        <v>0.0</v>
      </c>
      <c r="M1131" s="40">
        <v>35.0</v>
      </c>
      <c r="N1131" s="361">
        <v>0.71</v>
      </c>
    </row>
    <row r="1132">
      <c r="A1132" s="357" t="s">
        <v>29</v>
      </c>
      <c r="B1132" s="40"/>
      <c r="C1132" s="40">
        <v>105.0</v>
      </c>
      <c r="D1132" s="40" t="s">
        <v>1474</v>
      </c>
      <c r="E1132" s="40" t="s">
        <v>645</v>
      </c>
      <c r="F1132" s="360">
        <v>38317.0</v>
      </c>
      <c r="G1132" s="360">
        <v>41240.0</v>
      </c>
      <c r="H1132" s="360">
        <v>41255.0</v>
      </c>
      <c r="I1132" s="360">
        <v>41274.0</v>
      </c>
      <c r="J1132" s="361">
        <v>26.98</v>
      </c>
      <c r="K1132" s="361">
        <v>26.98</v>
      </c>
      <c r="L1132" s="361">
        <v>0.0</v>
      </c>
      <c r="M1132" s="40">
        <v>30.0</v>
      </c>
      <c r="N1132" s="361">
        <v>0.9</v>
      </c>
    </row>
    <row r="1133">
      <c r="A1133" s="357" t="s">
        <v>29</v>
      </c>
      <c r="B1133" s="40"/>
      <c r="C1133" s="40">
        <v>106.0</v>
      </c>
      <c r="D1133" s="40" t="s">
        <v>1477</v>
      </c>
      <c r="E1133" s="40" t="s">
        <v>645</v>
      </c>
      <c r="F1133" s="360">
        <v>38660.0</v>
      </c>
      <c r="G1133" s="360">
        <v>43078.0</v>
      </c>
      <c r="H1133" s="360">
        <v>44539.0</v>
      </c>
      <c r="I1133" s="360">
        <v>44543.0</v>
      </c>
      <c r="J1133" s="361">
        <v>9.99</v>
      </c>
      <c r="K1133" s="361">
        <v>9.99</v>
      </c>
      <c r="L1133" s="361">
        <v>0.0</v>
      </c>
      <c r="M1133" s="40">
        <v>30.0</v>
      </c>
      <c r="N1133" s="361">
        <v>0.33</v>
      </c>
    </row>
    <row r="1134">
      <c r="A1134" s="358" t="s">
        <v>29</v>
      </c>
      <c r="B1134" s="40"/>
      <c r="C1134" s="40">
        <v>414.0</v>
      </c>
      <c r="D1134" s="40" t="s">
        <v>1495</v>
      </c>
      <c r="E1134" s="40" t="s">
        <v>649</v>
      </c>
      <c r="F1134" s="360">
        <v>39423.0</v>
      </c>
      <c r="G1134" s="360">
        <v>41615.0</v>
      </c>
      <c r="H1134" s="360">
        <v>41615.0</v>
      </c>
      <c r="I1134" s="360">
        <v>45140.0</v>
      </c>
      <c r="J1134" s="361">
        <v>22.15</v>
      </c>
      <c r="K1134" s="361">
        <v>15.15</v>
      </c>
      <c r="L1134" s="361">
        <v>7.0</v>
      </c>
      <c r="M1134" s="40">
        <v>60.0</v>
      </c>
      <c r="N1134" s="361">
        <v>0.25</v>
      </c>
    </row>
    <row r="1135">
      <c r="A1135" s="358" t="s">
        <v>29</v>
      </c>
      <c r="B1135" s="40"/>
      <c r="C1135" s="40">
        <v>415.0</v>
      </c>
      <c r="D1135" s="40" t="s">
        <v>1504</v>
      </c>
      <c r="E1135" s="40" t="s">
        <v>649</v>
      </c>
      <c r="F1135" s="360">
        <v>40102.0</v>
      </c>
      <c r="G1135" s="360">
        <v>40136.0</v>
      </c>
      <c r="H1135" s="360">
        <v>40136.0</v>
      </c>
      <c r="I1135" s="360">
        <v>45144.0</v>
      </c>
      <c r="J1135" s="361">
        <v>22.15</v>
      </c>
      <c r="K1135" s="361">
        <v>15.15</v>
      </c>
      <c r="L1135" s="361">
        <v>7.0</v>
      </c>
      <c r="M1135" s="40">
        <v>100.0</v>
      </c>
      <c r="N1135" s="361">
        <v>0.15</v>
      </c>
    </row>
    <row r="1136">
      <c r="A1136" s="358" t="s">
        <v>29</v>
      </c>
      <c r="B1136" s="40"/>
      <c r="C1136" s="40">
        <v>416.0</v>
      </c>
      <c r="D1136" s="40" t="s">
        <v>1526</v>
      </c>
      <c r="E1136" s="40" t="s">
        <v>649</v>
      </c>
      <c r="F1136" s="360">
        <v>40849.0</v>
      </c>
      <c r="G1136" s="360">
        <v>40857.0</v>
      </c>
      <c r="H1136" s="360">
        <v>40857.0</v>
      </c>
      <c r="I1136" s="360">
        <v>45147.0</v>
      </c>
      <c r="J1136" s="361">
        <v>22.16</v>
      </c>
      <c r="K1136" s="361">
        <v>15.16</v>
      </c>
      <c r="L1136" s="361">
        <v>7.0</v>
      </c>
      <c r="M1136" s="40">
        <v>70.0</v>
      </c>
      <c r="N1136" s="361">
        <v>0.22</v>
      </c>
    </row>
    <row r="1137">
      <c r="A1137" s="358" t="s">
        <v>29</v>
      </c>
      <c r="B1137" s="40"/>
      <c r="C1137" s="40">
        <v>391.0</v>
      </c>
      <c r="D1137" s="40" t="s">
        <v>1551</v>
      </c>
      <c r="E1137" s="40" t="s">
        <v>649</v>
      </c>
      <c r="F1137" s="360">
        <v>41439.0</v>
      </c>
      <c r="G1137" s="360">
        <v>41614.0</v>
      </c>
      <c r="H1137" s="360">
        <v>41614.0</v>
      </c>
      <c r="I1137" s="360">
        <v>44358.0</v>
      </c>
      <c r="J1137" s="361">
        <v>49.99</v>
      </c>
      <c r="K1137" s="361">
        <v>44.99</v>
      </c>
      <c r="L1137" s="361">
        <v>5.0</v>
      </c>
      <c r="M1137" s="40">
        <v>120.0</v>
      </c>
      <c r="N1137" s="361">
        <v>0.37</v>
      </c>
    </row>
    <row r="1138">
      <c r="A1138" s="40" t="s">
        <v>29</v>
      </c>
      <c r="B1138" s="40"/>
      <c r="C1138" s="40">
        <v>952.0</v>
      </c>
      <c r="D1138" s="362" t="s">
        <v>1600</v>
      </c>
      <c r="E1138" s="362" t="s">
        <v>33</v>
      </c>
      <c r="F1138" s="360">
        <v>42500.0</v>
      </c>
      <c r="G1138" s="360">
        <v>42615.0</v>
      </c>
      <c r="H1138" s="360">
        <v>42615.0</v>
      </c>
      <c r="I1138" s="360">
        <v>45152.0</v>
      </c>
      <c r="J1138" s="361">
        <v>69.99</v>
      </c>
      <c r="K1138" s="361">
        <v>22.99</v>
      </c>
      <c r="L1138" s="361">
        <v>47.0</v>
      </c>
      <c r="M1138" s="40">
        <v>75.0</v>
      </c>
      <c r="N1138" s="361">
        <v>0.31</v>
      </c>
    </row>
    <row r="1139">
      <c r="A1139" s="40" t="s">
        <v>29</v>
      </c>
      <c r="B1139" s="40"/>
      <c r="C1139" s="40">
        <v>953.0</v>
      </c>
      <c r="D1139" s="40" t="s">
        <v>1622</v>
      </c>
      <c r="E1139" s="40" t="s">
        <v>33</v>
      </c>
      <c r="F1139" s="360">
        <v>42970.0</v>
      </c>
      <c r="G1139" s="360">
        <v>43377.0</v>
      </c>
      <c r="H1139" s="360">
        <v>43379.0</v>
      </c>
      <c r="I1139" s="360">
        <v>45650.0</v>
      </c>
      <c r="J1139" s="361">
        <v>19.99</v>
      </c>
      <c r="K1139" s="361">
        <v>17.99</v>
      </c>
      <c r="L1139" s="361">
        <v>2.0</v>
      </c>
      <c r="M1139" s="40">
        <v>40.0</v>
      </c>
      <c r="N1139" s="361">
        <v>0.45</v>
      </c>
    </row>
    <row r="1140">
      <c r="A1140" s="40" t="s">
        <v>29</v>
      </c>
      <c r="B1140" s="40"/>
      <c r="C1140" s="40">
        <v>916.0</v>
      </c>
      <c r="D1140" s="40" t="s">
        <v>1658</v>
      </c>
      <c r="E1140" s="40" t="s">
        <v>33</v>
      </c>
      <c r="F1140" s="360">
        <v>44001.0</v>
      </c>
      <c r="G1140" s="360">
        <v>43733.0</v>
      </c>
      <c r="H1140" s="360">
        <v>44085.0</v>
      </c>
      <c r="I1140" s="360">
        <v>44363.0</v>
      </c>
      <c r="J1140" s="361">
        <v>69.99</v>
      </c>
      <c r="K1140" s="361">
        <v>0.0</v>
      </c>
      <c r="L1140" s="361">
        <v>69.99</v>
      </c>
      <c r="M1140" s="40">
        <v>75.0</v>
      </c>
      <c r="N1140" s="361">
        <v>0.0</v>
      </c>
    </row>
    <row r="1141">
      <c r="A1141" s="146"/>
      <c r="B1141" s="146"/>
      <c r="C1141" s="340"/>
      <c r="D1141" s="146"/>
      <c r="E1141" s="146"/>
      <c r="F1141" s="146"/>
      <c r="G1141" s="146"/>
      <c r="H1141" s="146"/>
      <c r="I1141" s="146"/>
      <c r="J1141" s="339">
        <f t="shared" ref="J1141:M1141" si="149">SUM(J1126:J1140)</f>
        <v>385.3</v>
      </c>
      <c r="K1141" s="339">
        <f t="shared" si="149"/>
        <v>240.31</v>
      </c>
      <c r="L1141" s="339">
        <f t="shared" si="149"/>
        <v>144.99</v>
      </c>
      <c r="M1141" s="146">
        <f t="shared" si="149"/>
        <v>890</v>
      </c>
      <c r="N1141" s="339">
        <f>K1141/M1141</f>
        <v>0.270011236</v>
      </c>
    </row>
    <row r="1142">
      <c r="A1142" s="358" t="s">
        <v>29</v>
      </c>
      <c r="B1142" s="40" t="s">
        <v>564</v>
      </c>
      <c r="C1142" s="40">
        <v>306.0</v>
      </c>
      <c r="D1142" s="40" t="s">
        <v>1517</v>
      </c>
      <c r="E1142" s="40" t="s">
        <v>649</v>
      </c>
      <c r="F1142" s="360">
        <v>40654.0</v>
      </c>
      <c r="G1142" s="360">
        <v>41389.0</v>
      </c>
      <c r="H1142" s="360">
        <v>41389.0</v>
      </c>
      <c r="I1142" s="360">
        <v>44774.0</v>
      </c>
      <c r="J1142" s="361">
        <v>19.99</v>
      </c>
      <c r="K1142" s="361">
        <v>19.99</v>
      </c>
      <c r="L1142" s="361">
        <v>0.0</v>
      </c>
      <c r="M1142" s="40">
        <v>1.0</v>
      </c>
      <c r="N1142" s="361">
        <v>19.99</v>
      </c>
    </row>
    <row r="1143">
      <c r="A1143" s="358" t="s">
        <v>29</v>
      </c>
      <c r="B1143" s="40"/>
      <c r="C1143" s="40">
        <v>267.0</v>
      </c>
      <c r="D1143" s="40" t="s">
        <v>1549</v>
      </c>
      <c r="E1143" s="40" t="s">
        <v>649</v>
      </c>
      <c r="F1143" s="360">
        <v>41383.0</v>
      </c>
      <c r="G1143" s="360">
        <v>44105.0</v>
      </c>
      <c r="H1143" s="360">
        <v>44257.0</v>
      </c>
      <c r="I1143" s="360">
        <v>44257.0</v>
      </c>
      <c r="J1143" s="361">
        <v>59.99</v>
      </c>
      <c r="K1143" s="361">
        <v>9.59</v>
      </c>
      <c r="L1143" s="361">
        <v>50.4</v>
      </c>
      <c r="M1143" s="40">
        <v>2.0</v>
      </c>
      <c r="N1143" s="361">
        <v>4.8</v>
      </c>
    </row>
    <row r="1144">
      <c r="A1144" s="40" t="s">
        <v>29</v>
      </c>
      <c r="B1144" s="40"/>
      <c r="C1144" s="40">
        <v>757.0</v>
      </c>
      <c r="D1144" s="40" t="s">
        <v>1590</v>
      </c>
      <c r="E1144" s="40" t="s">
        <v>33</v>
      </c>
      <c r="F1144" s="360">
        <v>42108.0</v>
      </c>
      <c r="G1144" s="360">
        <v>44334.0</v>
      </c>
      <c r="H1144" s="360">
        <v>44334.0</v>
      </c>
      <c r="I1144" s="360">
        <v>44334.0</v>
      </c>
      <c r="J1144" s="361">
        <v>19.99</v>
      </c>
      <c r="K1144" s="361">
        <v>0.0</v>
      </c>
      <c r="L1144" s="361">
        <v>19.99</v>
      </c>
      <c r="M1144" s="40">
        <v>1.0</v>
      </c>
      <c r="N1144" s="361">
        <v>0.0</v>
      </c>
    </row>
    <row r="1145">
      <c r="A1145" s="40" t="s">
        <v>29</v>
      </c>
      <c r="B1145" s="40"/>
      <c r="C1145" s="40">
        <v>676.0</v>
      </c>
      <c r="D1145" s="40" t="s">
        <v>1615</v>
      </c>
      <c r="E1145" s="40" t="s">
        <v>33</v>
      </c>
      <c r="F1145" s="360">
        <v>42874.0</v>
      </c>
      <c r="G1145" s="360">
        <v>44839.0</v>
      </c>
      <c r="H1145" s="360">
        <v>44839.0</v>
      </c>
      <c r="I1145" s="360">
        <v>44839.0</v>
      </c>
      <c r="J1145" s="361">
        <v>19.99</v>
      </c>
      <c r="K1145" s="361">
        <v>0.0</v>
      </c>
      <c r="L1145" s="361">
        <v>19.99</v>
      </c>
      <c r="M1145" s="40">
        <v>1.0</v>
      </c>
      <c r="N1145" s="361">
        <v>0.0</v>
      </c>
    </row>
    <row r="1146">
      <c r="A1146" s="146"/>
      <c r="B1146" s="146"/>
      <c r="C1146" s="340"/>
      <c r="D1146" s="146"/>
      <c r="E1146" s="146"/>
      <c r="F1146" s="146"/>
      <c r="G1146" s="146"/>
      <c r="H1146" s="146"/>
      <c r="I1146" s="146"/>
      <c r="J1146" s="339">
        <f t="shared" ref="J1146:M1146" si="150">SUM(J1142:J1145)</f>
        <v>119.96</v>
      </c>
      <c r="K1146" s="339">
        <f t="shared" si="150"/>
        <v>29.58</v>
      </c>
      <c r="L1146" s="339">
        <f t="shared" si="150"/>
        <v>90.38</v>
      </c>
      <c r="M1146" s="146">
        <f t="shared" si="150"/>
        <v>5</v>
      </c>
      <c r="N1146" s="339">
        <f>K1146/M1146</f>
        <v>5.916</v>
      </c>
    </row>
    <row r="1147">
      <c r="A1147" s="40" t="s">
        <v>29</v>
      </c>
      <c r="B1147" s="40" t="s">
        <v>565</v>
      </c>
      <c r="C1147" s="40">
        <v>480.0</v>
      </c>
      <c r="D1147" s="40" t="s">
        <v>1570</v>
      </c>
      <c r="E1147" s="40" t="s">
        <v>671</v>
      </c>
      <c r="F1147" s="360">
        <v>41948.0</v>
      </c>
      <c r="G1147" s="360">
        <v>44190.0</v>
      </c>
      <c r="H1147" s="360">
        <v>44191.0</v>
      </c>
      <c r="I1147" s="360">
        <v>44485.0</v>
      </c>
      <c r="J1147" s="361">
        <v>14.99</v>
      </c>
      <c r="K1147" s="361">
        <v>0.0</v>
      </c>
      <c r="L1147" s="361">
        <v>14.99</v>
      </c>
      <c r="M1147" s="40">
        <v>12.0</v>
      </c>
      <c r="N1147" s="361">
        <v>0.0</v>
      </c>
    </row>
    <row r="1148">
      <c r="A1148" s="40" t="s">
        <v>29</v>
      </c>
      <c r="B1148" s="40" t="s">
        <v>566</v>
      </c>
      <c r="C1148" s="40">
        <v>785.0</v>
      </c>
      <c r="D1148" s="40" t="s">
        <v>1601</v>
      </c>
      <c r="E1148" s="40" t="s">
        <v>33</v>
      </c>
      <c r="F1148" s="360">
        <v>42521.0</v>
      </c>
      <c r="G1148" s="360">
        <v>42954.0</v>
      </c>
      <c r="H1148" s="360">
        <v>44856.0</v>
      </c>
      <c r="I1148" s="360">
        <v>44858.0</v>
      </c>
      <c r="J1148" s="361">
        <v>9.99</v>
      </c>
      <c r="K1148" s="361">
        <v>4.99</v>
      </c>
      <c r="L1148" s="361">
        <v>5.0</v>
      </c>
      <c r="M1148" s="40">
        <v>15.0</v>
      </c>
      <c r="N1148" s="361">
        <v>0.33</v>
      </c>
    </row>
    <row r="1149">
      <c r="A1149" s="40" t="s">
        <v>29</v>
      </c>
      <c r="B1149" s="40"/>
      <c r="C1149" s="40">
        <v>786.0</v>
      </c>
      <c r="D1149" s="40" t="s">
        <v>1699</v>
      </c>
      <c r="E1149" s="40" t="s">
        <v>33</v>
      </c>
      <c r="F1149" s="360">
        <v>45119.0</v>
      </c>
      <c r="G1149" s="360">
        <v>45495.0</v>
      </c>
      <c r="H1149" s="360">
        <v>45495.0</v>
      </c>
      <c r="I1149" s="360">
        <v>45495.0</v>
      </c>
      <c r="J1149" s="361">
        <v>23.99</v>
      </c>
      <c r="K1149" s="361">
        <v>4.59</v>
      </c>
      <c r="L1149" s="361">
        <v>19.4</v>
      </c>
      <c r="M1149" s="40">
        <v>1.0</v>
      </c>
      <c r="N1149" s="361">
        <v>4.59</v>
      </c>
    </row>
    <row r="1150">
      <c r="A1150" s="146"/>
      <c r="B1150" s="146"/>
      <c r="C1150" s="340"/>
      <c r="D1150" s="146"/>
      <c r="E1150" s="146"/>
      <c r="F1150" s="146"/>
      <c r="G1150" s="146"/>
      <c r="H1150" s="146"/>
      <c r="I1150" s="146"/>
      <c r="J1150" s="339">
        <f t="shared" ref="J1150:M1150" si="151">SUM(J1148:J1149)</f>
        <v>33.98</v>
      </c>
      <c r="K1150" s="339">
        <f t="shared" si="151"/>
        <v>9.58</v>
      </c>
      <c r="L1150" s="339">
        <f t="shared" si="151"/>
        <v>24.4</v>
      </c>
      <c r="M1150" s="146">
        <f t="shared" si="151"/>
        <v>16</v>
      </c>
      <c r="N1150" s="339">
        <f>K1150/M1150</f>
        <v>0.59875</v>
      </c>
    </row>
    <row r="1151">
      <c r="A1151" s="358" t="s">
        <v>29</v>
      </c>
      <c r="B1151" s="40" t="s">
        <v>567</v>
      </c>
      <c r="C1151" s="40">
        <v>324.0</v>
      </c>
      <c r="D1151" s="40" t="s">
        <v>1516</v>
      </c>
      <c r="E1151" s="40" t="s">
        <v>649</v>
      </c>
      <c r="F1151" s="360">
        <v>40627.0</v>
      </c>
      <c r="G1151" s="360">
        <v>44091.0</v>
      </c>
      <c r="H1151" s="360">
        <v>45122.0</v>
      </c>
      <c r="I1151" s="360">
        <v>45127.0</v>
      </c>
      <c r="J1151" s="361">
        <v>14.99</v>
      </c>
      <c r="K1151" s="361">
        <v>7.5</v>
      </c>
      <c r="L1151" s="361">
        <v>7.49</v>
      </c>
      <c r="M1151" s="40">
        <v>20.0</v>
      </c>
      <c r="N1151" s="361">
        <v>0.38</v>
      </c>
    </row>
    <row r="1152">
      <c r="A1152" s="40" t="s">
        <v>29</v>
      </c>
      <c r="B1152" s="40" t="s">
        <v>568</v>
      </c>
      <c r="C1152" s="40">
        <v>477.0</v>
      </c>
      <c r="D1152" s="40" t="s">
        <v>1583</v>
      </c>
      <c r="E1152" s="40" t="s">
        <v>671</v>
      </c>
      <c r="F1152" s="360">
        <v>43894.0</v>
      </c>
      <c r="G1152" s="360">
        <v>43894.0</v>
      </c>
      <c r="H1152" s="360">
        <v>43894.0</v>
      </c>
      <c r="I1152" s="360">
        <v>45007.0</v>
      </c>
      <c r="J1152" s="361">
        <v>4.99</v>
      </c>
      <c r="K1152" s="361">
        <v>4.99</v>
      </c>
      <c r="L1152" s="361">
        <v>0.0</v>
      </c>
      <c r="M1152" s="40">
        <v>3.0</v>
      </c>
      <c r="N1152" s="361">
        <v>1.66</v>
      </c>
    </row>
    <row r="1153">
      <c r="A1153" s="358" t="s">
        <v>29</v>
      </c>
      <c r="B1153" s="40" t="s">
        <v>569</v>
      </c>
      <c r="C1153" s="40">
        <v>367.0</v>
      </c>
      <c r="D1153" s="40" t="s">
        <v>1560</v>
      </c>
      <c r="E1153" s="40" t="s">
        <v>649</v>
      </c>
      <c r="F1153" s="360">
        <v>41705.0</v>
      </c>
      <c r="G1153" s="360">
        <v>43081.0</v>
      </c>
      <c r="H1153" s="360">
        <v>43088.0</v>
      </c>
      <c r="I1153" s="360">
        <v>44121.0</v>
      </c>
      <c r="J1153" s="361">
        <v>29.99</v>
      </c>
      <c r="K1153" s="361">
        <v>0.0</v>
      </c>
      <c r="L1153" s="361">
        <v>29.99</v>
      </c>
      <c r="M1153" s="40">
        <v>44.0</v>
      </c>
      <c r="N1153" s="361">
        <v>0.0</v>
      </c>
    </row>
    <row r="1154">
      <c r="A1154" s="40" t="s">
        <v>29</v>
      </c>
      <c r="B1154" s="40"/>
      <c r="C1154" s="40">
        <v>918.0</v>
      </c>
      <c r="D1154" s="40" t="s">
        <v>1651</v>
      </c>
      <c r="E1154" s="40" t="s">
        <v>33</v>
      </c>
      <c r="F1154" s="360">
        <v>43763.0</v>
      </c>
      <c r="G1154" s="360">
        <v>44960.0</v>
      </c>
      <c r="H1154" s="360">
        <v>45581.0</v>
      </c>
      <c r="I1154" s="360">
        <v>45583.0</v>
      </c>
      <c r="J1154" s="361">
        <v>59.99</v>
      </c>
      <c r="K1154" s="361">
        <v>19.79</v>
      </c>
      <c r="L1154" s="361">
        <v>40.2</v>
      </c>
      <c r="M1154" s="40">
        <v>2.0</v>
      </c>
      <c r="N1154" s="361">
        <v>9.9</v>
      </c>
    </row>
    <row r="1155">
      <c r="A1155" s="146"/>
      <c r="B1155" s="146"/>
      <c r="C1155" s="340"/>
      <c r="D1155" s="146"/>
      <c r="E1155" s="146"/>
      <c r="F1155" s="146"/>
      <c r="G1155" s="146"/>
      <c r="H1155" s="146"/>
      <c r="I1155" s="146"/>
      <c r="J1155" s="339">
        <f t="shared" ref="J1155:M1155" si="152">SUM(J1153:J1154)</f>
        <v>89.98</v>
      </c>
      <c r="K1155" s="339">
        <f t="shared" si="152"/>
        <v>19.79</v>
      </c>
      <c r="L1155" s="339">
        <f t="shared" si="152"/>
        <v>70.19</v>
      </c>
      <c r="M1155" s="146">
        <f t="shared" si="152"/>
        <v>46</v>
      </c>
      <c r="N1155" s="339">
        <f>K1155/M1155</f>
        <v>0.4302173913</v>
      </c>
    </row>
    <row r="1156">
      <c r="A1156" s="40" t="s">
        <v>29</v>
      </c>
      <c r="B1156" s="40" t="s">
        <v>570</v>
      </c>
      <c r="C1156" s="40">
        <v>38.0</v>
      </c>
      <c r="D1156" s="40" t="s">
        <v>1449</v>
      </c>
      <c r="E1156" s="40" t="s">
        <v>682</v>
      </c>
      <c r="F1156" s="360">
        <v>35691.0</v>
      </c>
      <c r="G1156" s="360">
        <v>40538.0</v>
      </c>
      <c r="H1156" s="360">
        <v>45950.0</v>
      </c>
      <c r="I1156" s="360">
        <v>45951.0</v>
      </c>
      <c r="J1156" s="361">
        <v>4.99</v>
      </c>
      <c r="K1156" s="361">
        <v>4.99</v>
      </c>
      <c r="L1156" s="361">
        <v>0.0</v>
      </c>
      <c r="M1156" s="40">
        <v>25.0</v>
      </c>
      <c r="N1156" s="361">
        <v>0.2</v>
      </c>
    </row>
    <row r="1157">
      <c r="A1157" s="40" t="s">
        <v>29</v>
      </c>
      <c r="B1157" s="40"/>
      <c r="C1157" s="40">
        <v>39.0</v>
      </c>
      <c r="D1157" s="40" t="s">
        <v>1453</v>
      </c>
      <c r="E1157" s="40" t="s">
        <v>682</v>
      </c>
      <c r="F1157" s="360">
        <v>36126.0</v>
      </c>
      <c r="G1157" s="360">
        <v>40696.0</v>
      </c>
      <c r="H1157" s="360">
        <v>45951.0</v>
      </c>
      <c r="I1157" s="360">
        <v>45953.0</v>
      </c>
      <c r="J1157" s="361">
        <v>4.99</v>
      </c>
      <c r="K1157" s="361">
        <v>4.99</v>
      </c>
      <c r="L1157" s="361">
        <v>0.0</v>
      </c>
      <c r="M1157" s="40">
        <v>30.0</v>
      </c>
      <c r="N1157" s="361">
        <v>0.17</v>
      </c>
    </row>
    <row r="1158">
      <c r="A1158" s="358" t="s">
        <v>29</v>
      </c>
      <c r="B1158" s="40"/>
      <c r="C1158" s="40">
        <v>317.0</v>
      </c>
      <c r="D1158" s="40" t="s">
        <v>1528</v>
      </c>
      <c r="E1158" s="40" t="s">
        <v>649</v>
      </c>
      <c r="F1158" s="360">
        <v>40898.0</v>
      </c>
      <c r="G1158" s="360">
        <v>40929.0</v>
      </c>
      <c r="H1158" s="360">
        <v>40929.0</v>
      </c>
      <c r="I1158" s="360">
        <v>41309.0</v>
      </c>
      <c r="J1158" s="361">
        <v>12.99</v>
      </c>
      <c r="K1158" s="361">
        <v>12.99</v>
      </c>
      <c r="L1158" s="361">
        <v>0.0</v>
      </c>
      <c r="M1158" s="40">
        <v>45.0</v>
      </c>
      <c r="N1158" s="361">
        <v>0.29</v>
      </c>
    </row>
    <row r="1159">
      <c r="A1159" s="358" t="s">
        <v>29</v>
      </c>
      <c r="B1159" s="40"/>
      <c r="C1159" s="40">
        <v>318.0</v>
      </c>
      <c r="D1159" s="40" t="s">
        <v>1543</v>
      </c>
      <c r="E1159" s="40" t="s">
        <v>649</v>
      </c>
      <c r="F1159" s="360">
        <v>41262.0</v>
      </c>
      <c r="G1159" s="360">
        <v>41305.0</v>
      </c>
      <c r="H1159" s="360">
        <v>41305.0</v>
      </c>
      <c r="I1159" s="360">
        <v>44760.0</v>
      </c>
      <c r="J1159" s="361">
        <v>8.99</v>
      </c>
      <c r="K1159" s="361">
        <v>8.99</v>
      </c>
      <c r="L1159" s="361">
        <v>0.0</v>
      </c>
      <c r="M1159" s="40">
        <v>30.0</v>
      </c>
      <c r="N1159" s="361">
        <v>0.3</v>
      </c>
    </row>
    <row r="1160">
      <c r="A1160" s="40" t="s">
        <v>29</v>
      </c>
      <c r="B1160" s="40"/>
      <c r="C1160" s="40">
        <v>777.0</v>
      </c>
      <c r="D1160" s="40" t="s">
        <v>1678</v>
      </c>
      <c r="E1160" s="40" t="s">
        <v>33</v>
      </c>
      <c r="F1160" s="360">
        <v>44292.0</v>
      </c>
      <c r="G1160" s="360">
        <v>44292.0</v>
      </c>
      <c r="H1160" s="360">
        <v>44307.0</v>
      </c>
      <c r="I1160" s="360">
        <v>45954.0</v>
      </c>
      <c r="J1160" s="361">
        <v>49.99</v>
      </c>
      <c r="K1160" s="361">
        <v>49.99</v>
      </c>
      <c r="L1160" s="361">
        <v>0.0</v>
      </c>
      <c r="M1160" s="40">
        <v>8.0</v>
      </c>
      <c r="N1160" s="361">
        <v>6.25</v>
      </c>
    </row>
    <row r="1161">
      <c r="A1161" s="146"/>
      <c r="B1161" s="146"/>
      <c r="C1161" s="340"/>
      <c r="D1161" s="146"/>
      <c r="E1161" s="146"/>
      <c r="F1161" s="146"/>
      <c r="G1161" s="146"/>
      <c r="H1161" s="146"/>
      <c r="I1161" s="146"/>
      <c r="J1161" s="339">
        <f t="shared" ref="J1161:M1161" si="153">SUM(J1156:J1160)</f>
        <v>81.95</v>
      </c>
      <c r="K1161" s="339">
        <f t="shared" si="153"/>
        <v>81.95</v>
      </c>
      <c r="L1161" s="339">
        <f t="shared" si="153"/>
        <v>0</v>
      </c>
      <c r="M1161" s="146">
        <f t="shared" si="153"/>
        <v>138</v>
      </c>
      <c r="N1161" s="339">
        <f>K1161/M1161</f>
        <v>0.5938405797</v>
      </c>
    </row>
    <row r="1162">
      <c r="A1162" s="40" t="s">
        <v>29</v>
      </c>
      <c r="B1162" s="40" t="s">
        <v>571</v>
      </c>
      <c r="C1162" s="40">
        <v>438.0</v>
      </c>
      <c r="D1162" s="40" t="s">
        <v>1571</v>
      </c>
      <c r="E1162" s="40" t="s">
        <v>671</v>
      </c>
      <c r="F1162" s="360">
        <v>42018.0</v>
      </c>
      <c r="G1162" s="360">
        <v>42036.0</v>
      </c>
      <c r="H1162" s="360">
        <v>42193.0</v>
      </c>
      <c r="I1162" s="360">
        <v>44948.0</v>
      </c>
      <c r="J1162" s="361">
        <v>0.0</v>
      </c>
      <c r="K1162" s="361">
        <v>0.0</v>
      </c>
      <c r="L1162" s="361">
        <v>0.0</v>
      </c>
      <c r="M1162" s="40">
        <v>10.0</v>
      </c>
      <c r="N1162" s="361">
        <v>0.0</v>
      </c>
    </row>
    <row r="1163">
      <c r="A1163" s="40" t="s">
        <v>29</v>
      </c>
      <c r="B1163" s="40" t="s">
        <v>572</v>
      </c>
      <c r="C1163" s="40">
        <v>728.0</v>
      </c>
      <c r="D1163" s="362" t="s">
        <v>1650</v>
      </c>
      <c r="E1163" s="362" t="s">
        <v>33</v>
      </c>
      <c r="F1163" s="360">
        <v>43763.0</v>
      </c>
      <c r="G1163" s="360">
        <v>43717.0</v>
      </c>
      <c r="H1163" s="360">
        <v>43764.0</v>
      </c>
      <c r="I1163" s="360">
        <v>44132.0</v>
      </c>
      <c r="J1163" s="361">
        <v>29.99</v>
      </c>
      <c r="K1163" s="361">
        <v>29.99</v>
      </c>
      <c r="L1163" s="361">
        <v>0.0</v>
      </c>
      <c r="M1163" s="40">
        <v>29.0</v>
      </c>
      <c r="N1163" s="361">
        <v>1.03</v>
      </c>
    </row>
    <row r="1164">
      <c r="A1164" s="40" t="s">
        <v>29</v>
      </c>
      <c r="B1164" s="40" t="s">
        <v>573</v>
      </c>
      <c r="C1164" s="40">
        <v>1013.0</v>
      </c>
      <c r="D1164" s="40" t="s">
        <v>1712</v>
      </c>
      <c r="E1164" s="40" t="s">
        <v>666</v>
      </c>
      <c r="F1164" s="360">
        <v>42656.0</v>
      </c>
      <c r="G1164" s="360">
        <v>43475.0</v>
      </c>
      <c r="H1164" s="360">
        <v>43475.0</v>
      </c>
      <c r="I1164" s="360">
        <v>43475.0</v>
      </c>
      <c r="J1164" s="361">
        <v>19.99</v>
      </c>
      <c r="K1164" s="361">
        <v>19.99</v>
      </c>
      <c r="L1164" s="361">
        <v>0.0</v>
      </c>
      <c r="M1164" s="40">
        <v>4.0</v>
      </c>
      <c r="N1164" s="361">
        <v>5.0</v>
      </c>
    </row>
    <row r="1165">
      <c r="A1165" s="40" t="s">
        <v>29</v>
      </c>
      <c r="B1165" s="40"/>
      <c r="C1165" s="40">
        <v>1026.0</v>
      </c>
      <c r="D1165" s="40" t="s">
        <v>1725</v>
      </c>
      <c r="E1165" s="40" t="s">
        <v>666</v>
      </c>
      <c r="F1165" s="360">
        <v>43200.0</v>
      </c>
      <c r="G1165" s="360">
        <v>43475.0</v>
      </c>
      <c r="H1165" s="360">
        <v>43475.0</v>
      </c>
      <c r="I1165" s="360">
        <v>43475.0</v>
      </c>
      <c r="J1165" s="361">
        <v>29.99</v>
      </c>
      <c r="K1165" s="361">
        <v>29.99</v>
      </c>
      <c r="L1165" s="361">
        <v>0.0</v>
      </c>
      <c r="M1165" s="40">
        <v>1.0</v>
      </c>
      <c r="N1165" s="361">
        <v>29.99</v>
      </c>
    </row>
    <row r="1166">
      <c r="A1166" s="146"/>
      <c r="B1166" s="146"/>
      <c r="C1166" s="340"/>
      <c r="D1166" s="146"/>
      <c r="E1166" s="146"/>
      <c r="F1166" s="146"/>
      <c r="G1166" s="146"/>
      <c r="H1166" s="146"/>
      <c r="I1166" s="146"/>
      <c r="J1166" s="339">
        <f t="shared" ref="J1166:M1166" si="154">SUM(J1164:J1165)</f>
        <v>49.98</v>
      </c>
      <c r="K1166" s="339">
        <f t="shared" si="154"/>
        <v>49.98</v>
      </c>
      <c r="L1166" s="339">
        <f t="shared" si="154"/>
        <v>0</v>
      </c>
      <c r="M1166" s="146">
        <f t="shared" si="154"/>
        <v>5</v>
      </c>
      <c r="N1166" s="339">
        <f>K1166/M1166</f>
        <v>9.996</v>
      </c>
    </row>
    <row r="1167">
      <c r="A1167" s="357" t="s">
        <v>29</v>
      </c>
      <c r="B1167" s="40" t="s">
        <v>574</v>
      </c>
      <c r="C1167" s="40">
        <v>86.0</v>
      </c>
      <c r="D1167" s="40" t="s">
        <v>1475</v>
      </c>
      <c r="E1167" s="40" t="s">
        <v>645</v>
      </c>
      <c r="F1167" s="360">
        <v>38527.0</v>
      </c>
      <c r="G1167" s="360">
        <v>42832.0</v>
      </c>
      <c r="H1167" s="360">
        <v>42832.0</v>
      </c>
      <c r="I1167" s="360">
        <v>44076.0</v>
      </c>
      <c r="J1167" s="361">
        <v>19.99</v>
      </c>
      <c r="K1167" s="361">
        <v>7.99</v>
      </c>
      <c r="L1167" s="361">
        <v>12.0</v>
      </c>
      <c r="M1167" s="40">
        <v>18.0</v>
      </c>
      <c r="N1167" s="361">
        <v>0.44</v>
      </c>
    </row>
    <row r="1168">
      <c r="A1168" s="357" t="s">
        <v>29</v>
      </c>
      <c r="B1168" s="40"/>
      <c r="C1168" s="40">
        <v>87.0</v>
      </c>
      <c r="D1168" s="40" t="s">
        <v>1484</v>
      </c>
      <c r="E1168" s="40" t="s">
        <v>645</v>
      </c>
      <c r="F1168" s="360">
        <v>39010.0</v>
      </c>
      <c r="G1168" s="360">
        <v>42832.0</v>
      </c>
      <c r="H1168" s="360">
        <v>43095.0</v>
      </c>
      <c r="I1168" s="360">
        <v>44083.0</v>
      </c>
      <c r="J1168" s="361">
        <v>19.99</v>
      </c>
      <c r="K1168" s="361">
        <v>7.99</v>
      </c>
      <c r="L1168" s="361">
        <v>12.0</v>
      </c>
      <c r="M1168" s="40">
        <v>23.0</v>
      </c>
      <c r="N1168" s="361">
        <v>0.35</v>
      </c>
    </row>
    <row r="1169">
      <c r="A1169" s="146"/>
      <c r="B1169" s="146"/>
      <c r="C1169" s="340"/>
      <c r="D1169" s="146"/>
      <c r="E1169" s="146"/>
      <c r="F1169" s="146"/>
      <c r="G1169" s="146"/>
      <c r="H1169" s="146"/>
      <c r="I1169" s="146"/>
      <c r="J1169" s="339">
        <f t="shared" ref="J1169:M1169" si="155">SUM(J1167:J1168)</f>
        <v>39.98</v>
      </c>
      <c r="K1169" s="339">
        <f t="shared" si="155"/>
        <v>15.98</v>
      </c>
      <c r="L1169" s="339">
        <f t="shared" si="155"/>
        <v>24</v>
      </c>
      <c r="M1169" s="146">
        <f t="shared" si="155"/>
        <v>41</v>
      </c>
      <c r="N1169" s="339">
        <f>K1169/M1169</f>
        <v>0.3897560976</v>
      </c>
    </row>
    <row r="1170">
      <c r="A1170" s="357" t="s">
        <v>29</v>
      </c>
      <c r="B1170" s="40" t="s">
        <v>575</v>
      </c>
      <c r="C1170" s="40">
        <v>139.0</v>
      </c>
      <c r="D1170" s="40" t="s">
        <v>1487</v>
      </c>
      <c r="E1170" s="40" t="s">
        <v>645</v>
      </c>
      <c r="F1170" s="360">
        <v>39325.0</v>
      </c>
      <c r="G1170" s="360">
        <v>44300.0</v>
      </c>
      <c r="H1170" s="360">
        <v>44300.0</v>
      </c>
      <c r="I1170" s="360">
        <v>44300.0</v>
      </c>
      <c r="J1170" s="361">
        <v>9.99</v>
      </c>
      <c r="K1170" s="361">
        <v>9.99</v>
      </c>
      <c r="L1170" s="361">
        <v>0.0</v>
      </c>
      <c r="M1170" s="40">
        <v>1.0</v>
      </c>
      <c r="N1170" s="361">
        <v>9.99</v>
      </c>
    </row>
    <row r="1171">
      <c r="A1171" s="40" t="s">
        <v>29</v>
      </c>
      <c r="B1171" s="40" t="s">
        <v>576</v>
      </c>
      <c r="C1171" s="40">
        <v>513.0</v>
      </c>
      <c r="D1171" s="40" t="s">
        <v>1607</v>
      </c>
      <c r="E1171" s="40" t="s">
        <v>33</v>
      </c>
      <c r="F1171" s="360">
        <v>42605.0</v>
      </c>
      <c r="G1171" s="360">
        <v>44180.0</v>
      </c>
      <c r="H1171" s="360">
        <v>44180.0</v>
      </c>
      <c r="I1171" s="360">
        <v>44180.0</v>
      </c>
      <c r="J1171" s="361">
        <v>9.99</v>
      </c>
      <c r="K1171" s="361">
        <v>1.99</v>
      </c>
      <c r="L1171" s="361">
        <v>8.0</v>
      </c>
      <c r="M1171" s="40">
        <v>2.0</v>
      </c>
      <c r="N1171" s="361">
        <v>1.0</v>
      </c>
    </row>
    <row r="1172">
      <c r="A1172" s="40" t="s">
        <v>29</v>
      </c>
      <c r="B1172" s="40" t="s">
        <v>577</v>
      </c>
      <c r="C1172" s="40">
        <v>609.0</v>
      </c>
      <c r="D1172" s="40" t="s">
        <v>1586</v>
      </c>
      <c r="E1172" s="40" t="s">
        <v>33</v>
      </c>
      <c r="F1172" s="360">
        <v>41800.0</v>
      </c>
      <c r="G1172" s="360">
        <v>42925.0</v>
      </c>
      <c r="H1172" s="360">
        <v>42925.0</v>
      </c>
      <c r="I1172" s="360">
        <v>42925.0</v>
      </c>
      <c r="J1172" s="361">
        <v>7.99</v>
      </c>
      <c r="K1172" s="361">
        <v>1.99</v>
      </c>
      <c r="L1172" s="361">
        <v>6.0</v>
      </c>
      <c r="M1172" s="40">
        <v>1.0</v>
      </c>
      <c r="N1172" s="361">
        <v>1.99</v>
      </c>
    </row>
    <row r="1173">
      <c r="A1173" s="40" t="s">
        <v>29</v>
      </c>
      <c r="B1173" s="40"/>
      <c r="C1173" s="40">
        <v>556.0</v>
      </c>
      <c r="D1173" s="40" t="s">
        <v>1648</v>
      </c>
      <c r="E1173" s="40" t="s">
        <v>33</v>
      </c>
      <c r="F1173" s="360">
        <v>43746.0</v>
      </c>
      <c r="G1173" s="360">
        <v>43903.0</v>
      </c>
      <c r="H1173" s="360">
        <v>43912.0</v>
      </c>
      <c r="I1173" s="360">
        <v>44375.0</v>
      </c>
      <c r="J1173" s="361">
        <v>29.99</v>
      </c>
      <c r="K1173" s="361">
        <v>23.99</v>
      </c>
      <c r="L1173" s="361">
        <v>6.0</v>
      </c>
      <c r="M1173" s="40">
        <v>12.0</v>
      </c>
      <c r="N1173" s="361">
        <v>2.0</v>
      </c>
    </row>
    <row r="1174">
      <c r="A1174" s="146"/>
      <c r="B1174" s="146"/>
      <c r="C1174" s="340"/>
      <c r="D1174" s="146"/>
      <c r="E1174" s="146"/>
      <c r="F1174" s="146"/>
      <c r="G1174" s="146"/>
      <c r="H1174" s="146"/>
      <c r="I1174" s="146"/>
      <c r="J1174" s="339">
        <f t="shared" ref="J1174:M1174" si="156">SUM(J1172:J1173)</f>
        <v>37.98</v>
      </c>
      <c r="K1174" s="339">
        <f t="shared" si="156"/>
        <v>25.98</v>
      </c>
      <c r="L1174" s="339">
        <f t="shared" si="156"/>
        <v>12</v>
      </c>
      <c r="M1174" s="146">
        <f t="shared" si="156"/>
        <v>13</v>
      </c>
      <c r="N1174" s="339">
        <f>K1174/M1174</f>
        <v>1.998461538</v>
      </c>
    </row>
    <row r="1175">
      <c r="A1175" s="40" t="s">
        <v>29</v>
      </c>
      <c r="B1175" s="40" t="s">
        <v>578</v>
      </c>
      <c r="C1175" s="40">
        <v>648.0</v>
      </c>
      <c r="D1175" s="40" t="s">
        <v>1670</v>
      </c>
      <c r="E1175" s="40" t="s">
        <v>33</v>
      </c>
      <c r="F1175" s="360">
        <v>44118.0</v>
      </c>
      <c r="G1175" s="360">
        <v>44923.0</v>
      </c>
      <c r="H1175" s="360">
        <v>44945.0</v>
      </c>
      <c r="I1175" s="360">
        <v>44949.0</v>
      </c>
      <c r="J1175" s="361">
        <v>16.99</v>
      </c>
      <c r="K1175" s="361">
        <v>0.0</v>
      </c>
      <c r="L1175" s="361">
        <v>16.99</v>
      </c>
      <c r="M1175" s="40">
        <v>6.0</v>
      </c>
      <c r="N1175" s="361">
        <v>0.0</v>
      </c>
    </row>
    <row r="1176">
      <c r="A1176" s="40" t="s">
        <v>29</v>
      </c>
      <c r="B1176" s="40" t="s">
        <v>579</v>
      </c>
      <c r="C1176" s="40">
        <v>1021.0</v>
      </c>
      <c r="D1176" s="40" t="s">
        <v>1722</v>
      </c>
      <c r="E1176" s="40" t="s">
        <v>666</v>
      </c>
      <c r="F1176" s="360">
        <v>43158.0</v>
      </c>
      <c r="G1176" s="360">
        <v>43468.0</v>
      </c>
      <c r="H1176" s="360">
        <v>43543.0</v>
      </c>
      <c r="I1176" s="360">
        <v>43543.0</v>
      </c>
      <c r="J1176" s="361">
        <v>29.99</v>
      </c>
      <c r="K1176" s="361">
        <v>17.99</v>
      </c>
      <c r="L1176" s="361">
        <v>12.0</v>
      </c>
      <c r="M1176" s="40">
        <v>2.0</v>
      </c>
      <c r="N1176" s="361">
        <v>9.0</v>
      </c>
    </row>
    <row r="1177">
      <c r="A1177" s="40" t="s">
        <v>29</v>
      </c>
      <c r="B1177" s="40" t="s">
        <v>580</v>
      </c>
      <c r="C1177" s="40">
        <v>794.0</v>
      </c>
      <c r="D1177" s="40" t="s">
        <v>1649</v>
      </c>
      <c r="E1177" s="40" t="s">
        <v>33</v>
      </c>
      <c r="F1177" s="360">
        <v>43756.0</v>
      </c>
      <c r="G1177" s="360">
        <v>43964.0</v>
      </c>
      <c r="H1177" s="360">
        <v>44195.0</v>
      </c>
      <c r="I1177" s="360">
        <v>44197.0</v>
      </c>
      <c r="J1177" s="361">
        <v>39.99</v>
      </c>
      <c r="K1177" s="361">
        <v>24.99</v>
      </c>
      <c r="L1177" s="361">
        <v>15.0</v>
      </c>
      <c r="M1177" s="40">
        <v>65.0</v>
      </c>
      <c r="N1177" s="361">
        <v>0.38</v>
      </c>
    </row>
    <row r="1178">
      <c r="A1178" s="40" t="s">
        <v>29</v>
      </c>
      <c r="B1178" s="40" t="s">
        <v>581</v>
      </c>
      <c r="C1178" s="40">
        <v>818.0</v>
      </c>
      <c r="D1178" s="40" t="s">
        <v>1591</v>
      </c>
      <c r="E1178" s="40" t="s">
        <v>33</v>
      </c>
      <c r="F1178" s="360">
        <v>42192.0</v>
      </c>
      <c r="G1178" s="360">
        <v>42754.0</v>
      </c>
      <c r="H1178" s="360">
        <v>42760.0</v>
      </c>
      <c r="I1178" s="360">
        <v>45809.0</v>
      </c>
      <c r="J1178" s="361">
        <v>34.58</v>
      </c>
      <c r="K1178" s="361">
        <v>26.58</v>
      </c>
      <c r="L1178" s="361">
        <v>8.0</v>
      </c>
      <c r="M1178" s="40">
        <v>260.0</v>
      </c>
      <c r="N1178" s="361">
        <v>0.1</v>
      </c>
    </row>
    <row r="1179">
      <c r="A1179" s="358" t="s">
        <v>29</v>
      </c>
      <c r="B1179" s="358" t="s">
        <v>582</v>
      </c>
      <c r="C1179" s="40">
        <v>1077.0</v>
      </c>
      <c r="D1179" s="40" t="s">
        <v>1740</v>
      </c>
      <c r="E1179" s="40" t="s">
        <v>39</v>
      </c>
      <c r="F1179" s="360">
        <v>45377.0</v>
      </c>
      <c r="G1179" s="360">
        <v>45602.0</v>
      </c>
      <c r="H1179" s="360">
        <v>45651.0</v>
      </c>
      <c r="I1179" s="360">
        <v>45653.0</v>
      </c>
      <c r="J1179" s="362">
        <v>29.99</v>
      </c>
      <c r="K1179" s="362">
        <v>19.49</v>
      </c>
      <c r="L1179" s="362">
        <v>10.5</v>
      </c>
      <c r="M1179" s="40">
        <v>9.0</v>
      </c>
      <c r="N1179" s="361">
        <v>2.17</v>
      </c>
    </row>
    <row r="1180">
      <c r="A1180" s="40" t="s">
        <v>29</v>
      </c>
      <c r="B1180" s="40" t="s">
        <v>583</v>
      </c>
      <c r="C1180" s="40">
        <v>347.0</v>
      </c>
      <c r="D1180" s="40" t="s">
        <v>1523</v>
      </c>
      <c r="E1180" s="40" t="s">
        <v>649</v>
      </c>
      <c r="F1180" s="360">
        <v>40835.0</v>
      </c>
      <c r="G1180" s="360">
        <v>42336.0</v>
      </c>
      <c r="H1180" s="360">
        <v>42336.0</v>
      </c>
      <c r="I1180" s="360">
        <v>44944.0</v>
      </c>
      <c r="J1180" s="361">
        <v>7.99</v>
      </c>
      <c r="K1180" s="361">
        <v>7.99</v>
      </c>
      <c r="L1180" s="361">
        <v>0.0</v>
      </c>
      <c r="M1180" s="40">
        <v>10.0</v>
      </c>
      <c r="N1180" s="361">
        <v>0.8</v>
      </c>
    </row>
    <row r="1181">
      <c r="A1181" s="358" t="s">
        <v>29</v>
      </c>
      <c r="B1181" s="40" t="s">
        <v>584</v>
      </c>
      <c r="C1181" s="40">
        <v>383.0</v>
      </c>
      <c r="D1181" s="40" t="s">
        <v>1550</v>
      </c>
      <c r="E1181" s="40" t="s">
        <v>649</v>
      </c>
      <c r="F1181" s="360">
        <v>41409.0</v>
      </c>
      <c r="G1181" s="360">
        <v>42330.0</v>
      </c>
      <c r="H1181" s="360">
        <v>42330.0</v>
      </c>
      <c r="I1181" s="360">
        <v>44943.0</v>
      </c>
      <c r="J1181" s="361">
        <v>33.98</v>
      </c>
      <c r="K1181" s="361">
        <v>15.49</v>
      </c>
      <c r="L1181" s="361">
        <v>18.49</v>
      </c>
      <c r="M1181" s="40">
        <v>1.0</v>
      </c>
      <c r="N1181" s="361">
        <v>15.49</v>
      </c>
    </row>
    <row r="1182">
      <c r="A1182" s="40" t="s">
        <v>29</v>
      </c>
      <c r="B1182" s="40" t="s">
        <v>585</v>
      </c>
      <c r="C1182" s="40">
        <v>157.0</v>
      </c>
      <c r="D1182" s="40" t="s">
        <v>1489</v>
      </c>
      <c r="E1182" s="40" t="s">
        <v>37</v>
      </c>
      <c r="F1182" s="360">
        <v>38820.0</v>
      </c>
      <c r="G1182" s="360">
        <v>43014.0</v>
      </c>
      <c r="H1182" s="360">
        <v>45476.0</v>
      </c>
      <c r="I1182" s="360">
        <v>45478.0</v>
      </c>
      <c r="J1182" s="361">
        <v>7.99</v>
      </c>
      <c r="K1182" s="361">
        <v>2.99</v>
      </c>
      <c r="L1182" s="361">
        <v>5.0</v>
      </c>
      <c r="M1182" s="40">
        <v>10.0</v>
      </c>
      <c r="N1182" s="361">
        <v>0.3</v>
      </c>
    </row>
    <row r="1183">
      <c r="A1183" s="40" t="s">
        <v>29</v>
      </c>
      <c r="B1183" s="40" t="s">
        <v>586</v>
      </c>
      <c r="C1183" s="40">
        <v>1033.0</v>
      </c>
      <c r="D1183" s="40" t="s">
        <v>1716</v>
      </c>
      <c r="E1183" s="40" t="s">
        <v>666</v>
      </c>
      <c r="F1183" s="360">
        <v>42885.0</v>
      </c>
      <c r="G1183" s="360">
        <v>43472.0</v>
      </c>
      <c r="H1183" s="360">
        <v>43543.0</v>
      </c>
      <c r="I1183" s="360">
        <v>43543.0</v>
      </c>
      <c r="J1183" s="361">
        <v>24.99</v>
      </c>
      <c r="K1183" s="361">
        <v>19.99</v>
      </c>
      <c r="L1183" s="361">
        <v>5.0</v>
      </c>
      <c r="M1183" s="40">
        <v>1.0</v>
      </c>
      <c r="N1183" s="361">
        <v>19.99</v>
      </c>
    </row>
    <row r="1184">
      <c r="A1184" s="40" t="s">
        <v>29</v>
      </c>
      <c r="B1184" s="40" t="s">
        <v>587</v>
      </c>
      <c r="C1184" s="40">
        <v>510.0</v>
      </c>
      <c r="D1184" s="40" t="s">
        <v>1642</v>
      </c>
      <c r="E1184" s="40" t="s">
        <v>33</v>
      </c>
      <c r="F1184" s="360">
        <v>43500.0</v>
      </c>
      <c r="G1184" s="360">
        <v>44914.0</v>
      </c>
      <c r="H1184" s="360">
        <v>44914.0</v>
      </c>
      <c r="I1184" s="360">
        <v>44914.0</v>
      </c>
      <c r="J1184" s="361">
        <v>0.0</v>
      </c>
      <c r="K1184" s="361">
        <v>0.0</v>
      </c>
      <c r="L1184" s="361">
        <v>0.0</v>
      </c>
      <c r="M1184" s="40">
        <v>1.0</v>
      </c>
      <c r="N1184" s="361">
        <v>0.0</v>
      </c>
    </row>
    <row r="1185">
      <c r="A1185" s="40" t="s">
        <v>29</v>
      </c>
      <c r="B1185" s="40"/>
      <c r="C1185" s="40">
        <v>857.0</v>
      </c>
      <c r="D1185" s="40" t="s">
        <v>1655</v>
      </c>
      <c r="E1185" s="40" t="s">
        <v>33</v>
      </c>
      <c r="F1185" s="360">
        <v>43784.0</v>
      </c>
      <c r="G1185" s="360">
        <v>44594.0</v>
      </c>
      <c r="H1185" s="360">
        <v>45522.0</v>
      </c>
      <c r="I1185" s="360">
        <v>45522.0</v>
      </c>
      <c r="J1185" s="361">
        <v>49.99</v>
      </c>
      <c r="K1185" s="361">
        <v>17.49</v>
      </c>
      <c r="L1185" s="361">
        <v>32.5</v>
      </c>
      <c r="M1185" s="40">
        <v>1.0</v>
      </c>
      <c r="N1185" s="361">
        <v>17.49</v>
      </c>
    </row>
    <row r="1186">
      <c r="A1186" s="146"/>
      <c r="B1186" s="146"/>
      <c r="C1186" s="340"/>
      <c r="D1186" s="146"/>
      <c r="E1186" s="146"/>
      <c r="F1186" s="146"/>
      <c r="G1186" s="146"/>
      <c r="H1186" s="146"/>
      <c r="I1186" s="146"/>
      <c r="J1186" s="339">
        <f t="shared" ref="J1186:M1186" si="157">SUM(J1184:J1185)</f>
        <v>49.99</v>
      </c>
      <c r="K1186" s="339">
        <f t="shared" si="157"/>
        <v>17.49</v>
      </c>
      <c r="L1186" s="339">
        <f t="shared" si="157"/>
        <v>32.5</v>
      </c>
      <c r="M1186" s="146">
        <f t="shared" si="157"/>
        <v>2</v>
      </c>
      <c r="N1186" s="339">
        <f>K1186/M1186</f>
        <v>8.745</v>
      </c>
    </row>
    <row r="1187">
      <c r="A1187" s="358" t="s">
        <v>29</v>
      </c>
      <c r="B1187" s="40" t="s">
        <v>588</v>
      </c>
      <c r="C1187" s="40">
        <v>408.0</v>
      </c>
      <c r="D1187" s="40" t="s">
        <v>1534</v>
      </c>
      <c r="E1187" s="40" t="s">
        <v>649</v>
      </c>
      <c r="F1187" s="360">
        <v>41149.0</v>
      </c>
      <c r="G1187" s="360">
        <v>41694.0</v>
      </c>
      <c r="H1187" s="360">
        <v>41694.0</v>
      </c>
      <c r="I1187" s="360">
        <v>44793.0</v>
      </c>
      <c r="J1187" s="361">
        <v>14.99</v>
      </c>
      <c r="K1187" s="361">
        <v>9.99</v>
      </c>
      <c r="L1187" s="361">
        <v>5.0</v>
      </c>
      <c r="M1187" s="40">
        <v>12.0</v>
      </c>
      <c r="N1187" s="361">
        <v>0.83</v>
      </c>
    </row>
    <row r="1188">
      <c r="A1188" s="357" t="s">
        <v>29</v>
      </c>
      <c r="B1188" s="40" t="s">
        <v>589</v>
      </c>
      <c r="C1188" s="40">
        <v>129.0</v>
      </c>
      <c r="D1188" s="40" t="s">
        <v>1471</v>
      </c>
      <c r="E1188" s="40" t="s">
        <v>645</v>
      </c>
      <c r="F1188" s="360">
        <v>38149.0</v>
      </c>
      <c r="G1188" s="360">
        <v>42950.0</v>
      </c>
      <c r="H1188" s="360">
        <v>42950.0</v>
      </c>
      <c r="I1188" s="360">
        <v>42950.0</v>
      </c>
      <c r="J1188" s="361">
        <v>13.99</v>
      </c>
      <c r="K1188" s="361">
        <v>5.99</v>
      </c>
      <c r="L1188" s="361">
        <v>8.0</v>
      </c>
      <c r="M1188" s="40">
        <v>1.0</v>
      </c>
      <c r="N1188" s="361">
        <v>5.99</v>
      </c>
    </row>
    <row r="1189">
      <c r="A1189" s="358" t="s">
        <v>29</v>
      </c>
      <c r="B1189" s="40"/>
      <c r="C1189" s="40">
        <v>338.0</v>
      </c>
      <c r="D1189" s="40" t="s">
        <v>1511</v>
      </c>
      <c r="E1189" s="40" t="s">
        <v>649</v>
      </c>
      <c r="F1189" s="360">
        <v>40319.0</v>
      </c>
      <c r="G1189" s="360">
        <v>44091.0</v>
      </c>
      <c r="H1189" s="360">
        <v>44417.0</v>
      </c>
      <c r="I1189" s="360">
        <v>44423.0</v>
      </c>
      <c r="J1189" s="361">
        <v>44.98</v>
      </c>
      <c r="K1189" s="361">
        <v>18.0</v>
      </c>
      <c r="L1189" s="361">
        <v>26.98</v>
      </c>
      <c r="M1189" s="40">
        <v>50.0</v>
      </c>
      <c r="N1189" s="361">
        <v>0.36</v>
      </c>
    </row>
    <row r="1190">
      <c r="A1190" s="40" t="s">
        <v>29</v>
      </c>
      <c r="B1190" s="40"/>
      <c r="C1190" s="40">
        <v>806.0</v>
      </c>
      <c r="D1190" s="40" t="s">
        <v>1635</v>
      </c>
      <c r="E1190" s="40" t="s">
        <v>33</v>
      </c>
      <c r="F1190" s="360">
        <v>43399.0</v>
      </c>
      <c r="G1190" s="360">
        <v>43749.0</v>
      </c>
      <c r="H1190" s="360">
        <v>43822.0</v>
      </c>
      <c r="I1190" s="360">
        <v>43881.0</v>
      </c>
      <c r="J1190" s="361">
        <v>69.99</v>
      </c>
      <c r="K1190" s="361">
        <v>34.99</v>
      </c>
      <c r="L1190" s="361">
        <v>35.0</v>
      </c>
      <c r="M1190" s="40">
        <v>62.0</v>
      </c>
      <c r="N1190" s="361">
        <v>0.56</v>
      </c>
    </row>
    <row r="1191">
      <c r="A1191" s="146"/>
      <c r="B1191" s="146"/>
      <c r="C1191" s="340"/>
      <c r="D1191" s="146"/>
      <c r="E1191" s="146"/>
      <c r="F1191" s="146"/>
      <c r="G1191" s="146"/>
      <c r="H1191" s="146"/>
      <c r="I1191" s="146"/>
      <c r="J1191" s="339">
        <f t="shared" ref="J1191:M1191" si="158">SUM(J1188:J1190)</f>
        <v>128.96</v>
      </c>
      <c r="K1191" s="339">
        <f t="shared" si="158"/>
        <v>58.98</v>
      </c>
      <c r="L1191" s="339">
        <f t="shared" si="158"/>
        <v>69.98</v>
      </c>
      <c r="M1191" s="146">
        <f t="shared" si="158"/>
        <v>113</v>
      </c>
      <c r="N1191" s="339">
        <f>K1191/M1191</f>
        <v>0.5219469027</v>
      </c>
    </row>
    <row r="1192">
      <c r="A1192" s="40" t="s">
        <v>29</v>
      </c>
      <c r="B1192" s="40" t="s">
        <v>590</v>
      </c>
      <c r="C1192" s="40">
        <v>798.0</v>
      </c>
      <c r="D1192" s="40" t="s">
        <v>1677</v>
      </c>
      <c r="E1192" s="40" t="s">
        <v>33</v>
      </c>
      <c r="F1192" s="360">
        <v>44260.0</v>
      </c>
      <c r="G1192" s="360">
        <v>44708.0</v>
      </c>
      <c r="H1192" s="360">
        <v>44858.0</v>
      </c>
      <c r="I1192" s="360">
        <v>44860.0</v>
      </c>
      <c r="J1192" s="361">
        <v>9.99</v>
      </c>
      <c r="K1192" s="361">
        <v>3.49</v>
      </c>
      <c r="L1192" s="361">
        <v>6.5</v>
      </c>
      <c r="M1192" s="40">
        <v>8.0</v>
      </c>
      <c r="N1192" s="361">
        <v>0.44</v>
      </c>
    </row>
    <row r="1193">
      <c r="A1193" s="40" t="s">
        <v>29</v>
      </c>
      <c r="B1193" s="40"/>
      <c r="C1193" s="40">
        <v>799.0</v>
      </c>
      <c r="D1193" s="40" t="s">
        <v>1696</v>
      </c>
      <c r="E1193" s="40" t="s">
        <v>33</v>
      </c>
      <c r="F1193" s="360">
        <v>45006.0</v>
      </c>
      <c r="G1193" s="360">
        <v>45014.0</v>
      </c>
      <c r="H1193" s="360">
        <v>45015.0</v>
      </c>
      <c r="I1193" s="360">
        <v>45015.0</v>
      </c>
      <c r="J1193" s="361">
        <v>44.99</v>
      </c>
      <c r="K1193" s="361">
        <v>0.0</v>
      </c>
      <c r="L1193" s="361">
        <v>44.99</v>
      </c>
      <c r="M1193" s="40">
        <v>2.0</v>
      </c>
      <c r="N1193" s="361">
        <v>0.0</v>
      </c>
    </row>
    <row r="1194">
      <c r="A1194" s="146"/>
      <c r="B1194" s="146"/>
      <c r="C1194" s="340"/>
      <c r="D1194" s="146"/>
      <c r="E1194" s="146"/>
      <c r="F1194" s="146"/>
      <c r="G1194" s="146"/>
      <c r="H1194" s="146"/>
      <c r="I1194" s="146"/>
      <c r="J1194" s="339">
        <f t="shared" ref="J1194:M1194" si="159">SUM(J1192:J1193)</f>
        <v>54.98</v>
      </c>
      <c r="K1194" s="339">
        <f t="shared" si="159"/>
        <v>3.49</v>
      </c>
      <c r="L1194" s="339">
        <f t="shared" si="159"/>
        <v>51.49</v>
      </c>
      <c r="M1194" s="146">
        <f t="shared" si="159"/>
        <v>10</v>
      </c>
      <c r="N1194" s="339">
        <f>K1194/M1194</f>
        <v>0.349</v>
      </c>
    </row>
    <row r="1195">
      <c r="A1195" s="40" t="s">
        <v>29</v>
      </c>
      <c r="B1195" s="40" t="s">
        <v>591</v>
      </c>
      <c r="C1195" s="40">
        <v>974.0</v>
      </c>
      <c r="D1195" s="40" t="s">
        <v>1665</v>
      </c>
      <c r="E1195" s="40" t="s">
        <v>33</v>
      </c>
      <c r="F1195" s="360">
        <v>44092.0</v>
      </c>
      <c r="G1195" s="360">
        <v>44383.0</v>
      </c>
      <c r="H1195" s="360">
        <v>44450.0</v>
      </c>
      <c r="I1195" s="360">
        <v>44451.0</v>
      </c>
      <c r="J1195" s="361">
        <v>39.99</v>
      </c>
      <c r="K1195" s="361">
        <v>0.0</v>
      </c>
      <c r="L1195" s="361">
        <v>39.99</v>
      </c>
      <c r="M1195" s="40">
        <v>3.0</v>
      </c>
      <c r="N1195" s="361">
        <v>0.0</v>
      </c>
    </row>
    <row r="1196">
      <c r="A1196" s="40" t="s">
        <v>29</v>
      </c>
      <c r="B1196" s="40" t="s">
        <v>592</v>
      </c>
      <c r="C1196" s="40">
        <v>450.0</v>
      </c>
      <c r="D1196" s="40" t="s">
        <v>1566</v>
      </c>
      <c r="E1196" s="40" t="s">
        <v>671</v>
      </c>
      <c r="F1196" s="360">
        <v>40961.0</v>
      </c>
      <c r="G1196" s="360">
        <v>42326.0</v>
      </c>
      <c r="H1196" s="360">
        <v>42328.0</v>
      </c>
      <c r="I1196" s="360">
        <v>44955.0</v>
      </c>
      <c r="J1196" s="361">
        <v>14.99</v>
      </c>
      <c r="K1196" s="361">
        <v>14.99</v>
      </c>
      <c r="L1196" s="361">
        <v>0.0</v>
      </c>
      <c r="M1196" s="40">
        <v>25.0</v>
      </c>
      <c r="N1196" s="361">
        <v>0.6</v>
      </c>
    </row>
    <row r="1197">
      <c r="A1197" s="40" t="s">
        <v>29</v>
      </c>
      <c r="B1197" s="40"/>
      <c r="C1197" s="40">
        <v>753.0</v>
      </c>
      <c r="D1197" s="40" t="s">
        <v>1705</v>
      </c>
      <c r="E1197" s="40" t="s">
        <v>33</v>
      </c>
      <c r="F1197" s="360">
        <v>45370.0</v>
      </c>
      <c r="G1197" s="360">
        <v>45538.0</v>
      </c>
      <c r="H1197" s="360">
        <v>45538.0</v>
      </c>
      <c r="I1197" s="360">
        <v>45538.0</v>
      </c>
      <c r="J1197" s="362">
        <v>69.99</v>
      </c>
      <c r="K1197" s="362">
        <v>0.0</v>
      </c>
      <c r="L1197" s="361">
        <v>69.99</v>
      </c>
      <c r="M1197" s="40">
        <v>1.0</v>
      </c>
      <c r="N1197" s="361">
        <v>0.0</v>
      </c>
    </row>
    <row r="1198">
      <c r="A1198" s="146"/>
      <c r="B1198" s="146"/>
      <c r="C1198" s="340"/>
      <c r="D1198" s="146"/>
      <c r="E1198" s="146"/>
      <c r="F1198" s="146"/>
      <c r="G1198" s="146"/>
      <c r="H1198" s="146"/>
      <c r="I1198" s="146"/>
      <c r="J1198" s="339">
        <f t="shared" ref="J1198:M1198" si="160">SUM(J1196:J1197)</f>
        <v>84.98</v>
      </c>
      <c r="K1198" s="339">
        <f t="shared" si="160"/>
        <v>14.99</v>
      </c>
      <c r="L1198" s="339">
        <f t="shared" si="160"/>
        <v>69.99</v>
      </c>
      <c r="M1198" s="146">
        <f t="shared" si="160"/>
        <v>26</v>
      </c>
      <c r="N1198" s="339">
        <f>K1198/M1198</f>
        <v>0.5765384615</v>
      </c>
    </row>
    <row r="1199">
      <c r="A1199" s="357" t="s">
        <v>29</v>
      </c>
      <c r="B1199" s="40" t="s">
        <v>593</v>
      </c>
      <c r="C1199" s="40">
        <v>96.0</v>
      </c>
      <c r="D1199" s="40" t="s">
        <v>1476</v>
      </c>
      <c r="E1199" s="40" t="s">
        <v>645</v>
      </c>
      <c r="F1199" s="360">
        <v>38541.0</v>
      </c>
      <c r="G1199" s="360">
        <v>43014.0</v>
      </c>
      <c r="H1199" s="360">
        <v>45127.0</v>
      </c>
      <c r="I1199" s="360">
        <v>45133.0</v>
      </c>
      <c r="J1199" s="361">
        <v>12.99</v>
      </c>
      <c r="K1199" s="361">
        <v>4.99</v>
      </c>
      <c r="L1199" s="361">
        <v>8.0</v>
      </c>
      <c r="M1199" s="40">
        <v>25.0</v>
      </c>
      <c r="N1199" s="361">
        <v>0.2</v>
      </c>
    </row>
    <row r="1200">
      <c r="A1200" s="357" t="s">
        <v>29</v>
      </c>
      <c r="B1200" s="40"/>
      <c r="C1200" s="40">
        <v>97.0</v>
      </c>
      <c r="D1200" s="40" t="s">
        <v>1485</v>
      </c>
      <c r="E1200" s="40" t="s">
        <v>645</v>
      </c>
      <c r="F1200" s="360">
        <v>39199.0</v>
      </c>
      <c r="G1200" s="360">
        <v>43014.0</v>
      </c>
      <c r="H1200" s="360">
        <v>45134.0</v>
      </c>
      <c r="I1200" s="360">
        <v>45134.0</v>
      </c>
      <c r="J1200" s="361">
        <v>12.0</v>
      </c>
      <c r="K1200" s="361">
        <v>3.0</v>
      </c>
      <c r="L1200" s="361">
        <v>9.0</v>
      </c>
      <c r="M1200" s="40">
        <v>5.0</v>
      </c>
      <c r="N1200" s="361">
        <v>0.6</v>
      </c>
    </row>
    <row r="1201">
      <c r="A1201" s="358" t="s">
        <v>29</v>
      </c>
      <c r="B1201" s="40"/>
      <c r="C1201" s="40">
        <v>254.0</v>
      </c>
      <c r="D1201" s="40" t="s">
        <v>1509</v>
      </c>
      <c r="E1201" s="40" t="s">
        <v>649</v>
      </c>
      <c r="F1201" s="360">
        <v>40256.0</v>
      </c>
      <c r="G1201" s="360">
        <v>43014.0</v>
      </c>
      <c r="H1201" s="360">
        <v>43014.0</v>
      </c>
      <c r="I1201" s="360">
        <v>43014.0</v>
      </c>
      <c r="J1201" s="361">
        <v>19.99</v>
      </c>
      <c r="K1201" s="361">
        <v>9.99</v>
      </c>
      <c r="L1201" s="361">
        <v>10.0</v>
      </c>
      <c r="M1201" s="40">
        <v>1.0</v>
      </c>
      <c r="N1201" s="361">
        <v>9.99</v>
      </c>
    </row>
    <row r="1202">
      <c r="A1202" s="40" t="s">
        <v>29</v>
      </c>
      <c r="B1202" s="40"/>
      <c r="C1202" s="40">
        <v>644.0</v>
      </c>
      <c r="D1202" s="40" t="s">
        <v>1627</v>
      </c>
      <c r="E1202" s="40" t="s">
        <v>33</v>
      </c>
      <c r="F1202" s="360">
        <v>43210.0</v>
      </c>
      <c r="G1202" s="360">
        <v>44334.0</v>
      </c>
      <c r="H1202" s="360">
        <v>44395.0</v>
      </c>
      <c r="I1202" s="360">
        <v>44406.0</v>
      </c>
      <c r="J1202" s="361">
        <v>19.99</v>
      </c>
      <c r="K1202" s="361">
        <v>0.0</v>
      </c>
      <c r="L1202" s="361">
        <v>19.99</v>
      </c>
      <c r="M1202" s="40">
        <v>44.0</v>
      </c>
      <c r="N1202" s="361">
        <v>0.0</v>
      </c>
    </row>
    <row r="1203">
      <c r="A1203" s="358" t="s">
        <v>29</v>
      </c>
      <c r="B1203" s="358"/>
      <c r="C1203" s="40">
        <v>645.0</v>
      </c>
      <c r="D1203" s="40" t="s">
        <v>1693</v>
      </c>
      <c r="E1203" s="40" t="s">
        <v>33</v>
      </c>
      <c r="F1203" s="360">
        <v>44874.0</v>
      </c>
      <c r="G1203" s="360">
        <v>45651.0</v>
      </c>
      <c r="H1203" s="360">
        <v>45651.0</v>
      </c>
      <c r="I1203" s="360">
        <v>45651.0</v>
      </c>
      <c r="J1203" s="362">
        <v>79.99</v>
      </c>
      <c r="K1203" s="362">
        <v>0.0</v>
      </c>
      <c r="L1203" s="362">
        <v>79.99</v>
      </c>
      <c r="M1203" s="40">
        <v>1.0</v>
      </c>
      <c r="N1203" s="362">
        <v>0.0</v>
      </c>
    </row>
    <row r="1204">
      <c r="A1204" s="146"/>
      <c r="B1204" s="146"/>
      <c r="C1204" s="340"/>
      <c r="D1204" s="146"/>
      <c r="E1204" s="146"/>
      <c r="F1204" s="146"/>
      <c r="G1204" s="146"/>
      <c r="H1204" s="146"/>
      <c r="I1204" s="146"/>
      <c r="J1204" s="339">
        <f t="shared" ref="J1204:M1204" si="161">SUM(J1199:J1203)</f>
        <v>144.96</v>
      </c>
      <c r="K1204" s="339">
        <f t="shared" si="161"/>
        <v>17.98</v>
      </c>
      <c r="L1204" s="339">
        <f t="shared" si="161"/>
        <v>126.98</v>
      </c>
      <c r="M1204" s="146">
        <f t="shared" si="161"/>
        <v>76</v>
      </c>
      <c r="N1204" s="339">
        <f>K1204/M1204</f>
        <v>0.2365789474</v>
      </c>
    </row>
    <row r="1205">
      <c r="A1205" s="358" t="s">
        <v>29</v>
      </c>
      <c r="B1205" s="40" t="s">
        <v>594</v>
      </c>
      <c r="C1205" s="40">
        <v>195.0</v>
      </c>
      <c r="D1205" s="40" t="s">
        <v>1547</v>
      </c>
      <c r="E1205" s="40" t="s">
        <v>649</v>
      </c>
      <c r="F1205" s="360">
        <v>41361.0</v>
      </c>
      <c r="G1205" s="360">
        <v>44285.0</v>
      </c>
      <c r="H1205" s="360">
        <v>45022.0</v>
      </c>
      <c r="I1205" s="360">
        <v>45053.0</v>
      </c>
      <c r="J1205" s="361">
        <v>1.99</v>
      </c>
      <c r="K1205" s="361">
        <v>1.99</v>
      </c>
      <c r="L1205" s="361">
        <v>0.0</v>
      </c>
      <c r="M1205" s="40">
        <v>5.0</v>
      </c>
      <c r="N1205" s="361">
        <v>0.4</v>
      </c>
    </row>
    <row r="1206">
      <c r="A1206" s="358" t="s">
        <v>29</v>
      </c>
      <c r="B1206" s="40"/>
      <c r="C1206" s="40">
        <v>362.0</v>
      </c>
      <c r="D1206" s="40" t="s">
        <v>1548</v>
      </c>
      <c r="E1206" s="40" t="s">
        <v>649</v>
      </c>
      <c r="F1206" s="360">
        <v>41361.0</v>
      </c>
      <c r="G1206" s="360">
        <v>43014.0</v>
      </c>
      <c r="H1206" s="360">
        <v>45028.0</v>
      </c>
      <c r="I1206" s="360">
        <v>45041.0</v>
      </c>
      <c r="J1206" s="361">
        <v>14.99</v>
      </c>
      <c r="K1206" s="361">
        <v>4.99</v>
      </c>
      <c r="L1206" s="361">
        <v>10.0</v>
      </c>
      <c r="M1206" s="40">
        <v>30.0</v>
      </c>
      <c r="N1206" s="361">
        <v>0.17</v>
      </c>
    </row>
    <row r="1207">
      <c r="A1207" s="146"/>
      <c r="B1207" s="146"/>
      <c r="C1207" s="340"/>
      <c r="D1207" s="146"/>
      <c r="E1207" s="146"/>
      <c r="F1207" s="146"/>
      <c r="G1207" s="146"/>
      <c r="H1207" s="146"/>
      <c r="I1207" s="146"/>
      <c r="J1207" s="339">
        <f t="shared" ref="J1207:M1207" si="162">SUM(J1205:J1206)</f>
        <v>16.98</v>
      </c>
      <c r="K1207" s="339">
        <f t="shared" si="162"/>
        <v>6.98</v>
      </c>
      <c r="L1207" s="339">
        <f t="shared" si="162"/>
        <v>10</v>
      </c>
      <c r="M1207" s="146">
        <f t="shared" si="162"/>
        <v>35</v>
      </c>
      <c r="N1207" s="339">
        <f>K1207/M1207</f>
        <v>0.1994285714</v>
      </c>
    </row>
    <row r="1208">
      <c r="A1208" s="40" t="s">
        <v>29</v>
      </c>
      <c r="B1208" s="40" t="s">
        <v>595</v>
      </c>
      <c r="C1208" s="40">
        <v>1011.0</v>
      </c>
      <c r="D1208" s="40" t="s">
        <v>1714</v>
      </c>
      <c r="E1208" s="40" t="s">
        <v>666</v>
      </c>
      <c r="F1208" s="360">
        <v>42717.0</v>
      </c>
      <c r="G1208" s="360">
        <v>43468.0</v>
      </c>
      <c r="H1208" s="360">
        <v>43542.0</v>
      </c>
      <c r="I1208" s="360">
        <v>43542.0</v>
      </c>
      <c r="J1208" s="361">
        <v>24.99</v>
      </c>
      <c r="K1208" s="361">
        <v>12.49</v>
      </c>
      <c r="L1208" s="361">
        <v>12.5</v>
      </c>
      <c r="M1208" s="40">
        <v>1.0</v>
      </c>
      <c r="N1208" s="361">
        <v>12.49</v>
      </c>
    </row>
    <row r="1209">
      <c r="A1209" s="40" t="s">
        <v>29</v>
      </c>
      <c r="B1209" s="40"/>
      <c r="C1209" s="40">
        <v>1012.0</v>
      </c>
      <c r="D1209" s="40" t="s">
        <v>1733</v>
      </c>
      <c r="E1209" s="40" t="s">
        <v>666</v>
      </c>
      <c r="F1209" s="360">
        <v>44432.0</v>
      </c>
      <c r="G1209" s="360">
        <v>44555.0</v>
      </c>
      <c r="H1209" s="360">
        <v>44555.0</v>
      </c>
      <c r="I1209" s="360">
        <v>44555.0</v>
      </c>
      <c r="J1209" s="361">
        <v>24.99</v>
      </c>
      <c r="K1209" s="361">
        <v>0.0</v>
      </c>
      <c r="L1209" s="361">
        <v>24.99</v>
      </c>
      <c r="M1209" s="40">
        <v>1.0</v>
      </c>
      <c r="N1209" s="361">
        <v>0.0</v>
      </c>
    </row>
    <row r="1210">
      <c r="A1210" s="146"/>
      <c r="B1210" s="146"/>
      <c r="C1210" s="340"/>
      <c r="D1210" s="146"/>
      <c r="E1210" s="146"/>
      <c r="F1210" s="146"/>
      <c r="G1210" s="146"/>
      <c r="H1210" s="146"/>
      <c r="I1210" s="146"/>
      <c r="J1210" s="339">
        <f t="shared" ref="J1210:M1210" si="163">SUM(J1208:J1209)</f>
        <v>49.98</v>
      </c>
      <c r="K1210" s="339">
        <f t="shared" si="163"/>
        <v>12.49</v>
      </c>
      <c r="L1210" s="339">
        <f t="shared" si="163"/>
        <v>37.49</v>
      </c>
      <c r="M1210" s="146">
        <f t="shared" si="163"/>
        <v>2</v>
      </c>
      <c r="N1210" s="339">
        <f>K1210/M1210</f>
        <v>6.245</v>
      </c>
    </row>
    <row r="1211">
      <c r="A1211" s="40" t="s">
        <v>29</v>
      </c>
      <c r="B1211" s="40" t="s">
        <v>596</v>
      </c>
      <c r="C1211" s="40">
        <v>1053.0</v>
      </c>
      <c r="D1211" s="40" t="s">
        <v>1741</v>
      </c>
      <c r="E1211" s="40" t="s">
        <v>39</v>
      </c>
      <c r="F1211" s="360">
        <v>45421.0</v>
      </c>
      <c r="G1211" s="360">
        <v>45542.0</v>
      </c>
      <c r="H1211" s="360">
        <v>45563.0</v>
      </c>
      <c r="I1211" s="360">
        <v>45563.0</v>
      </c>
      <c r="J1211" s="362">
        <v>24.99</v>
      </c>
      <c r="K1211" s="362">
        <v>0.0</v>
      </c>
      <c r="L1211" s="361">
        <v>24.99</v>
      </c>
      <c r="M1211" s="40">
        <v>1.0</v>
      </c>
      <c r="N1211" s="361">
        <v>0.0</v>
      </c>
    </row>
    <row r="1212">
      <c r="A1212" s="357" t="s">
        <v>29</v>
      </c>
      <c r="B1212" s="40" t="s">
        <v>597</v>
      </c>
      <c r="C1212" s="40">
        <v>72.0</v>
      </c>
      <c r="D1212" s="40" t="s">
        <v>1445</v>
      </c>
      <c r="E1212" s="40" t="s">
        <v>682</v>
      </c>
      <c r="F1212" s="360">
        <v>35080.0</v>
      </c>
      <c r="G1212" s="360">
        <v>43014.0</v>
      </c>
      <c r="H1212" s="360">
        <v>43014.0</v>
      </c>
      <c r="I1212" s="360">
        <v>43014.0</v>
      </c>
      <c r="J1212" s="361">
        <v>4.99</v>
      </c>
      <c r="K1212" s="361">
        <v>1.99</v>
      </c>
      <c r="L1212" s="361">
        <v>3.0</v>
      </c>
      <c r="M1212" s="40">
        <v>1.0</v>
      </c>
      <c r="N1212" s="361">
        <v>1.99</v>
      </c>
    </row>
    <row r="1213">
      <c r="A1213" s="40" t="s">
        <v>29</v>
      </c>
      <c r="B1213" s="40" t="s">
        <v>598</v>
      </c>
      <c r="C1213" s="40">
        <v>919.0</v>
      </c>
      <c r="D1213" s="40" t="s">
        <v>1675</v>
      </c>
      <c r="E1213" s="40" t="s">
        <v>33</v>
      </c>
      <c r="F1213" s="360">
        <v>44225.0</v>
      </c>
      <c r="G1213" s="360">
        <v>44349.0</v>
      </c>
      <c r="H1213" s="360">
        <v>44350.0</v>
      </c>
      <c r="I1213" s="360">
        <v>44704.0</v>
      </c>
      <c r="J1213" s="361">
        <v>15.99</v>
      </c>
      <c r="K1213" s="361">
        <v>10.39</v>
      </c>
      <c r="L1213" s="361">
        <v>5.6</v>
      </c>
      <c r="M1213" s="40">
        <v>4.0</v>
      </c>
      <c r="N1213" s="361">
        <v>2.6</v>
      </c>
    </row>
    <row r="1214">
      <c r="A1214" s="40" t="s">
        <v>29</v>
      </c>
      <c r="B1214" s="40" t="s">
        <v>599</v>
      </c>
      <c r="C1214" s="40">
        <v>1039.0</v>
      </c>
      <c r="D1214" s="40" t="s">
        <v>1730</v>
      </c>
      <c r="E1214" s="40" t="s">
        <v>666</v>
      </c>
      <c r="F1214" s="360">
        <v>43956.0</v>
      </c>
      <c r="G1214" s="360">
        <v>44502.0</v>
      </c>
      <c r="H1214" s="360">
        <v>44502.0</v>
      </c>
      <c r="I1214" s="360">
        <v>44502.0</v>
      </c>
      <c r="J1214" s="361">
        <v>39.99</v>
      </c>
      <c r="K1214" s="361">
        <v>0.0</v>
      </c>
      <c r="L1214" s="361">
        <v>39.99</v>
      </c>
      <c r="M1214" s="40">
        <v>1.0</v>
      </c>
      <c r="N1214" s="361">
        <v>0.0</v>
      </c>
    </row>
    <row r="1215">
      <c r="A1215" s="40" t="s">
        <v>29</v>
      </c>
      <c r="B1215" s="40" t="s">
        <v>600</v>
      </c>
      <c r="C1215" s="40">
        <v>947.0</v>
      </c>
      <c r="D1215" s="40" t="s">
        <v>1695</v>
      </c>
      <c r="E1215" s="40" t="s">
        <v>33</v>
      </c>
      <c r="F1215" s="360">
        <v>44915.0</v>
      </c>
      <c r="G1215" s="360">
        <v>45058.0</v>
      </c>
      <c r="H1215" s="360">
        <v>45229.0</v>
      </c>
      <c r="I1215" s="360">
        <v>45230.0</v>
      </c>
      <c r="J1215" s="361">
        <v>14.99</v>
      </c>
      <c r="K1215" s="361">
        <v>11.24</v>
      </c>
      <c r="L1215" s="361">
        <v>3.75</v>
      </c>
      <c r="M1215" s="40">
        <v>4.0</v>
      </c>
      <c r="N1215" s="361">
        <v>2.81</v>
      </c>
    </row>
    <row r="1216">
      <c r="A1216" s="40" t="s">
        <v>29</v>
      </c>
      <c r="B1216" s="40" t="s">
        <v>601</v>
      </c>
      <c r="C1216" s="40">
        <v>902.0</v>
      </c>
      <c r="D1216" s="40" t="s">
        <v>1589</v>
      </c>
      <c r="E1216" s="40" t="s">
        <v>33</v>
      </c>
      <c r="F1216" s="360">
        <v>41990.0</v>
      </c>
      <c r="G1216" s="360">
        <v>42635.0</v>
      </c>
      <c r="H1216" s="360">
        <v>42635.0</v>
      </c>
      <c r="I1216" s="360">
        <v>42635.0</v>
      </c>
      <c r="J1216" s="361">
        <v>39.99</v>
      </c>
      <c r="K1216" s="361">
        <v>5.99</v>
      </c>
      <c r="L1216" s="361">
        <v>34.0</v>
      </c>
      <c r="M1216" s="40">
        <v>1.0</v>
      </c>
      <c r="N1216" s="361">
        <v>5.99</v>
      </c>
    </row>
    <row r="1217">
      <c r="A1217" s="357" t="s">
        <v>29</v>
      </c>
      <c r="B1217" s="40" t="s">
        <v>602</v>
      </c>
      <c r="C1217" s="40">
        <v>42.0</v>
      </c>
      <c r="D1217" s="40" t="s">
        <v>1448</v>
      </c>
      <c r="E1217" s="40" t="s">
        <v>682</v>
      </c>
      <c r="F1217" s="360">
        <v>35615.0</v>
      </c>
      <c r="G1217" s="360">
        <v>43014.0</v>
      </c>
      <c r="H1217" s="360">
        <v>43014.0</v>
      </c>
      <c r="I1217" s="360">
        <v>43014.0</v>
      </c>
      <c r="J1217" s="361">
        <v>4.99</v>
      </c>
      <c r="K1217" s="361">
        <v>1.99</v>
      </c>
      <c r="L1217" s="361">
        <v>3.0</v>
      </c>
      <c r="M1217" s="40">
        <v>1.0</v>
      </c>
      <c r="N1217" s="361">
        <v>1.99</v>
      </c>
    </row>
    <row r="1218">
      <c r="A1218" s="40" t="s">
        <v>29</v>
      </c>
      <c r="B1218" s="40" t="s">
        <v>603</v>
      </c>
      <c r="C1218" s="40">
        <v>945.0</v>
      </c>
      <c r="D1218" s="40" t="s">
        <v>1646</v>
      </c>
      <c r="E1218" s="40" t="s">
        <v>33</v>
      </c>
      <c r="F1218" s="360">
        <v>43616.0</v>
      </c>
      <c r="G1218" s="360">
        <v>44446.0</v>
      </c>
      <c r="H1218" s="360">
        <v>44449.0</v>
      </c>
      <c r="I1218" s="360">
        <v>44450.0</v>
      </c>
      <c r="J1218" s="361">
        <v>29.99</v>
      </c>
      <c r="K1218" s="361">
        <v>0.0</v>
      </c>
      <c r="L1218" s="361">
        <v>29.99</v>
      </c>
      <c r="M1218" s="40">
        <v>13.0</v>
      </c>
      <c r="N1218" s="361">
        <v>0.0</v>
      </c>
    </row>
    <row r="1219">
      <c r="A1219" s="358" t="s">
        <v>29</v>
      </c>
      <c r="B1219" s="358"/>
      <c r="C1219" s="358">
        <v>658.0</v>
      </c>
      <c r="D1219" s="358" t="s">
        <v>1702</v>
      </c>
      <c r="E1219" s="358" t="s">
        <v>33</v>
      </c>
      <c r="F1219" s="364">
        <v>45129.0</v>
      </c>
      <c r="G1219" s="364">
        <v>45692.0</v>
      </c>
      <c r="H1219" s="364">
        <v>45700.0</v>
      </c>
      <c r="I1219" s="364">
        <v>45991.0</v>
      </c>
      <c r="J1219" s="363">
        <v>39.99</v>
      </c>
      <c r="K1219" s="363">
        <v>0.0</v>
      </c>
      <c r="L1219" s="359">
        <v>39.99</v>
      </c>
      <c r="M1219" s="358">
        <v>37.0</v>
      </c>
      <c r="N1219" s="359">
        <v>0.0</v>
      </c>
    </row>
    <row r="1220">
      <c r="A1220" s="358" t="s">
        <v>29</v>
      </c>
      <c r="B1220" s="358"/>
      <c r="C1220" s="40">
        <v>982.0</v>
      </c>
      <c r="D1220" s="40" t="s">
        <v>1720</v>
      </c>
      <c r="E1220" s="40" t="s">
        <v>666</v>
      </c>
      <c r="F1220" s="360">
        <v>43088.0</v>
      </c>
      <c r="G1220" s="360">
        <v>44433.0</v>
      </c>
      <c r="H1220" s="360">
        <v>44436.0</v>
      </c>
      <c r="I1220" s="360">
        <v>44437.0</v>
      </c>
      <c r="J1220" s="362">
        <v>11.99</v>
      </c>
      <c r="K1220" s="362">
        <v>4.79</v>
      </c>
      <c r="L1220" s="361">
        <v>7.2</v>
      </c>
      <c r="M1220" s="40">
        <v>3.0</v>
      </c>
      <c r="N1220" s="361">
        <v>1.6</v>
      </c>
    </row>
    <row r="1221">
      <c r="A1221" s="146"/>
      <c r="B1221" s="146"/>
      <c r="C1221" s="340"/>
      <c r="D1221" s="146"/>
      <c r="E1221" s="146"/>
      <c r="F1221" s="146"/>
      <c r="G1221" s="146"/>
      <c r="H1221" s="146"/>
      <c r="I1221" s="146"/>
      <c r="J1221" s="339">
        <f t="shared" ref="J1221:M1221" si="164">SUM(J1218:J1220)</f>
        <v>81.97</v>
      </c>
      <c r="K1221" s="339">
        <f t="shared" si="164"/>
        <v>4.79</v>
      </c>
      <c r="L1221" s="339">
        <f t="shared" si="164"/>
        <v>77.18</v>
      </c>
      <c r="M1221" s="146">
        <f t="shared" si="164"/>
        <v>53</v>
      </c>
      <c r="N1221" s="339">
        <f>K1221/M1221</f>
        <v>0.09037735849</v>
      </c>
    </row>
    <row r="1222">
      <c r="A1222" s="40" t="s">
        <v>29</v>
      </c>
      <c r="B1222" s="40" t="s">
        <v>604</v>
      </c>
      <c r="C1222" s="40">
        <v>907.0</v>
      </c>
      <c r="D1222" s="40" t="s">
        <v>1694</v>
      </c>
      <c r="E1222" s="40" t="s">
        <v>33</v>
      </c>
      <c r="F1222" s="360">
        <v>44897.0</v>
      </c>
      <c r="G1222" s="360">
        <v>45202.0</v>
      </c>
      <c r="H1222" s="360">
        <v>45202.0</v>
      </c>
      <c r="I1222" s="360">
        <v>45202.0</v>
      </c>
      <c r="J1222" s="361">
        <v>69.99</v>
      </c>
      <c r="K1222" s="361">
        <v>0.0</v>
      </c>
      <c r="L1222" s="361">
        <v>69.99</v>
      </c>
      <c r="M1222" s="40">
        <v>1.0</v>
      </c>
      <c r="N1222" s="361">
        <v>0.0</v>
      </c>
    </row>
    <row r="1223">
      <c r="A1223" s="40" t="s">
        <v>29</v>
      </c>
      <c r="B1223" s="40" t="s">
        <v>605</v>
      </c>
      <c r="C1223" s="40">
        <v>511.0</v>
      </c>
      <c r="D1223" s="40" t="s">
        <v>1623</v>
      </c>
      <c r="E1223" s="40" t="s">
        <v>33</v>
      </c>
      <c r="F1223" s="360">
        <v>42976.0</v>
      </c>
      <c r="G1223" s="360">
        <v>44621.0</v>
      </c>
      <c r="H1223" s="360">
        <v>44621.0</v>
      </c>
      <c r="I1223" s="360">
        <v>44621.0</v>
      </c>
      <c r="J1223" s="361">
        <v>29.99</v>
      </c>
      <c r="K1223" s="361">
        <v>0.0</v>
      </c>
      <c r="L1223" s="361">
        <v>29.99</v>
      </c>
      <c r="M1223" s="40">
        <v>1.0</v>
      </c>
      <c r="N1223" s="361">
        <v>0.0</v>
      </c>
    </row>
    <row r="1224">
      <c r="A1224" s="357" t="s">
        <v>29</v>
      </c>
      <c r="B1224" s="40" t="s">
        <v>606</v>
      </c>
      <c r="C1224" s="40">
        <v>135.0</v>
      </c>
      <c r="D1224" s="40" t="s">
        <v>1466</v>
      </c>
      <c r="E1224" s="40" t="s">
        <v>645</v>
      </c>
      <c r="F1224" s="360">
        <v>37638.0</v>
      </c>
      <c r="G1224" s="360">
        <v>40832.0</v>
      </c>
      <c r="H1224" s="360">
        <v>40832.0</v>
      </c>
      <c r="I1224" s="360">
        <v>44744.0</v>
      </c>
      <c r="J1224" s="361">
        <v>8.99</v>
      </c>
      <c r="K1224" s="361">
        <v>1.99</v>
      </c>
      <c r="L1224" s="361">
        <v>7.0</v>
      </c>
      <c r="M1224" s="40">
        <v>50.0</v>
      </c>
      <c r="N1224" s="361">
        <v>0.04</v>
      </c>
    </row>
    <row r="1225">
      <c r="A1225" s="357" t="s">
        <v>29</v>
      </c>
      <c r="B1225" s="40"/>
      <c r="C1225" s="40">
        <v>136.0</v>
      </c>
      <c r="D1225" s="40" t="s">
        <v>1472</v>
      </c>
      <c r="E1225" s="40" t="s">
        <v>645</v>
      </c>
      <c r="F1225" s="360">
        <v>38289.0</v>
      </c>
      <c r="G1225" s="360">
        <v>40832.0</v>
      </c>
      <c r="H1225" s="360">
        <v>44744.0</v>
      </c>
      <c r="I1225" s="360">
        <v>44747.0</v>
      </c>
      <c r="J1225" s="361">
        <v>8.0</v>
      </c>
      <c r="K1225" s="361">
        <v>3.0</v>
      </c>
      <c r="L1225" s="361">
        <v>5.0</v>
      </c>
      <c r="M1225" s="40">
        <v>70.0</v>
      </c>
      <c r="N1225" s="361">
        <v>0.04</v>
      </c>
    </row>
    <row r="1226">
      <c r="A1226" s="357" t="s">
        <v>29</v>
      </c>
      <c r="B1226" s="40"/>
      <c r="C1226" s="40">
        <v>137.0</v>
      </c>
      <c r="D1226" s="40" t="s">
        <v>1480</v>
      </c>
      <c r="E1226" s="40" t="s">
        <v>645</v>
      </c>
      <c r="F1226" s="360">
        <v>38674.0</v>
      </c>
      <c r="G1226" s="360">
        <v>40832.0</v>
      </c>
      <c r="H1226" s="360">
        <v>44747.0</v>
      </c>
      <c r="I1226" s="360">
        <v>44750.0</v>
      </c>
      <c r="J1226" s="361">
        <v>8.0</v>
      </c>
      <c r="K1226" s="361">
        <v>3.0</v>
      </c>
      <c r="L1226" s="361">
        <v>5.0</v>
      </c>
      <c r="M1226" s="40">
        <v>65.0</v>
      </c>
      <c r="N1226" s="361">
        <v>0.05</v>
      </c>
    </row>
    <row r="1227">
      <c r="A1227" s="358" t="s">
        <v>29</v>
      </c>
      <c r="B1227" s="40"/>
      <c r="C1227" s="40">
        <v>264.0</v>
      </c>
      <c r="D1227" s="40" t="s">
        <v>1501</v>
      </c>
      <c r="E1227" s="40" t="s">
        <v>649</v>
      </c>
      <c r="F1227" s="360">
        <v>39962.0</v>
      </c>
      <c r="G1227" s="360">
        <v>40706.0</v>
      </c>
      <c r="H1227" s="360">
        <v>40706.0</v>
      </c>
      <c r="I1227" s="360">
        <v>44103.0</v>
      </c>
      <c r="J1227" s="361">
        <v>14.99</v>
      </c>
      <c r="K1227" s="361">
        <v>8.99</v>
      </c>
      <c r="L1227" s="361">
        <v>6.0</v>
      </c>
      <c r="M1227" s="40">
        <v>60.0</v>
      </c>
      <c r="N1227" s="361">
        <v>0.15</v>
      </c>
    </row>
    <row r="1228">
      <c r="A1228" s="358" t="s">
        <v>29</v>
      </c>
      <c r="B1228" s="40"/>
      <c r="C1228" s="40">
        <v>265.0</v>
      </c>
      <c r="D1228" s="40" t="s">
        <v>1518</v>
      </c>
      <c r="E1228" s="40" t="s">
        <v>649</v>
      </c>
      <c r="F1228" s="360">
        <v>40702.0</v>
      </c>
      <c r="G1228" s="360">
        <v>41373.0</v>
      </c>
      <c r="H1228" s="360">
        <v>41373.0</v>
      </c>
      <c r="I1228" s="360">
        <v>44113.0</v>
      </c>
      <c r="J1228" s="361">
        <v>19.99</v>
      </c>
      <c r="K1228" s="361">
        <v>8.0</v>
      </c>
      <c r="L1228" s="361">
        <v>11.99</v>
      </c>
      <c r="M1228" s="40">
        <v>70.0</v>
      </c>
      <c r="N1228" s="361">
        <v>0.11</v>
      </c>
    </row>
    <row r="1229">
      <c r="A1229" s="358" t="s">
        <v>29</v>
      </c>
      <c r="B1229" s="40"/>
      <c r="C1229" s="40">
        <v>266.0</v>
      </c>
      <c r="D1229" s="40" t="s">
        <v>1525</v>
      </c>
      <c r="E1229" s="40" t="s">
        <v>649</v>
      </c>
      <c r="F1229" s="360">
        <v>40842.0</v>
      </c>
      <c r="G1229" s="360">
        <v>41999.0</v>
      </c>
      <c r="H1229" s="360">
        <v>44113.0</v>
      </c>
      <c r="I1229" s="360">
        <v>44114.0</v>
      </c>
      <c r="J1229" s="361">
        <v>9.99</v>
      </c>
      <c r="K1229" s="361">
        <v>8.0</v>
      </c>
      <c r="L1229" s="361">
        <v>1.99</v>
      </c>
      <c r="M1229" s="40">
        <v>10.0</v>
      </c>
      <c r="N1229" s="361">
        <v>0.8</v>
      </c>
    </row>
    <row r="1230">
      <c r="A1230" s="40" t="s">
        <v>29</v>
      </c>
      <c r="B1230" s="40"/>
      <c r="C1230" s="40">
        <v>673.0</v>
      </c>
      <c r="D1230" s="40" t="s">
        <v>1584</v>
      </c>
      <c r="E1230" s="40" t="s">
        <v>33</v>
      </c>
      <c r="F1230" s="360">
        <v>41719.0</v>
      </c>
      <c r="G1230" s="360">
        <v>42700.0</v>
      </c>
      <c r="H1230" s="360">
        <v>42708.0</v>
      </c>
      <c r="I1230" s="360">
        <v>45159.0</v>
      </c>
      <c r="J1230" s="361">
        <v>25.0</v>
      </c>
      <c r="K1230" s="361">
        <v>6.99</v>
      </c>
      <c r="L1230" s="361">
        <v>18.01</v>
      </c>
      <c r="M1230" s="40">
        <v>25.0</v>
      </c>
      <c r="N1230" s="361">
        <v>0.28</v>
      </c>
    </row>
    <row r="1231">
      <c r="A1231" s="40" t="s">
        <v>29</v>
      </c>
      <c r="B1231" s="40"/>
      <c r="C1231" s="40">
        <v>674.0</v>
      </c>
      <c r="D1231" s="40" t="s">
        <v>1587</v>
      </c>
      <c r="E1231" s="40" t="s">
        <v>33</v>
      </c>
      <c r="F1231" s="360">
        <v>41878.0</v>
      </c>
      <c r="G1231" s="360">
        <v>42700.0</v>
      </c>
      <c r="H1231" s="360">
        <v>45159.0</v>
      </c>
      <c r="I1231" s="360">
        <v>45160.0</v>
      </c>
      <c r="J1231" s="361">
        <v>24.99</v>
      </c>
      <c r="K1231" s="361">
        <v>7.99</v>
      </c>
      <c r="L1231" s="361">
        <v>17.0</v>
      </c>
      <c r="M1231" s="40">
        <v>9.0</v>
      </c>
      <c r="N1231" s="361">
        <v>0.89</v>
      </c>
    </row>
    <row r="1232">
      <c r="A1232" s="40" t="s">
        <v>29</v>
      </c>
      <c r="B1232" s="40"/>
      <c r="C1232" s="40">
        <v>641.0</v>
      </c>
      <c r="D1232" s="40" t="s">
        <v>1660</v>
      </c>
      <c r="E1232" s="40" t="s">
        <v>33</v>
      </c>
      <c r="F1232" s="360">
        <v>44029.0</v>
      </c>
      <c r="G1232" s="360">
        <v>44157.0</v>
      </c>
      <c r="H1232" s="360">
        <v>44163.0</v>
      </c>
      <c r="I1232" s="360">
        <v>44175.0</v>
      </c>
      <c r="J1232" s="361">
        <v>69.99</v>
      </c>
      <c r="K1232" s="361">
        <v>49.69</v>
      </c>
      <c r="L1232" s="361">
        <v>20.3</v>
      </c>
      <c r="M1232" s="40">
        <v>74.0</v>
      </c>
      <c r="N1232" s="361">
        <v>0.67</v>
      </c>
    </row>
    <row r="1233">
      <c r="A1233" s="146"/>
      <c r="B1233" s="146"/>
      <c r="C1233" s="340"/>
      <c r="D1233" s="146"/>
      <c r="E1233" s="146"/>
      <c r="F1233" s="146"/>
      <c r="G1233" s="146"/>
      <c r="H1233" s="146"/>
      <c r="I1233" s="146"/>
      <c r="J1233" s="339">
        <f t="shared" ref="J1233:M1233" si="165">SUM(J1224:J1232)</f>
        <v>189.94</v>
      </c>
      <c r="K1233" s="339">
        <f t="shared" si="165"/>
        <v>97.65</v>
      </c>
      <c r="L1233" s="339">
        <f t="shared" si="165"/>
        <v>92.29</v>
      </c>
      <c r="M1233" s="146">
        <f t="shared" si="165"/>
        <v>433</v>
      </c>
      <c r="N1233" s="339">
        <f>K1233/M1233</f>
        <v>0.2255196305</v>
      </c>
    </row>
    <row r="1234">
      <c r="A1234" s="358" t="s">
        <v>29</v>
      </c>
      <c r="B1234" s="40" t="s">
        <v>607</v>
      </c>
      <c r="C1234" s="40">
        <v>323.0</v>
      </c>
      <c r="D1234" s="40" t="s">
        <v>1540</v>
      </c>
      <c r="E1234" s="40" t="s">
        <v>649</v>
      </c>
      <c r="F1234" s="360">
        <v>41234.0</v>
      </c>
      <c r="G1234" s="360">
        <v>41480.0</v>
      </c>
      <c r="H1234" s="360">
        <v>41480.0</v>
      </c>
      <c r="I1234" s="360">
        <v>44788.0</v>
      </c>
      <c r="J1234" s="361">
        <v>19.99</v>
      </c>
      <c r="K1234" s="361">
        <v>14.99</v>
      </c>
      <c r="L1234" s="361">
        <v>5.0</v>
      </c>
      <c r="M1234" s="40">
        <v>35.0</v>
      </c>
      <c r="N1234" s="361">
        <v>0.43</v>
      </c>
    </row>
    <row r="1235">
      <c r="A1235" s="40" t="s">
        <v>29</v>
      </c>
      <c r="B1235" s="40" t="s">
        <v>608</v>
      </c>
      <c r="C1235" s="40">
        <v>1032.0</v>
      </c>
      <c r="D1235" s="40" t="s">
        <v>1721</v>
      </c>
      <c r="E1235" s="40" t="s">
        <v>666</v>
      </c>
      <c r="F1235" s="360">
        <v>43144.0</v>
      </c>
      <c r="G1235" s="360">
        <v>43468.0</v>
      </c>
      <c r="H1235" s="360">
        <v>43468.0</v>
      </c>
      <c r="I1235" s="360">
        <v>43468.0</v>
      </c>
      <c r="J1235" s="361">
        <v>24.99</v>
      </c>
      <c r="K1235" s="361">
        <v>7.99</v>
      </c>
      <c r="L1235" s="361">
        <v>17.0</v>
      </c>
      <c r="M1235" s="40">
        <v>1.0</v>
      </c>
      <c r="N1235" s="361">
        <v>7.99</v>
      </c>
    </row>
    <row r="1236">
      <c r="A1236" s="40" t="s">
        <v>29</v>
      </c>
      <c r="B1236" s="40"/>
      <c r="C1236" s="40">
        <v>995.0</v>
      </c>
      <c r="D1236" s="40" t="s">
        <v>1727</v>
      </c>
      <c r="E1236" s="40" t="s">
        <v>666</v>
      </c>
      <c r="F1236" s="360">
        <v>43368.0</v>
      </c>
      <c r="G1236" s="360">
        <v>43548.0</v>
      </c>
      <c r="H1236" s="360">
        <v>43709.0</v>
      </c>
      <c r="I1236" s="360">
        <v>43711.0</v>
      </c>
      <c r="J1236" s="361">
        <v>24.99</v>
      </c>
      <c r="K1236" s="361">
        <v>11.99</v>
      </c>
      <c r="L1236" s="361">
        <v>13.0</v>
      </c>
      <c r="M1236" s="40">
        <v>3.0</v>
      </c>
      <c r="N1236" s="361">
        <v>4.0</v>
      </c>
    </row>
    <row r="1237">
      <c r="A1237" s="146"/>
      <c r="B1237" s="146"/>
      <c r="C1237" s="340"/>
      <c r="D1237" s="146"/>
      <c r="E1237" s="146"/>
      <c r="F1237" s="146"/>
      <c r="G1237" s="146"/>
      <c r="H1237" s="146"/>
      <c r="I1237" s="146"/>
      <c r="J1237" s="339">
        <f t="shared" ref="J1237:M1237" si="166">SUM(J1235:J1236)</f>
        <v>49.98</v>
      </c>
      <c r="K1237" s="339">
        <f t="shared" si="166"/>
        <v>19.98</v>
      </c>
      <c r="L1237" s="339">
        <f t="shared" si="166"/>
        <v>30</v>
      </c>
      <c r="M1237" s="146">
        <f t="shared" si="166"/>
        <v>4</v>
      </c>
      <c r="N1237" s="339">
        <f>K1237/M1237</f>
        <v>4.995</v>
      </c>
    </row>
    <row r="1238">
      <c r="A1238" s="40" t="s">
        <v>29</v>
      </c>
      <c r="B1238" s="40" t="s">
        <v>609</v>
      </c>
      <c r="C1238" s="40">
        <v>473.0</v>
      </c>
      <c r="D1238" s="40" t="s">
        <v>1575</v>
      </c>
      <c r="E1238" s="40" t="s">
        <v>671</v>
      </c>
      <c r="F1238" s="360">
        <v>42283.0</v>
      </c>
      <c r="G1238" s="360">
        <v>42791.0</v>
      </c>
      <c r="H1238" s="360">
        <v>42792.0</v>
      </c>
      <c r="I1238" s="360">
        <v>45055.0</v>
      </c>
      <c r="J1238" s="361">
        <v>15.99</v>
      </c>
      <c r="K1238" s="361">
        <v>5.59</v>
      </c>
      <c r="L1238" s="361">
        <v>10.4</v>
      </c>
      <c r="M1238" s="40">
        <v>5.0</v>
      </c>
      <c r="N1238" s="361">
        <v>1.12</v>
      </c>
    </row>
    <row r="1239">
      <c r="A1239" s="358" t="s">
        <v>29</v>
      </c>
      <c r="B1239" s="358"/>
      <c r="C1239" s="40">
        <v>596.0</v>
      </c>
      <c r="D1239" s="40" t="s">
        <v>1698</v>
      </c>
      <c r="E1239" s="40" t="s">
        <v>33</v>
      </c>
      <c r="F1239" s="360">
        <v>45099.0</v>
      </c>
      <c r="G1239" s="360">
        <v>45693.0</v>
      </c>
      <c r="H1239" s="360">
        <v>45693.0</v>
      </c>
      <c r="I1239" s="360">
        <v>45693.0</v>
      </c>
      <c r="J1239" s="362">
        <v>9.99</v>
      </c>
      <c r="K1239" s="362">
        <v>1.99</v>
      </c>
      <c r="L1239" s="361">
        <v>8.0</v>
      </c>
      <c r="M1239" s="40">
        <v>1.0</v>
      </c>
      <c r="N1239" s="361">
        <v>1.99</v>
      </c>
    </row>
    <row r="1240">
      <c r="A1240" s="146"/>
      <c r="B1240" s="146"/>
      <c r="C1240" s="340"/>
      <c r="D1240" s="146"/>
      <c r="E1240" s="146"/>
      <c r="F1240" s="146"/>
      <c r="G1240" s="146"/>
      <c r="H1240" s="146"/>
      <c r="I1240" s="146"/>
      <c r="J1240" s="339">
        <f t="shared" ref="J1240:M1240" si="167">SUM(J1238:J1239)</f>
        <v>25.98</v>
      </c>
      <c r="K1240" s="339">
        <f t="shared" si="167"/>
        <v>7.58</v>
      </c>
      <c r="L1240" s="339">
        <f t="shared" si="167"/>
        <v>18.4</v>
      </c>
      <c r="M1240" s="146">
        <f t="shared" si="167"/>
        <v>6</v>
      </c>
      <c r="N1240" s="339">
        <f>K1240/M1240</f>
        <v>1.263333333</v>
      </c>
    </row>
    <row r="1241">
      <c r="A1241" s="358" t="s">
        <v>29</v>
      </c>
      <c r="B1241" s="358" t="s">
        <v>610</v>
      </c>
      <c r="C1241" s="40">
        <v>591.0</v>
      </c>
      <c r="D1241" s="40" t="s">
        <v>1682</v>
      </c>
      <c r="E1241" s="362" t="s">
        <v>33</v>
      </c>
      <c r="F1241" s="360">
        <v>44377.0</v>
      </c>
      <c r="G1241" s="360">
        <v>45595.0</v>
      </c>
      <c r="H1241" s="360">
        <v>45644.0</v>
      </c>
      <c r="I1241" s="360">
        <v>45644.0</v>
      </c>
      <c r="J1241" s="362">
        <v>12.49</v>
      </c>
      <c r="K1241" s="362">
        <v>0.0</v>
      </c>
      <c r="L1241" s="362">
        <v>12.49</v>
      </c>
      <c r="M1241" s="40">
        <v>2.0</v>
      </c>
      <c r="N1241" s="361">
        <v>0.0</v>
      </c>
    </row>
    <row r="1242">
      <c r="A1242" s="358" t="s">
        <v>29</v>
      </c>
      <c r="B1242" s="40" t="s">
        <v>611</v>
      </c>
      <c r="C1242" s="40">
        <v>354.0</v>
      </c>
      <c r="D1242" s="40" t="s">
        <v>1510</v>
      </c>
      <c r="E1242" s="40" t="s">
        <v>649</v>
      </c>
      <c r="F1242" s="360">
        <v>40283.0</v>
      </c>
      <c r="G1242" s="360">
        <v>44832.0</v>
      </c>
      <c r="H1242" s="360">
        <v>44832.0</v>
      </c>
      <c r="I1242" s="360">
        <v>44832.0</v>
      </c>
      <c r="J1242" s="361">
        <v>24.99</v>
      </c>
      <c r="K1242" s="361">
        <v>24.99</v>
      </c>
      <c r="L1242" s="362">
        <v>0.0</v>
      </c>
      <c r="M1242" s="40">
        <v>1.0</v>
      </c>
      <c r="N1242" s="361">
        <v>24.99</v>
      </c>
    </row>
    <row r="1243">
      <c r="A1243" s="358" t="s">
        <v>29</v>
      </c>
      <c r="B1243" s="40"/>
      <c r="C1243" s="40">
        <v>187.0</v>
      </c>
      <c r="D1243" s="40" t="s">
        <v>1515</v>
      </c>
      <c r="E1243" s="40" t="s">
        <v>649</v>
      </c>
      <c r="F1243" s="360">
        <v>40563.0</v>
      </c>
      <c r="G1243" s="360">
        <v>41366.0</v>
      </c>
      <c r="H1243" s="360">
        <v>41366.0</v>
      </c>
      <c r="I1243" s="360">
        <v>41368.0</v>
      </c>
      <c r="J1243" s="361">
        <v>12.98</v>
      </c>
      <c r="K1243" s="361">
        <v>12.98</v>
      </c>
      <c r="L1243" s="362">
        <v>0.0</v>
      </c>
      <c r="M1243" s="40">
        <v>3.0</v>
      </c>
      <c r="N1243" s="361">
        <v>4.33</v>
      </c>
    </row>
    <row r="1244">
      <c r="A1244" s="358" t="s">
        <v>29</v>
      </c>
      <c r="B1244" s="40"/>
      <c r="C1244" s="40">
        <v>353.0</v>
      </c>
      <c r="D1244" s="40" t="s">
        <v>1522</v>
      </c>
      <c r="E1244" s="40" t="s">
        <v>649</v>
      </c>
      <c r="F1244" s="360">
        <v>40834.0</v>
      </c>
      <c r="G1244" s="360">
        <v>44836.0</v>
      </c>
      <c r="H1244" s="360">
        <v>44836.0</v>
      </c>
      <c r="I1244" s="360">
        <v>44836.0</v>
      </c>
      <c r="J1244" s="361">
        <v>19.99</v>
      </c>
      <c r="K1244" s="361">
        <v>14.99</v>
      </c>
      <c r="L1244" s="362">
        <v>5.0</v>
      </c>
      <c r="M1244" s="40">
        <v>1.0</v>
      </c>
      <c r="N1244" s="361">
        <v>14.99</v>
      </c>
    </row>
    <row r="1245">
      <c r="A1245" s="358" t="s">
        <v>29</v>
      </c>
      <c r="B1245" s="40"/>
      <c r="C1245" s="40">
        <v>398.0</v>
      </c>
      <c r="D1245" s="40" t="s">
        <v>1532</v>
      </c>
      <c r="E1245" s="40" t="s">
        <v>649</v>
      </c>
      <c r="F1245" s="360">
        <v>41024.0</v>
      </c>
      <c r="G1245" s="360">
        <v>42363.0</v>
      </c>
      <c r="H1245" s="360">
        <v>42364.0</v>
      </c>
      <c r="I1245" s="360">
        <v>42664.0</v>
      </c>
      <c r="J1245" s="361">
        <v>14.99</v>
      </c>
      <c r="K1245" s="361">
        <v>5.99</v>
      </c>
      <c r="L1245" s="362">
        <v>9.0</v>
      </c>
      <c r="M1245" s="40">
        <v>30.0</v>
      </c>
      <c r="N1245" s="361">
        <v>0.2</v>
      </c>
    </row>
    <row r="1246">
      <c r="A1246" s="358" t="s">
        <v>29</v>
      </c>
      <c r="B1246" s="40"/>
      <c r="C1246" s="40">
        <v>400.0</v>
      </c>
      <c r="D1246" s="40" t="s">
        <v>1556</v>
      </c>
      <c r="E1246" s="40" t="s">
        <v>649</v>
      </c>
      <c r="F1246" s="360">
        <v>41563.0</v>
      </c>
      <c r="G1246" s="360">
        <v>42810.0</v>
      </c>
      <c r="H1246" s="360">
        <v>42810.0</v>
      </c>
      <c r="I1246" s="360">
        <v>44854.0</v>
      </c>
      <c r="J1246" s="361">
        <v>14.99</v>
      </c>
      <c r="K1246" s="361">
        <v>14.99</v>
      </c>
      <c r="L1246" s="362">
        <v>0.0</v>
      </c>
      <c r="M1246" s="40">
        <v>18.0</v>
      </c>
      <c r="N1246" s="361">
        <v>0.83</v>
      </c>
    </row>
    <row r="1247">
      <c r="A1247" s="358" t="s">
        <v>29</v>
      </c>
      <c r="B1247" s="40"/>
      <c r="C1247" s="40">
        <v>399.0</v>
      </c>
      <c r="D1247" s="40" t="s">
        <v>1559</v>
      </c>
      <c r="E1247" s="40" t="s">
        <v>649</v>
      </c>
      <c r="F1247" s="360">
        <v>41626.0</v>
      </c>
      <c r="G1247" s="360">
        <v>42664.0</v>
      </c>
      <c r="H1247" s="360">
        <v>42665.0</v>
      </c>
      <c r="I1247" s="360">
        <v>42668.0</v>
      </c>
      <c r="J1247" s="361">
        <v>14.99</v>
      </c>
      <c r="K1247" s="361">
        <v>14.99</v>
      </c>
      <c r="L1247" s="362">
        <v>0.0</v>
      </c>
      <c r="M1247" s="40">
        <v>8.0</v>
      </c>
      <c r="N1247" s="361">
        <v>1.87</v>
      </c>
    </row>
    <row r="1248">
      <c r="A1248" s="358" t="s">
        <v>29</v>
      </c>
      <c r="B1248" s="40"/>
      <c r="C1248" s="40">
        <v>378.0</v>
      </c>
      <c r="D1248" s="40" t="s">
        <v>1562</v>
      </c>
      <c r="E1248" s="40" t="s">
        <v>649</v>
      </c>
      <c r="F1248" s="360">
        <v>41976.0</v>
      </c>
      <c r="G1248" s="360">
        <v>42095.0</v>
      </c>
      <c r="H1248" s="360">
        <v>42095.0</v>
      </c>
      <c r="I1248" s="360">
        <v>43316.0</v>
      </c>
      <c r="J1248" s="361">
        <v>29.98</v>
      </c>
      <c r="K1248" s="361">
        <v>29.98</v>
      </c>
      <c r="L1248" s="362">
        <v>0.0</v>
      </c>
      <c r="M1248" s="40">
        <v>40.0</v>
      </c>
      <c r="N1248" s="361">
        <v>0.75</v>
      </c>
    </row>
    <row r="1249">
      <c r="A1249" s="40" t="s">
        <v>29</v>
      </c>
      <c r="B1249" s="40"/>
      <c r="C1249" s="40">
        <v>637.0</v>
      </c>
      <c r="D1249" s="40" t="s">
        <v>1588</v>
      </c>
      <c r="E1249" s="40" t="s">
        <v>33</v>
      </c>
      <c r="F1249" s="360">
        <v>41976.0</v>
      </c>
      <c r="G1249" s="360">
        <v>42834.0</v>
      </c>
      <c r="H1249" s="360">
        <v>42834.0</v>
      </c>
      <c r="I1249" s="360">
        <v>43021.0</v>
      </c>
      <c r="J1249" s="361">
        <v>14.99</v>
      </c>
      <c r="K1249" s="361">
        <v>14.99</v>
      </c>
      <c r="L1249" s="362">
        <v>0.0</v>
      </c>
      <c r="M1249" s="40">
        <v>30.0</v>
      </c>
      <c r="N1249" s="361">
        <v>0.5</v>
      </c>
    </row>
    <row r="1250">
      <c r="A1250" s="40" t="s">
        <v>29</v>
      </c>
      <c r="B1250" s="40"/>
      <c r="C1250" s="40">
        <v>521.0</v>
      </c>
      <c r="D1250" s="40" t="s">
        <v>1605</v>
      </c>
      <c r="E1250" s="40" t="s">
        <v>33</v>
      </c>
      <c r="F1250" s="360">
        <v>42584.0</v>
      </c>
      <c r="G1250" s="360">
        <v>42700.0</v>
      </c>
      <c r="H1250" s="360">
        <v>42715.0</v>
      </c>
      <c r="I1250" s="360">
        <v>42822.0</v>
      </c>
      <c r="J1250" s="361">
        <v>19.99</v>
      </c>
      <c r="K1250" s="361">
        <v>19.99</v>
      </c>
      <c r="L1250" s="362">
        <v>0.0</v>
      </c>
      <c r="M1250" s="40">
        <v>21.0</v>
      </c>
      <c r="N1250" s="361">
        <v>0.95</v>
      </c>
    </row>
    <row r="1251">
      <c r="A1251" s="40" t="s">
        <v>29</v>
      </c>
      <c r="B1251" s="40"/>
      <c r="C1251" s="40">
        <v>927.0</v>
      </c>
      <c r="D1251" s="40" t="s">
        <v>1612</v>
      </c>
      <c r="E1251" s="40" t="s">
        <v>33</v>
      </c>
      <c r="F1251" s="360">
        <v>42724.0</v>
      </c>
      <c r="G1251" s="360">
        <v>43377.0</v>
      </c>
      <c r="H1251" s="360">
        <v>44842.0</v>
      </c>
      <c r="I1251" s="360">
        <v>44845.0</v>
      </c>
      <c r="J1251" s="361">
        <v>29.99</v>
      </c>
      <c r="K1251" s="361">
        <v>29.99</v>
      </c>
      <c r="L1251" s="362">
        <v>0.0</v>
      </c>
      <c r="M1251" s="40">
        <v>6.0</v>
      </c>
      <c r="N1251" s="361">
        <v>5.0</v>
      </c>
    </row>
    <row r="1252">
      <c r="A1252" s="40" t="s">
        <v>29</v>
      </c>
      <c r="B1252" s="40"/>
      <c r="C1252" s="40">
        <v>725.0</v>
      </c>
      <c r="D1252" s="40" t="s">
        <v>1614</v>
      </c>
      <c r="E1252" s="40" t="s">
        <v>33</v>
      </c>
      <c r="F1252" s="360">
        <v>42843.0</v>
      </c>
      <c r="G1252" s="360">
        <v>42969.0</v>
      </c>
      <c r="H1252" s="360">
        <v>42994.0</v>
      </c>
      <c r="I1252" s="360">
        <v>44395.0</v>
      </c>
      <c r="J1252" s="361">
        <v>14.99</v>
      </c>
      <c r="K1252" s="361">
        <v>14.99</v>
      </c>
      <c r="L1252" s="362">
        <v>0.0</v>
      </c>
      <c r="M1252" s="40">
        <v>9.0</v>
      </c>
      <c r="N1252" s="361">
        <v>1.67</v>
      </c>
    </row>
    <row r="1253">
      <c r="A1253" s="40" t="s">
        <v>29</v>
      </c>
      <c r="B1253" s="40"/>
      <c r="C1253" s="40">
        <v>522.0</v>
      </c>
      <c r="D1253" s="40" t="s">
        <v>1621</v>
      </c>
      <c r="E1253" s="40" t="s">
        <v>33</v>
      </c>
      <c r="F1253" s="360">
        <v>42955.0</v>
      </c>
      <c r="G1253" s="360">
        <v>43421.0</v>
      </c>
      <c r="H1253" s="360">
        <v>43460.0</v>
      </c>
      <c r="I1253" s="360">
        <v>44033.0</v>
      </c>
      <c r="J1253" s="361">
        <v>14.99</v>
      </c>
      <c r="K1253" s="361">
        <v>14.99</v>
      </c>
      <c r="L1253" s="362">
        <v>0.0</v>
      </c>
      <c r="M1253" s="40">
        <v>10.0</v>
      </c>
      <c r="N1253" s="361">
        <v>1.5</v>
      </c>
    </row>
    <row r="1254">
      <c r="A1254" s="40" t="s">
        <v>29</v>
      </c>
      <c r="B1254" s="40"/>
      <c r="C1254" s="40">
        <v>928.0</v>
      </c>
      <c r="D1254" s="40" t="s">
        <v>1629</v>
      </c>
      <c r="E1254" s="40" t="s">
        <v>33</v>
      </c>
      <c r="F1254" s="360">
        <v>43326.0</v>
      </c>
      <c r="G1254" s="360">
        <v>43824.0</v>
      </c>
      <c r="H1254" s="360">
        <v>44847.0</v>
      </c>
      <c r="I1254" s="360">
        <v>44850.0</v>
      </c>
      <c r="J1254" s="361">
        <v>23.99</v>
      </c>
      <c r="K1254" s="361">
        <v>23.99</v>
      </c>
      <c r="L1254" s="362">
        <v>0.0</v>
      </c>
      <c r="M1254" s="40">
        <v>20.0</v>
      </c>
      <c r="N1254" s="361">
        <v>1.2</v>
      </c>
    </row>
    <row r="1255">
      <c r="A1255" s="40" t="s">
        <v>29</v>
      </c>
      <c r="B1255" s="40"/>
      <c r="C1255" s="40">
        <v>827.0</v>
      </c>
      <c r="D1255" s="40" t="s">
        <v>1692</v>
      </c>
      <c r="E1255" s="40" t="s">
        <v>33</v>
      </c>
      <c r="F1255" s="360">
        <v>44833.0</v>
      </c>
      <c r="G1255" s="360">
        <v>44836.0</v>
      </c>
      <c r="H1255" s="360">
        <v>44836.0</v>
      </c>
      <c r="I1255" s="360">
        <v>44836.0</v>
      </c>
      <c r="J1255" s="361">
        <v>19.99</v>
      </c>
      <c r="K1255" s="361">
        <v>14.99</v>
      </c>
      <c r="L1255" s="362">
        <v>5.0</v>
      </c>
      <c r="M1255" s="40">
        <v>1.0</v>
      </c>
      <c r="N1255" s="361">
        <v>14.99</v>
      </c>
    </row>
    <row r="1256">
      <c r="A1256" s="146"/>
      <c r="B1256" s="146"/>
      <c r="C1256" s="340"/>
      <c r="D1256" s="146"/>
      <c r="E1256" s="146"/>
      <c r="F1256" s="146"/>
      <c r="G1256" s="146"/>
      <c r="H1256" s="146"/>
      <c r="I1256" s="146"/>
      <c r="J1256" s="339">
        <f t="shared" ref="J1256:M1256" si="168">SUM(J1242:J1255)</f>
        <v>271.84</v>
      </c>
      <c r="K1256" s="339">
        <f t="shared" si="168"/>
        <v>252.84</v>
      </c>
      <c r="L1256" s="339">
        <f t="shared" si="168"/>
        <v>19</v>
      </c>
      <c r="M1256" s="146">
        <f t="shared" si="168"/>
        <v>198</v>
      </c>
      <c r="N1256" s="339">
        <f>K1256/M1256</f>
        <v>1.276969697</v>
      </c>
    </row>
    <row r="1257">
      <c r="A1257" s="357" t="s">
        <v>29</v>
      </c>
      <c r="B1257" s="40" t="s">
        <v>612</v>
      </c>
      <c r="C1257" s="40">
        <v>79.0</v>
      </c>
      <c r="D1257" s="40" t="s">
        <v>1468</v>
      </c>
      <c r="E1257" s="40" t="s">
        <v>645</v>
      </c>
      <c r="F1257" s="360">
        <v>37743.0</v>
      </c>
      <c r="G1257" s="360">
        <v>44640.0</v>
      </c>
      <c r="H1257" s="360">
        <v>44838.0</v>
      </c>
      <c r="I1257" s="360">
        <v>44851.0</v>
      </c>
      <c r="J1257" s="361">
        <v>19.99</v>
      </c>
      <c r="K1257" s="361">
        <v>13.99</v>
      </c>
      <c r="L1257" s="361">
        <v>6.0</v>
      </c>
      <c r="M1257" s="40">
        <v>9.0</v>
      </c>
      <c r="N1257" s="361">
        <v>1.55</v>
      </c>
    </row>
    <row r="1258">
      <c r="A1258" s="357" t="s">
        <v>29</v>
      </c>
      <c r="B1258" s="40"/>
      <c r="C1258" s="40">
        <v>80.0</v>
      </c>
      <c r="D1258" s="40" t="s">
        <v>1482</v>
      </c>
      <c r="E1258" s="40" t="s">
        <v>645</v>
      </c>
      <c r="F1258" s="360">
        <v>38765.0</v>
      </c>
      <c r="G1258" s="360">
        <v>44640.0</v>
      </c>
      <c r="H1258" s="360">
        <v>44851.0</v>
      </c>
      <c r="I1258" s="360">
        <v>44852.0</v>
      </c>
      <c r="J1258" s="361">
        <v>19.99</v>
      </c>
      <c r="K1258" s="361">
        <v>13.99</v>
      </c>
      <c r="L1258" s="361">
        <v>6.0</v>
      </c>
      <c r="M1258" s="40">
        <v>2.0</v>
      </c>
      <c r="N1258" s="361">
        <v>7.0</v>
      </c>
    </row>
    <row r="1259">
      <c r="A1259" s="146"/>
      <c r="B1259" s="146"/>
      <c r="C1259" s="340"/>
      <c r="D1259" s="146"/>
      <c r="E1259" s="146"/>
      <c r="F1259" s="146"/>
      <c r="G1259" s="146"/>
      <c r="H1259" s="146"/>
      <c r="I1259" s="146"/>
      <c r="J1259" s="339">
        <f t="shared" ref="J1259:M1259" si="169">SUM(J1257:J1258)</f>
        <v>39.98</v>
      </c>
      <c r="K1259" s="339">
        <f t="shared" si="169"/>
        <v>27.98</v>
      </c>
      <c r="L1259" s="339">
        <f t="shared" si="169"/>
        <v>12</v>
      </c>
      <c r="M1259" s="146">
        <f t="shared" si="169"/>
        <v>11</v>
      </c>
      <c r="N1259" s="339">
        <f>K1259/M1259</f>
        <v>2.543636364</v>
      </c>
    </row>
    <row r="1260">
      <c r="A1260" s="40" t="s">
        <v>29</v>
      </c>
      <c r="B1260" s="40" t="s">
        <v>613</v>
      </c>
      <c r="C1260" s="40">
        <v>774.0</v>
      </c>
      <c r="D1260" s="40" t="s">
        <v>1703</v>
      </c>
      <c r="E1260" s="40" t="s">
        <v>33</v>
      </c>
      <c r="F1260" s="360">
        <v>45181.0</v>
      </c>
      <c r="G1260" s="360">
        <v>45181.0</v>
      </c>
      <c r="H1260" s="360">
        <v>45181.0</v>
      </c>
      <c r="I1260" s="360">
        <v>45182.0</v>
      </c>
      <c r="J1260" s="361">
        <v>14.99</v>
      </c>
      <c r="K1260" s="361">
        <v>0.0</v>
      </c>
      <c r="L1260" s="361">
        <v>14.99</v>
      </c>
      <c r="M1260" s="40">
        <v>2.0</v>
      </c>
      <c r="N1260" s="361">
        <v>0.0</v>
      </c>
    </row>
    <row r="1261">
      <c r="A1261" s="358" t="s">
        <v>29</v>
      </c>
      <c r="B1261" s="40" t="s">
        <v>614</v>
      </c>
      <c r="C1261" s="40">
        <v>249.0</v>
      </c>
      <c r="D1261" s="40" t="s">
        <v>1491</v>
      </c>
      <c r="E1261" s="40" t="s">
        <v>649</v>
      </c>
      <c r="F1261" s="360">
        <v>39164.0</v>
      </c>
      <c r="G1261" s="360">
        <v>42925.0</v>
      </c>
      <c r="H1261" s="360">
        <v>43684.0</v>
      </c>
      <c r="I1261" s="360">
        <v>43684.0</v>
      </c>
      <c r="J1261" s="361">
        <v>4.99</v>
      </c>
      <c r="K1261" s="361">
        <v>1.99</v>
      </c>
      <c r="L1261" s="361">
        <v>3.0</v>
      </c>
      <c r="M1261" s="40">
        <v>1.0</v>
      </c>
      <c r="N1261" s="361">
        <v>1.99</v>
      </c>
    </row>
    <row r="1262">
      <c r="A1262" s="358" t="s">
        <v>29</v>
      </c>
      <c r="B1262" s="40"/>
      <c r="C1262" s="40">
        <v>250.0</v>
      </c>
      <c r="D1262" s="40" t="s">
        <v>1500</v>
      </c>
      <c r="E1262" s="40" t="s">
        <v>649</v>
      </c>
      <c r="F1262" s="360">
        <v>39856.0</v>
      </c>
      <c r="G1262" s="360">
        <v>42925.0</v>
      </c>
      <c r="H1262" s="360">
        <v>42925.0</v>
      </c>
      <c r="I1262" s="360">
        <v>42925.0</v>
      </c>
      <c r="J1262" s="361">
        <v>7.99</v>
      </c>
      <c r="K1262" s="361">
        <v>1.99</v>
      </c>
      <c r="L1262" s="361">
        <v>6.0</v>
      </c>
      <c r="M1262" s="40">
        <v>1.0</v>
      </c>
      <c r="N1262" s="361">
        <v>1.99</v>
      </c>
    </row>
    <row r="1263">
      <c r="A1263" s="358" t="s">
        <v>29</v>
      </c>
      <c r="B1263" s="40"/>
      <c r="C1263" s="40">
        <v>271.0</v>
      </c>
      <c r="D1263" s="40" t="s">
        <v>1530</v>
      </c>
      <c r="E1263" s="40" t="s">
        <v>649</v>
      </c>
      <c r="F1263" s="360">
        <v>40982.0</v>
      </c>
      <c r="G1263" s="360">
        <v>42925.0</v>
      </c>
      <c r="H1263" s="360">
        <v>42925.0</v>
      </c>
      <c r="I1263" s="360">
        <v>42925.0</v>
      </c>
      <c r="J1263" s="361">
        <v>14.99</v>
      </c>
      <c r="K1263" s="361">
        <v>14.99</v>
      </c>
      <c r="L1263" s="361">
        <v>0.0</v>
      </c>
      <c r="M1263" s="40">
        <v>1.0</v>
      </c>
      <c r="N1263" s="361">
        <v>14.99</v>
      </c>
    </row>
    <row r="1264">
      <c r="A1264" s="146"/>
      <c r="B1264" s="146"/>
      <c r="C1264" s="340"/>
      <c r="D1264" s="146"/>
      <c r="E1264" s="146"/>
      <c r="F1264" s="146"/>
      <c r="G1264" s="146"/>
      <c r="H1264" s="146"/>
      <c r="I1264" s="146"/>
      <c r="J1264" s="339">
        <f t="shared" ref="J1264:M1264" si="170">SUM(J1261:J1263)</f>
        <v>27.97</v>
      </c>
      <c r="K1264" s="339">
        <f t="shared" si="170"/>
        <v>18.97</v>
      </c>
      <c r="L1264" s="339">
        <f t="shared" si="170"/>
        <v>9</v>
      </c>
      <c r="M1264" s="146">
        <f t="shared" si="170"/>
        <v>3</v>
      </c>
      <c r="N1264" s="339">
        <f>K1264/M1264</f>
        <v>6.323333333</v>
      </c>
    </row>
    <row r="1265">
      <c r="A1265" s="358" t="s">
        <v>29</v>
      </c>
      <c r="B1265" s="40" t="s">
        <v>615</v>
      </c>
      <c r="C1265" s="40">
        <v>209.0</v>
      </c>
      <c r="D1265" s="40" t="s">
        <v>1514</v>
      </c>
      <c r="E1265" s="40" t="s">
        <v>649</v>
      </c>
      <c r="F1265" s="360">
        <v>40485.0</v>
      </c>
      <c r="G1265" s="360">
        <v>41776.0</v>
      </c>
      <c r="H1265" s="360">
        <v>41776.0</v>
      </c>
      <c r="I1265" s="360">
        <v>43730.0</v>
      </c>
      <c r="J1265" s="361">
        <v>30.98</v>
      </c>
      <c r="K1265" s="361">
        <v>30.98</v>
      </c>
      <c r="L1265" s="361">
        <v>0.0</v>
      </c>
      <c r="M1265" s="40">
        <v>4.0</v>
      </c>
      <c r="N1265" s="361">
        <v>7.75</v>
      </c>
    </row>
    <row r="1266">
      <c r="A1266" s="40" t="s">
        <v>29</v>
      </c>
      <c r="B1266" s="40" t="s">
        <v>616</v>
      </c>
      <c r="C1266" s="40">
        <v>913.0</v>
      </c>
      <c r="D1266" s="40" t="s">
        <v>1613</v>
      </c>
      <c r="E1266" s="40" t="s">
        <v>33</v>
      </c>
      <c r="F1266" s="360">
        <v>42752.0</v>
      </c>
      <c r="G1266" s="360">
        <v>43964.0</v>
      </c>
      <c r="H1266" s="360">
        <v>44039.0</v>
      </c>
      <c r="I1266" s="360">
        <v>44041.0</v>
      </c>
      <c r="J1266" s="361">
        <v>14.99</v>
      </c>
      <c r="K1266" s="361">
        <v>4.49</v>
      </c>
      <c r="L1266" s="361">
        <v>10.5</v>
      </c>
      <c r="M1266" s="40">
        <v>9.0</v>
      </c>
      <c r="N1266" s="361">
        <v>0.5</v>
      </c>
    </row>
    <row r="1267">
      <c r="A1267" s="40" t="s">
        <v>29</v>
      </c>
      <c r="B1267" s="40" t="s">
        <v>617</v>
      </c>
      <c r="C1267" s="40">
        <v>999.0</v>
      </c>
      <c r="D1267" s="40" t="s">
        <v>1723</v>
      </c>
      <c r="E1267" s="40" t="s">
        <v>666</v>
      </c>
      <c r="F1267" s="360">
        <v>43165.0</v>
      </c>
      <c r="G1267" s="360">
        <v>43564.0</v>
      </c>
      <c r="H1267" s="360">
        <v>43565.0</v>
      </c>
      <c r="I1267" s="360">
        <v>44041.0</v>
      </c>
      <c r="J1267" s="361">
        <v>17.99</v>
      </c>
      <c r="K1267" s="361">
        <v>7.99</v>
      </c>
      <c r="L1267" s="361">
        <v>10.0</v>
      </c>
      <c r="M1267" s="40">
        <v>1.0</v>
      </c>
      <c r="N1267" s="361">
        <v>7.99</v>
      </c>
    </row>
    <row r="1268">
      <c r="A1268" s="40" t="s">
        <v>29</v>
      </c>
      <c r="B1268" s="40" t="s">
        <v>618</v>
      </c>
      <c r="C1268" s="40">
        <v>930.0</v>
      </c>
      <c r="D1268" s="40" t="s">
        <v>1596</v>
      </c>
      <c r="E1268" s="40" t="s">
        <v>33</v>
      </c>
      <c r="F1268" s="360">
        <v>42395.0</v>
      </c>
      <c r="G1268" s="360">
        <v>42951.0</v>
      </c>
      <c r="H1268" s="360">
        <v>42951.0</v>
      </c>
      <c r="I1268" s="360">
        <v>42951.0</v>
      </c>
      <c r="J1268" s="361">
        <v>36.99</v>
      </c>
      <c r="K1268" s="361">
        <v>8.44</v>
      </c>
      <c r="L1268" s="361">
        <v>28.55</v>
      </c>
      <c r="M1268" s="40">
        <v>1.0</v>
      </c>
      <c r="N1268" s="361">
        <v>8.44</v>
      </c>
    </row>
    <row r="1269">
      <c r="A1269" s="40" t="s">
        <v>29</v>
      </c>
      <c r="B1269" s="40" t="s">
        <v>619</v>
      </c>
      <c r="C1269" s="40">
        <v>520.0</v>
      </c>
      <c r="D1269" s="40" t="s">
        <v>1683</v>
      </c>
      <c r="E1269" s="40" t="s">
        <v>33</v>
      </c>
      <c r="F1269" s="360">
        <v>44419.0</v>
      </c>
      <c r="G1269" s="360">
        <v>44929.0</v>
      </c>
      <c r="H1269" s="360">
        <v>44929.0</v>
      </c>
      <c r="I1269" s="360">
        <v>44929.0</v>
      </c>
      <c r="J1269" s="361">
        <v>17.99</v>
      </c>
      <c r="K1269" s="361">
        <v>0.0</v>
      </c>
      <c r="L1269" s="361">
        <v>17.99</v>
      </c>
      <c r="M1269" s="40">
        <v>1.0</v>
      </c>
      <c r="N1269" s="361">
        <v>0.0</v>
      </c>
    </row>
    <row r="1270">
      <c r="A1270" s="358" t="s">
        <v>29</v>
      </c>
      <c r="B1270" s="40" t="s">
        <v>620</v>
      </c>
      <c r="C1270" s="40">
        <v>238.0</v>
      </c>
      <c r="D1270" s="40" t="s">
        <v>1503</v>
      </c>
      <c r="E1270" s="40" t="s">
        <v>649</v>
      </c>
      <c r="F1270" s="360">
        <v>40024.0</v>
      </c>
      <c r="G1270" s="360">
        <v>41404.0</v>
      </c>
      <c r="H1270" s="360">
        <v>41404.0</v>
      </c>
      <c r="I1270" s="360">
        <v>41408.0</v>
      </c>
      <c r="J1270" s="361">
        <v>9.99</v>
      </c>
      <c r="K1270" s="361">
        <v>9.99</v>
      </c>
      <c r="L1270" s="361">
        <v>0.0</v>
      </c>
      <c r="M1270" s="40">
        <v>10.0</v>
      </c>
      <c r="N1270" s="361">
        <v>1.0</v>
      </c>
    </row>
    <row r="1271">
      <c r="A1271" s="40" t="s">
        <v>29</v>
      </c>
      <c r="B1271" s="40" t="s">
        <v>621</v>
      </c>
      <c r="C1271" s="40">
        <v>488.0</v>
      </c>
      <c r="D1271" s="40" t="s">
        <v>1582</v>
      </c>
      <c r="E1271" s="40" t="s">
        <v>671</v>
      </c>
      <c r="F1271" s="360">
        <v>42962.0</v>
      </c>
      <c r="G1271" s="360">
        <v>43091.0</v>
      </c>
      <c r="H1271" s="360">
        <v>43091.0</v>
      </c>
      <c r="I1271" s="360">
        <v>43091.0</v>
      </c>
      <c r="J1271" s="361">
        <v>14.99</v>
      </c>
      <c r="K1271" s="361">
        <v>8.99</v>
      </c>
      <c r="L1271" s="361">
        <v>6.0</v>
      </c>
      <c r="M1271" s="40">
        <v>1.0</v>
      </c>
      <c r="N1271" s="361">
        <v>8.99</v>
      </c>
    </row>
    <row r="1272">
      <c r="A1272" s="40" t="s">
        <v>29</v>
      </c>
      <c r="B1272" s="40" t="s">
        <v>622</v>
      </c>
      <c r="C1272" s="40">
        <v>853.0</v>
      </c>
      <c r="D1272" s="362" t="s">
        <v>1638</v>
      </c>
      <c r="E1272" s="362" t="s">
        <v>33</v>
      </c>
      <c r="F1272" s="360">
        <v>43417.0</v>
      </c>
      <c r="G1272" s="360">
        <v>43341.0</v>
      </c>
      <c r="H1272" s="360">
        <v>43417.0</v>
      </c>
      <c r="I1272" s="360">
        <v>43418.0</v>
      </c>
      <c r="J1272" s="361">
        <v>13.33</v>
      </c>
      <c r="K1272" s="361">
        <v>13.33</v>
      </c>
      <c r="L1272" s="361">
        <v>0.0</v>
      </c>
      <c r="M1272" s="40">
        <v>10.0</v>
      </c>
      <c r="N1272" s="361">
        <v>1.33</v>
      </c>
    </row>
    <row r="1273">
      <c r="A1273" s="40" t="s">
        <v>29</v>
      </c>
      <c r="B1273" s="40"/>
      <c r="C1273" s="40">
        <v>854.0</v>
      </c>
      <c r="D1273" s="362" t="s">
        <v>1639</v>
      </c>
      <c r="E1273" s="362" t="s">
        <v>33</v>
      </c>
      <c r="F1273" s="360">
        <v>43417.0</v>
      </c>
      <c r="G1273" s="360">
        <v>43341.0</v>
      </c>
      <c r="H1273" s="360">
        <v>43418.0</v>
      </c>
      <c r="I1273" s="360">
        <v>43423.0</v>
      </c>
      <c r="J1273" s="361">
        <v>13.33</v>
      </c>
      <c r="K1273" s="361">
        <v>13.33</v>
      </c>
      <c r="L1273" s="361">
        <v>0.0</v>
      </c>
      <c r="M1273" s="40">
        <v>10.0</v>
      </c>
      <c r="N1273" s="361">
        <v>1.33</v>
      </c>
    </row>
    <row r="1274">
      <c r="A1274" s="40" t="s">
        <v>29</v>
      </c>
      <c r="B1274" s="40"/>
      <c r="C1274" s="40">
        <v>855.0</v>
      </c>
      <c r="D1274" s="362" t="s">
        <v>1640</v>
      </c>
      <c r="E1274" s="362" t="s">
        <v>33</v>
      </c>
      <c r="F1274" s="360">
        <v>43417.0</v>
      </c>
      <c r="G1274" s="360">
        <v>43341.0</v>
      </c>
      <c r="H1274" s="360">
        <v>43421.0</v>
      </c>
      <c r="I1274" s="360">
        <v>43423.0</v>
      </c>
      <c r="J1274" s="361">
        <v>13.33</v>
      </c>
      <c r="K1274" s="361">
        <v>13.33</v>
      </c>
      <c r="L1274" s="361">
        <v>0.0</v>
      </c>
      <c r="M1274" s="40">
        <v>11.0</v>
      </c>
      <c r="N1274" s="361">
        <v>1.21</v>
      </c>
    </row>
    <row r="1275">
      <c r="A1275" s="40" t="s">
        <v>29</v>
      </c>
      <c r="B1275" s="40"/>
      <c r="C1275" s="40">
        <v>561.0</v>
      </c>
      <c r="D1275" s="362" t="s">
        <v>1669</v>
      </c>
      <c r="E1275" s="362" t="s">
        <v>33</v>
      </c>
      <c r="F1275" s="360">
        <v>44106.0</v>
      </c>
      <c r="G1275" s="360">
        <v>44083.0</v>
      </c>
      <c r="H1275" s="360">
        <v>44106.0</v>
      </c>
      <c r="I1275" s="360">
        <v>44338.0</v>
      </c>
      <c r="J1275" s="361">
        <v>69.99</v>
      </c>
      <c r="K1275" s="361">
        <v>0.0</v>
      </c>
      <c r="L1275" s="361">
        <v>69.99</v>
      </c>
      <c r="M1275" s="40">
        <v>46.0</v>
      </c>
      <c r="N1275" s="361">
        <v>0.0</v>
      </c>
    </row>
    <row r="1276">
      <c r="A1276" s="146"/>
      <c r="B1276" s="146"/>
      <c r="C1276" s="340"/>
      <c r="D1276" s="146"/>
      <c r="E1276" s="146"/>
      <c r="F1276" s="146"/>
      <c r="G1276" s="146"/>
      <c r="H1276" s="146"/>
      <c r="I1276" s="146"/>
      <c r="J1276" s="339">
        <f t="shared" ref="J1276:M1276" si="171">SUM(J1272:J1275)</f>
        <v>109.98</v>
      </c>
      <c r="K1276" s="339">
        <f t="shared" si="171"/>
        <v>39.99</v>
      </c>
      <c r="L1276" s="339">
        <f t="shared" si="171"/>
        <v>69.99</v>
      </c>
      <c r="M1276" s="146">
        <f t="shared" si="171"/>
        <v>77</v>
      </c>
      <c r="N1276" s="339">
        <f>K1276/M1276</f>
        <v>0.5193506494</v>
      </c>
    </row>
    <row r="1277">
      <c r="A1277" s="40" t="s">
        <v>29</v>
      </c>
      <c r="B1277" s="40" t="s">
        <v>623</v>
      </c>
      <c r="C1277" s="40">
        <v>539.0</v>
      </c>
      <c r="D1277" s="40" t="s">
        <v>1592</v>
      </c>
      <c r="E1277" s="40" t="s">
        <v>33</v>
      </c>
      <c r="F1277" s="360">
        <v>42314.0</v>
      </c>
      <c r="G1277" s="360">
        <v>44590.0</v>
      </c>
      <c r="H1277" s="360">
        <v>44590.0</v>
      </c>
      <c r="I1277" s="360">
        <v>44590.0</v>
      </c>
      <c r="J1277" s="361">
        <v>69.99</v>
      </c>
      <c r="K1277" s="361">
        <v>0.0</v>
      </c>
      <c r="L1277" s="361">
        <v>69.99</v>
      </c>
      <c r="M1277" s="40">
        <v>1.0</v>
      </c>
      <c r="N1277" s="361">
        <v>0.0</v>
      </c>
    </row>
    <row r="1278">
      <c r="A1278" s="40" t="s">
        <v>29</v>
      </c>
      <c r="B1278" s="40"/>
      <c r="C1278" s="40">
        <v>540.0</v>
      </c>
      <c r="D1278" s="40" t="s">
        <v>1673</v>
      </c>
      <c r="E1278" s="40" t="s">
        <v>33</v>
      </c>
      <c r="F1278" s="360">
        <v>44148.0</v>
      </c>
      <c r="G1278" s="360">
        <v>45111.0</v>
      </c>
      <c r="H1278" s="360">
        <v>45111.0</v>
      </c>
      <c r="I1278" s="360">
        <v>45111.0</v>
      </c>
      <c r="J1278" s="361">
        <v>74.99</v>
      </c>
      <c r="K1278" s="361">
        <v>0.0</v>
      </c>
      <c r="L1278" s="361">
        <v>74.99</v>
      </c>
      <c r="M1278" s="40">
        <v>1.0</v>
      </c>
      <c r="N1278" s="361">
        <v>0.0</v>
      </c>
    </row>
    <row r="1279">
      <c r="A1279" s="146"/>
      <c r="B1279" s="146"/>
      <c r="C1279" s="340"/>
      <c r="D1279" s="146"/>
      <c r="E1279" s="146"/>
      <c r="F1279" s="146"/>
      <c r="G1279" s="146"/>
      <c r="H1279" s="146"/>
      <c r="I1279" s="146"/>
      <c r="J1279" s="339">
        <f t="shared" ref="J1279:M1279" si="172">SUM(J1277:J1278)</f>
        <v>144.98</v>
      </c>
      <c r="K1279" s="339">
        <f t="shared" si="172"/>
        <v>0</v>
      </c>
      <c r="L1279" s="339">
        <f t="shared" si="172"/>
        <v>144.98</v>
      </c>
      <c r="M1279" s="146">
        <f t="shared" si="172"/>
        <v>2</v>
      </c>
      <c r="N1279" s="339">
        <f>K1279/M1279</f>
        <v>0</v>
      </c>
    </row>
    <row r="1280">
      <c r="A1280" s="40" t="s">
        <v>29</v>
      </c>
      <c r="B1280" s="40" t="s">
        <v>624</v>
      </c>
      <c r="C1280" s="40">
        <v>722.0</v>
      </c>
      <c r="D1280" s="40" t="s">
        <v>1657</v>
      </c>
      <c r="E1280" s="40" t="s">
        <v>33</v>
      </c>
      <c r="F1280" s="360">
        <v>43973.0</v>
      </c>
      <c r="G1280" s="360">
        <v>44343.0</v>
      </c>
      <c r="H1280" s="360">
        <v>44346.0</v>
      </c>
      <c r="I1280" s="360">
        <v>44347.0</v>
      </c>
      <c r="J1280" s="361">
        <v>39.99</v>
      </c>
      <c r="K1280" s="361">
        <v>19.99</v>
      </c>
      <c r="L1280" s="361">
        <v>20.0</v>
      </c>
      <c r="M1280" s="40">
        <v>14.0</v>
      </c>
      <c r="N1280" s="361">
        <v>1.43</v>
      </c>
    </row>
    <row r="1281">
      <c r="A1281" s="40" t="s">
        <v>29</v>
      </c>
      <c r="B1281" s="40" t="s">
        <v>625</v>
      </c>
      <c r="C1281" s="40">
        <v>1003.0</v>
      </c>
      <c r="D1281" s="40" t="s">
        <v>1726</v>
      </c>
      <c r="E1281" s="40" t="s">
        <v>666</v>
      </c>
      <c r="F1281" s="360">
        <v>43242.0</v>
      </c>
      <c r="G1281" s="360">
        <v>44446.0</v>
      </c>
      <c r="H1281" s="360">
        <v>44677.0</v>
      </c>
      <c r="I1281" s="360">
        <v>44677.0</v>
      </c>
      <c r="J1281" s="361">
        <v>5.99</v>
      </c>
      <c r="K1281" s="361">
        <v>0.0</v>
      </c>
      <c r="L1281" s="361">
        <v>5.99</v>
      </c>
      <c r="M1281" s="40">
        <v>1.0</v>
      </c>
      <c r="N1281" s="361">
        <v>0.0</v>
      </c>
    </row>
    <row r="1282">
      <c r="A1282" s="40" t="s">
        <v>29</v>
      </c>
      <c r="B1282" s="40" t="s">
        <v>626</v>
      </c>
      <c r="C1282" s="40">
        <v>848.0</v>
      </c>
      <c r="D1282" s="40" t="s">
        <v>1625</v>
      </c>
      <c r="E1282" s="40" t="s">
        <v>33</v>
      </c>
      <c r="F1282" s="360">
        <v>43025.0</v>
      </c>
      <c r="G1282" s="360">
        <v>43081.0</v>
      </c>
      <c r="H1282" s="360">
        <v>43084.0</v>
      </c>
      <c r="I1282" s="360">
        <v>44118.0</v>
      </c>
      <c r="J1282" s="361">
        <v>96.94</v>
      </c>
      <c r="K1282" s="361">
        <v>57.94</v>
      </c>
      <c r="L1282" s="361">
        <v>39.0</v>
      </c>
      <c r="M1282" s="40">
        <v>71.0</v>
      </c>
      <c r="N1282" s="361">
        <v>0.82</v>
      </c>
    </row>
    <row r="1283">
      <c r="A1283" s="359" t="s">
        <v>29</v>
      </c>
      <c r="B1283" s="357" t="s">
        <v>627</v>
      </c>
      <c r="C1283" s="40">
        <v>654.0</v>
      </c>
      <c r="D1283" s="40" t="s">
        <v>1634</v>
      </c>
      <c r="E1283" s="40" t="s">
        <v>33</v>
      </c>
      <c r="F1283" s="360">
        <v>43396.0</v>
      </c>
      <c r="G1283" s="360">
        <v>45734.0</v>
      </c>
      <c r="H1283" s="360">
        <v>45739.0</v>
      </c>
      <c r="I1283" s="360">
        <v>45742.0</v>
      </c>
      <c r="J1283" s="362">
        <v>13.99</v>
      </c>
      <c r="K1283" s="362">
        <v>6.99</v>
      </c>
      <c r="L1283" s="362">
        <v>7.0</v>
      </c>
      <c r="M1283" s="40">
        <v>14.0</v>
      </c>
      <c r="N1283" s="362">
        <v>0.5</v>
      </c>
    </row>
    <row r="1284">
      <c r="A1284" s="359" t="s">
        <v>29</v>
      </c>
      <c r="B1284" s="357"/>
      <c r="C1284" s="40">
        <v>682.0</v>
      </c>
      <c r="D1284" s="40" t="s">
        <v>1707</v>
      </c>
      <c r="E1284" s="40" t="s">
        <v>33</v>
      </c>
      <c r="F1284" s="360">
        <v>45735.0</v>
      </c>
      <c r="G1284" s="360">
        <v>45800.0</v>
      </c>
      <c r="H1284" s="360">
        <v>45803.0</v>
      </c>
      <c r="I1284" s="360">
        <v>45805.0</v>
      </c>
      <c r="J1284" s="396">
        <v>21.99</v>
      </c>
      <c r="K1284" s="396">
        <v>17.59</v>
      </c>
      <c r="L1284" s="362">
        <v>4.4</v>
      </c>
      <c r="M1284" s="394">
        <v>9.0</v>
      </c>
      <c r="N1284" s="396">
        <v>1.95</v>
      </c>
    </row>
    <row r="1285">
      <c r="A1285" s="146"/>
      <c r="B1285" s="146"/>
      <c r="C1285" s="340"/>
      <c r="D1285" s="146"/>
      <c r="E1285" s="146"/>
      <c r="F1285" s="146"/>
      <c r="G1285" s="146"/>
      <c r="H1285" s="146"/>
      <c r="I1285" s="146"/>
      <c r="J1285" s="339">
        <f t="shared" ref="J1285:M1285" si="173">SUM(J1283:J1284)</f>
        <v>35.98</v>
      </c>
      <c r="K1285" s="339">
        <f t="shared" si="173"/>
        <v>24.58</v>
      </c>
      <c r="L1285" s="339">
        <f t="shared" si="173"/>
        <v>11.4</v>
      </c>
      <c r="M1285" s="146">
        <f t="shared" si="173"/>
        <v>23</v>
      </c>
      <c r="N1285" s="339">
        <f>K1285/M1285</f>
        <v>1.068695652</v>
      </c>
    </row>
    <row r="1286">
      <c r="A1286" s="40" t="s">
        <v>29</v>
      </c>
      <c r="B1286" s="40" t="s">
        <v>628</v>
      </c>
      <c r="C1286" s="40">
        <v>653.0</v>
      </c>
      <c r="D1286" s="40" t="s">
        <v>1706</v>
      </c>
      <c r="E1286" s="40" t="s">
        <v>33</v>
      </c>
      <c r="F1286" s="360">
        <v>45538.0</v>
      </c>
      <c r="G1286" s="360">
        <v>45538.0</v>
      </c>
      <c r="H1286" s="360">
        <v>45538.0</v>
      </c>
      <c r="I1286" s="360">
        <v>45539.0</v>
      </c>
      <c r="J1286" s="362">
        <v>39.99</v>
      </c>
      <c r="K1286" s="362">
        <v>0.0</v>
      </c>
      <c r="L1286" s="361">
        <v>39.99</v>
      </c>
      <c r="M1286" s="40">
        <v>2.0</v>
      </c>
      <c r="N1286" s="361">
        <v>0.0</v>
      </c>
    </row>
    <row r="1287">
      <c r="A1287" s="40" t="s">
        <v>29</v>
      </c>
      <c r="B1287" s="40" t="s">
        <v>629</v>
      </c>
      <c r="C1287" s="40">
        <v>871.0</v>
      </c>
      <c r="D1287" s="40" t="s">
        <v>1641</v>
      </c>
      <c r="E1287" s="40" t="s">
        <v>33</v>
      </c>
      <c r="F1287" s="360">
        <v>43438.0</v>
      </c>
      <c r="G1287" s="360">
        <v>44296.0</v>
      </c>
      <c r="H1287" s="360">
        <v>44296.0</v>
      </c>
      <c r="I1287" s="360">
        <v>44298.0</v>
      </c>
      <c r="J1287" s="361">
        <v>29.99</v>
      </c>
      <c r="K1287" s="361">
        <v>0.0</v>
      </c>
      <c r="L1287" s="361">
        <v>29.99</v>
      </c>
      <c r="M1287" s="40">
        <v>17.0</v>
      </c>
      <c r="N1287" s="361">
        <v>0.0</v>
      </c>
    </row>
    <row r="1288">
      <c r="A1288" s="40" t="s">
        <v>29</v>
      </c>
      <c r="B1288" s="40"/>
      <c r="C1288" s="40">
        <v>872.0</v>
      </c>
      <c r="D1288" s="40" t="s">
        <v>1679</v>
      </c>
      <c r="E1288" s="40" t="s">
        <v>33</v>
      </c>
      <c r="F1288" s="360">
        <v>44330.0</v>
      </c>
      <c r="G1288" s="360">
        <v>44469.0</v>
      </c>
      <c r="H1288" s="360">
        <v>44521.0</v>
      </c>
      <c r="I1288" s="360">
        <v>44529.0</v>
      </c>
      <c r="J1288" s="361">
        <v>29.99</v>
      </c>
      <c r="K1288" s="361">
        <v>19.49</v>
      </c>
      <c r="L1288" s="361">
        <v>10.5</v>
      </c>
      <c r="M1288" s="40">
        <v>18.0</v>
      </c>
      <c r="N1288" s="361">
        <v>1.08</v>
      </c>
    </row>
    <row r="1289">
      <c r="A1289" s="146"/>
      <c r="B1289" s="146"/>
      <c r="C1289" s="340"/>
      <c r="D1289" s="146"/>
      <c r="E1289" s="146"/>
      <c r="F1289" s="146"/>
      <c r="G1289" s="146"/>
      <c r="H1289" s="146"/>
      <c r="I1289" s="146"/>
      <c r="J1289" s="339">
        <f t="shared" ref="J1289:M1289" si="174">SUM(J1287:J1288)</f>
        <v>59.98</v>
      </c>
      <c r="K1289" s="339">
        <f t="shared" si="174"/>
        <v>19.49</v>
      </c>
      <c r="L1289" s="339">
        <f t="shared" si="174"/>
        <v>40.49</v>
      </c>
      <c r="M1289" s="146">
        <f t="shared" si="174"/>
        <v>35</v>
      </c>
      <c r="N1289" s="339">
        <f>K1289/M1289</f>
        <v>0.5568571429</v>
      </c>
    </row>
    <row r="1290">
      <c r="A1290" s="40" t="s">
        <v>29</v>
      </c>
      <c r="B1290" s="40" t="s">
        <v>630</v>
      </c>
      <c r="C1290" s="40">
        <v>815.0</v>
      </c>
      <c r="D1290" s="40" t="s">
        <v>1603</v>
      </c>
      <c r="E1290" s="40" t="s">
        <v>33</v>
      </c>
      <c r="F1290" s="360">
        <v>42577.0</v>
      </c>
      <c r="G1290" s="360">
        <v>42951.0</v>
      </c>
      <c r="H1290" s="360">
        <v>43450.0</v>
      </c>
      <c r="I1290" s="360">
        <v>45306.0</v>
      </c>
      <c r="J1290" s="361">
        <v>9.99</v>
      </c>
      <c r="K1290" s="361">
        <v>3.99</v>
      </c>
      <c r="L1290" s="361">
        <v>6.0</v>
      </c>
      <c r="M1290" s="40">
        <v>18.0</v>
      </c>
      <c r="N1290" s="361">
        <v>0.22</v>
      </c>
    </row>
    <row r="1291">
      <c r="A1291" s="40" t="s">
        <v>29</v>
      </c>
      <c r="B1291" s="40" t="s">
        <v>631</v>
      </c>
      <c r="C1291" s="40">
        <v>695.0</v>
      </c>
      <c r="D1291" s="40" t="s">
        <v>1680</v>
      </c>
      <c r="E1291" s="40" t="s">
        <v>33</v>
      </c>
      <c r="F1291" s="360">
        <v>44337.0</v>
      </c>
      <c r="G1291" s="360">
        <v>44502.0</v>
      </c>
      <c r="H1291" s="360">
        <v>44502.0</v>
      </c>
      <c r="I1291" s="360">
        <v>44502.0</v>
      </c>
      <c r="J1291" s="361">
        <v>19.99</v>
      </c>
      <c r="K1291" s="361">
        <v>0.0</v>
      </c>
      <c r="L1291" s="361">
        <v>19.99</v>
      </c>
      <c r="M1291" s="40">
        <v>1.0</v>
      </c>
      <c r="N1291" s="361">
        <v>0.0</v>
      </c>
    </row>
    <row r="1292">
      <c r="A1292" s="40" t="s">
        <v>29</v>
      </c>
      <c r="B1292" s="40" t="s">
        <v>632</v>
      </c>
      <c r="C1292" s="40">
        <v>557.0</v>
      </c>
      <c r="D1292" s="362" t="s">
        <v>1616</v>
      </c>
      <c r="E1292" s="362" t="s">
        <v>33</v>
      </c>
      <c r="F1292" s="360">
        <v>42916.0</v>
      </c>
      <c r="G1292" s="360">
        <v>42799.0</v>
      </c>
      <c r="H1292" s="360">
        <v>42916.0</v>
      </c>
      <c r="I1292" s="360">
        <v>44127.0</v>
      </c>
      <c r="J1292" s="361">
        <v>13.33</v>
      </c>
      <c r="K1292" s="361">
        <v>13.33</v>
      </c>
      <c r="L1292" s="361">
        <v>0.0</v>
      </c>
      <c r="M1292" s="40">
        <v>14.0</v>
      </c>
      <c r="N1292" s="361">
        <v>0.95</v>
      </c>
    </row>
    <row r="1293">
      <c r="A1293" s="40" t="s">
        <v>29</v>
      </c>
      <c r="B1293" s="40"/>
      <c r="C1293" s="40">
        <v>558.0</v>
      </c>
      <c r="D1293" s="362" t="s">
        <v>1617</v>
      </c>
      <c r="E1293" s="362" t="s">
        <v>33</v>
      </c>
      <c r="F1293" s="360">
        <v>42916.0</v>
      </c>
      <c r="G1293" s="360">
        <v>42799.0</v>
      </c>
      <c r="H1293" s="360">
        <v>42919.0</v>
      </c>
      <c r="I1293" s="360">
        <v>44123.0</v>
      </c>
      <c r="J1293" s="361">
        <v>13.33</v>
      </c>
      <c r="K1293" s="361">
        <v>13.33</v>
      </c>
      <c r="L1293" s="361">
        <v>0.0</v>
      </c>
      <c r="M1293" s="40">
        <v>14.0</v>
      </c>
      <c r="N1293" s="361">
        <v>0.95</v>
      </c>
    </row>
    <row r="1294">
      <c r="A1294" s="40" t="s">
        <v>29</v>
      </c>
      <c r="B1294" s="40"/>
      <c r="C1294" s="40">
        <v>559.0</v>
      </c>
      <c r="D1294" s="362" t="s">
        <v>1618</v>
      </c>
      <c r="E1294" s="362" t="s">
        <v>33</v>
      </c>
      <c r="F1294" s="360">
        <v>42916.0</v>
      </c>
      <c r="G1294" s="360">
        <v>42799.0</v>
      </c>
      <c r="H1294" s="360">
        <v>42920.0</v>
      </c>
      <c r="I1294" s="360">
        <v>44116.0</v>
      </c>
      <c r="J1294" s="361">
        <v>13.33</v>
      </c>
      <c r="K1294" s="361">
        <v>13.33</v>
      </c>
      <c r="L1294" s="361">
        <v>0.0</v>
      </c>
      <c r="M1294" s="40">
        <v>13.0</v>
      </c>
      <c r="N1294" s="361">
        <v>1.03</v>
      </c>
    </row>
    <row r="1295">
      <c r="A1295" s="40" t="s">
        <v>29</v>
      </c>
      <c r="B1295" s="40"/>
      <c r="C1295" s="40">
        <v>935.0</v>
      </c>
      <c r="D1295" s="40" t="s">
        <v>1662</v>
      </c>
      <c r="E1295" s="40" t="s">
        <v>33</v>
      </c>
      <c r="F1295" s="360">
        <v>44078.0</v>
      </c>
      <c r="G1295" s="360">
        <v>44157.0</v>
      </c>
      <c r="H1295" s="360">
        <v>44158.0</v>
      </c>
      <c r="I1295" s="360">
        <v>44340.0</v>
      </c>
      <c r="J1295" s="361">
        <v>27.5</v>
      </c>
      <c r="K1295" s="361">
        <v>19.25</v>
      </c>
      <c r="L1295" s="361">
        <v>8.25</v>
      </c>
      <c r="M1295" s="40">
        <v>9.0</v>
      </c>
      <c r="N1295" s="361">
        <v>2.14</v>
      </c>
    </row>
    <row r="1296">
      <c r="A1296" s="40" t="s">
        <v>29</v>
      </c>
      <c r="B1296" s="40"/>
      <c r="C1296" s="40">
        <v>936.0</v>
      </c>
      <c r="D1296" s="40" t="s">
        <v>1663</v>
      </c>
      <c r="E1296" s="40" t="s">
        <v>33</v>
      </c>
      <c r="F1296" s="360">
        <v>44078.0</v>
      </c>
      <c r="G1296" s="360">
        <v>44157.0</v>
      </c>
      <c r="H1296" s="360">
        <v>44158.0</v>
      </c>
      <c r="I1296" s="360">
        <v>44342.0</v>
      </c>
      <c r="J1296" s="361">
        <v>27.49</v>
      </c>
      <c r="K1296" s="361">
        <v>19.24</v>
      </c>
      <c r="L1296" s="361">
        <v>8.25</v>
      </c>
      <c r="M1296" s="40">
        <v>9.0</v>
      </c>
      <c r="N1296" s="361">
        <v>2.14</v>
      </c>
    </row>
    <row r="1297">
      <c r="A1297" s="146"/>
      <c r="B1297" s="146"/>
      <c r="C1297" s="340"/>
      <c r="D1297" s="146"/>
      <c r="E1297" s="146"/>
      <c r="F1297" s="146"/>
      <c r="G1297" s="146"/>
      <c r="H1297" s="146"/>
      <c r="I1297" s="146"/>
      <c r="J1297" s="339">
        <f t="shared" ref="J1297:M1297" si="175">SUM(J1292:J1296)</f>
        <v>94.98</v>
      </c>
      <c r="K1297" s="339">
        <f t="shared" si="175"/>
        <v>78.48</v>
      </c>
      <c r="L1297" s="339">
        <f t="shared" si="175"/>
        <v>16.5</v>
      </c>
      <c r="M1297" s="146">
        <f t="shared" si="175"/>
        <v>59</v>
      </c>
      <c r="N1297" s="339">
        <f>K1297/M1297</f>
        <v>1.330169492</v>
      </c>
    </row>
    <row r="1298">
      <c r="A1298" s="358" t="s">
        <v>29</v>
      </c>
      <c r="B1298" s="40" t="s">
        <v>633</v>
      </c>
      <c r="C1298" s="40">
        <v>141.0</v>
      </c>
      <c r="D1298" s="40" t="s">
        <v>1488</v>
      </c>
      <c r="E1298" s="40" t="s">
        <v>645</v>
      </c>
      <c r="F1298" s="360">
        <v>39388.0</v>
      </c>
      <c r="G1298" s="360">
        <v>44115.0</v>
      </c>
      <c r="H1298" s="360">
        <v>44115.0</v>
      </c>
      <c r="I1298" s="360">
        <v>44115.0</v>
      </c>
      <c r="J1298" s="361">
        <v>28.0</v>
      </c>
      <c r="K1298" s="361">
        <v>28.0</v>
      </c>
      <c r="L1298" s="361">
        <v>0.0</v>
      </c>
      <c r="M1298" s="40">
        <v>5.0</v>
      </c>
      <c r="N1298" s="361">
        <v>5.6</v>
      </c>
    </row>
    <row r="1299">
      <c r="A1299" s="358" t="s">
        <v>29</v>
      </c>
      <c r="B1299" s="40"/>
      <c r="C1299" s="40">
        <v>221.0</v>
      </c>
      <c r="D1299" s="40" t="s">
        <v>1499</v>
      </c>
      <c r="E1299" s="40" t="s">
        <v>649</v>
      </c>
      <c r="F1299" s="360">
        <v>39745.0</v>
      </c>
      <c r="G1299" s="360">
        <v>44091.0</v>
      </c>
      <c r="H1299" s="360">
        <v>44091.0</v>
      </c>
      <c r="I1299" s="360">
        <v>44091.0</v>
      </c>
      <c r="J1299" s="361">
        <v>19.99</v>
      </c>
      <c r="K1299" s="361">
        <v>4.0</v>
      </c>
      <c r="L1299" s="361">
        <v>15.99</v>
      </c>
      <c r="M1299" s="40">
        <v>5.0</v>
      </c>
      <c r="N1299" s="361">
        <v>0.8</v>
      </c>
    </row>
    <row r="1300">
      <c r="A1300" s="146"/>
      <c r="B1300" s="146"/>
      <c r="C1300" s="340"/>
      <c r="D1300" s="146"/>
      <c r="E1300" s="146"/>
      <c r="F1300" s="146"/>
      <c r="G1300" s="146"/>
      <c r="H1300" s="146"/>
      <c r="I1300" s="146"/>
      <c r="J1300" s="339">
        <f t="shared" ref="J1300:M1300" si="176">SUM(J1298:J1299)</f>
        <v>47.99</v>
      </c>
      <c r="K1300" s="339">
        <f t="shared" si="176"/>
        <v>32</v>
      </c>
      <c r="L1300" s="339">
        <f t="shared" si="176"/>
        <v>15.99</v>
      </c>
      <c r="M1300" s="146">
        <f t="shared" si="176"/>
        <v>10</v>
      </c>
      <c r="N1300" s="339">
        <f>K1300/M1300</f>
        <v>3.2</v>
      </c>
    </row>
    <row r="1301">
      <c r="A1301" s="40" t="s">
        <v>29</v>
      </c>
      <c r="B1301" s="40" t="s">
        <v>634</v>
      </c>
      <c r="C1301" s="40">
        <v>762.0</v>
      </c>
      <c r="D1301" s="40" t="s">
        <v>1691</v>
      </c>
      <c r="E1301" s="40" t="s">
        <v>33</v>
      </c>
      <c r="F1301" s="360">
        <v>44813.0</v>
      </c>
      <c r="G1301" s="360">
        <v>45083.0</v>
      </c>
      <c r="H1301" s="360">
        <v>45083.0</v>
      </c>
      <c r="I1301" s="360">
        <v>45083.0</v>
      </c>
      <c r="J1301" s="361">
        <v>39.99</v>
      </c>
      <c r="K1301" s="361">
        <v>0.0</v>
      </c>
      <c r="L1301" s="361">
        <v>39.99</v>
      </c>
      <c r="M1301" s="40">
        <v>1.0</v>
      </c>
      <c r="N1301" s="361">
        <v>0.0</v>
      </c>
    </row>
    <row r="1302">
      <c r="A1302" s="40" t="s">
        <v>29</v>
      </c>
      <c r="B1302" s="40"/>
      <c r="C1302" s="40">
        <v>700.0</v>
      </c>
      <c r="D1302" s="40" t="s">
        <v>1697</v>
      </c>
      <c r="E1302" s="40" t="s">
        <v>33</v>
      </c>
      <c r="F1302" s="360">
        <v>45065.0</v>
      </c>
      <c r="G1302" s="360">
        <v>45265.0</v>
      </c>
      <c r="H1302" s="360">
        <v>45265.0</v>
      </c>
      <c r="I1302" s="360">
        <v>45265.0</v>
      </c>
      <c r="J1302" s="361">
        <v>69.99</v>
      </c>
      <c r="K1302" s="361">
        <v>0.0</v>
      </c>
      <c r="L1302" s="361">
        <v>69.99</v>
      </c>
      <c r="M1302" s="40">
        <v>1.0</v>
      </c>
      <c r="N1302" s="361">
        <v>0.0</v>
      </c>
    </row>
    <row r="1303">
      <c r="A1303" s="358" t="s">
        <v>29</v>
      </c>
      <c r="B1303" s="358"/>
      <c r="C1303" s="40">
        <v>975.0</v>
      </c>
      <c r="D1303" s="40" t="s">
        <v>1704</v>
      </c>
      <c r="E1303" s="40" t="s">
        <v>33</v>
      </c>
      <c r="F1303" s="360">
        <v>45359.0</v>
      </c>
      <c r="G1303" s="360">
        <v>45567.0</v>
      </c>
      <c r="H1303" s="360">
        <v>45567.0</v>
      </c>
      <c r="I1303" s="360">
        <v>45567.0</v>
      </c>
      <c r="J1303" s="362">
        <v>74.99</v>
      </c>
      <c r="K1303" s="362">
        <v>0.0</v>
      </c>
      <c r="L1303" s="361">
        <v>74.99</v>
      </c>
      <c r="M1303" s="40">
        <v>1.0</v>
      </c>
      <c r="N1303" s="361">
        <v>0.0</v>
      </c>
    </row>
    <row r="1304">
      <c r="A1304" s="146"/>
      <c r="B1304" s="146"/>
      <c r="C1304" s="340"/>
      <c r="D1304" s="146"/>
      <c r="E1304" s="146"/>
      <c r="F1304" s="146"/>
      <c r="G1304" s="146"/>
      <c r="H1304" s="146"/>
      <c r="I1304" s="146"/>
      <c r="J1304" s="339">
        <f t="shared" ref="J1304:M1304" si="177">SUM(J1301:J1303)</f>
        <v>184.97</v>
      </c>
      <c r="K1304" s="339">
        <f t="shared" si="177"/>
        <v>0</v>
      </c>
      <c r="L1304" s="339">
        <f t="shared" si="177"/>
        <v>184.97</v>
      </c>
      <c r="M1304" s="146">
        <f t="shared" si="177"/>
        <v>3</v>
      </c>
      <c r="N1304" s="339">
        <f>K1304/M1304</f>
        <v>0</v>
      </c>
    </row>
    <row r="1305">
      <c r="A1305" s="40" t="s">
        <v>29</v>
      </c>
      <c r="B1305" s="40" t="s">
        <v>635</v>
      </c>
      <c r="C1305" s="40">
        <v>464.0</v>
      </c>
      <c r="D1305" s="40" t="s">
        <v>1568</v>
      </c>
      <c r="E1305" s="40" t="s">
        <v>671</v>
      </c>
      <c r="F1305" s="360">
        <v>41215.0</v>
      </c>
      <c r="G1305" s="360">
        <v>42665.0</v>
      </c>
      <c r="H1305" s="360">
        <v>45066.0</v>
      </c>
      <c r="I1305" s="360">
        <v>45066.0</v>
      </c>
      <c r="J1305" s="361">
        <v>14.99</v>
      </c>
      <c r="K1305" s="361">
        <v>6.99</v>
      </c>
      <c r="L1305" s="361">
        <v>8.0</v>
      </c>
      <c r="M1305" s="40">
        <v>5.0</v>
      </c>
      <c r="N1305" s="361">
        <v>1.4</v>
      </c>
    </row>
    <row r="1306">
      <c r="A1306" s="358" t="s">
        <v>29</v>
      </c>
      <c r="B1306" s="358"/>
      <c r="C1306" s="40">
        <v>428.0</v>
      </c>
      <c r="D1306" s="40" t="s">
        <v>1576</v>
      </c>
      <c r="E1306" s="40" t="s">
        <v>671</v>
      </c>
      <c r="F1306" s="360">
        <v>42388.0</v>
      </c>
      <c r="G1306" s="360">
        <v>42950.0</v>
      </c>
      <c r="H1306" s="360">
        <v>45769.0</v>
      </c>
      <c r="I1306" s="360">
        <v>45772.0</v>
      </c>
      <c r="J1306" s="361">
        <v>9.99</v>
      </c>
      <c r="K1306" s="361">
        <v>3.99</v>
      </c>
      <c r="L1306" s="361">
        <v>6.0</v>
      </c>
      <c r="M1306" s="40">
        <v>12.0</v>
      </c>
      <c r="N1306" s="361">
        <v>0.33</v>
      </c>
    </row>
    <row r="1307">
      <c r="A1307" s="40" t="s">
        <v>29</v>
      </c>
      <c r="B1307" s="40"/>
      <c r="C1307" s="40">
        <v>834.0</v>
      </c>
      <c r="D1307" s="40" t="s">
        <v>1599</v>
      </c>
      <c r="E1307" s="40" t="s">
        <v>33</v>
      </c>
      <c r="F1307" s="360">
        <v>42480.0</v>
      </c>
      <c r="G1307" s="360">
        <v>43275.0</v>
      </c>
      <c r="H1307" s="360">
        <v>43280.0</v>
      </c>
      <c r="I1307" s="360">
        <v>43282.0</v>
      </c>
      <c r="J1307" s="361">
        <v>19.99</v>
      </c>
      <c r="K1307" s="361">
        <v>19.99</v>
      </c>
      <c r="L1307" s="361">
        <v>0.0</v>
      </c>
      <c r="M1307" s="40">
        <v>15.0</v>
      </c>
      <c r="N1307" s="361">
        <v>1.33</v>
      </c>
    </row>
    <row r="1308">
      <c r="A1308" s="146"/>
      <c r="B1308" s="146"/>
      <c r="C1308" s="340"/>
      <c r="D1308" s="146"/>
      <c r="E1308" s="146"/>
      <c r="F1308" s="146"/>
      <c r="G1308" s="146"/>
      <c r="H1308" s="146"/>
      <c r="I1308" s="146"/>
      <c r="J1308" s="339">
        <f t="shared" ref="J1308:M1308" si="178">SUM(J1305:J1307)</f>
        <v>44.97</v>
      </c>
      <c r="K1308" s="339">
        <f t="shared" si="178"/>
        <v>30.97</v>
      </c>
      <c r="L1308" s="339">
        <f t="shared" si="178"/>
        <v>14</v>
      </c>
      <c r="M1308" s="146">
        <f t="shared" si="178"/>
        <v>32</v>
      </c>
      <c r="N1308" s="339">
        <f>K1308/M1308</f>
        <v>0.9678125</v>
      </c>
    </row>
    <row r="1309">
      <c r="A1309" s="40" t="s">
        <v>29</v>
      </c>
      <c r="B1309" s="40" t="s">
        <v>636</v>
      </c>
      <c r="C1309" s="40">
        <v>1046.0</v>
      </c>
      <c r="D1309" s="40" t="s">
        <v>1732</v>
      </c>
      <c r="E1309" s="40" t="s">
        <v>666</v>
      </c>
      <c r="F1309" s="360">
        <v>44103.0</v>
      </c>
      <c r="G1309" s="360">
        <v>44502.0</v>
      </c>
      <c r="H1309" s="360">
        <v>44502.0</v>
      </c>
      <c r="I1309" s="360">
        <v>44502.0</v>
      </c>
      <c r="J1309" s="361">
        <v>24.99</v>
      </c>
      <c r="K1309" s="361">
        <v>0.0</v>
      </c>
      <c r="L1309" s="361">
        <v>24.99</v>
      </c>
      <c r="M1309" s="40">
        <v>1.0</v>
      </c>
      <c r="N1309" s="361">
        <v>0.0</v>
      </c>
    </row>
    <row r="1310">
      <c r="A1310" s="40" t="s">
        <v>29</v>
      </c>
      <c r="B1310" s="40" t="s">
        <v>637</v>
      </c>
      <c r="C1310" s="40">
        <v>545.0</v>
      </c>
      <c r="D1310" s="40" t="s">
        <v>1681</v>
      </c>
      <c r="E1310" s="40" t="s">
        <v>33</v>
      </c>
      <c r="F1310" s="360">
        <v>44357.0</v>
      </c>
      <c r="G1310" s="360">
        <v>44745.0</v>
      </c>
      <c r="H1310" s="360">
        <v>44815.0</v>
      </c>
      <c r="I1310" s="360">
        <v>44817.0</v>
      </c>
      <c r="J1310" s="361">
        <v>19.99</v>
      </c>
      <c r="K1310" s="361">
        <v>13.99</v>
      </c>
      <c r="L1310" s="361">
        <v>6.0</v>
      </c>
      <c r="M1310" s="40">
        <v>24.0</v>
      </c>
      <c r="N1310" s="361">
        <v>0.58</v>
      </c>
    </row>
    <row r="1311">
      <c r="A1311" s="40" t="s">
        <v>29</v>
      </c>
      <c r="B1311" s="40" t="s">
        <v>638</v>
      </c>
      <c r="C1311" s="40">
        <v>466.0</v>
      </c>
      <c r="D1311" s="40" t="s">
        <v>1580</v>
      </c>
      <c r="E1311" s="40" t="s">
        <v>671</v>
      </c>
      <c r="F1311" s="360">
        <v>42697.0</v>
      </c>
      <c r="G1311" s="360">
        <v>42887.0</v>
      </c>
      <c r="H1311" s="360">
        <v>42904.0</v>
      </c>
      <c r="I1311" s="360">
        <v>44485.0</v>
      </c>
      <c r="J1311" s="361">
        <v>14.99</v>
      </c>
      <c r="K1311" s="361">
        <v>4.99</v>
      </c>
      <c r="L1311" s="361">
        <v>10.0</v>
      </c>
      <c r="M1311" s="40">
        <v>3.0</v>
      </c>
      <c r="N1311" s="361">
        <v>1.66</v>
      </c>
    </row>
    <row r="1312">
      <c r="A1312" s="358" t="s">
        <v>29</v>
      </c>
      <c r="B1312" s="40" t="s">
        <v>639</v>
      </c>
      <c r="C1312" s="40">
        <v>357.0</v>
      </c>
      <c r="D1312" s="40" t="s">
        <v>1564</v>
      </c>
      <c r="E1312" s="40" t="s">
        <v>649</v>
      </c>
      <c r="F1312" s="360">
        <v>42115.0</v>
      </c>
      <c r="G1312" s="360">
        <v>43341.0</v>
      </c>
      <c r="H1312" s="360">
        <v>43341.0</v>
      </c>
      <c r="I1312" s="360">
        <v>43342.0</v>
      </c>
      <c r="J1312" s="361">
        <v>24.99</v>
      </c>
      <c r="K1312" s="361">
        <v>24.99</v>
      </c>
      <c r="L1312" s="361">
        <v>0.0</v>
      </c>
      <c r="M1312" s="40">
        <v>3.0</v>
      </c>
      <c r="N1312" s="361">
        <v>8.33</v>
      </c>
    </row>
    <row r="1313">
      <c r="A1313" s="40" t="s">
        <v>29</v>
      </c>
      <c r="B1313" s="40"/>
      <c r="C1313" s="40">
        <v>836.0</v>
      </c>
      <c r="D1313" s="40" t="s">
        <v>1688</v>
      </c>
      <c r="E1313" s="40" t="s">
        <v>33</v>
      </c>
      <c r="F1313" s="360">
        <v>44543.0</v>
      </c>
      <c r="G1313" s="360">
        <v>44915.0</v>
      </c>
      <c r="H1313" s="360">
        <v>44934.0</v>
      </c>
      <c r="I1313" s="360">
        <v>44937.0</v>
      </c>
      <c r="J1313" s="361">
        <v>19.99</v>
      </c>
      <c r="K1313" s="361">
        <v>14.99</v>
      </c>
      <c r="L1313" s="361">
        <v>5.0</v>
      </c>
      <c r="M1313" s="40">
        <v>12.0</v>
      </c>
      <c r="N1313" s="361">
        <v>1.25</v>
      </c>
    </row>
    <row r="1314">
      <c r="A1314" s="146"/>
      <c r="B1314" s="146"/>
      <c r="C1314" s="340"/>
      <c r="D1314" s="146"/>
      <c r="E1314" s="146"/>
      <c r="F1314" s="146"/>
      <c r="G1314" s="146"/>
      <c r="H1314" s="146"/>
      <c r="I1314" s="146"/>
      <c r="J1314" s="339">
        <f t="shared" ref="J1314:M1314" si="179">SUM(J1312:J1313)</f>
        <v>44.98</v>
      </c>
      <c r="K1314" s="339">
        <f t="shared" si="179"/>
        <v>39.98</v>
      </c>
      <c r="L1314" s="339">
        <f t="shared" si="179"/>
        <v>5</v>
      </c>
      <c r="M1314" s="146">
        <f t="shared" si="179"/>
        <v>15</v>
      </c>
      <c r="N1314" s="339">
        <f>K1314/M1314</f>
        <v>2.665333333</v>
      </c>
    </row>
    <row r="1315">
      <c r="A1315" s="40" t="s">
        <v>29</v>
      </c>
      <c r="B1315" s="40" t="s">
        <v>640</v>
      </c>
      <c r="C1315" s="40">
        <v>775.0</v>
      </c>
      <c r="D1315" s="40" t="s">
        <v>1585</v>
      </c>
      <c r="E1315" s="40" t="s">
        <v>33</v>
      </c>
      <c r="F1315" s="360">
        <v>41752.0</v>
      </c>
      <c r="G1315" s="360">
        <v>42253.0</v>
      </c>
      <c r="H1315" s="360">
        <v>42253.0</v>
      </c>
      <c r="I1315" s="360">
        <v>44866.0</v>
      </c>
      <c r="J1315" s="361">
        <v>13.99</v>
      </c>
      <c r="K1315" s="361">
        <v>7.0</v>
      </c>
      <c r="L1315" s="361">
        <v>6.99</v>
      </c>
      <c r="M1315" s="40">
        <v>10.0</v>
      </c>
      <c r="N1315" s="361">
        <v>0.7</v>
      </c>
    </row>
    <row r="1316">
      <c r="A1316" s="40" t="s">
        <v>29</v>
      </c>
      <c r="B1316" s="40"/>
      <c r="C1316" s="40">
        <v>538.0</v>
      </c>
      <c r="D1316" s="40" t="s">
        <v>1672</v>
      </c>
      <c r="E1316" s="40" t="s">
        <v>33</v>
      </c>
      <c r="F1316" s="360">
        <v>44147.0</v>
      </c>
      <c r="G1316" s="360">
        <v>44343.0</v>
      </c>
      <c r="H1316" s="360">
        <v>44348.0</v>
      </c>
      <c r="I1316" s="360">
        <v>44680.0</v>
      </c>
      <c r="J1316" s="361">
        <v>21.99</v>
      </c>
      <c r="K1316" s="361">
        <v>16.49</v>
      </c>
      <c r="L1316" s="361">
        <v>5.5</v>
      </c>
      <c r="M1316" s="40">
        <v>24.0</v>
      </c>
      <c r="N1316" s="361">
        <v>0.69</v>
      </c>
    </row>
    <row r="1317">
      <c r="A1317" s="146"/>
      <c r="B1317" s="146"/>
      <c r="C1317" s="340"/>
      <c r="D1317" s="146"/>
      <c r="E1317" s="146"/>
      <c r="F1317" s="146"/>
      <c r="G1317" s="146"/>
      <c r="H1317" s="146"/>
      <c r="I1317" s="146"/>
      <c r="J1317" s="339">
        <f t="shared" ref="J1317:M1317" si="180">SUM(J1315:J1316)</f>
        <v>35.98</v>
      </c>
      <c r="K1317" s="339">
        <f t="shared" si="180"/>
        <v>23.49</v>
      </c>
      <c r="L1317" s="339">
        <f t="shared" si="180"/>
        <v>12.49</v>
      </c>
      <c r="M1317" s="146">
        <f t="shared" si="180"/>
        <v>34</v>
      </c>
      <c r="N1317" s="339">
        <f>K1317/M1317</f>
        <v>0.6908823529</v>
      </c>
    </row>
    <row r="1318">
      <c r="A1318" s="318"/>
      <c r="B1318" s="318"/>
      <c r="C1318" s="319"/>
      <c r="D1318" s="320"/>
      <c r="E1318" s="320"/>
      <c r="F1318" s="320"/>
      <c r="G1318" s="320"/>
      <c r="H1318" s="320"/>
      <c r="I1318" s="320"/>
      <c r="J1318" s="321"/>
      <c r="K1318" s="321"/>
      <c r="L1318" s="321"/>
      <c r="M1318" s="320"/>
      <c r="N1318" s="321"/>
    </row>
    <row r="1319">
      <c r="A1319" s="74" t="s">
        <v>642</v>
      </c>
      <c r="B1319" s="74" t="s">
        <v>641</v>
      </c>
      <c r="C1319" s="74">
        <v>719.0</v>
      </c>
      <c r="D1319" s="74" t="s">
        <v>1743</v>
      </c>
      <c r="E1319" s="74" t="s">
        <v>33</v>
      </c>
      <c r="F1319" s="311">
        <v>42514.0</v>
      </c>
      <c r="G1319" s="311">
        <v>42754.0</v>
      </c>
      <c r="H1319" s="311">
        <v>42764.0</v>
      </c>
      <c r="I1319" s="311">
        <v>45058.0</v>
      </c>
      <c r="J1319" s="312">
        <v>17.99</v>
      </c>
      <c r="K1319" s="312">
        <v>9.99</v>
      </c>
      <c r="L1319" s="312">
        <v>8.0</v>
      </c>
      <c r="M1319" s="74">
        <v>3.0</v>
      </c>
      <c r="N1319" s="312">
        <v>3.33</v>
      </c>
    </row>
    <row r="1320">
      <c r="A1320" s="74" t="s">
        <v>642</v>
      </c>
      <c r="B1320" s="74" t="s">
        <v>643</v>
      </c>
      <c r="C1320" s="74">
        <v>908.0</v>
      </c>
      <c r="D1320" s="74" t="s">
        <v>1744</v>
      </c>
      <c r="E1320" s="74" t="s">
        <v>33</v>
      </c>
      <c r="F1320" s="311">
        <v>43921.0</v>
      </c>
      <c r="G1320" s="311">
        <v>44640.0</v>
      </c>
      <c r="H1320" s="311">
        <v>44640.0</v>
      </c>
      <c r="I1320" s="311">
        <v>44640.0</v>
      </c>
      <c r="J1320" s="312">
        <v>11.66</v>
      </c>
      <c r="K1320" s="312">
        <v>5.83</v>
      </c>
      <c r="L1320" s="312">
        <v>5.83</v>
      </c>
      <c r="M1320" s="74">
        <v>1.0</v>
      </c>
      <c r="N1320" s="312">
        <v>5.83</v>
      </c>
    </row>
    <row r="1321">
      <c r="A1321" s="74" t="s">
        <v>642</v>
      </c>
      <c r="B1321" s="74"/>
      <c r="C1321" s="74">
        <v>632.0</v>
      </c>
      <c r="D1321" s="74" t="s">
        <v>1745</v>
      </c>
      <c r="E1321" s="74" t="s">
        <v>33</v>
      </c>
      <c r="F1321" s="311">
        <v>44152.0</v>
      </c>
      <c r="G1321" s="311">
        <v>44640.0</v>
      </c>
      <c r="H1321" s="311">
        <v>44640.0</v>
      </c>
      <c r="I1321" s="311">
        <v>44640.0</v>
      </c>
      <c r="J1321" s="312">
        <v>11.66</v>
      </c>
      <c r="K1321" s="312">
        <v>5.83</v>
      </c>
      <c r="L1321" s="312">
        <v>5.83</v>
      </c>
      <c r="M1321" s="74">
        <v>1.0</v>
      </c>
      <c r="N1321" s="312">
        <v>5.83</v>
      </c>
    </row>
    <row r="1322">
      <c r="A1322" s="74" t="s">
        <v>642</v>
      </c>
      <c r="B1322" s="74"/>
      <c r="C1322" s="74">
        <v>770.0</v>
      </c>
      <c r="D1322" s="74" t="s">
        <v>1746</v>
      </c>
      <c r="E1322" s="74" t="s">
        <v>33</v>
      </c>
      <c r="F1322" s="311">
        <v>44404.0</v>
      </c>
      <c r="G1322" s="311">
        <v>44640.0</v>
      </c>
      <c r="H1322" s="311">
        <v>44838.0</v>
      </c>
      <c r="I1322" s="311">
        <v>44839.0</v>
      </c>
      <c r="J1322" s="312">
        <v>11.67</v>
      </c>
      <c r="K1322" s="312">
        <v>5.83</v>
      </c>
      <c r="L1322" s="312">
        <v>5.84</v>
      </c>
      <c r="M1322" s="74">
        <v>4.0</v>
      </c>
      <c r="N1322" s="312">
        <v>1.46</v>
      </c>
    </row>
    <row r="1323">
      <c r="A1323" s="424"/>
      <c r="B1323" s="424"/>
      <c r="C1323" s="457"/>
      <c r="D1323" s="458"/>
      <c r="E1323" s="458"/>
      <c r="F1323" s="458"/>
      <c r="G1323" s="458"/>
      <c r="H1323" s="458"/>
      <c r="I1323" s="458"/>
      <c r="J1323" s="459">
        <f t="shared" ref="J1323:M1323" si="181">SUM(J1320:J1322)</f>
        <v>34.99</v>
      </c>
      <c r="K1323" s="459">
        <f t="shared" si="181"/>
        <v>17.49</v>
      </c>
      <c r="L1323" s="459">
        <f t="shared" si="181"/>
        <v>17.5</v>
      </c>
      <c r="M1323" s="458">
        <f t="shared" si="181"/>
        <v>6</v>
      </c>
      <c r="N1323" s="459">
        <f>K1323/M1323</f>
        <v>2.915</v>
      </c>
    </row>
  </sheetData>
  <autoFilter ref="$D$1:$N$1323"/>
  <hyperlinks>
    <hyperlink r:id="rId1" ref="B787"/>
    <hyperlink r:id="rId2" ref="B851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0.88"/>
    <col customWidth="1" min="2" max="2" width="20.63"/>
    <col customWidth="1" min="3" max="3" width="8.0"/>
    <col customWidth="1" min="4" max="4" width="12.13"/>
    <col customWidth="1" min="5" max="5" width="12.5"/>
    <col customWidth="1" min="6" max="6" width="9.88"/>
    <col customWidth="1" min="7" max="7" width="7.88"/>
    <col customWidth="1" min="8" max="8" width="8.63"/>
  </cols>
  <sheetData>
    <row r="1">
      <c r="A1" s="102" t="s">
        <v>1747</v>
      </c>
      <c r="B1" s="102" t="s">
        <v>4</v>
      </c>
      <c r="C1" s="102" t="s">
        <v>42</v>
      </c>
      <c r="D1" s="103" t="s">
        <v>13</v>
      </c>
      <c r="E1" s="103" t="s">
        <v>14</v>
      </c>
      <c r="F1" s="103" t="s">
        <v>15</v>
      </c>
      <c r="G1" s="103" t="s">
        <v>16</v>
      </c>
      <c r="H1" s="103" t="s">
        <v>17</v>
      </c>
    </row>
    <row r="2">
      <c r="A2" s="43" t="s">
        <v>360</v>
      </c>
      <c r="B2" s="43" t="s">
        <v>325</v>
      </c>
      <c r="C2" s="43">
        <f>COUNTA(A3:A14)</f>
        <v>12</v>
      </c>
      <c r="D2" s="145">
        <f t="shared" ref="D2:G2" si="1">SUM(D3:D14)</f>
        <v>568.21</v>
      </c>
      <c r="E2" s="145">
        <f t="shared" si="1"/>
        <v>182.62</v>
      </c>
      <c r="F2" s="145">
        <f t="shared" si="1"/>
        <v>385.59</v>
      </c>
      <c r="G2" s="44">
        <f t="shared" si="1"/>
        <v>1500</v>
      </c>
      <c r="H2" s="145">
        <f t="shared" ref="H2:H14" si="2">E2/G2</f>
        <v>0.1217466667</v>
      </c>
    </row>
    <row r="3">
      <c r="A3" s="258" t="s">
        <v>1177</v>
      </c>
      <c r="B3" s="460"/>
      <c r="C3" s="460"/>
      <c r="D3" s="71">
        <v>13.33</v>
      </c>
      <c r="E3" s="71">
        <v>7.99</v>
      </c>
      <c r="F3" s="71">
        <f t="shared" ref="F3:F14" si="3">D3-E3</f>
        <v>5.34</v>
      </c>
      <c r="G3" s="39">
        <v>274.0</v>
      </c>
      <c r="H3" s="71">
        <f t="shared" si="2"/>
        <v>0.02916058394</v>
      </c>
    </row>
    <row r="4">
      <c r="A4" s="258" t="s">
        <v>1213</v>
      </c>
      <c r="B4" s="460"/>
      <c r="C4" s="460"/>
      <c r="D4" s="257">
        <v>19.99</v>
      </c>
      <c r="E4" s="257">
        <v>8.99</v>
      </c>
      <c r="F4" s="257">
        <f t="shared" si="3"/>
        <v>11</v>
      </c>
      <c r="G4" s="39">
        <v>198.0</v>
      </c>
      <c r="H4" s="71">
        <f t="shared" si="2"/>
        <v>0.0454040404</v>
      </c>
    </row>
    <row r="5">
      <c r="A5" s="182" t="s">
        <v>1249</v>
      </c>
      <c r="B5" s="460"/>
      <c r="C5" s="460"/>
      <c r="D5" s="257">
        <v>19.99</v>
      </c>
      <c r="E5" s="257">
        <v>6.99</v>
      </c>
      <c r="F5" s="257">
        <f t="shared" si="3"/>
        <v>13</v>
      </c>
      <c r="G5" s="39">
        <v>174.0</v>
      </c>
      <c r="H5" s="71">
        <f t="shared" si="2"/>
        <v>0.04017241379</v>
      </c>
    </row>
    <row r="6">
      <c r="A6" s="258" t="s">
        <v>1299</v>
      </c>
      <c r="B6" s="460"/>
      <c r="C6" s="460"/>
      <c r="D6" s="257">
        <v>69.99</v>
      </c>
      <c r="E6" s="257">
        <v>46.23</v>
      </c>
      <c r="F6" s="257">
        <f t="shared" si="3"/>
        <v>23.76</v>
      </c>
      <c r="G6" s="258">
        <v>154.0</v>
      </c>
      <c r="H6" s="257">
        <f t="shared" si="2"/>
        <v>0.3001948052</v>
      </c>
    </row>
    <row r="7">
      <c r="A7" s="258" t="s">
        <v>1256</v>
      </c>
      <c r="B7" s="460"/>
      <c r="C7" s="460"/>
      <c r="D7" s="257">
        <v>39.99</v>
      </c>
      <c r="E7" s="257">
        <v>15.97</v>
      </c>
      <c r="F7" s="257">
        <f t="shared" si="3"/>
        <v>24.02</v>
      </c>
      <c r="G7" s="182">
        <v>150.0</v>
      </c>
      <c r="H7" s="257">
        <f t="shared" si="2"/>
        <v>0.1064666667</v>
      </c>
    </row>
    <row r="8">
      <c r="A8" s="182" t="s">
        <v>1269</v>
      </c>
      <c r="B8" s="460"/>
      <c r="C8" s="460"/>
      <c r="D8" s="257">
        <v>99.98</v>
      </c>
      <c r="E8" s="257">
        <v>56.98</v>
      </c>
      <c r="F8" s="257">
        <f t="shared" si="3"/>
        <v>43</v>
      </c>
      <c r="G8" s="258">
        <v>130.0</v>
      </c>
      <c r="H8" s="257">
        <f t="shared" si="2"/>
        <v>0.4383076923</v>
      </c>
    </row>
    <row r="9">
      <c r="A9" s="258" t="s">
        <v>1225</v>
      </c>
      <c r="B9" s="460"/>
      <c r="C9" s="460"/>
      <c r="D9" s="257">
        <v>19.99</v>
      </c>
      <c r="E9" s="257">
        <v>7.99</v>
      </c>
      <c r="F9" s="257">
        <f t="shared" si="3"/>
        <v>12</v>
      </c>
      <c r="G9" s="39">
        <v>119.0</v>
      </c>
      <c r="H9" s="71">
        <f t="shared" si="2"/>
        <v>0.06714285714</v>
      </c>
    </row>
    <row r="10">
      <c r="A10" s="258" t="s">
        <v>1748</v>
      </c>
      <c r="B10" s="460"/>
      <c r="C10" s="460"/>
      <c r="D10" s="257">
        <v>59.99</v>
      </c>
      <c r="E10" s="257">
        <v>0.0</v>
      </c>
      <c r="F10" s="257">
        <f t="shared" si="3"/>
        <v>59.99</v>
      </c>
      <c r="G10" s="182">
        <v>99.0</v>
      </c>
      <c r="H10" s="257">
        <f t="shared" si="2"/>
        <v>0</v>
      </c>
    </row>
    <row r="11">
      <c r="A11" s="258" t="s">
        <v>1275</v>
      </c>
      <c r="B11" s="460"/>
      <c r="C11" s="460"/>
      <c r="D11" s="257">
        <v>89.99</v>
      </c>
      <c r="E11" s="257">
        <v>22.49</v>
      </c>
      <c r="F11" s="257">
        <f t="shared" si="3"/>
        <v>67.5</v>
      </c>
      <c r="G11" s="182">
        <v>57.0</v>
      </c>
      <c r="H11" s="257">
        <f t="shared" si="2"/>
        <v>0.3945614035</v>
      </c>
    </row>
    <row r="12">
      <c r="A12" s="39" t="s">
        <v>1311</v>
      </c>
      <c r="B12" s="460"/>
      <c r="C12" s="460"/>
      <c r="D12" s="42">
        <v>59.99</v>
      </c>
      <c r="E12" s="42">
        <v>0.0</v>
      </c>
      <c r="F12" s="42">
        <f t="shared" si="3"/>
        <v>59.99</v>
      </c>
      <c r="G12" s="72">
        <v>56.0</v>
      </c>
      <c r="H12" s="42">
        <f t="shared" si="2"/>
        <v>0</v>
      </c>
    </row>
    <row r="13">
      <c r="A13" s="182" t="s">
        <v>1298</v>
      </c>
      <c r="B13" s="460"/>
      <c r="C13" s="460"/>
      <c r="D13" s="257">
        <v>54.99</v>
      </c>
      <c r="E13" s="257">
        <v>0.0</v>
      </c>
      <c r="F13" s="257">
        <f t="shared" si="3"/>
        <v>54.99</v>
      </c>
      <c r="G13" s="258">
        <v>47.0</v>
      </c>
      <c r="H13" s="257">
        <f t="shared" si="2"/>
        <v>0</v>
      </c>
    </row>
    <row r="14">
      <c r="A14" s="182" t="s">
        <v>1230</v>
      </c>
      <c r="B14" s="460"/>
      <c r="C14" s="460"/>
      <c r="D14" s="257">
        <v>19.99</v>
      </c>
      <c r="E14" s="257">
        <v>8.99</v>
      </c>
      <c r="F14" s="257">
        <f t="shared" si="3"/>
        <v>11</v>
      </c>
      <c r="G14" s="258">
        <v>42.0</v>
      </c>
      <c r="H14" s="257">
        <f t="shared" si="2"/>
        <v>0.214047619</v>
      </c>
    </row>
    <row r="15">
      <c r="A15" s="461"/>
      <c r="B15" s="462"/>
      <c r="C15" s="461"/>
      <c r="D15" s="461"/>
      <c r="E15" s="461"/>
      <c r="F15" s="461"/>
      <c r="G15" s="461"/>
      <c r="H15" s="461"/>
    </row>
    <row r="16">
      <c r="A16" s="43" t="s">
        <v>563</v>
      </c>
      <c r="B16" s="43" t="s">
        <v>29</v>
      </c>
      <c r="C16" s="43">
        <f>COUNTA(A17:A31)</f>
        <v>15</v>
      </c>
      <c r="D16" s="145">
        <f t="shared" ref="D16:G16" si="4">SUM(D17:D31)</f>
        <v>385.3</v>
      </c>
      <c r="E16" s="145">
        <f t="shared" si="4"/>
        <v>240.31</v>
      </c>
      <c r="F16" s="145">
        <f t="shared" si="4"/>
        <v>144.99</v>
      </c>
      <c r="G16" s="44">
        <f t="shared" si="4"/>
        <v>890</v>
      </c>
      <c r="H16" s="145">
        <f t="shared" ref="H16:H31" si="5">E16/G16</f>
        <v>0.270011236</v>
      </c>
    </row>
    <row r="17">
      <c r="A17" s="39" t="s">
        <v>1551</v>
      </c>
      <c r="B17" s="1"/>
      <c r="C17" s="1"/>
      <c r="D17" s="71">
        <v>49.99</v>
      </c>
      <c r="E17" s="71">
        <v>44.99</v>
      </c>
      <c r="F17" s="71">
        <f t="shared" ref="F17:F31" si="6">D17-E17</f>
        <v>5</v>
      </c>
      <c r="G17" s="39">
        <v>120.0</v>
      </c>
      <c r="H17" s="71">
        <f t="shared" si="5"/>
        <v>0.3749166667</v>
      </c>
    </row>
    <row r="18">
      <c r="A18" s="39" t="s">
        <v>1504</v>
      </c>
      <c r="B18" s="1"/>
      <c r="C18" s="1"/>
      <c r="D18" s="71">
        <v>22.15</v>
      </c>
      <c r="E18" s="71">
        <v>15.15</v>
      </c>
      <c r="F18" s="71">
        <f t="shared" si="6"/>
        <v>7</v>
      </c>
      <c r="G18" s="39">
        <v>100.0</v>
      </c>
      <c r="H18" s="71">
        <f t="shared" si="5"/>
        <v>0.1515</v>
      </c>
    </row>
    <row r="19">
      <c r="A19" s="39" t="s">
        <v>1457</v>
      </c>
      <c r="B19" s="1"/>
      <c r="C19" s="1"/>
      <c r="D19" s="71">
        <v>4.99</v>
      </c>
      <c r="E19" s="71">
        <v>4.99</v>
      </c>
      <c r="F19" s="71">
        <f t="shared" si="6"/>
        <v>0</v>
      </c>
      <c r="G19" s="39">
        <v>80.0</v>
      </c>
      <c r="H19" s="71">
        <f t="shared" si="5"/>
        <v>0.062375</v>
      </c>
    </row>
    <row r="20">
      <c r="A20" s="39" t="s">
        <v>1658</v>
      </c>
      <c r="B20" s="1"/>
      <c r="C20" s="1"/>
      <c r="D20" s="71">
        <v>69.99</v>
      </c>
      <c r="E20" s="71">
        <v>0.0</v>
      </c>
      <c r="F20" s="71">
        <f t="shared" si="6"/>
        <v>69.99</v>
      </c>
      <c r="G20" s="39">
        <v>75.0</v>
      </c>
      <c r="H20" s="71">
        <f t="shared" si="5"/>
        <v>0</v>
      </c>
    </row>
    <row r="21">
      <c r="A21" s="39" t="s">
        <v>1749</v>
      </c>
      <c r="B21" s="1"/>
      <c r="C21" s="1"/>
      <c r="D21" s="71">
        <v>69.99</v>
      </c>
      <c r="E21" s="71">
        <v>22.99</v>
      </c>
      <c r="F21" s="71">
        <f t="shared" si="6"/>
        <v>47</v>
      </c>
      <c r="G21" s="39">
        <v>75.0</v>
      </c>
      <c r="H21" s="71">
        <f t="shared" si="5"/>
        <v>0.3065333333</v>
      </c>
    </row>
    <row r="22">
      <c r="A22" s="39" t="s">
        <v>1750</v>
      </c>
      <c r="B22" s="1"/>
      <c r="C22" s="1"/>
      <c r="D22" s="71">
        <v>22.16</v>
      </c>
      <c r="E22" s="71">
        <v>15.16</v>
      </c>
      <c r="F22" s="71">
        <f t="shared" si="6"/>
        <v>7</v>
      </c>
      <c r="G22" s="39">
        <v>70.0</v>
      </c>
      <c r="H22" s="71">
        <f t="shared" si="5"/>
        <v>0.2165714286</v>
      </c>
    </row>
    <row r="23">
      <c r="A23" s="39" t="s">
        <v>1751</v>
      </c>
      <c r="B23" s="1"/>
      <c r="C23" s="1"/>
      <c r="D23" s="71">
        <v>22.15</v>
      </c>
      <c r="E23" s="71">
        <v>15.15</v>
      </c>
      <c r="F23" s="71">
        <f t="shared" si="6"/>
        <v>7</v>
      </c>
      <c r="G23" s="39">
        <v>60.0</v>
      </c>
      <c r="H23" s="71">
        <f t="shared" si="5"/>
        <v>0.2525</v>
      </c>
    </row>
    <row r="24">
      <c r="A24" s="39" t="s">
        <v>1462</v>
      </c>
      <c r="B24" s="1"/>
      <c r="C24" s="1"/>
      <c r="D24" s="71">
        <v>26.98</v>
      </c>
      <c r="E24" s="71">
        <v>26.98</v>
      </c>
      <c r="F24" s="71">
        <f t="shared" si="6"/>
        <v>0</v>
      </c>
      <c r="G24" s="39">
        <v>55.0</v>
      </c>
      <c r="H24" s="71">
        <f t="shared" si="5"/>
        <v>0.4905454545</v>
      </c>
    </row>
    <row r="25">
      <c r="A25" s="39" t="s">
        <v>1454</v>
      </c>
      <c r="B25" s="1"/>
      <c r="C25" s="1"/>
      <c r="D25" s="71">
        <v>4.99</v>
      </c>
      <c r="E25" s="71">
        <v>4.99</v>
      </c>
      <c r="F25" s="71">
        <f t="shared" si="6"/>
        <v>0</v>
      </c>
      <c r="G25" s="39">
        <v>50.0</v>
      </c>
      <c r="H25" s="71">
        <f t="shared" si="5"/>
        <v>0.0998</v>
      </c>
    </row>
    <row r="26">
      <c r="A26" s="39" t="s">
        <v>1450</v>
      </c>
      <c r="B26" s="1"/>
      <c r="C26" s="1"/>
      <c r="D26" s="71">
        <v>4.99</v>
      </c>
      <c r="E26" s="71">
        <v>4.99</v>
      </c>
      <c r="F26" s="71">
        <f t="shared" si="6"/>
        <v>0</v>
      </c>
      <c r="G26" s="39">
        <v>40.0</v>
      </c>
      <c r="H26" s="71">
        <f t="shared" si="5"/>
        <v>0.12475</v>
      </c>
    </row>
    <row r="27">
      <c r="A27" s="39" t="s">
        <v>1622</v>
      </c>
      <c r="B27" s="1"/>
      <c r="C27" s="1"/>
      <c r="D27" s="71">
        <v>19.99</v>
      </c>
      <c r="E27" s="71">
        <v>17.99</v>
      </c>
      <c r="F27" s="71">
        <f t="shared" si="6"/>
        <v>2</v>
      </c>
      <c r="G27" s="72">
        <v>40.0</v>
      </c>
      <c r="H27" s="71">
        <f t="shared" si="5"/>
        <v>0.44975</v>
      </c>
    </row>
    <row r="28">
      <c r="A28" s="39" t="s">
        <v>1469</v>
      </c>
      <c r="B28" s="1"/>
      <c r="C28" s="1"/>
      <c r="D28" s="71">
        <v>24.97</v>
      </c>
      <c r="E28" s="71">
        <v>24.97</v>
      </c>
      <c r="F28" s="71">
        <f t="shared" si="6"/>
        <v>0</v>
      </c>
      <c r="G28" s="39">
        <v>35.0</v>
      </c>
      <c r="H28" s="71">
        <f t="shared" si="5"/>
        <v>0.7134285714</v>
      </c>
    </row>
    <row r="29">
      <c r="A29" s="39" t="s">
        <v>1447</v>
      </c>
      <c r="B29" s="1"/>
      <c r="C29" s="1"/>
      <c r="D29" s="71">
        <v>4.99</v>
      </c>
      <c r="E29" s="71">
        <v>4.99</v>
      </c>
      <c r="F29" s="71">
        <f t="shared" si="6"/>
        <v>0</v>
      </c>
      <c r="G29" s="39">
        <v>30.0</v>
      </c>
      <c r="H29" s="71">
        <f t="shared" si="5"/>
        <v>0.1663333333</v>
      </c>
    </row>
    <row r="30">
      <c r="A30" s="72" t="s">
        <v>1477</v>
      </c>
      <c r="B30" s="1"/>
      <c r="C30" s="1"/>
      <c r="D30" s="71">
        <v>9.99</v>
      </c>
      <c r="E30" s="71">
        <v>9.99</v>
      </c>
      <c r="F30" s="71">
        <f t="shared" si="6"/>
        <v>0</v>
      </c>
      <c r="G30" s="39">
        <v>30.0</v>
      </c>
      <c r="H30" s="71">
        <f t="shared" si="5"/>
        <v>0.333</v>
      </c>
    </row>
    <row r="31">
      <c r="A31" s="39" t="s">
        <v>1474</v>
      </c>
      <c r="B31" s="1"/>
      <c r="C31" s="1"/>
      <c r="D31" s="71">
        <v>26.98</v>
      </c>
      <c r="E31" s="71">
        <v>26.98</v>
      </c>
      <c r="F31" s="71">
        <f t="shared" si="6"/>
        <v>0</v>
      </c>
      <c r="G31" s="39">
        <v>30.0</v>
      </c>
      <c r="H31" s="71">
        <f t="shared" si="5"/>
        <v>0.8993333333</v>
      </c>
    </row>
    <row r="32">
      <c r="A32" s="461"/>
      <c r="B32" s="462"/>
      <c r="C32" s="461"/>
      <c r="D32" s="461"/>
      <c r="E32" s="461"/>
      <c r="F32" s="461"/>
      <c r="G32" s="461"/>
      <c r="H32" s="461"/>
    </row>
    <row r="33">
      <c r="A33" s="43" t="s">
        <v>549</v>
      </c>
      <c r="B33" s="43" t="s">
        <v>29</v>
      </c>
      <c r="C33" s="43">
        <f>COUNTA(A34:A51)</f>
        <v>18</v>
      </c>
      <c r="D33" s="145">
        <f t="shared" ref="D33:G33" si="7">SUM(D34:D51)</f>
        <v>489.86</v>
      </c>
      <c r="E33" s="145">
        <f t="shared" si="7"/>
        <v>133.42</v>
      </c>
      <c r="F33" s="145">
        <f t="shared" si="7"/>
        <v>356.44</v>
      </c>
      <c r="G33" s="44">
        <f t="shared" si="7"/>
        <v>853</v>
      </c>
      <c r="H33" s="145">
        <f t="shared" ref="H33:H51" si="8">E33/G33</f>
        <v>0.1564126612</v>
      </c>
    </row>
    <row r="34">
      <c r="A34" s="39" t="s">
        <v>1473</v>
      </c>
      <c r="B34" s="1"/>
      <c r="C34" s="1"/>
      <c r="D34" s="71">
        <v>8.0</v>
      </c>
      <c r="E34" s="71">
        <v>3.0</v>
      </c>
      <c r="F34" s="71">
        <f t="shared" ref="F34:F51" si="9">D34-E34</f>
        <v>5</v>
      </c>
      <c r="G34" s="39">
        <v>110.0</v>
      </c>
      <c r="H34" s="71">
        <f t="shared" si="8"/>
        <v>0.02727272727</v>
      </c>
    </row>
    <row r="35">
      <c r="A35" s="72" t="s">
        <v>1465</v>
      </c>
      <c r="B35" s="1"/>
      <c r="C35" s="1"/>
      <c r="D35" s="71">
        <v>8.99</v>
      </c>
      <c r="E35" s="71">
        <v>3.99</v>
      </c>
      <c r="F35" s="71">
        <f t="shared" si="9"/>
        <v>5</v>
      </c>
      <c r="G35" s="39">
        <v>100.0</v>
      </c>
      <c r="H35" s="71">
        <f t="shared" si="8"/>
        <v>0.0399</v>
      </c>
    </row>
    <row r="36">
      <c r="A36" s="39" t="s">
        <v>1470</v>
      </c>
      <c r="B36" s="1"/>
      <c r="C36" s="1"/>
      <c r="D36" s="71">
        <v>8.0</v>
      </c>
      <c r="E36" s="71">
        <v>3.0</v>
      </c>
      <c r="F36" s="71">
        <f t="shared" si="9"/>
        <v>5</v>
      </c>
      <c r="G36" s="39">
        <v>90.0</v>
      </c>
      <c r="H36" s="71">
        <f t="shared" si="8"/>
        <v>0.03333333333</v>
      </c>
    </row>
    <row r="37">
      <c r="A37" s="39" t="s">
        <v>1752</v>
      </c>
      <c r="B37" s="1"/>
      <c r="C37" s="1"/>
      <c r="D37" s="71">
        <v>79.99</v>
      </c>
      <c r="E37" s="71">
        <v>0.0</v>
      </c>
      <c r="F37" s="71">
        <f t="shared" si="9"/>
        <v>79.99</v>
      </c>
      <c r="G37" s="39">
        <v>82.0</v>
      </c>
      <c r="H37" s="71">
        <f t="shared" si="8"/>
        <v>0</v>
      </c>
    </row>
    <row r="38">
      <c r="A38" s="39" t="s">
        <v>1460</v>
      </c>
      <c r="B38" s="1"/>
      <c r="C38" s="1"/>
      <c r="D38" s="71">
        <v>3.0</v>
      </c>
      <c r="E38" s="71">
        <v>3.0</v>
      </c>
      <c r="F38" s="71">
        <f t="shared" si="9"/>
        <v>0</v>
      </c>
      <c r="G38" s="39">
        <v>65.0</v>
      </c>
      <c r="H38" s="71">
        <f t="shared" si="8"/>
        <v>0.04615384615</v>
      </c>
    </row>
    <row r="39">
      <c r="A39" s="39" t="s">
        <v>1458</v>
      </c>
      <c r="B39" s="1"/>
      <c r="C39" s="1"/>
      <c r="D39" s="71">
        <v>3.0</v>
      </c>
      <c r="E39" s="71">
        <v>3.0</v>
      </c>
      <c r="F39" s="71">
        <f t="shared" si="9"/>
        <v>0</v>
      </c>
      <c r="G39" s="39">
        <v>55.0</v>
      </c>
      <c r="H39" s="71">
        <f t="shared" si="8"/>
        <v>0.05454545455</v>
      </c>
    </row>
    <row r="40">
      <c r="A40" s="39" t="s">
        <v>1479</v>
      </c>
      <c r="B40" s="1"/>
      <c r="C40" s="1"/>
      <c r="D40" s="71">
        <v>14.99</v>
      </c>
      <c r="E40" s="71">
        <v>14.99</v>
      </c>
      <c r="F40" s="71">
        <f t="shared" si="9"/>
        <v>0</v>
      </c>
      <c r="G40" s="39">
        <v>55.0</v>
      </c>
      <c r="H40" s="71">
        <f t="shared" si="8"/>
        <v>0.2725454545</v>
      </c>
    </row>
    <row r="41">
      <c r="A41" s="72" t="s">
        <v>1506</v>
      </c>
      <c r="B41" s="1"/>
      <c r="C41" s="1"/>
      <c r="D41" s="71">
        <v>14.99</v>
      </c>
      <c r="E41" s="71">
        <v>10.0</v>
      </c>
      <c r="F41" s="71">
        <f t="shared" si="9"/>
        <v>4.99</v>
      </c>
      <c r="G41" s="39">
        <v>50.0</v>
      </c>
      <c r="H41" s="71">
        <f t="shared" si="8"/>
        <v>0.2</v>
      </c>
    </row>
    <row r="42">
      <c r="A42" s="72" t="s">
        <v>1494</v>
      </c>
      <c r="B42" s="1"/>
      <c r="C42" s="1"/>
      <c r="D42" s="71">
        <v>14.99</v>
      </c>
      <c r="E42" s="71">
        <v>10.0</v>
      </c>
      <c r="F42" s="71">
        <f t="shared" si="9"/>
        <v>4.99</v>
      </c>
      <c r="G42" s="39">
        <v>45.0</v>
      </c>
      <c r="H42" s="71">
        <f t="shared" si="8"/>
        <v>0.2222222222</v>
      </c>
    </row>
    <row r="43">
      <c r="A43" s="39" t="s">
        <v>1753</v>
      </c>
      <c r="B43" s="1"/>
      <c r="C43" s="1"/>
      <c r="D43" s="42">
        <v>89.99</v>
      </c>
      <c r="E43" s="42">
        <v>0.0</v>
      </c>
      <c r="F43" s="71">
        <f t="shared" si="9"/>
        <v>89.99</v>
      </c>
      <c r="G43" s="39">
        <v>44.0</v>
      </c>
      <c r="H43" s="71">
        <f t="shared" si="8"/>
        <v>0</v>
      </c>
    </row>
    <row r="44">
      <c r="A44" s="39" t="s">
        <v>1452</v>
      </c>
      <c r="B44" s="1"/>
      <c r="C44" s="1"/>
      <c r="D44" s="71">
        <v>3.99</v>
      </c>
      <c r="E44" s="71">
        <v>3.99</v>
      </c>
      <c r="F44" s="71">
        <f t="shared" si="9"/>
        <v>0</v>
      </c>
      <c r="G44" s="39">
        <v>40.0</v>
      </c>
      <c r="H44" s="71">
        <f t="shared" si="8"/>
        <v>0.09975</v>
      </c>
    </row>
    <row r="45">
      <c r="A45" s="39" t="s">
        <v>1754</v>
      </c>
      <c r="B45" s="1"/>
      <c r="C45" s="1"/>
      <c r="D45" s="71">
        <v>59.99</v>
      </c>
      <c r="E45" s="71">
        <v>29.99</v>
      </c>
      <c r="F45" s="71">
        <f t="shared" si="9"/>
        <v>30</v>
      </c>
      <c r="G45" s="39">
        <v>29.0</v>
      </c>
      <c r="H45" s="71">
        <f t="shared" si="8"/>
        <v>1.034137931</v>
      </c>
    </row>
    <row r="46">
      <c r="A46" s="39" t="s">
        <v>1598</v>
      </c>
      <c r="B46" s="1"/>
      <c r="C46" s="1"/>
      <c r="D46" s="71">
        <v>39.99</v>
      </c>
      <c r="E46" s="71">
        <v>16.49</v>
      </c>
      <c r="F46" s="71">
        <f t="shared" si="9"/>
        <v>23.5</v>
      </c>
      <c r="G46" s="39">
        <v>28.0</v>
      </c>
      <c r="H46" s="71">
        <f t="shared" si="8"/>
        <v>0.5889285714</v>
      </c>
    </row>
    <row r="47">
      <c r="A47" s="72" t="s">
        <v>1542</v>
      </c>
      <c r="B47" s="1"/>
      <c r="C47" s="1"/>
      <c r="D47" s="71">
        <v>14.99</v>
      </c>
      <c r="E47" s="71">
        <v>4.99</v>
      </c>
      <c r="F47" s="71">
        <f t="shared" si="9"/>
        <v>10</v>
      </c>
      <c r="G47" s="39">
        <v>20.0</v>
      </c>
      <c r="H47" s="71">
        <f t="shared" si="8"/>
        <v>0.2495</v>
      </c>
    </row>
    <row r="48">
      <c r="A48" s="39" t="s">
        <v>1736</v>
      </c>
      <c r="B48" s="1"/>
      <c r="C48" s="1"/>
      <c r="D48" s="42">
        <v>79.99</v>
      </c>
      <c r="E48" s="42">
        <v>0.0</v>
      </c>
      <c r="F48" s="71">
        <f t="shared" si="9"/>
        <v>79.99</v>
      </c>
      <c r="G48" s="39">
        <v>19.0</v>
      </c>
      <c r="H48" s="71">
        <f t="shared" si="8"/>
        <v>0</v>
      </c>
    </row>
    <row r="49">
      <c r="A49" s="72" t="s">
        <v>1557</v>
      </c>
      <c r="B49" s="1"/>
      <c r="C49" s="1"/>
      <c r="D49" s="71">
        <v>19.99</v>
      </c>
      <c r="E49" s="71">
        <v>14.99</v>
      </c>
      <c r="F49" s="71">
        <f t="shared" si="9"/>
        <v>5</v>
      </c>
      <c r="G49" s="39">
        <v>15.0</v>
      </c>
      <c r="H49" s="71">
        <f t="shared" si="8"/>
        <v>0.9993333333</v>
      </c>
    </row>
    <row r="50">
      <c r="A50" s="72" t="s">
        <v>1496</v>
      </c>
      <c r="B50" s="1"/>
      <c r="C50" s="1"/>
      <c r="D50" s="71">
        <v>9.99</v>
      </c>
      <c r="E50" s="71">
        <v>9.99</v>
      </c>
      <c r="F50" s="71">
        <f t="shared" si="9"/>
        <v>0</v>
      </c>
      <c r="G50" s="39">
        <v>5.0</v>
      </c>
      <c r="H50" s="71">
        <f t="shared" si="8"/>
        <v>1.998</v>
      </c>
    </row>
    <row r="51">
      <c r="A51" s="39" t="s">
        <v>1492</v>
      </c>
      <c r="B51" s="1"/>
      <c r="C51" s="1"/>
      <c r="D51" s="71">
        <v>14.99</v>
      </c>
      <c r="E51" s="71">
        <v>2.0</v>
      </c>
      <c r="F51" s="71">
        <f t="shared" si="9"/>
        <v>12.99</v>
      </c>
      <c r="G51" s="39">
        <v>1.0</v>
      </c>
      <c r="H51" s="71">
        <f t="shared" si="8"/>
        <v>2</v>
      </c>
    </row>
    <row r="52">
      <c r="A52" s="39"/>
      <c r="B52" s="1"/>
      <c r="C52" s="1"/>
      <c r="D52" s="71"/>
      <c r="E52" s="71"/>
      <c r="F52" s="71"/>
      <c r="G52" s="39"/>
      <c r="H52" s="71"/>
    </row>
    <row r="53">
      <c r="A53" s="43" t="s">
        <v>361</v>
      </c>
      <c r="B53" s="43" t="s">
        <v>325</v>
      </c>
      <c r="C53" s="43">
        <f>COUNTA(A54:A73)</f>
        <v>20</v>
      </c>
      <c r="D53" s="145">
        <f t="shared" ref="D53:G53" si="10">SUM(D54:D73)</f>
        <v>306.53</v>
      </c>
      <c r="E53" s="145">
        <f t="shared" si="10"/>
        <v>96.17</v>
      </c>
      <c r="F53" s="145">
        <f t="shared" si="10"/>
        <v>210.36</v>
      </c>
      <c r="G53" s="44">
        <f t="shared" si="10"/>
        <v>507</v>
      </c>
      <c r="H53" s="145">
        <f t="shared" ref="H53:H73" si="11">E53/G53</f>
        <v>0.1896844181</v>
      </c>
    </row>
    <row r="54">
      <c r="A54" s="39" t="s">
        <v>1145</v>
      </c>
      <c r="B54" s="1"/>
      <c r="C54" s="1"/>
      <c r="D54" s="71">
        <v>13.33</v>
      </c>
      <c r="E54" s="71">
        <v>8.0</v>
      </c>
      <c r="F54" s="71">
        <f t="shared" ref="F54:F73" si="12">D54-E54</f>
        <v>5.33</v>
      </c>
      <c r="G54" s="72">
        <v>147.0</v>
      </c>
      <c r="H54" s="71">
        <f t="shared" si="11"/>
        <v>0.05442176871</v>
      </c>
    </row>
    <row r="55">
      <c r="A55" s="39" t="s">
        <v>1147</v>
      </c>
      <c r="B55" s="1"/>
      <c r="C55" s="1"/>
      <c r="D55" s="71">
        <v>13.33</v>
      </c>
      <c r="E55" s="71">
        <v>8.0</v>
      </c>
      <c r="F55" s="71">
        <f t="shared" si="12"/>
        <v>5.33</v>
      </c>
      <c r="G55" s="72">
        <v>126.0</v>
      </c>
      <c r="H55" s="71">
        <f t="shared" si="11"/>
        <v>0.06349206349</v>
      </c>
    </row>
    <row r="56">
      <c r="A56" s="39" t="s">
        <v>1158</v>
      </c>
      <c r="B56" s="1"/>
      <c r="C56" s="1"/>
      <c r="D56" s="71">
        <v>19.99</v>
      </c>
      <c r="E56" s="71">
        <v>0.0</v>
      </c>
      <c r="F56" s="71">
        <f t="shared" si="12"/>
        <v>19.99</v>
      </c>
      <c r="G56" s="72">
        <v>118.0</v>
      </c>
      <c r="H56" s="71">
        <f t="shared" si="11"/>
        <v>0</v>
      </c>
    </row>
    <row r="57">
      <c r="A57" s="39" t="s">
        <v>1112</v>
      </c>
      <c r="B57" s="1"/>
      <c r="C57" s="1"/>
      <c r="D57" s="71">
        <v>9.99</v>
      </c>
      <c r="E57" s="71">
        <v>9.99</v>
      </c>
      <c r="F57" s="71">
        <f t="shared" si="12"/>
        <v>0</v>
      </c>
      <c r="G57" s="39">
        <v>30.0</v>
      </c>
      <c r="H57" s="71">
        <f t="shared" si="11"/>
        <v>0.333</v>
      </c>
    </row>
    <row r="58">
      <c r="A58" s="72" t="s">
        <v>1150</v>
      </c>
      <c r="B58" s="1"/>
      <c r="C58" s="1"/>
      <c r="D58" s="71">
        <v>19.99</v>
      </c>
      <c r="E58" s="71">
        <v>5.0</v>
      </c>
      <c r="F58" s="71">
        <f t="shared" si="12"/>
        <v>14.99</v>
      </c>
      <c r="G58" s="39">
        <v>25.0</v>
      </c>
      <c r="H58" s="71">
        <f t="shared" si="11"/>
        <v>0.2</v>
      </c>
    </row>
    <row r="59">
      <c r="A59" s="39" t="s">
        <v>1151</v>
      </c>
      <c r="B59" s="1"/>
      <c r="C59" s="1"/>
      <c r="D59" s="71">
        <v>14.99</v>
      </c>
      <c r="E59" s="71">
        <v>14.99</v>
      </c>
      <c r="F59" s="71">
        <f t="shared" si="12"/>
        <v>0</v>
      </c>
      <c r="G59" s="39">
        <v>25.0</v>
      </c>
      <c r="H59" s="71">
        <f t="shared" si="11"/>
        <v>0.5996</v>
      </c>
    </row>
    <row r="60">
      <c r="A60" s="39" t="s">
        <v>1258</v>
      </c>
      <c r="B60" s="1"/>
      <c r="C60" s="1"/>
      <c r="D60" s="71">
        <v>39.99</v>
      </c>
      <c r="E60" s="71">
        <v>19.99</v>
      </c>
      <c r="F60" s="71">
        <f t="shared" si="12"/>
        <v>20</v>
      </c>
      <c r="G60" s="39">
        <v>6.0</v>
      </c>
      <c r="H60" s="71">
        <f t="shared" si="11"/>
        <v>3.331666667</v>
      </c>
    </row>
    <row r="61">
      <c r="A61" s="39" t="s">
        <v>1148</v>
      </c>
      <c r="B61" s="1"/>
      <c r="C61" s="1"/>
      <c r="D61" s="71">
        <v>4.49</v>
      </c>
      <c r="E61" s="71">
        <v>4.49</v>
      </c>
      <c r="F61" s="71">
        <f t="shared" si="12"/>
        <v>0</v>
      </c>
      <c r="G61" s="39">
        <v>5.0</v>
      </c>
      <c r="H61" s="71">
        <f t="shared" si="11"/>
        <v>0.898</v>
      </c>
    </row>
    <row r="62">
      <c r="A62" s="39" t="s">
        <v>1161</v>
      </c>
      <c r="B62" s="1"/>
      <c r="C62" s="1"/>
      <c r="D62" s="71">
        <v>7.99</v>
      </c>
      <c r="E62" s="71">
        <v>7.99</v>
      </c>
      <c r="F62" s="71">
        <f t="shared" si="12"/>
        <v>0</v>
      </c>
      <c r="G62" s="39">
        <v>5.0</v>
      </c>
      <c r="H62" s="71">
        <f t="shared" si="11"/>
        <v>1.598</v>
      </c>
    </row>
    <row r="63">
      <c r="A63" s="72" t="s">
        <v>1280</v>
      </c>
      <c r="B63" s="1"/>
      <c r="C63" s="1"/>
      <c r="D63" s="71">
        <v>11.24</v>
      </c>
      <c r="E63" s="71">
        <v>0.0</v>
      </c>
      <c r="F63" s="71">
        <f t="shared" si="12"/>
        <v>11.24</v>
      </c>
      <c r="G63" s="39">
        <v>3.0</v>
      </c>
      <c r="H63" s="71">
        <f t="shared" si="11"/>
        <v>0</v>
      </c>
    </row>
    <row r="64">
      <c r="A64" s="72" t="s">
        <v>1153</v>
      </c>
      <c r="B64" s="1"/>
      <c r="C64" s="1"/>
      <c r="D64" s="71">
        <v>11.25</v>
      </c>
      <c r="E64" s="71">
        <v>0.0</v>
      </c>
      <c r="F64" s="71">
        <f t="shared" si="12"/>
        <v>11.25</v>
      </c>
      <c r="G64" s="39">
        <v>3.0</v>
      </c>
      <c r="H64" s="71">
        <f t="shared" si="11"/>
        <v>0</v>
      </c>
    </row>
    <row r="65">
      <c r="A65" s="72" t="s">
        <v>1278</v>
      </c>
      <c r="B65" s="1"/>
      <c r="C65" s="1"/>
      <c r="D65" s="71">
        <v>11.25</v>
      </c>
      <c r="E65" s="71">
        <v>0.0</v>
      </c>
      <c r="F65" s="71">
        <f t="shared" si="12"/>
        <v>11.25</v>
      </c>
      <c r="G65" s="39">
        <v>3.0</v>
      </c>
      <c r="H65" s="71">
        <f t="shared" si="11"/>
        <v>0</v>
      </c>
    </row>
    <row r="66">
      <c r="A66" s="72" t="s">
        <v>1279</v>
      </c>
      <c r="B66" s="1"/>
      <c r="C66" s="1"/>
      <c r="D66" s="71">
        <v>11.25</v>
      </c>
      <c r="E66" s="71">
        <v>0.0</v>
      </c>
      <c r="F66" s="71">
        <f t="shared" si="12"/>
        <v>11.25</v>
      </c>
      <c r="G66" s="39">
        <v>3.0</v>
      </c>
      <c r="H66" s="71">
        <f t="shared" si="11"/>
        <v>0</v>
      </c>
    </row>
    <row r="67">
      <c r="A67" s="39" t="s">
        <v>1152</v>
      </c>
      <c r="B67" s="1"/>
      <c r="C67" s="1"/>
      <c r="D67" s="71">
        <v>7.99</v>
      </c>
      <c r="E67" s="71">
        <v>7.99</v>
      </c>
      <c r="F67" s="71">
        <f t="shared" si="12"/>
        <v>0</v>
      </c>
      <c r="G67" s="39">
        <v>2.0</v>
      </c>
      <c r="H67" s="71">
        <f t="shared" si="11"/>
        <v>3.995</v>
      </c>
    </row>
    <row r="68">
      <c r="A68" s="39" t="s">
        <v>1274</v>
      </c>
      <c r="B68" s="1"/>
      <c r="C68" s="1"/>
      <c r="D68" s="42">
        <v>39.99</v>
      </c>
      <c r="E68" s="42">
        <v>0.0</v>
      </c>
      <c r="F68" s="42">
        <f t="shared" si="12"/>
        <v>39.99</v>
      </c>
      <c r="G68" s="39">
        <v>1.0</v>
      </c>
      <c r="H68" s="42">
        <f t="shared" si="11"/>
        <v>0</v>
      </c>
    </row>
    <row r="69">
      <c r="A69" s="39" t="s">
        <v>1135</v>
      </c>
      <c r="B69" s="1"/>
      <c r="C69" s="1"/>
      <c r="D69" s="71">
        <v>29.99</v>
      </c>
      <c r="E69" s="71">
        <v>0.0</v>
      </c>
      <c r="F69" s="71">
        <f t="shared" si="12"/>
        <v>29.99</v>
      </c>
      <c r="G69" s="39">
        <v>1.0</v>
      </c>
      <c r="H69" s="71">
        <f t="shared" si="11"/>
        <v>0</v>
      </c>
    </row>
    <row r="70">
      <c r="A70" s="72" t="s">
        <v>1124</v>
      </c>
      <c r="B70" s="1"/>
      <c r="C70" s="1"/>
      <c r="D70" s="71">
        <v>2.24</v>
      </c>
      <c r="E70" s="71">
        <v>2.24</v>
      </c>
      <c r="F70" s="71">
        <f t="shared" si="12"/>
        <v>0</v>
      </c>
      <c r="G70" s="39">
        <v>1.0</v>
      </c>
      <c r="H70" s="71">
        <f t="shared" si="11"/>
        <v>2.24</v>
      </c>
    </row>
    <row r="71">
      <c r="A71" s="72" t="s">
        <v>1097</v>
      </c>
      <c r="B71" s="1"/>
      <c r="C71" s="1"/>
      <c r="D71" s="71">
        <v>2.25</v>
      </c>
      <c r="E71" s="71">
        <v>2.25</v>
      </c>
      <c r="F71" s="71">
        <f t="shared" si="12"/>
        <v>0</v>
      </c>
      <c r="G71" s="39">
        <v>1.0</v>
      </c>
      <c r="H71" s="71">
        <f t="shared" si="11"/>
        <v>2.25</v>
      </c>
    </row>
    <row r="72">
      <c r="A72" s="186" t="s">
        <v>1247</v>
      </c>
      <c r="B72" s="1"/>
      <c r="C72" s="1"/>
      <c r="D72" s="185">
        <v>17.5</v>
      </c>
      <c r="E72" s="185">
        <v>2.62</v>
      </c>
      <c r="F72" s="185">
        <f t="shared" si="12"/>
        <v>14.88</v>
      </c>
      <c r="G72" s="189">
        <v>1.0</v>
      </c>
      <c r="H72" s="185">
        <f t="shared" si="11"/>
        <v>2.62</v>
      </c>
    </row>
    <row r="73">
      <c r="A73" s="191" t="s">
        <v>1248</v>
      </c>
      <c r="B73" s="1"/>
      <c r="C73" s="1"/>
      <c r="D73" s="190">
        <v>17.49</v>
      </c>
      <c r="E73" s="190">
        <v>2.62</v>
      </c>
      <c r="F73" s="190">
        <f t="shared" si="12"/>
        <v>14.87</v>
      </c>
      <c r="G73" s="194">
        <v>1.0</v>
      </c>
      <c r="H73" s="190">
        <f t="shared" si="11"/>
        <v>2.62</v>
      </c>
    </row>
    <row r="74">
      <c r="A74" s="461"/>
      <c r="B74" s="462"/>
      <c r="C74" s="461"/>
      <c r="D74" s="461"/>
      <c r="E74" s="461"/>
      <c r="F74" s="461"/>
      <c r="G74" s="461"/>
      <c r="H74" s="461"/>
    </row>
    <row r="75">
      <c r="A75" s="233" t="s">
        <v>432</v>
      </c>
      <c r="B75" s="233" t="s">
        <v>430</v>
      </c>
      <c r="C75" s="236">
        <f>COUNTA(A76:A81)</f>
        <v>6</v>
      </c>
      <c r="D75" s="463">
        <f t="shared" ref="D75:G75" si="13">SUM(D76:D81)</f>
        <v>218.95</v>
      </c>
      <c r="E75" s="463">
        <f t="shared" si="13"/>
        <v>120.95</v>
      </c>
      <c r="F75" s="463">
        <f t="shared" si="13"/>
        <v>98</v>
      </c>
      <c r="G75" s="236">
        <f t="shared" si="13"/>
        <v>480</v>
      </c>
      <c r="H75" s="463">
        <f t="shared" ref="H75:H81" si="14">E75/G75</f>
        <v>0.2519791667</v>
      </c>
    </row>
    <row r="76">
      <c r="A76" s="464" t="s">
        <v>1369</v>
      </c>
      <c r="B76" s="465"/>
      <c r="C76" s="465"/>
      <c r="D76" s="466">
        <v>109.98</v>
      </c>
      <c r="E76" s="466">
        <v>34.98</v>
      </c>
      <c r="F76" s="466">
        <f t="shared" ref="F76:F81" si="15">D76-E76</f>
        <v>75</v>
      </c>
      <c r="G76" s="464">
        <v>170.0</v>
      </c>
      <c r="H76" s="466">
        <f t="shared" si="14"/>
        <v>0.2057647059</v>
      </c>
    </row>
    <row r="77">
      <c r="A77" s="464" t="s">
        <v>1367</v>
      </c>
      <c r="B77" s="465"/>
      <c r="C77" s="465"/>
      <c r="D77" s="466">
        <v>12.0</v>
      </c>
      <c r="E77" s="466">
        <v>7.0</v>
      </c>
      <c r="F77" s="466">
        <f t="shared" si="15"/>
        <v>5</v>
      </c>
      <c r="G77" s="464">
        <v>110.0</v>
      </c>
      <c r="H77" s="466">
        <f t="shared" si="14"/>
        <v>0.06363636364</v>
      </c>
    </row>
    <row r="78">
      <c r="A78" s="467" t="s">
        <v>1365</v>
      </c>
      <c r="B78" s="465"/>
      <c r="C78" s="465"/>
      <c r="D78" s="466">
        <v>12.0</v>
      </c>
      <c r="E78" s="466">
        <v>7.0</v>
      </c>
      <c r="F78" s="466">
        <f t="shared" si="15"/>
        <v>5</v>
      </c>
      <c r="G78" s="467">
        <v>60.0</v>
      </c>
      <c r="H78" s="466">
        <f t="shared" si="14"/>
        <v>0.1166666667</v>
      </c>
    </row>
    <row r="79">
      <c r="A79" s="464" t="s">
        <v>1368</v>
      </c>
      <c r="B79" s="465"/>
      <c r="C79" s="465"/>
      <c r="D79" s="466">
        <v>59.99</v>
      </c>
      <c r="E79" s="466">
        <v>59.99</v>
      </c>
      <c r="F79" s="466">
        <f t="shared" si="15"/>
        <v>0</v>
      </c>
      <c r="G79" s="464">
        <v>60.0</v>
      </c>
      <c r="H79" s="466">
        <f t="shared" si="14"/>
        <v>0.9998333333</v>
      </c>
    </row>
    <row r="80">
      <c r="A80" s="467" t="s">
        <v>1364</v>
      </c>
      <c r="B80" s="465"/>
      <c r="C80" s="465"/>
      <c r="D80" s="466">
        <v>10.99</v>
      </c>
      <c r="E80" s="466">
        <v>5.99</v>
      </c>
      <c r="F80" s="466">
        <f t="shared" si="15"/>
        <v>5</v>
      </c>
      <c r="G80" s="464">
        <v>55.0</v>
      </c>
      <c r="H80" s="466">
        <f t="shared" si="14"/>
        <v>0.1089090909</v>
      </c>
    </row>
    <row r="81">
      <c r="A81" s="464" t="s">
        <v>1366</v>
      </c>
      <c r="B81" s="465"/>
      <c r="C81" s="465"/>
      <c r="D81" s="466">
        <v>13.99</v>
      </c>
      <c r="E81" s="466">
        <v>5.99</v>
      </c>
      <c r="F81" s="466">
        <f t="shared" si="15"/>
        <v>8</v>
      </c>
      <c r="G81" s="464">
        <v>25.0</v>
      </c>
      <c r="H81" s="466">
        <f t="shared" si="14"/>
        <v>0.2396</v>
      </c>
    </row>
    <row r="82">
      <c r="A82" s="461"/>
      <c r="B82" s="462"/>
      <c r="C82" s="461"/>
      <c r="D82" s="461"/>
      <c r="E82" s="461"/>
      <c r="F82" s="461"/>
      <c r="G82" s="461"/>
      <c r="H82" s="461"/>
    </row>
    <row r="83">
      <c r="A83" s="43" t="s">
        <v>135</v>
      </c>
      <c r="B83" s="43" t="s">
        <v>92</v>
      </c>
      <c r="C83" s="43">
        <f>COUNTA(A84:A98)</f>
        <v>15</v>
      </c>
      <c r="D83" s="145">
        <f t="shared" ref="D83:G83" si="16">SUM(D84:D98)</f>
        <v>544.86</v>
      </c>
      <c r="E83" s="145">
        <f t="shared" si="16"/>
        <v>238.37</v>
      </c>
      <c r="F83" s="145">
        <f t="shared" si="16"/>
        <v>306.49</v>
      </c>
      <c r="G83" s="44">
        <f t="shared" si="16"/>
        <v>478</v>
      </c>
      <c r="H83" s="145">
        <f t="shared" ref="H83:H98" si="17">E83/G83</f>
        <v>0.4986820084</v>
      </c>
    </row>
    <row r="84">
      <c r="A84" s="258" t="s">
        <v>739</v>
      </c>
      <c r="B84" s="460"/>
      <c r="C84" s="460"/>
      <c r="D84" s="257">
        <v>99.98</v>
      </c>
      <c r="E84" s="257">
        <v>49.98</v>
      </c>
      <c r="F84" s="257">
        <f t="shared" ref="F84:F98" si="18">D84-E84</f>
        <v>50</v>
      </c>
      <c r="G84" s="258">
        <v>103.0</v>
      </c>
      <c r="H84" s="257">
        <f t="shared" si="17"/>
        <v>0.4852427184</v>
      </c>
    </row>
    <row r="85">
      <c r="A85" s="182" t="s">
        <v>717</v>
      </c>
      <c r="B85" s="460"/>
      <c r="C85" s="460"/>
      <c r="D85" s="71">
        <v>19.99</v>
      </c>
      <c r="E85" s="71">
        <v>7.99</v>
      </c>
      <c r="F85" s="71">
        <f t="shared" si="18"/>
        <v>12</v>
      </c>
      <c r="G85" s="39">
        <v>71.0</v>
      </c>
      <c r="H85" s="71">
        <f t="shared" si="17"/>
        <v>0.1125352113</v>
      </c>
    </row>
    <row r="86">
      <c r="A86" s="258" t="s">
        <v>737</v>
      </c>
      <c r="B86" s="460"/>
      <c r="C86" s="460"/>
      <c r="D86" s="257">
        <v>69.99</v>
      </c>
      <c r="E86" s="257">
        <v>14.99</v>
      </c>
      <c r="F86" s="257">
        <f t="shared" si="18"/>
        <v>55</v>
      </c>
      <c r="G86" s="182">
        <v>56.0</v>
      </c>
      <c r="H86" s="257">
        <f t="shared" si="17"/>
        <v>0.2676785714</v>
      </c>
    </row>
    <row r="87">
      <c r="A87" s="258" t="s">
        <v>741</v>
      </c>
      <c r="B87" s="460"/>
      <c r="C87" s="460"/>
      <c r="D87" s="257">
        <v>54.99</v>
      </c>
      <c r="E87" s="257">
        <v>27.49</v>
      </c>
      <c r="F87" s="257">
        <f t="shared" si="18"/>
        <v>27.5</v>
      </c>
      <c r="G87" s="258">
        <v>51.0</v>
      </c>
      <c r="H87" s="257">
        <f t="shared" si="17"/>
        <v>0.5390196078</v>
      </c>
    </row>
    <row r="88">
      <c r="A88" s="258" t="s">
        <v>690</v>
      </c>
      <c r="B88" s="460"/>
      <c r="C88" s="460"/>
      <c r="D88" s="257">
        <v>14.99</v>
      </c>
      <c r="E88" s="257">
        <v>2.0</v>
      </c>
      <c r="F88" s="257">
        <f t="shared" si="18"/>
        <v>12.99</v>
      </c>
      <c r="G88" s="258">
        <v>50.0</v>
      </c>
      <c r="H88" s="257">
        <f t="shared" si="17"/>
        <v>0.04</v>
      </c>
    </row>
    <row r="89">
      <c r="A89" s="258" t="s">
        <v>720</v>
      </c>
      <c r="B89" s="460"/>
      <c r="C89" s="460"/>
      <c r="D89" s="257">
        <v>24.99</v>
      </c>
      <c r="E89" s="257">
        <v>7.99</v>
      </c>
      <c r="F89" s="257">
        <f t="shared" si="18"/>
        <v>17</v>
      </c>
      <c r="G89" s="258">
        <v>42.0</v>
      </c>
      <c r="H89" s="257">
        <f t="shared" si="17"/>
        <v>0.1902380952</v>
      </c>
    </row>
    <row r="90">
      <c r="A90" s="258" t="s">
        <v>710</v>
      </c>
      <c r="B90" s="460"/>
      <c r="C90" s="460"/>
      <c r="D90" s="257">
        <v>29.99</v>
      </c>
      <c r="E90" s="257">
        <v>17.99</v>
      </c>
      <c r="F90" s="257">
        <f t="shared" si="18"/>
        <v>12</v>
      </c>
      <c r="G90" s="258">
        <v>36.0</v>
      </c>
      <c r="H90" s="257">
        <f t="shared" si="17"/>
        <v>0.4997222222</v>
      </c>
    </row>
    <row r="91">
      <c r="A91" s="258" t="s">
        <v>733</v>
      </c>
      <c r="B91" s="460"/>
      <c r="C91" s="460"/>
      <c r="D91" s="257">
        <v>24.99</v>
      </c>
      <c r="E91" s="257">
        <v>7.99</v>
      </c>
      <c r="F91" s="257">
        <f t="shared" si="18"/>
        <v>17</v>
      </c>
      <c r="G91" s="258">
        <v>30.0</v>
      </c>
      <c r="H91" s="257">
        <f t="shared" si="17"/>
        <v>0.2663333333</v>
      </c>
    </row>
    <row r="92">
      <c r="A92" s="258" t="s">
        <v>1755</v>
      </c>
      <c r="B92" s="460"/>
      <c r="C92" s="460"/>
      <c r="D92" s="257">
        <v>119.99</v>
      </c>
      <c r="E92" s="257">
        <v>59.99</v>
      </c>
      <c r="F92" s="257">
        <f t="shared" si="18"/>
        <v>60</v>
      </c>
      <c r="G92" s="258">
        <v>22.0</v>
      </c>
      <c r="H92" s="257">
        <f t="shared" si="17"/>
        <v>2.726818182</v>
      </c>
    </row>
    <row r="93">
      <c r="A93" s="258" t="s">
        <v>716</v>
      </c>
      <c r="B93" s="460"/>
      <c r="C93" s="460"/>
      <c r="D93" s="257">
        <v>14.99</v>
      </c>
      <c r="E93" s="257">
        <v>4.99</v>
      </c>
      <c r="F93" s="257">
        <f t="shared" si="18"/>
        <v>10</v>
      </c>
      <c r="G93" s="258">
        <v>7.0</v>
      </c>
      <c r="H93" s="257">
        <f t="shared" si="17"/>
        <v>0.7128571429</v>
      </c>
    </row>
    <row r="94">
      <c r="A94" s="258" t="s">
        <v>684</v>
      </c>
      <c r="B94" s="460"/>
      <c r="C94" s="460"/>
      <c r="D94" s="257">
        <v>5.0</v>
      </c>
      <c r="E94" s="257">
        <v>5.0</v>
      </c>
      <c r="F94" s="257">
        <f t="shared" si="18"/>
        <v>0</v>
      </c>
      <c r="G94" s="258">
        <v>5.0</v>
      </c>
      <c r="H94" s="257">
        <f t="shared" si="17"/>
        <v>1</v>
      </c>
    </row>
    <row r="95">
      <c r="A95" s="258" t="s">
        <v>695</v>
      </c>
      <c r="B95" s="460"/>
      <c r="C95" s="460"/>
      <c r="D95" s="257">
        <v>14.99</v>
      </c>
      <c r="E95" s="257">
        <v>8.99</v>
      </c>
      <c r="F95" s="257">
        <f t="shared" si="18"/>
        <v>6</v>
      </c>
      <c r="G95" s="258">
        <v>2.0</v>
      </c>
      <c r="H95" s="257">
        <f t="shared" si="17"/>
        <v>4.495</v>
      </c>
    </row>
    <row r="96">
      <c r="A96" s="258" t="s">
        <v>687</v>
      </c>
      <c r="B96" s="460"/>
      <c r="C96" s="460"/>
      <c r="D96" s="257">
        <v>4.99</v>
      </c>
      <c r="E96" s="257">
        <v>4.99</v>
      </c>
      <c r="F96" s="257">
        <f t="shared" si="18"/>
        <v>0</v>
      </c>
      <c r="G96" s="258">
        <v>1.0</v>
      </c>
      <c r="H96" s="257">
        <f t="shared" si="17"/>
        <v>4.99</v>
      </c>
    </row>
    <row r="97">
      <c r="A97" s="258" t="s">
        <v>685</v>
      </c>
      <c r="B97" s="460"/>
      <c r="C97" s="460"/>
      <c r="D97" s="257">
        <v>5.0</v>
      </c>
      <c r="E97" s="257">
        <v>5.0</v>
      </c>
      <c r="F97" s="257">
        <f t="shared" si="18"/>
        <v>0</v>
      </c>
      <c r="G97" s="258">
        <v>1.0</v>
      </c>
      <c r="H97" s="257">
        <f t="shared" si="17"/>
        <v>5</v>
      </c>
    </row>
    <row r="98">
      <c r="A98" s="258" t="s">
        <v>766</v>
      </c>
      <c r="B98" s="460"/>
      <c r="C98" s="460"/>
      <c r="D98" s="257">
        <v>39.99</v>
      </c>
      <c r="E98" s="257">
        <v>12.99</v>
      </c>
      <c r="F98" s="257">
        <f t="shared" si="18"/>
        <v>27</v>
      </c>
      <c r="G98" s="258">
        <v>1.0</v>
      </c>
      <c r="H98" s="257">
        <f t="shared" si="17"/>
        <v>12.99</v>
      </c>
    </row>
    <row r="99">
      <c r="A99" s="258"/>
      <c r="B99" s="460"/>
      <c r="C99" s="460"/>
      <c r="D99" s="257"/>
      <c r="E99" s="257"/>
      <c r="F99" s="257"/>
      <c r="G99" s="258"/>
      <c r="H99" s="257"/>
    </row>
    <row r="100">
      <c r="A100" s="43" t="s">
        <v>532</v>
      </c>
      <c r="B100" s="43" t="s">
        <v>29</v>
      </c>
      <c r="C100" s="43">
        <f>COUNTA(A101:A106)</f>
        <v>6</v>
      </c>
      <c r="D100" s="145">
        <f t="shared" ref="D100:G100" si="19">SUM(D101:D106)</f>
        <v>329.93</v>
      </c>
      <c r="E100" s="145">
        <f t="shared" si="19"/>
        <v>244.94</v>
      </c>
      <c r="F100" s="145">
        <f t="shared" si="19"/>
        <v>84.99</v>
      </c>
      <c r="G100" s="44">
        <f t="shared" si="19"/>
        <v>446</v>
      </c>
      <c r="H100" s="145">
        <f t="shared" ref="H100:H106" si="20">E100/G100</f>
        <v>0.5491928251</v>
      </c>
    </row>
    <row r="101">
      <c r="A101" s="258" t="s">
        <v>1647</v>
      </c>
      <c r="B101" s="460"/>
      <c r="C101" s="460"/>
      <c r="D101" s="71">
        <v>114.98</v>
      </c>
      <c r="E101" s="71">
        <v>114.98</v>
      </c>
      <c r="F101" s="71">
        <f t="shared" ref="F101:F106" si="21">D101-E101</f>
        <v>0</v>
      </c>
      <c r="G101" s="39">
        <f>158+83</f>
        <v>241</v>
      </c>
      <c r="H101" s="71">
        <f t="shared" si="20"/>
        <v>0.4770954357</v>
      </c>
    </row>
    <row r="102">
      <c r="A102" s="258" t="s">
        <v>1505</v>
      </c>
      <c r="B102" s="460"/>
      <c r="C102" s="460"/>
      <c r="D102" s="257">
        <v>29.99</v>
      </c>
      <c r="E102" s="257">
        <v>29.99</v>
      </c>
      <c r="F102" s="257">
        <f t="shared" si="21"/>
        <v>0</v>
      </c>
      <c r="G102" s="258">
        <v>71.0</v>
      </c>
      <c r="H102" s="257">
        <f t="shared" si="20"/>
        <v>0.4223943662</v>
      </c>
    </row>
    <row r="103">
      <c r="A103" s="258" t="s">
        <v>1535</v>
      </c>
      <c r="B103" s="460"/>
      <c r="C103" s="460"/>
      <c r="D103" s="257">
        <v>54.99</v>
      </c>
      <c r="E103" s="257">
        <v>31.49</v>
      </c>
      <c r="F103" s="257">
        <f t="shared" si="21"/>
        <v>23.5</v>
      </c>
      <c r="G103" s="258">
        <v>69.0</v>
      </c>
      <c r="H103" s="257">
        <f t="shared" si="20"/>
        <v>0.4563768116</v>
      </c>
    </row>
    <row r="104">
      <c r="A104" s="258" t="s">
        <v>1756</v>
      </c>
      <c r="B104" s="460"/>
      <c r="C104" s="460"/>
      <c r="D104" s="71">
        <v>89.99</v>
      </c>
      <c r="E104" s="71">
        <v>44.99</v>
      </c>
      <c r="F104" s="71">
        <f t="shared" si="21"/>
        <v>45</v>
      </c>
      <c r="G104" s="39">
        <v>48.0</v>
      </c>
      <c r="H104" s="71">
        <f t="shared" si="20"/>
        <v>0.9372916667</v>
      </c>
    </row>
    <row r="105">
      <c r="A105" s="258" t="s">
        <v>1519</v>
      </c>
      <c r="B105" s="460"/>
      <c r="C105" s="460"/>
      <c r="D105" s="257">
        <v>19.99</v>
      </c>
      <c r="E105" s="257">
        <v>3.5</v>
      </c>
      <c r="F105" s="257">
        <f t="shared" si="21"/>
        <v>16.49</v>
      </c>
      <c r="G105" s="258">
        <v>15.0</v>
      </c>
      <c r="H105" s="257">
        <f t="shared" si="20"/>
        <v>0.2333333333</v>
      </c>
    </row>
    <row r="106">
      <c r="A106" s="258" t="s">
        <v>1757</v>
      </c>
      <c r="B106" s="460"/>
      <c r="C106" s="460"/>
      <c r="D106" s="257">
        <v>19.99</v>
      </c>
      <c r="E106" s="257">
        <v>19.99</v>
      </c>
      <c r="F106" s="257">
        <f t="shared" si="21"/>
        <v>0</v>
      </c>
      <c r="G106" s="182">
        <v>2.0</v>
      </c>
      <c r="H106" s="257">
        <f t="shared" si="20"/>
        <v>9.995</v>
      </c>
    </row>
    <row r="107">
      <c r="A107" s="258"/>
      <c r="B107" s="460"/>
      <c r="C107" s="460"/>
      <c r="D107" s="257"/>
      <c r="E107" s="257"/>
      <c r="F107" s="257"/>
      <c r="G107" s="258"/>
      <c r="H107" s="257"/>
    </row>
    <row r="108">
      <c r="A108" s="43" t="s">
        <v>606</v>
      </c>
      <c r="B108" s="43" t="s">
        <v>29</v>
      </c>
      <c r="C108" s="43">
        <f>COUNTA(A109:A117)</f>
        <v>9</v>
      </c>
      <c r="D108" s="145">
        <f t="shared" ref="D108:G108" si="22">SUM(D109:D117)</f>
        <v>189.94</v>
      </c>
      <c r="E108" s="145">
        <f t="shared" si="22"/>
        <v>97.65</v>
      </c>
      <c r="F108" s="145">
        <f t="shared" si="22"/>
        <v>92.29</v>
      </c>
      <c r="G108" s="44">
        <f t="shared" si="22"/>
        <v>433</v>
      </c>
      <c r="H108" s="145">
        <f t="shared" ref="H108:H117" si="23">E108/G108</f>
        <v>0.2255196305</v>
      </c>
    </row>
    <row r="109">
      <c r="A109" s="258" t="s">
        <v>1660</v>
      </c>
      <c r="B109" s="460"/>
      <c r="C109" s="460"/>
      <c r="D109" s="257">
        <v>69.99</v>
      </c>
      <c r="E109" s="257">
        <v>49.69</v>
      </c>
      <c r="F109" s="257">
        <f t="shared" ref="F109:F117" si="24">D109-E109</f>
        <v>20.3</v>
      </c>
      <c r="G109" s="258">
        <v>74.0</v>
      </c>
      <c r="H109" s="257">
        <f t="shared" si="23"/>
        <v>0.6714864865</v>
      </c>
    </row>
    <row r="110">
      <c r="A110" s="258" t="s">
        <v>1472</v>
      </c>
      <c r="B110" s="460"/>
      <c r="C110" s="460"/>
      <c r="D110" s="257">
        <v>8.0</v>
      </c>
      <c r="E110" s="257">
        <v>3.0</v>
      </c>
      <c r="F110" s="257">
        <f t="shared" si="24"/>
        <v>5</v>
      </c>
      <c r="G110" s="258">
        <v>70.0</v>
      </c>
      <c r="H110" s="257">
        <f t="shared" si="23"/>
        <v>0.04285714286</v>
      </c>
    </row>
    <row r="111">
      <c r="A111" s="258" t="s">
        <v>1518</v>
      </c>
      <c r="B111" s="460"/>
      <c r="C111" s="460"/>
      <c r="D111" s="257">
        <v>19.99</v>
      </c>
      <c r="E111" s="257">
        <v>8.0</v>
      </c>
      <c r="F111" s="257">
        <f t="shared" si="24"/>
        <v>11.99</v>
      </c>
      <c r="G111" s="258">
        <v>70.0</v>
      </c>
      <c r="H111" s="257">
        <f t="shared" si="23"/>
        <v>0.1142857143</v>
      </c>
    </row>
    <row r="112">
      <c r="A112" s="258" t="s">
        <v>1480</v>
      </c>
      <c r="B112" s="460"/>
      <c r="C112" s="460"/>
      <c r="D112" s="257">
        <v>8.0</v>
      </c>
      <c r="E112" s="257">
        <v>3.0</v>
      </c>
      <c r="F112" s="257">
        <f t="shared" si="24"/>
        <v>5</v>
      </c>
      <c r="G112" s="258">
        <v>65.0</v>
      </c>
      <c r="H112" s="257">
        <f t="shared" si="23"/>
        <v>0.04615384615</v>
      </c>
    </row>
    <row r="113">
      <c r="A113" s="258" t="s">
        <v>1501</v>
      </c>
      <c r="B113" s="460"/>
      <c r="C113" s="460"/>
      <c r="D113" s="257">
        <v>14.99</v>
      </c>
      <c r="E113" s="257">
        <v>8.99</v>
      </c>
      <c r="F113" s="257">
        <f t="shared" si="24"/>
        <v>6</v>
      </c>
      <c r="G113" s="258">
        <v>60.0</v>
      </c>
      <c r="H113" s="257">
        <f t="shared" si="23"/>
        <v>0.1498333333</v>
      </c>
    </row>
    <row r="114">
      <c r="A114" s="182" t="s">
        <v>1466</v>
      </c>
      <c r="B114" s="460"/>
      <c r="C114" s="460"/>
      <c r="D114" s="257">
        <v>8.99</v>
      </c>
      <c r="E114" s="257">
        <v>1.99</v>
      </c>
      <c r="F114" s="257">
        <f t="shared" si="24"/>
        <v>7</v>
      </c>
      <c r="G114" s="258">
        <v>50.0</v>
      </c>
      <c r="H114" s="257">
        <f t="shared" si="23"/>
        <v>0.0398</v>
      </c>
    </row>
    <row r="115">
      <c r="A115" s="258" t="s">
        <v>1584</v>
      </c>
      <c r="B115" s="460"/>
      <c r="C115" s="460"/>
      <c r="D115" s="468">
        <v>25.0</v>
      </c>
      <c r="E115" s="257">
        <v>6.99</v>
      </c>
      <c r="F115" s="257">
        <f t="shared" si="24"/>
        <v>18.01</v>
      </c>
      <c r="G115" s="258">
        <v>25.0</v>
      </c>
      <c r="H115" s="257">
        <f t="shared" si="23"/>
        <v>0.2796</v>
      </c>
    </row>
    <row r="116">
      <c r="A116" s="258" t="s">
        <v>1525</v>
      </c>
      <c r="B116" s="460"/>
      <c r="C116" s="460"/>
      <c r="D116" s="257">
        <v>9.99</v>
      </c>
      <c r="E116" s="257">
        <v>8.0</v>
      </c>
      <c r="F116" s="257">
        <f t="shared" si="24"/>
        <v>1.99</v>
      </c>
      <c r="G116" s="258">
        <v>10.0</v>
      </c>
      <c r="H116" s="257">
        <f t="shared" si="23"/>
        <v>0.8</v>
      </c>
    </row>
    <row r="117">
      <c r="A117" s="258" t="s">
        <v>1587</v>
      </c>
      <c r="B117" s="460"/>
      <c r="C117" s="460"/>
      <c r="D117" s="468">
        <v>24.99</v>
      </c>
      <c r="E117" s="257">
        <v>7.99</v>
      </c>
      <c r="F117" s="257">
        <f t="shared" si="24"/>
        <v>17</v>
      </c>
      <c r="G117" s="258">
        <v>9.0</v>
      </c>
      <c r="H117" s="257">
        <f t="shared" si="23"/>
        <v>0.8877777778</v>
      </c>
    </row>
    <row r="118">
      <c r="A118" s="461"/>
      <c r="B118" s="462"/>
      <c r="C118" s="461"/>
      <c r="D118" s="461"/>
      <c r="E118" s="461"/>
      <c r="F118" s="461"/>
      <c r="G118" s="461"/>
      <c r="H118" s="461"/>
    </row>
    <row r="119">
      <c r="A119" s="43" t="s">
        <v>512</v>
      </c>
      <c r="B119" s="43" t="s">
        <v>29</v>
      </c>
      <c r="C119" s="44">
        <f>COUNTA(A120:A124)</f>
        <v>5</v>
      </c>
      <c r="D119" s="145">
        <f t="shared" ref="D119:G119" si="25">SUM(D120:D124)</f>
        <v>179.93</v>
      </c>
      <c r="E119" s="145">
        <f t="shared" si="25"/>
        <v>55.46</v>
      </c>
      <c r="F119" s="145">
        <f t="shared" si="25"/>
        <v>124.47</v>
      </c>
      <c r="G119" s="44">
        <f t="shared" si="25"/>
        <v>340</v>
      </c>
      <c r="H119" s="145">
        <f t="shared" ref="H119:H124" si="26">E119/G119</f>
        <v>0.1631176471</v>
      </c>
    </row>
    <row r="120">
      <c r="A120" s="72" t="s">
        <v>1527</v>
      </c>
      <c r="B120" s="1"/>
      <c r="C120" s="1"/>
      <c r="D120" s="71">
        <v>49.98</v>
      </c>
      <c r="E120" s="71">
        <v>39.98</v>
      </c>
      <c r="F120" s="71">
        <f t="shared" ref="F120:F124" si="27">D120-E120</f>
        <v>10</v>
      </c>
      <c r="G120" s="72">
        <v>155.0</v>
      </c>
      <c r="H120" s="71">
        <f t="shared" si="26"/>
        <v>0.2579354839</v>
      </c>
    </row>
    <row r="121">
      <c r="A121" s="39" t="s">
        <v>1553</v>
      </c>
      <c r="B121" s="1"/>
      <c r="C121" s="1"/>
      <c r="D121" s="71">
        <v>34.98</v>
      </c>
      <c r="E121" s="71">
        <v>7.49</v>
      </c>
      <c r="F121" s="71">
        <f t="shared" si="27"/>
        <v>27.49</v>
      </c>
      <c r="G121" s="39">
        <v>100.0</v>
      </c>
      <c r="H121" s="71">
        <f t="shared" si="26"/>
        <v>0.0749</v>
      </c>
    </row>
    <row r="122">
      <c r="A122" s="39" t="s">
        <v>1690</v>
      </c>
      <c r="B122" s="1"/>
      <c r="C122" s="1"/>
      <c r="D122" s="71">
        <v>69.99</v>
      </c>
      <c r="E122" s="71">
        <v>0.0</v>
      </c>
      <c r="F122" s="71">
        <f t="shared" si="27"/>
        <v>69.99</v>
      </c>
      <c r="G122" s="39">
        <v>62.0</v>
      </c>
      <c r="H122" s="71">
        <f t="shared" si="26"/>
        <v>0</v>
      </c>
    </row>
    <row r="123">
      <c r="A123" s="39" t="s">
        <v>1563</v>
      </c>
      <c r="B123" s="1"/>
      <c r="C123" s="1"/>
      <c r="D123" s="71">
        <v>19.99</v>
      </c>
      <c r="E123" s="71">
        <v>7.99</v>
      </c>
      <c r="F123" s="71">
        <f t="shared" si="27"/>
        <v>12</v>
      </c>
      <c r="G123" s="72">
        <v>20.0</v>
      </c>
      <c r="H123" s="71">
        <f t="shared" si="26"/>
        <v>0.3995</v>
      </c>
    </row>
    <row r="124">
      <c r="A124" s="39" t="s">
        <v>1497</v>
      </c>
      <c r="B124" s="1"/>
      <c r="C124" s="1"/>
      <c r="D124" s="71">
        <v>4.99</v>
      </c>
      <c r="E124" s="71">
        <v>0.0</v>
      </c>
      <c r="F124" s="71">
        <f t="shared" si="27"/>
        <v>4.99</v>
      </c>
      <c r="G124" s="39">
        <v>3.0</v>
      </c>
      <c r="H124" s="71">
        <f t="shared" si="26"/>
        <v>0</v>
      </c>
    </row>
    <row r="125">
      <c r="A125" s="39"/>
      <c r="B125" s="1"/>
      <c r="C125" s="1"/>
      <c r="D125" s="71"/>
      <c r="E125" s="71"/>
      <c r="F125" s="71"/>
      <c r="G125" s="39"/>
      <c r="H125" s="71"/>
    </row>
    <row r="126">
      <c r="A126" s="43" t="s">
        <v>365</v>
      </c>
      <c r="B126" s="43" t="s">
        <v>325</v>
      </c>
      <c r="C126" s="43">
        <f>COUNTA(A127:A149)</f>
        <v>23</v>
      </c>
      <c r="D126" s="164">
        <f t="shared" ref="D126:G126" si="28">SUM(D127:D149)</f>
        <v>449.83</v>
      </c>
      <c r="E126" s="164">
        <f t="shared" si="28"/>
        <v>148.28</v>
      </c>
      <c r="F126" s="164">
        <f t="shared" si="28"/>
        <v>301.55</v>
      </c>
      <c r="G126" s="44">
        <f t="shared" si="28"/>
        <v>324</v>
      </c>
      <c r="H126" s="164">
        <f t="shared" ref="H126:H149" si="29">E126/G126</f>
        <v>0.457654321</v>
      </c>
    </row>
    <row r="127">
      <c r="A127" s="72" t="s">
        <v>1308</v>
      </c>
      <c r="B127" s="1"/>
      <c r="C127" s="1"/>
      <c r="D127" s="42">
        <v>79.99</v>
      </c>
      <c r="E127" s="42">
        <v>0.0</v>
      </c>
      <c r="F127" s="42">
        <f t="shared" ref="F127:F149" si="30">D127-E127</f>
        <v>79.99</v>
      </c>
      <c r="G127" s="72">
        <v>89.0</v>
      </c>
      <c r="H127" s="71">
        <f t="shared" si="29"/>
        <v>0</v>
      </c>
    </row>
    <row r="128">
      <c r="A128" s="39" t="s">
        <v>1144</v>
      </c>
      <c r="B128" s="1"/>
      <c r="C128" s="1"/>
      <c r="D128" s="71">
        <v>19.99</v>
      </c>
      <c r="E128" s="71">
        <v>4.0</v>
      </c>
      <c r="F128" s="71">
        <f t="shared" si="30"/>
        <v>15.99</v>
      </c>
      <c r="G128" s="39">
        <v>45.0</v>
      </c>
      <c r="H128" s="71">
        <f t="shared" si="29"/>
        <v>0.08888888889</v>
      </c>
    </row>
    <row r="129">
      <c r="A129" s="39" t="s">
        <v>1076</v>
      </c>
      <c r="B129" s="1"/>
      <c r="C129" s="1"/>
      <c r="D129" s="71">
        <v>9.99</v>
      </c>
      <c r="E129" s="71">
        <v>4.99</v>
      </c>
      <c r="F129" s="71">
        <f t="shared" si="30"/>
        <v>5</v>
      </c>
      <c r="G129" s="39">
        <v>40.0</v>
      </c>
      <c r="H129" s="71">
        <f t="shared" si="29"/>
        <v>0.12475</v>
      </c>
    </row>
    <row r="130">
      <c r="A130" s="72" t="s">
        <v>1263</v>
      </c>
      <c r="B130" s="1"/>
      <c r="C130" s="1"/>
      <c r="D130" s="71">
        <v>79.99</v>
      </c>
      <c r="E130" s="71">
        <v>45.59</v>
      </c>
      <c r="F130" s="71">
        <f t="shared" si="30"/>
        <v>34.4</v>
      </c>
      <c r="G130" s="39">
        <v>38.0</v>
      </c>
      <c r="H130" s="71">
        <f t="shared" si="29"/>
        <v>1.199736842</v>
      </c>
    </row>
    <row r="131">
      <c r="A131" s="72" t="s">
        <v>1107</v>
      </c>
      <c r="B131" s="1"/>
      <c r="C131" s="1"/>
      <c r="D131" s="71">
        <v>9.25</v>
      </c>
      <c r="E131" s="71">
        <v>3.03</v>
      </c>
      <c r="F131" s="71">
        <f t="shared" si="30"/>
        <v>6.22</v>
      </c>
      <c r="G131" s="39">
        <v>35.0</v>
      </c>
      <c r="H131" s="71">
        <f t="shared" si="29"/>
        <v>0.08657142857</v>
      </c>
    </row>
    <row r="132">
      <c r="A132" s="72" t="s">
        <v>1253</v>
      </c>
      <c r="B132" s="1"/>
      <c r="C132" s="1"/>
      <c r="D132" s="71">
        <v>35.99</v>
      </c>
      <c r="E132" s="71">
        <v>12.09</v>
      </c>
      <c r="F132" s="71">
        <f t="shared" si="30"/>
        <v>23.9</v>
      </c>
      <c r="G132" s="39">
        <v>31.0</v>
      </c>
      <c r="H132" s="71">
        <f t="shared" si="29"/>
        <v>0.39</v>
      </c>
    </row>
    <row r="133">
      <c r="A133" s="72" t="s">
        <v>1119</v>
      </c>
      <c r="B133" s="1"/>
      <c r="C133" s="1"/>
      <c r="D133" s="71">
        <v>9.25</v>
      </c>
      <c r="E133" s="71">
        <v>3.02</v>
      </c>
      <c r="F133" s="71">
        <f t="shared" si="30"/>
        <v>6.23</v>
      </c>
      <c r="G133" s="39">
        <v>30.0</v>
      </c>
      <c r="H133" s="71">
        <f t="shared" si="29"/>
        <v>0.1006666667</v>
      </c>
    </row>
    <row r="134">
      <c r="A134" s="39" t="s">
        <v>1304</v>
      </c>
      <c r="B134" s="1"/>
      <c r="C134" s="1"/>
      <c r="D134" s="71">
        <v>0.0</v>
      </c>
      <c r="E134" s="71">
        <v>0.0</v>
      </c>
      <c r="F134" s="71">
        <f t="shared" si="30"/>
        <v>0</v>
      </c>
      <c r="G134" s="39">
        <v>1.0</v>
      </c>
      <c r="H134" s="71">
        <f t="shared" si="29"/>
        <v>0</v>
      </c>
    </row>
    <row r="135">
      <c r="A135" s="72" t="s">
        <v>1207</v>
      </c>
      <c r="B135" s="1"/>
      <c r="C135" s="1"/>
      <c r="D135" s="71">
        <v>34.99</v>
      </c>
      <c r="E135" s="71">
        <v>0.0</v>
      </c>
      <c r="F135" s="71">
        <f t="shared" si="30"/>
        <v>34.99</v>
      </c>
      <c r="G135" s="39">
        <v>1.0</v>
      </c>
      <c r="H135" s="71">
        <f t="shared" si="29"/>
        <v>0</v>
      </c>
    </row>
    <row r="136">
      <c r="A136" s="39" t="s">
        <v>1132</v>
      </c>
      <c r="B136" s="1"/>
      <c r="C136" s="1"/>
      <c r="D136" s="71">
        <v>9.24</v>
      </c>
      <c r="E136" s="71">
        <v>3.02</v>
      </c>
      <c r="F136" s="71">
        <f t="shared" si="30"/>
        <v>6.22</v>
      </c>
      <c r="G136" s="39">
        <v>1.0</v>
      </c>
      <c r="H136" s="71">
        <f t="shared" si="29"/>
        <v>3.02</v>
      </c>
    </row>
    <row r="137">
      <c r="A137" s="72" t="s">
        <v>1170</v>
      </c>
      <c r="B137" s="1"/>
      <c r="C137" s="1"/>
      <c r="D137" s="71">
        <v>9.25</v>
      </c>
      <c r="E137" s="71">
        <v>3.03</v>
      </c>
      <c r="F137" s="71">
        <f t="shared" si="30"/>
        <v>6.22</v>
      </c>
      <c r="G137" s="39">
        <v>1.0</v>
      </c>
      <c r="H137" s="71">
        <f t="shared" si="29"/>
        <v>3.03</v>
      </c>
    </row>
    <row r="138">
      <c r="A138" s="72" t="s">
        <v>1125</v>
      </c>
      <c r="B138" s="1"/>
      <c r="C138" s="1"/>
      <c r="D138" s="71">
        <v>9.99</v>
      </c>
      <c r="E138" s="71">
        <v>4.99</v>
      </c>
      <c r="F138" s="71">
        <f t="shared" si="30"/>
        <v>5</v>
      </c>
      <c r="G138" s="39">
        <v>1.0</v>
      </c>
      <c r="H138" s="71">
        <f t="shared" si="29"/>
        <v>4.99</v>
      </c>
    </row>
    <row r="139">
      <c r="A139" s="72" t="s">
        <v>1126</v>
      </c>
      <c r="B139" s="1"/>
      <c r="C139" s="1"/>
      <c r="D139" s="71">
        <v>9.99</v>
      </c>
      <c r="E139" s="71">
        <v>4.99</v>
      </c>
      <c r="F139" s="71">
        <f t="shared" si="30"/>
        <v>5</v>
      </c>
      <c r="G139" s="39">
        <v>1.0</v>
      </c>
      <c r="H139" s="71">
        <f t="shared" si="29"/>
        <v>4.99</v>
      </c>
    </row>
    <row r="140">
      <c r="A140" s="72" t="s">
        <v>1134</v>
      </c>
      <c r="B140" s="1"/>
      <c r="C140" s="1"/>
      <c r="D140" s="71">
        <v>9.99</v>
      </c>
      <c r="E140" s="71">
        <v>4.99</v>
      </c>
      <c r="F140" s="71">
        <f t="shared" si="30"/>
        <v>5</v>
      </c>
      <c r="G140" s="39">
        <v>1.0</v>
      </c>
      <c r="H140" s="71">
        <f t="shared" si="29"/>
        <v>4.99</v>
      </c>
    </row>
    <row r="141">
      <c r="A141" s="39" t="s">
        <v>1095</v>
      </c>
      <c r="B141" s="1"/>
      <c r="C141" s="1"/>
      <c r="D141" s="71">
        <v>9.99</v>
      </c>
      <c r="E141" s="71">
        <v>4.99</v>
      </c>
      <c r="F141" s="71">
        <f t="shared" si="30"/>
        <v>5</v>
      </c>
      <c r="G141" s="39">
        <v>1.0</v>
      </c>
      <c r="H141" s="71">
        <f t="shared" si="29"/>
        <v>4.99</v>
      </c>
    </row>
    <row r="142">
      <c r="A142" s="39" t="s">
        <v>1096</v>
      </c>
      <c r="B142" s="1"/>
      <c r="C142" s="1"/>
      <c r="D142" s="71">
        <v>9.99</v>
      </c>
      <c r="E142" s="71">
        <v>4.99</v>
      </c>
      <c r="F142" s="71">
        <f t="shared" si="30"/>
        <v>5</v>
      </c>
      <c r="G142" s="39">
        <v>1.0</v>
      </c>
      <c r="H142" s="71">
        <f t="shared" si="29"/>
        <v>4.99</v>
      </c>
    </row>
    <row r="143">
      <c r="A143" s="39" t="s">
        <v>1087</v>
      </c>
      <c r="B143" s="1"/>
      <c r="C143" s="1"/>
      <c r="D143" s="71">
        <v>9.99</v>
      </c>
      <c r="E143" s="71">
        <v>4.99</v>
      </c>
      <c r="F143" s="71">
        <f t="shared" si="30"/>
        <v>5</v>
      </c>
      <c r="G143" s="39">
        <v>1.0</v>
      </c>
      <c r="H143" s="71">
        <f t="shared" si="29"/>
        <v>4.99</v>
      </c>
    </row>
    <row r="144">
      <c r="A144" s="39" t="s">
        <v>1094</v>
      </c>
      <c r="B144" s="1"/>
      <c r="C144" s="1"/>
      <c r="D144" s="71">
        <v>9.99</v>
      </c>
      <c r="E144" s="71">
        <v>4.99</v>
      </c>
      <c r="F144" s="71">
        <f t="shared" si="30"/>
        <v>5</v>
      </c>
      <c r="G144" s="39">
        <v>1.0</v>
      </c>
      <c r="H144" s="71">
        <f t="shared" si="29"/>
        <v>4.99</v>
      </c>
    </row>
    <row r="145">
      <c r="A145" s="39" t="s">
        <v>1211</v>
      </c>
      <c r="B145" s="1"/>
      <c r="C145" s="1"/>
      <c r="D145" s="71">
        <v>18.5</v>
      </c>
      <c r="E145" s="71">
        <v>6.05</v>
      </c>
      <c r="F145" s="71">
        <f t="shared" si="30"/>
        <v>12.45</v>
      </c>
      <c r="G145" s="39">
        <v>1.0</v>
      </c>
      <c r="H145" s="71">
        <f t="shared" si="29"/>
        <v>6.05</v>
      </c>
    </row>
    <row r="146">
      <c r="A146" s="72" t="s">
        <v>1212</v>
      </c>
      <c r="B146" s="1"/>
      <c r="C146" s="1"/>
      <c r="D146" s="71">
        <v>18.49</v>
      </c>
      <c r="E146" s="71">
        <v>6.05</v>
      </c>
      <c r="F146" s="71">
        <f t="shared" si="30"/>
        <v>12.44</v>
      </c>
      <c r="G146" s="39">
        <v>1.0</v>
      </c>
      <c r="H146" s="71">
        <f t="shared" si="29"/>
        <v>6.05</v>
      </c>
    </row>
    <row r="147">
      <c r="A147" s="72" t="s">
        <v>1758</v>
      </c>
      <c r="B147" s="1"/>
      <c r="C147" s="1"/>
      <c r="D147" s="71">
        <v>14.99</v>
      </c>
      <c r="E147" s="71">
        <v>7.49</v>
      </c>
      <c r="F147" s="71">
        <f t="shared" si="30"/>
        <v>7.5</v>
      </c>
      <c r="G147" s="39">
        <v>1.0</v>
      </c>
      <c r="H147" s="71">
        <f t="shared" si="29"/>
        <v>7.49</v>
      </c>
    </row>
    <row r="148">
      <c r="A148" s="72" t="s">
        <v>1113</v>
      </c>
      <c r="B148" s="1"/>
      <c r="C148" s="1"/>
      <c r="D148" s="71">
        <v>14.99</v>
      </c>
      <c r="E148" s="71">
        <v>7.49</v>
      </c>
      <c r="F148" s="71">
        <f t="shared" si="30"/>
        <v>7.5</v>
      </c>
      <c r="G148" s="39">
        <v>1.0</v>
      </c>
      <c r="H148" s="71">
        <f t="shared" si="29"/>
        <v>7.49</v>
      </c>
    </row>
    <row r="149">
      <c r="A149" s="72" t="s">
        <v>1106</v>
      </c>
      <c r="B149" s="1"/>
      <c r="C149" s="1"/>
      <c r="D149" s="71">
        <v>15.0</v>
      </c>
      <c r="E149" s="71">
        <v>7.5</v>
      </c>
      <c r="F149" s="71">
        <f t="shared" si="30"/>
        <v>7.5</v>
      </c>
      <c r="G149" s="39">
        <v>1.0</v>
      </c>
      <c r="H149" s="71">
        <f t="shared" si="29"/>
        <v>7.5</v>
      </c>
    </row>
    <row r="150">
      <c r="A150" s="461"/>
      <c r="B150" s="462"/>
      <c r="C150" s="461"/>
      <c r="D150" s="461"/>
      <c r="E150" s="461"/>
      <c r="F150" s="461"/>
      <c r="G150" s="461"/>
      <c r="H150" s="461"/>
    </row>
    <row r="151">
      <c r="A151" s="43" t="s">
        <v>179</v>
      </c>
      <c r="B151" s="43" t="s">
        <v>25</v>
      </c>
      <c r="C151" s="43">
        <f>COUNTA(A152:A157)</f>
        <v>6</v>
      </c>
      <c r="D151" s="145">
        <f t="shared" ref="D151:G151" si="31">SUM(D152:D157)</f>
        <v>339.94</v>
      </c>
      <c r="E151" s="145">
        <f t="shared" si="31"/>
        <v>36.98</v>
      </c>
      <c r="F151" s="145">
        <f t="shared" si="31"/>
        <v>302.96</v>
      </c>
      <c r="G151" s="44">
        <f t="shared" si="31"/>
        <v>317</v>
      </c>
      <c r="H151" s="145">
        <f t="shared" ref="H151:H157" si="32">E151/G151</f>
        <v>0.1166561514</v>
      </c>
    </row>
    <row r="152">
      <c r="A152" s="258" t="s">
        <v>944</v>
      </c>
      <c r="B152" s="460"/>
      <c r="C152" s="460"/>
      <c r="D152" s="257">
        <v>69.99</v>
      </c>
      <c r="E152" s="257">
        <v>0.0</v>
      </c>
      <c r="F152" s="257">
        <f t="shared" ref="F152:F157" si="33">D152-E152</f>
        <v>69.99</v>
      </c>
      <c r="G152" s="258">
        <v>103.0</v>
      </c>
      <c r="H152" s="257">
        <f t="shared" si="32"/>
        <v>0</v>
      </c>
    </row>
    <row r="153">
      <c r="A153" s="258" t="s">
        <v>957</v>
      </c>
      <c r="B153" s="460"/>
      <c r="C153" s="460"/>
      <c r="D153" s="257">
        <v>79.99</v>
      </c>
      <c r="E153" s="257">
        <v>0.0</v>
      </c>
      <c r="F153" s="257">
        <f t="shared" si="33"/>
        <v>79.99</v>
      </c>
      <c r="G153" s="258">
        <v>82.0</v>
      </c>
      <c r="H153" s="257">
        <f t="shared" si="32"/>
        <v>0</v>
      </c>
    </row>
    <row r="154">
      <c r="A154" s="258" t="s">
        <v>805</v>
      </c>
      <c r="B154" s="460"/>
      <c r="C154" s="460"/>
      <c r="D154" s="257">
        <v>9.99</v>
      </c>
      <c r="E154" s="257">
        <v>9.99</v>
      </c>
      <c r="F154" s="257">
        <f t="shared" si="33"/>
        <v>0</v>
      </c>
      <c r="G154" s="258">
        <v>70.0</v>
      </c>
      <c r="H154" s="257">
        <f t="shared" si="32"/>
        <v>0.1427142857</v>
      </c>
    </row>
    <row r="155">
      <c r="A155" s="258" t="s">
        <v>949</v>
      </c>
      <c r="B155" s="460"/>
      <c r="C155" s="460"/>
      <c r="D155" s="257">
        <v>69.99</v>
      </c>
      <c r="E155" s="257">
        <v>0.0</v>
      </c>
      <c r="F155" s="257">
        <f t="shared" si="33"/>
        <v>69.99</v>
      </c>
      <c r="G155" s="258">
        <v>60.0</v>
      </c>
      <c r="H155" s="257">
        <f t="shared" si="32"/>
        <v>0</v>
      </c>
    </row>
    <row r="156">
      <c r="A156" s="258" t="s">
        <v>935</v>
      </c>
      <c r="B156" s="460"/>
      <c r="C156" s="460"/>
      <c r="D156" s="257">
        <v>69.99</v>
      </c>
      <c r="E156" s="257">
        <v>0.0</v>
      </c>
      <c r="F156" s="257">
        <f t="shared" si="33"/>
        <v>69.99</v>
      </c>
      <c r="G156" s="258">
        <v>1.0</v>
      </c>
      <c r="H156" s="257">
        <f t="shared" si="32"/>
        <v>0</v>
      </c>
    </row>
    <row r="157">
      <c r="A157" s="258" t="s">
        <v>922</v>
      </c>
      <c r="B157" s="460"/>
      <c r="C157" s="460"/>
      <c r="D157" s="257">
        <v>39.99</v>
      </c>
      <c r="E157" s="257">
        <v>26.99</v>
      </c>
      <c r="F157" s="257">
        <f t="shared" si="33"/>
        <v>13</v>
      </c>
      <c r="G157" s="258">
        <v>1.0</v>
      </c>
      <c r="H157" s="257">
        <f t="shared" si="32"/>
        <v>26.99</v>
      </c>
    </row>
    <row r="158">
      <c r="A158" s="258"/>
      <c r="B158" s="460"/>
      <c r="C158" s="460"/>
      <c r="D158" s="257"/>
      <c r="E158" s="257"/>
      <c r="F158" s="257"/>
      <c r="G158" s="258"/>
      <c r="H158" s="257"/>
    </row>
    <row r="159">
      <c r="A159" s="44" t="s">
        <v>334</v>
      </c>
      <c r="B159" s="43" t="s">
        <v>325</v>
      </c>
      <c r="C159" s="44">
        <f>COUNTA(A160:A221)</f>
        <v>62</v>
      </c>
      <c r="D159" s="145">
        <f t="shared" ref="D159:G159" si="34">SUM(D160:D221)</f>
        <v>784.71</v>
      </c>
      <c r="E159" s="145">
        <f t="shared" si="34"/>
        <v>385.12</v>
      </c>
      <c r="F159" s="145">
        <f t="shared" si="34"/>
        <v>399.59</v>
      </c>
      <c r="G159" s="44">
        <f t="shared" si="34"/>
        <v>269</v>
      </c>
      <c r="H159" s="145">
        <f t="shared" ref="H159:H221" si="35">E159/G159</f>
        <v>1.431672862</v>
      </c>
    </row>
    <row r="160">
      <c r="A160" s="72" t="s">
        <v>1252</v>
      </c>
      <c r="B160" s="1"/>
      <c r="C160" s="1"/>
      <c r="D160" s="71">
        <v>59.99</v>
      </c>
      <c r="E160" s="71">
        <v>59.99</v>
      </c>
      <c r="F160" s="71">
        <f t="shared" ref="F160:F221" si="36">D160-E160</f>
        <v>0</v>
      </c>
      <c r="G160" s="39">
        <v>34.0</v>
      </c>
      <c r="H160" s="71">
        <f t="shared" si="35"/>
        <v>1.764411765</v>
      </c>
    </row>
    <row r="161">
      <c r="A161" s="39" t="s">
        <v>1297</v>
      </c>
      <c r="B161" s="1"/>
      <c r="C161" s="1"/>
      <c r="D161" s="71">
        <v>69.99</v>
      </c>
      <c r="E161" s="71">
        <v>39.89</v>
      </c>
      <c r="F161" s="71">
        <f t="shared" si="36"/>
        <v>30.1</v>
      </c>
      <c r="G161" s="39">
        <v>23.0</v>
      </c>
      <c r="H161" s="71">
        <f t="shared" si="35"/>
        <v>1.734347826</v>
      </c>
    </row>
    <row r="162">
      <c r="A162" s="72" t="s">
        <v>1261</v>
      </c>
      <c r="B162" s="1"/>
      <c r="C162" s="1"/>
      <c r="D162" s="71">
        <v>59.99</v>
      </c>
      <c r="E162" s="71">
        <v>19.79</v>
      </c>
      <c r="F162" s="71">
        <f t="shared" si="36"/>
        <v>40.2</v>
      </c>
      <c r="G162" s="39">
        <v>20.0</v>
      </c>
      <c r="H162" s="71">
        <f t="shared" si="35"/>
        <v>0.9895</v>
      </c>
    </row>
    <row r="163">
      <c r="A163" s="72" t="s">
        <v>1178</v>
      </c>
      <c r="B163" s="1"/>
      <c r="C163" s="1"/>
      <c r="D163" s="71">
        <v>19.99</v>
      </c>
      <c r="E163" s="71">
        <v>4.99</v>
      </c>
      <c r="F163" s="71">
        <f t="shared" si="36"/>
        <v>15</v>
      </c>
      <c r="G163" s="39">
        <v>19.0</v>
      </c>
      <c r="H163" s="71">
        <f t="shared" si="35"/>
        <v>0.2626315789</v>
      </c>
    </row>
    <row r="164">
      <c r="A164" s="39" t="s">
        <v>1174</v>
      </c>
      <c r="B164" s="1"/>
      <c r="C164" s="1"/>
      <c r="D164" s="71">
        <v>19.99</v>
      </c>
      <c r="E164" s="71">
        <v>4.99</v>
      </c>
      <c r="F164" s="71">
        <f t="shared" si="36"/>
        <v>15</v>
      </c>
      <c r="G164" s="39">
        <v>18.0</v>
      </c>
      <c r="H164" s="71">
        <f t="shared" si="35"/>
        <v>0.2772222222</v>
      </c>
    </row>
    <row r="165">
      <c r="A165" s="39" t="s">
        <v>1116</v>
      </c>
      <c r="B165" s="1"/>
      <c r="C165" s="1"/>
      <c r="D165" s="71">
        <v>19.99</v>
      </c>
      <c r="E165" s="71">
        <v>7.99</v>
      </c>
      <c r="F165" s="71">
        <f t="shared" si="36"/>
        <v>12</v>
      </c>
      <c r="G165" s="39">
        <v>17.0</v>
      </c>
      <c r="H165" s="71">
        <f t="shared" si="35"/>
        <v>0.47</v>
      </c>
    </row>
    <row r="166">
      <c r="A166" s="72" t="s">
        <v>1210</v>
      </c>
      <c r="B166" s="1"/>
      <c r="C166" s="1"/>
      <c r="D166" s="71">
        <v>49.98</v>
      </c>
      <c r="E166" s="71">
        <v>26.98</v>
      </c>
      <c r="F166" s="71">
        <f t="shared" si="36"/>
        <v>23</v>
      </c>
      <c r="G166" s="39">
        <v>16.0</v>
      </c>
      <c r="H166" s="71">
        <f t="shared" si="35"/>
        <v>1.68625</v>
      </c>
    </row>
    <row r="167">
      <c r="A167" s="39" t="s">
        <v>1272</v>
      </c>
      <c r="B167" s="1"/>
      <c r="C167" s="1"/>
      <c r="D167" s="71">
        <v>69.99</v>
      </c>
      <c r="E167" s="71">
        <v>39.89</v>
      </c>
      <c r="F167" s="71">
        <f t="shared" si="36"/>
        <v>30.1</v>
      </c>
      <c r="G167" s="39">
        <v>15.0</v>
      </c>
      <c r="H167" s="71">
        <f t="shared" si="35"/>
        <v>2.659333333</v>
      </c>
    </row>
    <row r="168">
      <c r="A168" s="72" t="s">
        <v>1102</v>
      </c>
      <c r="B168" s="1"/>
      <c r="C168" s="1"/>
      <c r="D168" s="71">
        <v>7.33</v>
      </c>
      <c r="E168" s="71">
        <v>3.67</v>
      </c>
      <c r="F168" s="71">
        <f t="shared" si="36"/>
        <v>3.66</v>
      </c>
      <c r="G168" s="39">
        <v>13.0</v>
      </c>
      <c r="H168" s="71">
        <f t="shared" si="35"/>
        <v>0.2823076923</v>
      </c>
    </row>
    <row r="169">
      <c r="A169" s="39" t="s">
        <v>1139</v>
      </c>
      <c r="B169" s="1"/>
      <c r="C169" s="1"/>
      <c r="D169" s="71">
        <v>19.99</v>
      </c>
      <c r="E169" s="71">
        <v>7.99</v>
      </c>
      <c r="F169" s="71">
        <f t="shared" si="36"/>
        <v>12</v>
      </c>
      <c r="G169" s="39">
        <v>12.0</v>
      </c>
      <c r="H169" s="71">
        <f t="shared" si="35"/>
        <v>0.6658333333</v>
      </c>
    </row>
    <row r="170">
      <c r="A170" s="39" t="s">
        <v>1166</v>
      </c>
      <c r="B170" s="1"/>
      <c r="C170" s="1"/>
      <c r="D170" s="71">
        <v>19.99</v>
      </c>
      <c r="E170" s="71">
        <v>7.49</v>
      </c>
      <c r="F170" s="71">
        <f t="shared" si="36"/>
        <v>12.5</v>
      </c>
      <c r="G170" s="39">
        <v>11.0</v>
      </c>
      <c r="H170" s="71">
        <f t="shared" si="35"/>
        <v>0.6809090909</v>
      </c>
    </row>
    <row r="171">
      <c r="A171" s="39" t="s">
        <v>1157</v>
      </c>
      <c r="B171" s="1"/>
      <c r="C171" s="1"/>
      <c r="D171" s="71">
        <v>24.99</v>
      </c>
      <c r="E171" s="71">
        <v>4.99</v>
      </c>
      <c r="F171" s="71">
        <f t="shared" si="36"/>
        <v>20</v>
      </c>
      <c r="G171" s="39">
        <v>5.0</v>
      </c>
      <c r="H171" s="71">
        <f t="shared" si="35"/>
        <v>0.998</v>
      </c>
    </row>
    <row r="172">
      <c r="A172" s="39" t="s">
        <v>1206</v>
      </c>
      <c r="B172" s="1"/>
      <c r="C172" s="1"/>
      <c r="D172" s="71">
        <v>19.99</v>
      </c>
      <c r="E172" s="71">
        <v>4.99</v>
      </c>
      <c r="F172" s="71">
        <f t="shared" si="36"/>
        <v>15</v>
      </c>
      <c r="G172" s="39">
        <v>5.0</v>
      </c>
      <c r="H172" s="71">
        <f t="shared" si="35"/>
        <v>0.998</v>
      </c>
    </row>
    <row r="173">
      <c r="A173" s="72" t="s">
        <v>1198</v>
      </c>
      <c r="B173" s="1"/>
      <c r="C173" s="1"/>
      <c r="D173" s="71">
        <v>2.5</v>
      </c>
      <c r="E173" s="71">
        <v>1.33</v>
      </c>
      <c r="F173" s="71">
        <f t="shared" si="36"/>
        <v>1.17</v>
      </c>
      <c r="G173" s="39">
        <v>3.0</v>
      </c>
      <c r="H173" s="71">
        <f t="shared" si="35"/>
        <v>0.4433333333</v>
      </c>
    </row>
    <row r="174">
      <c r="A174" s="72" t="s">
        <v>1221</v>
      </c>
      <c r="B174" s="1"/>
      <c r="C174" s="1"/>
      <c r="D174" s="71">
        <v>3.75</v>
      </c>
      <c r="E174" s="71">
        <v>2.0</v>
      </c>
      <c r="F174" s="71">
        <f t="shared" si="36"/>
        <v>1.75</v>
      </c>
      <c r="G174" s="39">
        <v>3.0</v>
      </c>
      <c r="H174" s="71">
        <f t="shared" si="35"/>
        <v>0.6666666667</v>
      </c>
    </row>
    <row r="175">
      <c r="A175" s="72" t="s">
        <v>1228</v>
      </c>
      <c r="B175" s="1"/>
      <c r="C175" s="1"/>
      <c r="D175" s="71">
        <v>19.99</v>
      </c>
      <c r="E175" s="71">
        <v>0.0</v>
      </c>
      <c r="F175" s="71">
        <f t="shared" si="36"/>
        <v>19.99</v>
      </c>
      <c r="G175" s="39">
        <v>2.0</v>
      </c>
      <c r="H175" s="71">
        <f t="shared" si="35"/>
        <v>0</v>
      </c>
    </row>
    <row r="176">
      <c r="A176" s="39" t="s">
        <v>1098</v>
      </c>
      <c r="B176" s="1"/>
      <c r="C176" s="1"/>
      <c r="D176" s="71">
        <v>14.99</v>
      </c>
      <c r="E176" s="71">
        <v>0.99</v>
      </c>
      <c r="F176" s="71">
        <f t="shared" si="36"/>
        <v>14</v>
      </c>
      <c r="G176" s="72">
        <v>2.0</v>
      </c>
      <c r="H176" s="71">
        <f t="shared" si="35"/>
        <v>0.495</v>
      </c>
    </row>
    <row r="177">
      <c r="A177" s="72" t="s">
        <v>1199</v>
      </c>
      <c r="B177" s="1"/>
      <c r="C177" s="1"/>
      <c r="D177" s="71">
        <v>2.5</v>
      </c>
      <c r="E177" s="71">
        <v>1.33</v>
      </c>
      <c r="F177" s="71">
        <f t="shared" si="36"/>
        <v>1.17</v>
      </c>
      <c r="G177" s="39">
        <v>2.0</v>
      </c>
      <c r="H177" s="71">
        <f t="shared" si="35"/>
        <v>0.665</v>
      </c>
    </row>
    <row r="178">
      <c r="A178" s="72" t="s">
        <v>1224</v>
      </c>
      <c r="B178" s="1"/>
      <c r="C178" s="1"/>
      <c r="D178" s="71">
        <v>3.74</v>
      </c>
      <c r="E178" s="71">
        <v>1.99</v>
      </c>
      <c r="F178" s="71">
        <f t="shared" si="36"/>
        <v>1.75</v>
      </c>
      <c r="G178" s="39">
        <v>2.0</v>
      </c>
      <c r="H178" s="71">
        <f t="shared" si="35"/>
        <v>0.995</v>
      </c>
    </row>
    <row r="179">
      <c r="A179" s="72" t="s">
        <v>1222</v>
      </c>
      <c r="B179" s="1"/>
      <c r="C179" s="1"/>
      <c r="D179" s="71">
        <v>3.75</v>
      </c>
      <c r="E179" s="71">
        <v>2.0</v>
      </c>
      <c r="F179" s="71">
        <f t="shared" si="36"/>
        <v>1.75</v>
      </c>
      <c r="G179" s="39">
        <v>2.0</v>
      </c>
      <c r="H179" s="71">
        <f t="shared" si="35"/>
        <v>1</v>
      </c>
    </row>
    <row r="180">
      <c r="A180" s="72" t="s">
        <v>1223</v>
      </c>
      <c r="B180" s="1"/>
      <c r="C180" s="1"/>
      <c r="D180" s="71">
        <v>3.75</v>
      </c>
      <c r="E180" s="71">
        <v>2.0</v>
      </c>
      <c r="F180" s="71">
        <f t="shared" si="36"/>
        <v>1.75</v>
      </c>
      <c r="G180" s="39">
        <v>2.0</v>
      </c>
      <c r="H180" s="71">
        <f t="shared" si="35"/>
        <v>1</v>
      </c>
    </row>
    <row r="181">
      <c r="A181" s="72" t="s">
        <v>1109</v>
      </c>
      <c r="B181" s="1"/>
      <c r="C181" s="1"/>
      <c r="D181" s="71">
        <v>7.33</v>
      </c>
      <c r="E181" s="71">
        <v>3.66</v>
      </c>
      <c r="F181" s="71">
        <f t="shared" si="36"/>
        <v>3.67</v>
      </c>
      <c r="G181" s="39">
        <v>2.0</v>
      </c>
      <c r="H181" s="71">
        <f t="shared" si="35"/>
        <v>1.83</v>
      </c>
    </row>
    <row r="182">
      <c r="A182" s="72" t="s">
        <v>1759</v>
      </c>
      <c r="B182" s="1"/>
      <c r="C182" s="1"/>
      <c r="D182" s="71">
        <v>7.33</v>
      </c>
      <c r="E182" s="71">
        <v>3.66</v>
      </c>
      <c r="F182" s="71">
        <f t="shared" si="36"/>
        <v>3.67</v>
      </c>
      <c r="G182" s="39">
        <v>2.0</v>
      </c>
      <c r="H182" s="71">
        <f t="shared" si="35"/>
        <v>1.83</v>
      </c>
    </row>
    <row r="183">
      <c r="A183" s="39" t="s">
        <v>1262</v>
      </c>
      <c r="B183" s="1"/>
      <c r="C183" s="1"/>
      <c r="D183" s="71">
        <v>0.0</v>
      </c>
      <c r="E183" s="71">
        <v>0.0</v>
      </c>
      <c r="F183" s="71">
        <f t="shared" si="36"/>
        <v>0</v>
      </c>
      <c r="G183" s="39">
        <v>1.0</v>
      </c>
      <c r="H183" s="71">
        <f t="shared" si="35"/>
        <v>0</v>
      </c>
    </row>
    <row r="184">
      <c r="A184" s="39" t="s">
        <v>1295</v>
      </c>
      <c r="B184" s="1"/>
      <c r="C184" s="1"/>
      <c r="D184" s="71">
        <v>0.0</v>
      </c>
      <c r="E184" s="71">
        <v>0.0</v>
      </c>
      <c r="F184" s="71">
        <f t="shared" si="36"/>
        <v>0</v>
      </c>
      <c r="G184" s="39">
        <v>1.0</v>
      </c>
      <c r="H184" s="71">
        <f t="shared" si="35"/>
        <v>0</v>
      </c>
    </row>
    <row r="185">
      <c r="A185" s="39" t="s">
        <v>1219</v>
      </c>
      <c r="B185" s="1"/>
      <c r="C185" s="1"/>
      <c r="D185" s="71">
        <v>3.33</v>
      </c>
      <c r="E185" s="71">
        <v>0.5</v>
      </c>
      <c r="F185" s="71">
        <f t="shared" si="36"/>
        <v>2.83</v>
      </c>
      <c r="G185" s="39">
        <v>1.0</v>
      </c>
      <c r="H185" s="71">
        <f t="shared" si="35"/>
        <v>0.5</v>
      </c>
    </row>
    <row r="186">
      <c r="A186" s="39" t="s">
        <v>1217</v>
      </c>
      <c r="B186" s="1"/>
      <c r="C186" s="1"/>
      <c r="D186" s="71">
        <v>3.33</v>
      </c>
      <c r="E186" s="71">
        <v>0.5</v>
      </c>
      <c r="F186" s="71">
        <f t="shared" si="36"/>
        <v>2.83</v>
      </c>
      <c r="G186" s="39">
        <v>1.0</v>
      </c>
      <c r="H186" s="71">
        <f t="shared" si="35"/>
        <v>0.5</v>
      </c>
    </row>
    <row r="187">
      <c r="A187" s="39" t="s">
        <v>1215</v>
      </c>
      <c r="B187" s="1"/>
      <c r="C187" s="1"/>
      <c r="D187" s="71">
        <v>3.33</v>
      </c>
      <c r="E187" s="71">
        <v>0.99</v>
      </c>
      <c r="F187" s="71">
        <f t="shared" si="36"/>
        <v>2.34</v>
      </c>
      <c r="G187" s="39">
        <v>1.0</v>
      </c>
      <c r="H187" s="71">
        <f t="shared" si="35"/>
        <v>0.99</v>
      </c>
    </row>
    <row r="188">
      <c r="A188" s="39" t="s">
        <v>1216</v>
      </c>
      <c r="B188" s="1"/>
      <c r="C188" s="1"/>
      <c r="D188" s="71">
        <v>3.34</v>
      </c>
      <c r="E188" s="71">
        <v>1.0</v>
      </c>
      <c r="F188" s="71">
        <f t="shared" si="36"/>
        <v>2.34</v>
      </c>
      <c r="G188" s="39">
        <v>1.0</v>
      </c>
      <c r="H188" s="71">
        <f t="shared" si="35"/>
        <v>1</v>
      </c>
    </row>
    <row r="189">
      <c r="A189" s="39" t="s">
        <v>1218</v>
      </c>
      <c r="B189" s="1"/>
      <c r="C189" s="1"/>
      <c r="D189" s="71">
        <v>3.33</v>
      </c>
      <c r="E189" s="71">
        <v>1.0</v>
      </c>
      <c r="F189" s="71">
        <f t="shared" si="36"/>
        <v>2.33</v>
      </c>
      <c r="G189" s="39">
        <v>1.0</v>
      </c>
      <c r="H189" s="71">
        <f t="shared" si="35"/>
        <v>1</v>
      </c>
    </row>
    <row r="190">
      <c r="A190" s="39" t="s">
        <v>1214</v>
      </c>
      <c r="B190" s="1"/>
      <c r="C190" s="1"/>
      <c r="D190" s="71">
        <v>3.33</v>
      </c>
      <c r="E190" s="71">
        <v>1.0</v>
      </c>
      <c r="F190" s="71">
        <f t="shared" si="36"/>
        <v>2.33</v>
      </c>
      <c r="G190" s="39">
        <v>1.0</v>
      </c>
      <c r="H190" s="71">
        <f t="shared" si="35"/>
        <v>1</v>
      </c>
    </row>
    <row r="191">
      <c r="A191" s="72" t="s">
        <v>1080</v>
      </c>
      <c r="B191" s="1"/>
      <c r="C191" s="1"/>
      <c r="D191" s="71">
        <v>3.33</v>
      </c>
      <c r="E191" s="71">
        <v>1.23</v>
      </c>
      <c r="F191" s="71">
        <f t="shared" si="36"/>
        <v>2.1</v>
      </c>
      <c r="G191" s="39">
        <v>1.0</v>
      </c>
      <c r="H191" s="71">
        <f t="shared" si="35"/>
        <v>1.23</v>
      </c>
    </row>
    <row r="192">
      <c r="A192" s="72" t="s">
        <v>1068</v>
      </c>
      <c r="B192" s="1"/>
      <c r="C192" s="1"/>
      <c r="D192" s="71">
        <v>3.33</v>
      </c>
      <c r="E192" s="71">
        <v>1.23</v>
      </c>
      <c r="F192" s="71">
        <f t="shared" si="36"/>
        <v>2.1</v>
      </c>
      <c r="G192" s="39">
        <v>1.0</v>
      </c>
      <c r="H192" s="71">
        <f t="shared" si="35"/>
        <v>1.23</v>
      </c>
    </row>
    <row r="193">
      <c r="A193" s="72" t="s">
        <v>1071</v>
      </c>
      <c r="B193" s="1"/>
      <c r="C193" s="1"/>
      <c r="D193" s="71">
        <v>3.33</v>
      </c>
      <c r="E193" s="71">
        <v>1.23</v>
      </c>
      <c r="F193" s="71">
        <f t="shared" si="36"/>
        <v>2.1</v>
      </c>
      <c r="G193" s="39">
        <v>1.0</v>
      </c>
      <c r="H193" s="71">
        <f t="shared" si="35"/>
        <v>1.23</v>
      </c>
    </row>
    <row r="194">
      <c r="A194" s="72" t="s">
        <v>1084</v>
      </c>
      <c r="B194" s="1"/>
      <c r="C194" s="1"/>
      <c r="D194" s="71">
        <v>3.33</v>
      </c>
      <c r="E194" s="71">
        <v>1.23</v>
      </c>
      <c r="F194" s="71">
        <f t="shared" si="36"/>
        <v>2.1</v>
      </c>
      <c r="G194" s="39">
        <v>1.0</v>
      </c>
      <c r="H194" s="71">
        <f t="shared" si="35"/>
        <v>1.23</v>
      </c>
    </row>
    <row r="195">
      <c r="A195" s="39" t="s">
        <v>1232</v>
      </c>
      <c r="B195" s="1"/>
      <c r="C195" s="1"/>
      <c r="D195" s="71">
        <v>3.33</v>
      </c>
      <c r="E195" s="71">
        <v>1.23</v>
      </c>
      <c r="F195" s="71">
        <f t="shared" si="36"/>
        <v>2.1</v>
      </c>
      <c r="G195" s="39">
        <v>1.0</v>
      </c>
      <c r="H195" s="71">
        <f t="shared" si="35"/>
        <v>1.23</v>
      </c>
    </row>
    <row r="196">
      <c r="A196" s="39" t="s">
        <v>1233</v>
      </c>
      <c r="B196" s="1"/>
      <c r="C196" s="1"/>
      <c r="D196" s="71">
        <v>3.33</v>
      </c>
      <c r="E196" s="71">
        <v>1.23</v>
      </c>
      <c r="F196" s="71">
        <f t="shared" si="36"/>
        <v>2.1</v>
      </c>
      <c r="G196" s="39">
        <v>1.0</v>
      </c>
      <c r="H196" s="71">
        <f t="shared" si="35"/>
        <v>1.23</v>
      </c>
    </row>
    <row r="197">
      <c r="A197" s="39" t="s">
        <v>1236</v>
      </c>
      <c r="B197" s="1"/>
      <c r="C197" s="1"/>
      <c r="D197" s="71">
        <v>3.33</v>
      </c>
      <c r="E197" s="71">
        <v>1.23</v>
      </c>
      <c r="F197" s="71">
        <f t="shared" si="36"/>
        <v>2.1</v>
      </c>
      <c r="G197" s="39">
        <v>1.0</v>
      </c>
      <c r="H197" s="71">
        <f t="shared" si="35"/>
        <v>1.23</v>
      </c>
    </row>
    <row r="198">
      <c r="A198" s="39" t="s">
        <v>1237</v>
      </c>
      <c r="B198" s="1"/>
      <c r="C198" s="1"/>
      <c r="D198" s="71">
        <v>3.33</v>
      </c>
      <c r="E198" s="71">
        <v>1.23</v>
      </c>
      <c r="F198" s="71">
        <f t="shared" si="36"/>
        <v>2.1</v>
      </c>
      <c r="G198" s="39">
        <v>1.0</v>
      </c>
      <c r="H198" s="71">
        <f t="shared" si="35"/>
        <v>1.23</v>
      </c>
    </row>
    <row r="199">
      <c r="A199" s="39" t="s">
        <v>1238</v>
      </c>
      <c r="B199" s="1"/>
      <c r="C199" s="1"/>
      <c r="D199" s="71">
        <v>3.33</v>
      </c>
      <c r="E199" s="71">
        <v>1.23</v>
      </c>
      <c r="F199" s="71">
        <f t="shared" si="36"/>
        <v>2.1</v>
      </c>
      <c r="G199" s="39">
        <v>1.0</v>
      </c>
      <c r="H199" s="71">
        <f t="shared" si="35"/>
        <v>1.23</v>
      </c>
    </row>
    <row r="200">
      <c r="A200" s="39" t="s">
        <v>1234</v>
      </c>
      <c r="B200" s="1"/>
      <c r="C200" s="1"/>
      <c r="D200" s="71">
        <v>3.34</v>
      </c>
      <c r="E200" s="71">
        <v>1.24</v>
      </c>
      <c r="F200" s="71">
        <f t="shared" si="36"/>
        <v>2.1</v>
      </c>
      <c r="G200" s="39">
        <v>1.0</v>
      </c>
      <c r="H200" s="71">
        <f t="shared" si="35"/>
        <v>1.24</v>
      </c>
    </row>
    <row r="201">
      <c r="A201" s="39" t="s">
        <v>1235</v>
      </c>
      <c r="B201" s="1"/>
      <c r="C201" s="1"/>
      <c r="D201" s="71">
        <v>3.34</v>
      </c>
      <c r="E201" s="71">
        <v>1.24</v>
      </c>
      <c r="F201" s="71">
        <f t="shared" si="36"/>
        <v>2.1</v>
      </c>
      <c r="G201" s="39">
        <v>1.0</v>
      </c>
      <c r="H201" s="71">
        <f t="shared" si="35"/>
        <v>1.24</v>
      </c>
    </row>
    <row r="202">
      <c r="A202" s="39" t="s">
        <v>1231</v>
      </c>
      <c r="B202" s="1"/>
      <c r="C202" s="1"/>
      <c r="D202" s="71">
        <v>3.34</v>
      </c>
      <c r="E202" s="71">
        <v>1.24</v>
      </c>
      <c r="F202" s="71">
        <f t="shared" si="36"/>
        <v>2.1</v>
      </c>
      <c r="G202" s="39">
        <v>1.0</v>
      </c>
      <c r="H202" s="71">
        <f t="shared" si="35"/>
        <v>1.24</v>
      </c>
    </row>
    <row r="203">
      <c r="A203" s="72" t="s">
        <v>1200</v>
      </c>
      <c r="B203" s="1"/>
      <c r="C203" s="1"/>
      <c r="D203" s="71">
        <v>2.5</v>
      </c>
      <c r="E203" s="71">
        <v>1.33</v>
      </c>
      <c r="F203" s="71">
        <f t="shared" si="36"/>
        <v>1.17</v>
      </c>
      <c r="G203" s="39">
        <v>1.0</v>
      </c>
      <c r="H203" s="71">
        <f t="shared" si="35"/>
        <v>1.33</v>
      </c>
    </row>
    <row r="204">
      <c r="A204" s="72" t="s">
        <v>1201</v>
      </c>
      <c r="B204" s="1"/>
      <c r="C204" s="1"/>
      <c r="D204" s="71">
        <v>2.5</v>
      </c>
      <c r="E204" s="71">
        <v>1.33</v>
      </c>
      <c r="F204" s="71">
        <f t="shared" si="36"/>
        <v>1.17</v>
      </c>
      <c r="G204" s="39">
        <v>1.0</v>
      </c>
      <c r="H204" s="71">
        <f t="shared" si="35"/>
        <v>1.33</v>
      </c>
    </row>
    <row r="205">
      <c r="A205" s="72" t="s">
        <v>1202</v>
      </c>
      <c r="B205" s="1"/>
      <c r="C205" s="1"/>
      <c r="D205" s="71">
        <v>2.5</v>
      </c>
      <c r="E205" s="71">
        <v>1.33</v>
      </c>
      <c r="F205" s="71">
        <f t="shared" si="36"/>
        <v>1.17</v>
      </c>
      <c r="G205" s="39">
        <v>1.0</v>
      </c>
      <c r="H205" s="71">
        <f t="shared" si="35"/>
        <v>1.33</v>
      </c>
    </row>
    <row r="206">
      <c r="A206" s="72" t="s">
        <v>1203</v>
      </c>
      <c r="B206" s="1"/>
      <c r="C206" s="1"/>
      <c r="D206" s="71">
        <v>2.49</v>
      </c>
      <c r="E206" s="71">
        <v>1.34</v>
      </c>
      <c r="F206" s="71">
        <f t="shared" si="36"/>
        <v>1.15</v>
      </c>
      <c r="G206" s="39">
        <v>1.0</v>
      </c>
      <c r="H206" s="71">
        <f t="shared" si="35"/>
        <v>1.34</v>
      </c>
    </row>
    <row r="207">
      <c r="A207" s="72" t="s">
        <v>1242</v>
      </c>
      <c r="B207" s="1"/>
      <c r="C207" s="1"/>
      <c r="D207" s="71">
        <v>4.99</v>
      </c>
      <c r="E207" s="71">
        <v>2.99</v>
      </c>
      <c r="F207" s="71">
        <f t="shared" si="36"/>
        <v>2</v>
      </c>
      <c r="G207" s="39">
        <v>1.0</v>
      </c>
      <c r="H207" s="71">
        <f t="shared" si="35"/>
        <v>2.99</v>
      </c>
    </row>
    <row r="208">
      <c r="A208" s="72" t="s">
        <v>1246</v>
      </c>
      <c r="B208" s="1"/>
      <c r="C208" s="1"/>
      <c r="D208" s="71">
        <v>4.99</v>
      </c>
      <c r="E208" s="71">
        <v>2.99</v>
      </c>
      <c r="F208" s="71">
        <f t="shared" si="36"/>
        <v>2</v>
      </c>
      <c r="G208" s="39">
        <v>1.0</v>
      </c>
      <c r="H208" s="71">
        <f t="shared" si="35"/>
        <v>2.99</v>
      </c>
    </row>
    <row r="209">
      <c r="A209" s="72" t="s">
        <v>1239</v>
      </c>
      <c r="B209" s="1"/>
      <c r="C209" s="1"/>
      <c r="D209" s="71">
        <v>5.0</v>
      </c>
      <c r="E209" s="71">
        <v>3.0</v>
      </c>
      <c r="F209" s="71">
        <f t="shared" si="36"/>
        <v>2</v>
      </c>
      <c r="G209" s="39">
        <v>1.0</v>
      </c>
      <c r="H209" s="71">
        <f t="shared" si="35"/>
        <v>3</v>
      </c>
    </row>
    <row r="210">
      <c r="A210" s="72" t="s">
        <v>1240</v>
      </c>
      <c r="B210" s="1"/>
      <c r="C210" s="1"/>
      <c r="D210" s="71">
        <v>5.0</v>
      </c>
      <c r="E210" s="71">
        <v>3.0</v>
      </c>
      <c r="F210" s="71">
        <f t="shared" si="36"/>
        <v>2</v>
      </c>
      <c r="G210" s="39">
        <v>1.0</v>
      </c>
      <c r="H210" s="71">
        <f t="shared" si="35"/>
        <v>3</v>
      </c>
    </row>
    <row r="211">
      <c r="A211" s="72" t="s">
        <v>1241</v>
      </c>
      <c r="B211" s="1"/>
      <c r="C211" s="1"/>
      <c r="D211" s="71">
        <v>5.0</v>
      </c>
      <c r="E211" s="71">
        <v>3.0</v>
      </c>
      <c r="F211" s="71">
        <f t="shared" si="36"/>
        <v>2</v>
      </c>
      <c r="G211" s="39">
        <v>1.0</v>
      </c>
      <c r="H211" s="71">
        <f t="shared" si="35"/>
        <v>3</v>
      </c>
    </row>
    <row r="212">
      <c r="A212" s="72" t="s">
        <v>1243</v>
      </c>
      <c r="B212" s="1"/>
      <c r="C212" s="1"/>
      <c r="D212" s="71">
        <v>5.0</v>
      </c>
      <c r="E212" s="71">
        <v>3.0</v>
      </c>
      <c r="F212" s="71">
        <f t="shared" si="36"/>
        <v>2</v>
      </c>
      <c r="G212" s="39">
        <v>1.0</v>
      </c>
      <c r="H212" s="71">
        <f t="shared" si="35"/>
        <v>3</v>
      </c>
    </row>
    <row r="213">
      <c r="A213" s="72" t="s">
        <v>1244</v>
      </c>
      <c r="B213" s="1"/>
      <c r="C213" s="1"/>
      <c r="D213" s="71">
        <v>5.0</v>
      </c>
      <c r="E213" s="71">
        <v>3.0</v>
      </c>
      <c r="F213" s="71">
        <f t="shared" si="36"/>
        <v>2</v>
      </c>
      <c r="G213" s="39">
        <v>1.0</v>
      </c>
      <c r="H213" s="71">
        <f t="shared" si="35"/>
        <v>3</v>
      </c>
    </row>
    <row r="214">
      <c r="A214" s="72" t="s">
        <v>1245</v>
      </c>
      <c r="B214" s="1"/>
      <c r="C214" s="1"/>
      <c r="D214" s="71">
        <v>5.0</v>
      </c>
      <c r="E214" s="71">
        <v>3.0</v>
      </c>
      <c r="F214" s="71">
        <f t="shared" si="36"/>
        <v>2</v>
      </c>
      <c r="G214" s="39">
        <v>1.0</v>
      </c>
      <c r="H214" s="71">
        <f t="shared" si="35"/>
        <v>3</v>
      </c>
    </row>
    <row r="215">
      <c r="A215" s="72" t="s">
        <v>1760</v>
      </c>
      <c r="B215" s="1"/>
      <c r="C215" s="1"/>
      <c r="D215" s="71">
        <v>9.99</v>
      </c>
      <c r="E215" s="71">
        <v>3.99</v>
      </c>
      <c r="F215" s="71">
        <f t="shared" si="36"/>
        <v>6</v>
      </c>
      <c r="G215" s="39">
        <v>1.0</v>
      </c>
      <c r="H215" s="71">
        <f t="shared" si="35"/>
        <v>3.99</v>
      </c>
    </row>
    <row r="216">
      <c r="A216" s="39" t="s">
        <v>1078</v>
      </c>
      <c r="B216" s="1"/>
      <c r="C216" s="1"/>
      <c r="D216" s="71">
        <v>9.99</v>
      </c>
      <c r="E216" s="71">
        <v>3.99</v>
      </c>
      <c r="F216" s="71">
        <f t="shared" si="36"/>
        <v>6</v>
      </c>
      <c r="G216" s="39">
        <v>1.0</v>
      </c>
      <c r="H216" s="71">
        <f t="shared" si="35"/>
        <v>3.99</v>
      </c>
    </row>
    <row r="217">
      <c r="A217" s="39" t="s">
        <v>1088</v>
      </c>
      <c r="B217" s="1"/>
      <c r="C217" s="1"/>
      <c r="D217" s="71">
        <v>9.99</v>
      </c>
      <c r="E217" s="71">
        <v>3.99</v>
      </c>
      <c r="F217" s="71">
        <f t="shared" si="36"/>
        <v>6</v>
      </c>
      <c r="G217" s="39">
        <v>1.0</v>
      </c>
      <c r="H217" s="71">
        <f t="shared" si="35"/>
        <v>3.99</v>
      </c>
    </row>
    <row r="218">
      <c r="A218" s="39" t="s">
        <v>1175</v>
      </c>
      <c r="B218" s="1"/>
      <c r="C218" s="1"/>
      <c r="D218" s="71">
        <v>19.99</v>
      </c>
      <c r="E218" s="71">
        <v>7.49</v>
      </c>
      <c r="F218" s="71">
        <f t="shared" si="36"/>
        <v>12.5</v>
      </c>
      <c r="G218" s="39">
        <v>1.0</v>
      </c>
      <c r="H218" s="71">
        <f t="shared" si="35"/>
        <v>7.49</v>
      </c>
    </row>
    <row r="219">
      <c r="A219" s="39" t="s">
        <v>1164</v>
      </c>
      <c r="B219" s="1"/>
      <c r="C219" s="1"/>
      <c r="D219" s="71">
        <v>19.99</v>
      </c>
      <c r="E219" s="71">
        <v>7.99</v>
      </c>
      <c r="F219" s="71">
        <f t="shared" si="36"/>
        <v>12</v>
      </c>
      <c r="G219" s="39">
        <v>1.0</v>
      </c>
      <c r="H219" s="71">
        <f t="shared" si="35"/>
        <v>7.99</v>
      </c>
    </row>
    <row r="220">
      <c r="A220" s="39" t="s">
        <v>1136</v>
      </c>
      <c r="B220" s="1"/>
      <c r="C220" s="1"/>
      <c r="D220" s="71">
        <v>22.99</v>
      </c>
      <c r="E220" s="71">
        <v>10.99</v>
      </c>
      <c r="F220" s="71">
        <f t="shared" si="36"/>
        <v>12</v>
      </c>
      <c r="G220" s="39">
        <v>1.0</v>
      </c>
      <c r="H220" s="71">
        <f t="shared" si="35"/>
        <v>10.99</v>
      </c>
    </row>
    <row r="221">
      <c r="A221" s="39" t="s">
        <v>1254</v>
      </c>
      <c r="B221" s="1"/>
      <c r="C221" s="1"/>
      <c r="D221" s="71">
        <v>49.99</v>
      </c>
      <c r="E221" s="71">
        <v>44.99</v>
      </c>
      <c r="F221" s="71">
        <f t="shared" si="36"/>
        <v>5</v>
      </c>
      <c r="G221" s="39">
        <v>1.0</v>
      </c>
      <c r="H221" s="71">
        <f t="shared" si="35"/>
        <v>44.99</v>
      </c>
    </row>
    <row r="222">
      <c r="A222" s="39"/>
      <c r="B222" s="1"/>
      <c r="C222" s="1"/>
      <c r="D222" s="71"/>
      <c r="E222" s="71"/>
      <c r="F222" s="71"/>
      <c r="G222" s="39"/>
      <c r="H222" s="71"/>
    </row>
    <row r="223">
      <c r="A223" s="43" t="s">
        <v>581</v>
      </c>
      <c r="B223" s="43" t="s">
        <v>29</v>
      </c>
      <c r="C223" s="44">
        <f>COUNTA(A224)</f>
        <v>1</v>
      </c>
      <c r="D223" s="47">
        <f t="shared" ref="D223:F223" si="37">SUM(D224)</f>
        <v>34.58</v>
      </c>
      <c r="E223" s="47">
        <f t="shared" si="37"/>
        <v>26.58</v>
      </c>
      <c r="F223" s="47">
        <f t="shared" si="37"/>
        <v>8</v>
      </c>
      <c r="G223" s="43">
        <v>260.0</v>
      </c>
      <c r="H223" s="47">
        <f t="shared" ref="H223:H224" si="38">E223/G223</f>
        <v>0.1022307692</v>
      </c>
    </row>
    <row r="224">
      <c r="A224" s="39" t="s">
        <v>1591</v>
      </c>
      <c r="B224" s="1"/>
      <c r="C224" s="1"/>
      <c r="D224" s="71">
        <v>34.58</v>
      </c>
      <c r="E224" s="71">
        <v>26.58</v>
      </c>
      <c r="F224" s="71">
        <f>D224-E224</f>
        <v>8</v>
      </c>
      <c r="G224" s="72">
        <v>260.0</v>
      </c>
      <c r="H224" s="71">
        <f t="shared" si="38"/>
        <v>0.1022307692</v>
      </c>
    </row>
    <row r="225">
      <c r="A225" s="461"/>
      <c r="B225" s="462"/>
      <c r="C225" s="461"/>
      <c r="D225" s="461"/>
      <c r="E225" s="461"/>
      <c r="F225" s="461"/>
      <c r="G225" s="461"/>
      <c r="H225" s="461"/>
    </row>
    <row r="226">
      <c r="A226" s="43" t="s">
        <v>93</v>
      </c>
      <c r="B226" s="43" t="s">
        <v>92</v>
      </c>
      <c r="C226" s="44">
        <f>COUNTA(A227:A228)</f>
        <v>2</v>
      </c>
      <c r="D226" s="47">
        <f t="shared" ref="D226:G226" si="39">SUM(D227:D228)</f>
        <v>109.98</v>
      </c>
      <c r="E226" s="47">
        <f t="shared" si="39"/>
        <v>74.99</v>
      </c>
      <c r="F226" s="47">
        <f t="shared" si="39"/>
        <v>34.99</v>
      </c>
      <c r="G226" s="43">
        <f t="shared" si="39"/>
        <v>208</v>
      </c>
      <c r="H226" s="47">
        <f t="shared" ref="H226:H228" si="40">E226/G226</f>
        <v>0.3605288462</v>
      </c>
    </row>
    <row r="227">
      <c r="A227" s="72" t="s">
        <v>742</v>
      </c>
      <c r="B227" s="1"/>
      <c r="C227" s="1"/>
      <c r="D227" s="71">
        <v>59.99</v>
      </c>
      <c r="E227" s="71">
        <v>59.99</v>
      </c>
      <c r="F227" s="71">
        <f t="shared" ref="F227:F228" si="41">D227-E227</f>
        <v>0</v>
      </c>
      <c r="G227" s="39">
        <v>168.0</v>
      </c>
      <c r="H227" s="71">
        <f t="shared" si="40"/>
        <v>0.3570833333</v>
      </c>
    </row>
    <row r="228">
      <c r="A228" s="39" t="s">
        <v>706</v>
      </c>
      <c r="B228" s="1"/>
      <c r="C228" s="1"/>
      <c r="D228" s="71">
        <v>49.99</v>
      </c>
      <c r="E228" s="71">
        <v>15.0</v>
      </c>
      <c r="F228" s="71">
        <f t="shared" si="41"/>
        <v>34.99</v>
      </c>
      <c r="G228" s="39">
        <v>40.0</v>
      </c>
      <c r="H228" s="71">
        <f t="shared" si="40"/>
        <v>0.375</v>
      </c>
    </row>
    <row r="229">
      <c r="A229" s="461"/>
      <c r="B229" s="462"/>
      <c r="C229" s="461"/>
      <c r="D229" s="461"/>
      <c r="E229" s="461"/>
      <c r="F229" s="461"/>
      <c r="G229" s="461"/>
      <c r="H229" s="461"/>
    </row>
    <row r="230">
      <c r="A230" s="43" t="s">
        <v>344</v>
      </c>
      <c r="B230" s="43" t="s">
        <v>325</v>
      </c>
      <c r="C230" s="43">
        <f>COUNTA(A231:A259)</f>
        <v>29</v>
      </c>
      <c r="D230" s="145">
        <f t="shared" ref="D230:G230" si="42">SUM(D231:D259)</f>
        <v>253.86</v>
      </c>
      <c r="E230" s="145">
        <f t="shared" si="42"/>
        <v>141.89</v>
      </c>
      <c r="F230" s="145">
        <f t="shared" si="42"/>
        <v>111.97</v>
      </c>
      <c r="G230" s="44">
        <f t="shared" si="42"/>
        <v>198</v>
      </c>
      <c r="H230" s="145">
        <f t="shared" ref="H230:H259" si="43">E230/G230</f>
        <v>0.7166161616</v>
      </c>
    </row>
    <row r="231">
      <c r="A231" s="39" t="s">
        <v>1176</v>
      </c>
      <c r="B231" s="1"/>
      <c r="C231" s="1"/>
      <c r="D231" s="71">
        <v>29.99</v>
      </c>
      <c r="E231" s="71">
        <v>7.49</v>
      </c>
      <c r="F231" s="71">
        <f t="shared" ref="F231:F259" si="44">D231-E231</f>
        <v>22.5</v>
      </c>
      <c r="G231" s="39">
        <v>101.0</v>
      </c>
      <c r="H231" s="71">
        <f t="shared" si="43"/>
        <v>0.07415841584</v>
      </c>
    </row>
    <row r="232">
      <c r="A232" s="39" t="s">
        <v>1141</v>
      </c>
      <c r="B232" s="1"/>
      <c r="C232" s="1"/>
      <c r="D232" s="71">
        <v>19.99</v>
      </c>
      <c r="E232" s="71">
        <v>0.5</v>
      </c>
      <c r="F232" s="71">
        <f t="shared" si="44"/>
        <v>19.49</v>
      </c>
      <c r="G232" s="39">
        <v>30.0</v>
      </c>
      <c r="H232" s="71">
        <f t="shared" si="43"/>
        <v>0.01666666667</v>
      </c>
    </row>
    <row r="233">
      <c r="A233" s="39" t="s">
        <v>1083</v>
      </c>
      <c r="B233" s="1"/>
      <c r="C233" s="1"/>
      <c r="D233" s="71">
        <v>9.99</v>
      </c>
      <c r="E233" s="71">
        <v>4.99</v>
      </c>
      <c r="F233" s="71">
        <f t="shared" si="44"/>
        <v>5</v>
      </c>
      <c r="G233" s="39">
        <v>30.0</v>
      </c>
      <c r="H233" s="71">
        <f t="shared" si="43"/>
        <v>0.1663333333</v>
      </c>
    </row>
    <row r="234">
      <c r="A234" s="39" t="s">
        <v>1154</v>
      </c>
      <c r="B234" s="1"/>
      <c r="C234" s="1"/>
      <c r="D234" s="71">
        <v>9.99</v>
      </c>
      <c r="E234" s="71">
        <v>9.99</v>
      </c>
      <c r="F234" s="71">
        <f t="shared" si="44"/>
        <v>0</v>
      </c>
      <c r="G234" s="39">
        <v>10.0</v>
      </c>
      <c r="H234" s="71">
        <f t="shared" si="43"/>
        <v>0.999</v>
      </c>
    </row>
    <row r="235">
      <c r="A235" s="39" t="s">
        <v>1114</v>
      </c>
      <c r="B235" s="1"/>
      <c r="C235" s="1"/>
      <c r="D235" s="71">
        <v>22.99</v>
      </c>
      <c r="E235" s="71">
        <v>22.99</v>
      </c>
      <c r="F235" s="71">
        <f t="shared" si="44"/>
        <v>0</v>
      </c>
      <c r="G235" s="39">
        <v>2.0</v>
      </c>
      <c r="H235" s="71">
        <f t="shared" si="43"/>
        <v>11.495</v>
      </c>
    </row>
    <row r="236">
      <c r="A236" s="39" t="s">
        <v>1103</v>
      </c>
      <c r="B236" s="1"/>
      <c r="C236" s="1"/>
      <c r="D236" s="71">
        <v>23.99</v>
      </c>
      <c r="E236" s="71">
        <v>23.99</v>
      </c>
      <c r="F236" s="71">
        <f t="shared" si="44"/>
        <v>0</v>
      </c>
      <c r="G236" s="39">
        <v>2.0</v>
      </c>
      <c r="H236" s="71">
        <f t="shared" si="43"/>
        <v>11.995</v>
      </c>
    </row>
    <row r="237">
      <c r="A237" s="258" t="s">
        <v>1282</v>
      </c>
      <c r="B237" s="1"/>
      <c r="C237" s="1"/>
      <c r="D237" s="469">
        <v>3.08</v>
      </c>
      <c r="E237" s="469">
        <v>0.0</v>
      </c>
      <c r="F237" s="42">
        <f t="shared" si="44"/>
        <v>3.08</v>
      </c>
      <c r="G237" s="258">
        <v>1.0</v>
      </c>
      <c r="H237" s="469">
        <f t="shared" si="43"/>
        <v>0</v>
      </c>
    </row>
    <row r="238">
      <c r="A238" s="258" t="s">
        <v>1283</v>
      </c>
      <c r="B238" s="1"/>
      <c r="C238" s="1"/>
      <c r="D238" s="469">
        <v>3.08</v>
      </c>
      <c r="E238" s="469">
        <v>0.0</v>
      </c>
      <c r="F238" s="42">
        <f t="shared" si="44"/>
        <v>3.08</v>
      </c>
      <c r="G238" s="258">
        <v>1.0</v>
      </c>
      <c r="H238" s="469">
        <f t="shared" si="43"/>
        <v>0</v>
      </c>
    </row>
    <row r="239">
      <c r="A239" s="258" t="s">
        <v>1284</v>
      </c>
      <c r="B239" s="1"/>
      <c r="C239" s="1"/>
      <c r="D239" s="469">
        <v>3.08</v>
      </c>
      <c r="E239" s="469">
        <v>0.0</v>
      </c>
      <c r="F239" s="42">
        <f t="shared" si="44"/>
        <v>3.08</v>
      </c>
      <c r="G239" s="258">
        <v>1.0</v>
      </c>
      <c r="H239" s="469">
        <f t="shared" si="43"/>
        <v>0</v>
      </c>
    </row>
    <row r="240">
      <c r="A240" s="258" t="s">
        <v>1285</v>
      </c>
      <c r="B240" s="1"/>
      <c r="C240" s="1"/>
      <c r="D240" s="469">
        <v>3.08</v>
      </c>
      <c r="E240" s="469">
        <v>0.0</v>
      </c>
      <c r="F240" s="42">
        <f t="shared" si="44"/>
        <v>3.08</v>
      </c>
      <c r="G240" s="258">
        <v>1.0</v>
      </c>
      <c r="H240" s="469">
        <f t="shared" si="43"/>
        <v>0</v>
      </c>
    </row>
    <row r="241">
      <c r="A241" s="258" t="s">
        <v>1286</v>
      </c>
      <c r="B241" s="1"/>
      <c r="C241" s="1"/>
      <c r="D241" s="469">
        <v>3.08</v>
      </c>
      <c r="E241" s="469">
        <v>0.0</v>
      </c>
      <c r="F241" s="42">
        <f t="shared" si="44"/>
        <v>3.08</v>
      </c>
      <c r="G241" s="258">
        <v>1.0</v>
      </c>
      <c r="H241" s="469">
        <f t="shared" si="43"/>
        <v>0</v>
      </c>
    </row>
    <row r="242">
      <c r="A242" s="258" t="s">
        <v>1287</v>
      </c>
      <c r="B242" s="1"/>
      <c r="C242" s="1"/>
      <c r="D242" s="469">
        <v>3.08</v>
      </c>
      <c r="E242" s="469">
        <v>0.0</v>
      </c>
      <c r="F242" s="42">
        <f t="shared" si="44"/>
        <v>3.08</v>
      </c>
      <c r="G242" s="258">
        <v>1.0</v>
      </c>
      <c r="H242" s="469">
        <f t="shared" si="43"/>
        <v>0</v>
      </c>
    </row>
    <row r="243">
      <c r="A243" s="258" t="s">
        <v>1288</v>
      </c>
      <c r="B243" s="1"/>
      <c r="C243" s="1"/>
      <c r="D243" s="469">
        <v>3.08</v>
      </c>
      <c r="E243" s="469">
        <v>0.0</v>
      </c>
      <c r="F243" s="42">
        <f t="shared" si="44"/>
        <v>3.08</v>
      </c>
      <c r="G243" s="258">
        <v>1.0</v>
      </c>
      <c r="H243" s="469">
        <f t="shared" si="43"/>
        <v>0</v>
      </c>
    </row>
    <row r="244">
      <c r="A244" s="258" t="s">
        <v>1289</v>
      </c>
      <c r="B244" s="1"/>
      <c r="C244" s="1"/>
      <c r="D244" s="469">
        <v>3.08</v>
      </c>
      <c r="E244" s="469">
        <v>0.0</v>
      </c>
      <c r="F244" s="42">
        <f t="shared" si="44"/>
        <v>3.08</v>
      </c>
      <c r="G244" s="258">
        <v>1.0</v>
      </c>
      <c r="H244" s="469">
        <f t="shared" si="43"/>
        <v>0</v>
      </c>
    </row>
    <row r="245">
      <c r="A245" s="258" t="s">
        <v>1290</v>
      </c>
      <c r="B245" s="1"/>
      <c r="C245" s="1"/>
      <c r="D245" s="469">
        <v>3.07</v>
      </c>
      <c r="E245" s="469">
        <v>0.0</v>
      </c>
      <c r="F245" s="42">
        <f t="shared" si="44"/>
        <v>3.07</v>
      </c>
      <c r="G245" s="258">
        <v>1.0</v>
      </c>
      <c r="H245" s="469">
        <f t="shared" si="43"/>
        <v>0</v>
      </c>
    </row>
    <row r="246">
      <c r="A246" s="258" t="s">
        <v>1291</v>
      </c>
      <c r="B246" s="1"/>
      <c r="C246" s="1"/>
      <c r="D246" s="469">
        <v>3.07</v>
      </c>
      <c r="E246" s="469">
        <v>0.0</v>
      </c>
      <c r="F246" s="42">
        <f t="shared" si="44"/>
        <v>3.07</v>
      </c>
      <c r="G246" s="258">
        <v>1.0</v>
      </c>
      <c r="H246" s="469">
        <f t="shared" si="43"/>
        <v>0</v>
      </c>
    </row>
    <row r="247">
      <c r="A247" s="258" t="s">
        <v>1292</v>
      </c>
      <c r="B247" s="1"/>
      <c r="C247" s="1"/>
      <c r="D247" s="469">
        <v>3.07</v>
      </c>
      <c r="E247" s="469">
        <v>0.0</v>
      </c>
      <c r="F247" s="42">
        <f t="shared" si="44"/>
        <v>3.07</v>
      </c>
      <c r="G247" s="258">
        <v>1.0</v>
      </c>
      <c r="H247" s="469">
        <f t="shared" si="43"/>
        <v>0</v>
      </c>
    </row>
    <row r="248">
      <c r="A248" s="258" t="s">
        <v>1293</v>
      </c>
      <c r="B248" s="1"/>
      <c r="C248" s="1"/>
      <c r="D248" s="469">
        <v>3.07</v>
      </c>
      <c r="E248" s="469">
        <v>0.0</v>
      </c>
      <c r="F248" s="42">
        <f t="shared" si="44"/>
        <v>3.07</v>
      </c>
      <c r="G248" s="258">
        <v>1.0</v>
      </c>
      <c r="H248" s="469">
        <f t="shared" si="43"/>
        <v>0</v>
      </c>
    </row>
    <row r="249">
      <c r="A249" s="258" t="s">
        <v>1294</v>
      </c>
      <c r="B249" s="1"/>
      <c r="C249" s="1"/>
      <c r="D249" s="469">
        <v>3.07</v>
      </c>
      <c r="E249" s="469">
        <v>0.0</v>
      </c>
      <c r="F249" s="42">
        <f t="shared" si="44"/>
        <v>3.07</v>
      </c>
      <c r="G249" s="258">
        <v>1.0</v>
      </c>
      <c r="H249" s="469">
        <f t="shared" si="43"/>
        <v>0</v>
      </c>
    </row>
    <row r="250">
      <c r="A250" s="39" t="s">
        <v>1085</v>
      </c>
      <c r="B250" s="1"/>
      <c r="C250" s="1"/>
      <c r="D250" s="71">
        <v>6.99</v>
      </c>
      <c r="E250" s="71">
        <v>2.99</v>
      </c>
      <c r="F250" s="71">
        <f t="shared" si="44"/>
        <v>4</v>
      </c>
      <c r="G250" s="39">
        <v>1.0</v>
      </c>
      <c r="H250" s="71">
        <f t="shared" si="43"/>
        <v>2.99</v>
      </c>
    </row>
    <row r="251">
      <c r="A251" s="39" t="s">
        <v>1127</v>
      </c>
      <c r="B251" s="1"/>
      <c r="C251" s="1"/>
      <c r="D251" s="71">
        <v>14.99</v>
      </c>
      <c r="E251" s="71">
        <v>4.49</v>
      </c>
      <c r="F251" s="71">
        <f t="shared" si="44"/>
        <v>10.5</v>
      </c>
      <c r="G251" s="39">
        <v>1.0</v>
      </c>
      <c r="H251" s="71">
        <f t="shared" si="43"/>
        <v>4.49</v>
      </c>
    </row>
    <row r="252">
      <c r="A252" s="39" t="s">
        <v>1075</v>
      </c>
      <c r="B252" s="1"/>
      <c r="C252" s="1"/>
      <c r="D252" s="71">
        <v>14.99</v>
      </c>
      <c r="E252" s="71">
        <v>4.5</v>
      </c>
      <c r="F252" s="71">
        <f t="shared" si="44"/>
        <v>10.49</v>
      </c>
      <c r="G252" s="39">
        <v>1.0</v>
      </c>
      <c r="H252" s="71">
        <f t="shared" si="43"/>
        <v>4.5</v>
      </c>
    </row>
    <row r="253">
      <c r="A253" s="39" t="s">
        <v>1072</v>
      </c>
      <c r="B253" s="1"/>
      <c r="C253" s="1"/>
      <c r="D253" s="71">
        <v>4.99</v>
      </c>
      <c r="E253" s="71">
        <v>4.99</v>
      </c>
      <c r="F253" s="71">
        <f t="shared" si="44"/>
        <v>0</v>
      </c>
      <c r="G253" s="39">
        <v>1.0</v>
      </c>
      <c r="H253" s="71">
        <f t="shared" si="43"/>
        <v>4.99</v>
      </c>
    </row>
    <row r="254">
      <c r="A254" s="39" t="s">
        <v>1091</v>
      </c>
      <c r="B254" s="1"/>
      <c r="C254" s="1"/>
      <c r="D254" s="71">
        <v>4.99</v>
      </c>
      <c r="E254" s="71">
        <v>4.99</v>
      </c>
      <c r="F254" s="71">
        <f t="shared" si="44"/>
        <v>0</v>
      </c>
      <c r="G254" s="39">
        <v>1.0</v>
      </c>
      <c r="H254" s="71">
        <f t="shared" si="43"/>
        <v>4.99</v>
      </c>
    </row>
    <row r="255">
      <c r="A255" s="39" t="s">
        <v>1090</v>
      </c>
      <c r="B255" s="1"/>
      <c r="C255" s="1"/>
      <c r="D255" s="71">
        <v>4.99</v>
      </c>
      <c r="E255" s="71">
        <v>4.99</v>
      </c>
      <c r="F255" s="71">
        <f t="shared" si="44"/>
        <v>0</v>
      </c>
      <c r="G255" s="39">
        <v>1.0</v>
      </c>
      <c r="H255" s="71">
        <f t="shared" si="43"/>
        <v>4.99</v>
      </c>
    </row>
    <row r="256">
      <c r="A256" s="39" t="s">
        <v>1131</v>
      </c>
      <c r="B256" s="1"/>
      <c r="C256" s="1"/>
      <c r="D256" s="71">
        <v>8.0</v>
      </c>
      <c r="E256" s="71">
        <v>8.0</v>
      </c>
      <c r="F256" s="71">
        <f t="shared" si="44"/>
        <v>0</v>
      </c>
      <c r="G256" s="39">
        <v>1.0</v>
      </c>
      <c r="H256" s="71">
        <f t="shared" si="43"/>
        <v>8</v>
      </c>
    </row>
    <row r="257">
      <c r="A257" s="72" t="s">
        <v>1101</v>
      </c>
      <c r="B257" s="1"/>
      <c r="C257" s="1"/>
      <c r="D257" s="71">
        <v>11.0</v>
      </c>
      <c r="E257" s="71">
        <v>11.0</v>
      </c>
      <c r="F257" s="71">
        <f t="shared" si="44"/>
        <v>0</v>
      </c>
      <c r="G257" s="39">
        <v>1.0</v>
      </c>
      <c r="H257" s="71">
        <f t="shared" si="43"/>
        <v>11</v>
      </c>
    </row>
    <row r="258">
      <c r="A258" s="72" t="s">
        <v>1110</v>
      </c>
      <c r="B258" s="1"/>
      <c r="C258" s="1"/>
      <c r="D258" s="71">
        <v>11.0</v>
      </c>
      <c r="E258" s="71">
        <v>11.0</v>
      </c>
      <c r="F258" s="71">
        <f t="shared" si="44"/>
        <v>0</v>
      </c>
      <c r="G258" s="39">
        <v>1.0</v>
      </c>
      <c r="H258" s="71">
        <f t="shared" si="43"/>
        <v>11</v>
      </c>
    </row>
    <row r="259">
      <c r="A259" s="39" t="s">
        <v>1137</v>
      </c>
      <c r="B259" s="1"/>
      <c r="C259" s="1"/>
      <c r="D259" s="71">
        <v>14.99</v>
      </c>
      <c r="E259" s="71">
        <v>14.99</v>
      </c>
      <c r="F259" s="71">
        <f t="shared" si="44"/>
        <v>0</v>
      </c>
      <c r="G259" s="39">
        <v>1.0</v>
      </c>
      <c r="H259" s="71">
        <f t="shared" si="43"/>
        <v>14.99</v>
      </c>
    </row>
    <row r="260">
      <c r="A260" s="258"/>
      <c r="B260" s="1"/>
      <c r="C260" s="1"/>
      <c r="D260" s="469"/>
      <c r="E260" s="469"/>
      <c r="F260" s="42"/>
      <c r="G260" s="258"/>
      <c r="H260" s="469"/>
    </row>
    <row r="261">
      <c r="A261" s="43" t="s">
        <v>611</v>
      </c>
      <c r="B261" s="43" t="s">
        <v>29</v>
      </c>
      <c r="C261" s="43">
        <f>COUNTA(A262:A275)</f>
        <v>14</v>
      </c>
      <c r="D261" s="145">
        <f t="shared" ref="D261:G261" si="45">SUM(D262:D275)</f>
        <v>271.84</v>
      </c>
      <c r="E261" s="145">
        <f t="shared" si="45"/>
        <v>252.84</v>
      </c>
      <c r="F261" s="145">
        <f t="shared" si="45"/>
        <v>19</v>
      </c>
      <c r="G261" s="44">
        <f t="shared" si="45"/>
        <v>198</v>
      </c>
      <c r="H261" s="145">
        <f t="shared" ref="H261:H275" si="46">E261/G261</f>
        <v>1.276969697</v>
      </c>
    </row>
    <row r="262">
      <c r="A262" s="258" t="s">
        <v>1562</v>
      </c>
      <c r="B262" s="460"/>
      <c r="C262" s="460"/>
      <c r="D262" s="257">
        <v>29.98</v>
      </c>
      <c r="E262" s="257">
        <v>29.98</v>
      </c>
      <c r="F262" s="257">
        <f t="shared" ref="F262:F275" si="47">D262-E262</f>
        <v>0</v>
      </c>
      <c r="G262" s="258">
        <v>40.0</v>
      </c>
      <c r="H262" s="257">
        <f t="shared" si="46"/>
        <v>0.7495</v>
      </c>
    </row>
    <row r="263">
      <c r="A263" s="258" t="s">
        <v>1532</v>
      </c>
      <c r="B263" s="460"/>
      <c r="C263" s="460"/>
      <c r="D263" s="257">
        <v>14.99</v>
      </c>
      <c r="E263" s="257">
        <v>5.99</v>
      </c>
      <c r="F263" s="257">
        <f t="shared" si="47"/>
        <v>9</v>
      </c>
      <c r="G263" s="258">
        <v>30.0</v>
      </c>
      <c r="H263" s="257">
        <f t="shared" si="46"/>
        <v>0.1996666667</v>
      </c>
    </row>
    <row r="264">
      <c r="A264" s="182" t="s">
        <v>1588</v>
      </c>
      <c r="B264" s="460"/>
      <c r="C264" s="460"/>
      <c r="D264" s="257">
        <v>14.99</v>
      </c>
      <c r="E264" s="257">
        <v>14.99</v>
      </c>
      <c r="F264" s="257">
        <f t="shared" si="47"/>
        <v>0</v>
      </c>
      <c r="G264" s="258">
        <v>30.0</v>
      </c>
      <c r="H264" s="257">
        <f t="shared" si="46"/>
        <v>0.4996666667</v>
      </c>
    </row>
    <row r="265">
      <c r="A265" s="182" t="s">
        <v>1605</v>
      </c>
      <c r="B265" s="460"/>
      <c r="C265" s="460"/>
      <c r="D265" s="257">
        <v>19.99</v>
      </c>
      <c r="E265" s="257">
        <v>19.99</v>
      </c>
      <c r="F265" s="257">
        <f t="shared" si="47"/>
        <v>0</v>
      </c>
      <c r="G265" s="258">
        <v>21.0</v>
      </c>
      <c r="H265" s="257">
        <f t="shared" si="46"/>
        <v>0.9519047619</v>
      </c>
    </row>
    <row r="266">
      <c r="A266" s="258" t="s">
        <v>1629</v>
      </c>
      <c r="B266" s="460"/>
      <c r="C266" s="460"/>
      <c r="D266" s="257">
        <v>23.99</v>
      </c>
      <c r="E266" s="257">
        <v>23.99</v>
      </c>
      <c r="F266" s="257">
        <f t="shared" si="47"/>
        <v>0</v>
      </c>
      <c r="G266" s="258">
        <v>20.0</v>
      </c>
      <c r="H266" s="257">
        <f t="shared" si="46"/>
        <v>1.1995</v>
      </c>
    </row>
    <row r="267">
      <c r="A267" s="258" t="s">
        <v>1556</v>
      </c>
      <c r="B267" s="460"/>
      <c r="C267" s="460"/>
      <c r="D267" s="257">
        <v>14.99</v>
      </c>
      <c r="E267" s="257">
        <v>14.99</v>
      </c>
      <c r="F267" s="257">
        <f t="shared" si="47"/>
        <v>0</v>
      </c>
      <c r="G267" s="258">
        <v>18.0</v>
      </c>
      <c r="H267" s="257">
        <f t="shared" si="46"/>
        <v>0.8327777778</v>
      </c>
    </row>
    <row r="268">
      <c r="A268" s="182" t="s">
        <v>1621</v>
      </c>
      <c r="B268" s="460"/>
      <c r="C268" s="460"/>
      <c r="D268" s="257">
        <v>14.99</v>
      </c>
      <c r="E268" s="257">
        <v>14.99</v>
      </c>
      <c r="F268" s="257">
        <f t="shared" si="47"/>
        <v>0</v>
      </c>
      <c r="G268" s="258">
        <v>10.0</v>
      </c>
      <c r="H268" s="257">
        <f t="shared" si="46"/>
        <v>1.499</v>
      </c>
    </row>
    <row r="269">
      <c r="A269" s="182" t="s">
        <v>1761</v>
      </c>
      <c r="B269" s="460"/>
      <c r="C269" s="460"/>
      <c r="D269" s="257">
        <v>14.99</v>
      </c>
      <c r="E269" s="257">
        <v>14.99</v>
      </c>
      <c r="F269" s="257">
        <f t="shared" si="47"/>
        <v>0</v>
      </c>
      <c r="G269" s="258">
        <v>9.0</v>
      </c>
      <c r="H269" s="257">
        <f t="shared" si="46"/>
        <v>1.665555556</v>
      </c>
    </row>
    <row r="270">
      <c r="A270" s="258" t="s">
        <v>1559</v>
      </c>
      <c r="B270" s="460"/>
      <c r="C270" s="460"/>
      <c r="D270" s="257">
        <v>14.99</v>
      </c>
      <c r="E270" s="257">
        <v>14.99</v>
      </c>
      <c r="F270" s="257">
        <f t="shared" si="47"/>
        <v>0</v>
      </c>
      <c r="G270" s="258">
        <v>8.0</v>
      </c>
      <c r="H270" s="257">
        <f t="shared" si="46"/>
        <v>1.87375</v>
      </c>
    </row>
    <row r="271">
      <c r="A271" s="258" t="s">
        <v>1612</v>
      </c>
      <c r="B271" s="460"/>
      <c r="C271" s="460"/>
      <c r="D271" s="257">
        <v>29.99</v>
      </c>
      <c r="E271" s="257">
        <v>29.99</v>
      </c>
      <c r="F271" s="257">
        <f t="shared" si="47"/>
        <v>0</v>
      </c>
      <c r="G271" s="258">
        <v>6.0</v>
      </c>
      <c r="H271" s="257">
        <f t="shared" si="46"/>
        <v>4.998333333</v>
      </c>
    </row>
    <row r="272">
      <c r="A272" s="182" t="s">
        <v>1515</v>
      </c>
      <c r="B272" s="460"/>
      <c r="C272" s="460"/>
      <c r="D272" s="257">
        <v>12.98</v>
      </c>
      <c r="E272" s="257">
        <v>12.98</v>
      </c>
      <c r="F272" s="257">
        <f t="shared" si="47"/>
        <v>0</v>
      </c>
      <c r="G272" s="258">
        <v>3.0</v>
      </c>
      <c r="H272" s="257">
        <f t="shared" si="46"/>
        <v>4.326666667</v>
      </c>
    </row>
    <row r="273">
      <c r="A273" s="258" t="s">
        <v>1692</v>
      </c>
      <c r="B273" s="460"/>
      <c r="C273" s="460"/>
      <c r="D273" s="257">
        <v>19.99</v>
      </c>
      <c r="E273" s="257">
        <v>14.99</v>
      </c>
      <c r="F273" s="257">
        <f t="shared" si="47"/>
        <v>5</v>
      </c>
      <c r="G273" s="258">
        <v>1.0</v>
      </c>
      <c r="H273" s="257">
        <f t="shared" si="46"/>
        <v>14.99</v>
      </c>
    </row>
    <row r="274">
      <c r="A274" s="258" t="s">
        <v>1522</v>
      </c>
      <c r="B274" s="460"/>
      <c r="C274" s="460"/>
      <c r="D274" s="257">
        <v>19.99</v>
      </c>
      <c r="E274" s="257">
        <v>14.99</v>
      </c>
      <c r="F274" s="257">
        <f t="shared" si="47"/>
        <v>5</v>
      </c>
      <c r="G274" s="258">
        <v>1.0</v>
      </c>
      <c r="H274" s="257">
        <f t="shared" si="46"/>
        <v>14.99</v>
      </c>
    </row>
    <row r="275">
      <c r="A275" s="258" t="s">
        <v>1762</v>
      </c>
      <c r="B275" s="460"/>
      <c r="C275" s="460"/>
      <c r="D275" s="257">
        <v>24.99</v>
      </c>
      <c r="E275" s="257">
        <v>24.99</v>
      </c>
      <c r="F275" s="257">
        <f t="shared" si="47"/>
        <v>0</v>
      </c>
      <c r="G275" s="258">
        <v>1.0</v>
      </c>
      <c r="H275" s="257">
        <f t="shared" si="46"/>
        <v>24.99</v>
      </c>
    </row>
    <row r="276">
      <c r="A276" s="258"/>
      <c r="B276" s="1"/>
      <c r="C276" s="1"/>
      <c r="D276" s="469"/>
      <c r="E276" s="469"/>
      <c r="F276" s="42"/>
      <c r="G276" s="258"/>
      <c r="H276" s="469"/>
    </row>
    <row r="277">
      <c r="A277" s="44" t="s">
        <v>112</v>
      </c>
      <c r="B277" s="44" t="s">
        <v>92</v>
      </c>
      <c r="C277" s="44">
        <f>COUNTA(A278)</f>
        <v>1</v>
      </c>
      <c r="D277" s="47">
        <f t="shared" ref="D277:G277" si="48">SUM(D278)</f>
        <v>29.99</v>
      </c>
      <c r="E277" s="47">
        <f t="shared" si="48"/>
        <v>23.99</v>
      </c>
      <c r="F277" s="47">
        <f t="shared" si="48"/>
        <v>6</v>
      </c>
      <c r="G277" s="43">
        <f t="shared" si="48"/>
        <v>195</v>
      </c>
      <c r="H277" s="47">
        <f>E277/G277</f>
        <v>0.123025641</v>
      </c>
    </row>
    <row r="278">
      <c r="A278" s="39" t="s">
        <v>756</v>
      </c>
      <c r="B278" s="39"/>
      <c r="C278" s="37"/>
      <c r="D278" s="71">
        <v>29.99</v>
      </c>
      <c r="E278" s="71">
        <v>23.99</v>
      </c>
      <c r="F278" s="71">
        <v>6.0</v>
      </c>
      <c r="G278" s="72">
        <v>195.0</v>
      </c>
      <c r="H278" s="165">
        <v>0.12365979381443298</v>
      </c>
    </row>
    <row r="279">
      <c r="A279" s="258"/>
      <c r="B279" s="1"/>
      <c r="C279" s="1"/>
      <c r="D279" s="469"/>
      <c r="E279" s="469"/>
      <c r="F279" s="42"/>
      <c r="G279" s="258"/>
      <c r="H279" s="469"/>
    </row>
    <row r="280">
      <c r="A280" s="53" t="s">
        <v>288</v>
      </c>
      <c r="B280" s="53" t="s">
        <v>265</v>
      </c>
      <c r="C280" s="75">
        <f>COUNTA(A281:A285)</f>
        <v>5</v>
      </c>
      <c r="D280" s="163">
        <f t="shared" ref="D280:G280" si="49">SUM(D281:D285)</f>
        <v>94.93</v>
      </c>
      <c r="E280" s="163">
        <f t="shared" si="49"/>
        <v>78.95</v>
      </c>
      <c r="F280" s="163">
        <f t="shared" si="49"/>
        <v>15.98</v>
      </c>
      <c r="G280" s="75">
        <f t="shared" si="49"/>
        <v>183</v>
      </c>
      <c r="H280" s="163">
        <f t="shared" ref="H280:H285" si="50">E280/G280</f>
        <v>0.431420765</v>
      </c>
    </row>
    <row r="281">
      <c r="A281" s="79" t="s">
        <v>1003</v>
      </c>
      <c r="B281" s="1"/>
      <c r="C281" s="1"/>
      <c r="D281" s="52">
        <v>39.98</v>
      </c>
      <c r="E281" s="52">
        <v>26.99</v>
      </c>
      <c r="F281" s="52">
        <f t="shared" ref="F281:F285" si="51">D281-E281</f>
        <v>12.99</v>
      </c>
      <c r="G281" s="79">
        <v>80.0</v>
      </c>
      <c r="H281" s="52">
        <f t="shared" si="50"/>
        <v>0.337375</v>
      </c>
    </row>
    <row r="282">
      <c r="A282" s="79" t="s">
        <v>994</v>
      </c>
      <c r="B282" s="1"/>
      <c r="C282" s="1"/>
      <c r="D282" s="52">
        <v>4.99</v>
      </c>
      <c r="E282" s="52">
        <v>4.99</v>
      </c>
      <c r="F282" s="52">
        <f t="shared" si="51"/>
        <v>0</v>
      </c>
      <c r="G282" s="79">
        <v>50.0</v>
      </c>
      <c r="H282" s="52">
        <f t="shared" si="50"/>
        <v>0.0998</v>
      </c>
    </row>
    <row r="283">
      <c r="A283" s="79" t="s">
        <v>1001</v>
      </c>
      <c r="B283" s="1"/>
      <c r="C283" s="1"/>
      <c r="D283" s="52">
        <v>29.98</v>
      </c>
      <c r="E283" s="52">
        <v>26.99</v>
      </c>
      <c r="F283" s="52">
        <f t="shared" si="51"/>
        <v>2.99</v>
      </c>
      <c r="G283" s="79">
        <v>40.0</v>
      </c>
      <c r="H283" s="52">
        <f t="shared" si="50"/>
        <v>0.67475</v>
      </c>
    </row>
    <row r="284">
      <c r="A284" s="49" t="s">
        <v>997</v>
      </c>
      <c r="B284" s="1"/>
      <c r="C284" s="1"/>
      <c r="D284" s="52">
        <v>9.99</v>
      </c>
      <c r="E284" s="52">
        <v>9.99</v>
      </c>
      <c r="F284" s="52">
        <f t="shared" si="51"/>
        <v>0</v>
      </c>
      <c r="G284" s="79">
        <v>10.0</v>
      </c>
      <c r="H284" s="52">
        <f t="shared" si="50"/>
        <v>0.999</v>
      </c>
    </row>
    <row r="285">
      <c r="A285" s="49" t="s">
        <v>996</v>
      </c>
      <c r="B285" s="1"/>
      <c r="C285" s="1"/>
      <c r="D285" s="52">
        <v>9.99</v>
      </c>
      <c r="E285" s="52">
        <v>9.99</v>
      </c>
      <c r="F285" s="52">
        <f t="shared" si="51"/>
        <v>0</v>
      </c>
      <c r="G285" s="79">
        <v>3.0</v>
      </c>
      <c r="H285" s="52">
        <f t="shared" si="50"/>
        <v>3.33</v>
      </c>
    </row>
    <row r="286">
      <c r="A286" s="461"/>
      <c r="B286" s="462"/>
      <c r="C286" s="461"/>
      <c r="D286" s="461"/>
      <c r="E286" s="461"/>
      <c r="F286" s="461"/>
      <c r="G286" s="461"/>
      <c r="H286" s="461"/>
    </row>
    <row r="287">
      <c r="A287" s="201" t="s">
        <v>385</v>
      </c>
      <c r="B287" s="291" t="s">
        <v>384</v>
      </c>
      <c r="C287" s="292">
        <f>COUNTA(A288:A290)</f>
        <v>3</v>
      </c>
      <c r="D287" s="470">
        <f t="shared" ref="D287:G287" si="52">SUM(D288:D290)</f>
        <v>127.96</v>
      </c>
      <c r="E287" s="470">
        <f t="shared" si="52"/>
        <v>90.56</v>
      </c>
      <c r="F287" s="470">
        <f t="shared" si="52"/>
        <v>37.4</v>
      </c>
      <c r="G287" s="293">
        <f t="shared" si="52"/>
        <v>169</v>
      </c>
      <c r="H287" s="470">
        <f t="shared" ref="H287:H290" si="53">E287/G287</f>
        <v>0.5358579882</v>
      </c>
    </row>
    <row r="288">
      <c r="A288" s="471" t="s">
        <v>1322</v>
      </c>
      <c r="B288" s="472"/>
      <c r="C288" s="472"/>
      <c r="D288" s="473">
        <v>34.98</v>
      </c>
      <c r="E288" s="473">
        <v>27.98</v>
      </c>
      <c r="F288" s="473">
        <f t="shared" ref="F288:F290" si="54">D288-E288</f>
        <v>7</v>
      </c>
      <c r="G288" s="471">
        <v>100.0</v>
      </c>
      <c r="H288" s="473">
        <f t="shared" si="53"/>
        <v>0.2798</v>
      </c>
    </row>
    <row r="289">
      <c r="A289" s="471" t="s">
        <v>1324</v>
      </c>
      <c r="B289" s="472"/>
      <c r="C289" s="472"/>
      <c r="D289" s="473">
        <v>79.99</v>
      </c>
      <c r="E289" s="473">
        <v>49.59</v>
      </c>
      <c r="F289" s="473">
        <f t="shared" si="54"/>
        <v>30.4</v>
      </c>
      <c r="G289" s="471">
        <v>67.0</v>
      </c>
      <c r="H289" s="473">
        <f t="shared" si="53"/>
        <v>0.7401492537</v>
      </c>
    </row>
    <row r="290">
      <c r="A290" s="471" t="s">
        <v>1317</v>
      </c>
      <c r="B290" s="472"/>
      <c r="C290" s="472"/>
      <c r="D290" s="473">
        <v>12.99</v>
      </c>
      <c r="E290" s="473">
        <v>12.99</v>
      </c>
      <c r="F290" s="473">
        <f t="shared" si="54"/>
        <v>0</v>
      </c>
      <c r="G290" s="472">
        <v>2.0</v>
      </c>
      <c r="H290" s="473">
        <f t="shared" si="53"/>
        <v>6.495</v>
      </c>
    </row>
    <row r="291">
      <c r="A291" s="461"/>
      <c r="B291" s="462"/>
      <c r="C291" s="461"/>
      <c r="D291" s="461"/>
      <c r="E291" s="461"/>
      <c r="F291" s="461"/>
      <c r="G291" s="461"/>
      <c r="H291" s="461"/>
    </row>
    <row r="292">
      <c r="A292" s="43" t="s">
        <v>244</v>
      </c>
      <c r="B292" s="43" t="s">
        <v>25</v>
      </c>
      <c r="C292" s="43">
        <f>COUNTA(A293:A309)</f>
        <v>17</v>
      </c>
      <c r="D292" s="145">
        <f t="shared" ref="D292:G292" si="55">SUM(D293:D309)</f>
        <v>341.84</v>
      </c>
      <c r="E292" s="145">
        <f t="shared" si="55"/>
        <v>78.91</v>
      </c>
      <c r="F292" s="145">
        <f t="shared" si="55"/>
        <v>262.93</v>
      </c>
      <c r="G292" s="44">
        <f t="shared" si="55"/>
        <v>159</v>
      </c>
      <c r="H292" s="145">
        <f t="shared" ref="H292:H309" si="56">E292/G292</f>
        <v>0.4962893082</v>
      </c>
    </row>
    <row r="293">
      <c r="A293" s="39" t="s">
        <v>857</v>
      </c>
      <c r="B293" s="1"/>
      <c r="C293" s="1"/>
      <c r="D293" s="71">
        <v>19.99</v>
      </c>
      <c r="E293" s="71">
        <v>0.0</v>
      </c>
      <c r="F293" s="71">
        <f t="shared" ref="F293:F309" si="57">D293-E293</f>
        <v>19.99</v>
      </c>
      <c r="G293" s="39">
        <v>30.0</v>
      </c>
      <c r="H293" s="71">
        <f t="shared" si="56"/>
        <v>0</v>
      </c>
    </row>
    <row r="294">
      <c r="A294" s="72" t="s">
        <v>877</v>
      </c>
      <c r="B294" s="1"/>
      <c r="C294" s="1"/>
      <c r="D294" s="71">
        <v>19.99</v>
      </c>
      <c r="E294" s="71">
        <v>19.99</v>
      </c>
      <c r="F294" s="71">
        <f t="shared" si="57"/>
        <v>0</v>
      </c>
      <c r="G294" s="39">
        <v>25.0</v>
      </c>
      <c r="H294" s="71">
        <f t="shared" si="56"/>
        <v>0.7996</v>
      </c>
    </row>
    <row r="295">
      <c r="A295" s="39" t="s">
        <v>818</v>
      </c>
      <c r="B295" s="1"/>
      <c r="C295" s="1"/>
      <c r="D295" s="71">
        <v>1.99</v>
      </c>
      <c r="E295" s="71">
        <v>1.99</v>
      </c>
      <c r="F295" s="71">
        <f t="shared" si="57"/>
        <v>0</v>
      </c>
      <c r="G295" s="39">
        <v>20.0</v>
      </c>
      <c r="H295" s="71">
        <f t="shared" si="56"/>
        <v>0.0995</v>
      </c>
    </row>
    <row r="296">
      <c r="A296" s="39" t="s">
        <v>1763</v>
      </c>
      <c r="B296" s="1"/>
      <c r="C296" s="1"/>
      <c r="D296" s="71">
        <v>1.49</v>
      </c>
      <c r="E296" s="71">
        <v>1.49</v>
      </c>
      <c r="F296" s="71">
        <f t="shared" si="57"/>
        <v>0</v>
      </c>
      <c r="G296" s="39">
        <v>15.0</v>
      </c>
      <c r="H296" s="71">
        <f t="shared" si="56"/>
        <v>0.09933333333</v>
      </c>
    </row>
    <row r="297">
      <c r="A297" s="72" t="s">
        <v>812</v>
      </c>
      <c r="B297" s="1"/>
      <c r="C297" s="1"/>
      <c r="D297" s="71">
        <v>1.99</v>
      </c>
      <c r="E297" s="71">
        <v>1.99</v>
      </c>
      <c r="F297" s="71">
        <f t="shared" si="57"/>
        <v>0</v>
      </c>
      <c r="G297" s="39">
        <v>15.0</v>
      </c>
      <c r="H297" s="71">
        <f t="shared" si="56"/>
        <v>0.1326666667</v>
      </c>
    </row>
    <row r="298">
      <c r="A298" s="39" t="s">
        <v>817</v>
      </c>
      <c r="B298" s="1"/>
      <c r="C298" s="1"/>
      <c r="D298" s="71">
        <v>1.99</v>
      </c>
      <c r="E298" s="71">
        <v>1.99</v>
      </c>
      <c r="F298" s="71">
        <f t="shared" si="57"/>
        <v>0</v>
      </c>
      <c r="G298" s="39">
        <v>10.0</v>
      </c>
      <c r="H298" s="71">
        <f t="shared" si="56"/>
        <v>0.199</v>
      </c>
    </row>
    <row r="299">
      <c r="A299" s="39" t="s">
        <v>846</v>
      </c>
      <c r="B299" s="1"/>
      <c r="C299" s="1"/>
      <c r="D299" s="71">
        <v>20.0</v>
      </c>
      <c r="E299" s="71">
        <v>10.0</v>
      </c>
      <c r="F299" s="71">
        <f t="shared" si="57"/>
        <v>10</v>
      </c>
      <c r="G299" s="39">
        <v>10.0</v>
      </c>
      <c r="H299" s="71">
        <f t="shared" si="56"/>
        <v>1</v>
      </c>
    </row>
    <row r="300">
      <c r="A300" s="39" t="s">
        <v>854</v>
      </c>
      <c r="B300" s="1"/>
      <c r="C300" s="1"/>
      <c r="D300" s="71">
        <v>19.99</v>
      </c>
      <c r="E300" s="71">
        <v>9.99</v>
      </c>
      <c r="F300" s="71">
        <f t="shared" si="57"/>
        <v>10</v>
      </c>
      <c r="G300" s="39">
        <v>10.0</v>
      </c>
      <c r="H300" s="71">
        <f t="shared" si="56"/>
        <v>0.999</v>
      </c>
    </row>
    <row r="301">
      <c r="A301" s="39" t="s">
        <v>918</v>
      </c>
      <c r="B301" s="1"/>
      <c r="C301" s="1"/>
      <c r="D301" s="71">
        <v>59.99</v>
      </c>
      <c r="E301" s="71">
        <v>16.99</v>
      </c>
      <c r="F301" s="71">
        <f t="shared" si="57"/>
        <v>43</v>
      </c>
      <c r="G301" s="39">
        <v>10.0</v>
      </c>
      <c r="H301" s="71">
        <f t="shared" si="56"/>
        <v>1.699</v>
      </c>
    </row>
    <row r="302">
      <c r="A302" s="39" t="s">
        <v>869</v>
      </c>
      <c r="B302" s="1"/>
      <c r="C302" s="1"/>
      <c r="D302" s="71">
        <v>39.99</v>
      </c>
      <c r="E302" s="71">
        <v>9.99</v>
      </c>
      <c r="F302" s="71">
        <f t="shared" si="57"/>
        <v>30</v>
      </c>
      <c r="G302" s="39">
        <v>7.0</v>
      </c>
      <c r="H302" s="71">
        <f t="shared" si="56"/>
        <v>1.427142857</v>
      </c>
    </row>
    <row r="303">
      <c r="A303" s="39" t="s">
        <v>926</v>
      </c>
      <c r="B303" s="1"/>
      <c r="C303" s="1"/>
      <c r="D303" s="71">
        <v>59.99</v>
      </c>
      <c r="E303" s="71">
        <v>0.0</v>
      </c>
      <c r="F303" s="71">
        <f t="shared" si="57"/>
        <v>59.99</v>
      </c>
      <c r="G303" s="39">
        <v>1.0</v>
      </c>
      <c r="H303" s="71">
        <f t="shared" si="56"/>
        <v>0</v>
      </c>
    </row>
    <row r="304">
      <c r="A304" s="39" t="s">
        <v>950</v>
      </c>
      <c r="B304" s="1"/>
      <c r="C304" s="1"/>
      <c r="D304" s="71">
        <v>59.99</v>
      </c>
      <c r="E304" s="71">
        <v>0.0</v>
      </c>
      <c r="F304" s="71">
        <f t="shared" si="57"/>
        <v>59.99</v>
      </c>
      <c r="G304" s="39">
        <v>1.0</v>
      </c>
      <c r="H304" s="71">
        <f t="shared" si="56"/>
        <v>0</v>
      </c>
    </row>
    <row r="305">
      <c r="A305" s="72" t="s">
        <v>824</v>
      </c>
      <c r="B305" s="1"/>
      <c r="C305" s="1"/>
      <c r="D305" s="71">
        <v>9.99</v>
      </c>
      <c r="E305" s="71">
        <v>0.0</v>
      </c>
      <c r="F305" s="71">
        <f t="shared" si="57"/>
        <v>9.99</v>
      </c>
      <c r="G305" s="39">
        <v>1.0</v>
      </c>
      <c r="H305" s="71">
        <f t="shared" si="56"/>
        <v>0</v>
      </c>
    </row>
    <row r="306">
      <c r="A306" s="72" t="s">
        <v>825</v>
      </c>
      <c r="B306" s="1"/>
      <c r="C306" s="1"/>
      <c r="D306" s="71">
        <v>9.99</v>
      </c>
      <c r="E306" s="71">
        <v>0.0</v>
      </c>
      <c r="F306" s="71">
        <f t="shared" si="57"/>
        <v>9.99</v>
      </c>
      <c r="G306" s="39">
        <v>1.0</v>
      </c>
      <c r="H306" s="71">
        <f t="shared" si="56"/>
        <v>0</v>
      </c>
    </row>
    <row r="307">
      <c r="A307" s="39" t="s">
        <v>833</v>
      </c>
      <c r="B307" s="1"/>
      <c r="C307" s="1"/>
      <c r="D307" s="71">
        <v>4.99</v>
      </c>
      <c r="E307" s="71">
        <v>0.0</v>
      </c>
      <c r="F307" s="71">
        <f t="shared" si="57"/>
        <v>4.99</v>
      </c>
      <c r="G307" s="39">
        <v>1.0</v>
      </c>
      <c r="H307" s="71">
        <f t="shared" si="56"/>
        <v>0</v>
      </c>
    </row>
    <row r="308">
      <c r="A308" s="39" t="s">
        <v>834</v>
      </c>
      <c r="B308" s="1"/>
      <c r="C308" s="1"/>
      <c r="D308" s="71">
        <v>4.99</v>
      </c>
      <c r="E308" s="71">
        <v>0.0</v>
      </c>
      <c r="F308" s="71">
        <f t="shared" si="57"/>
        <v>4.99</v>
      </c>
      <c r="G308" s="39">
        <v>1.0</v>
      </c>
      <c r="H308" s="71">
        <f t="shared" si="56"/>
        <v>0</v>
      </c>
    </row>
    <row r="309">
      <c r="A309" s="39" t="s">
        <v>823</v>
      </c>
      <c r="B309" s="1"/>
      <c r="C309" s="1"/>
      <c r="D309" s="71">
        <v>4.49</v>
      </c>
      <c r="E309" s="71">
        <v>4.49</v>
      </c>
      <c r="F309" s="71">
        <f t="shared" si="57"/>
        <v>0</v>
      </c>
      <c r="G309" s="72">
        <v>1.0</v>
      </c>
      <c r="H309" s="71">
        <f t="shared" si="56"/>
        <v>4.49</v>
      </c>
    </row>
    <row r="310">
      <c r="A310" s="461"/>
      <c r="B310" s="462"/>
      <c r="C310" s="461"/>
      <c r="D310" s="461"/>
      <c r="E310" s="461"/>
      <c r="F310" s="461"/>
      <c r="G310" s="461"/>
      <c r="H310" s="461"/>
    </row>
    <row r="311">
      <c r="A311" s="43" t="s">
        <v>557</v>
      </c>
      <c r="B311" s="43" t="s">
        <v>29</v>
      </c>
      <c r="C311" s="44">
        <f>COUNTA(A312:A316)</f>
        <v>5</v>
      </c>
      <c r="D311" s="145">
        <f t="shared" ref="D311:G311" si="58">SUM(D312:D316)</f>
        <v>939.57</v>
      </c>
      <c r="E311" s="145">
        <f t="shared" si="58"/>
        <v>748.39</v>
      </c>
      <c r="F311" s="145">
        <f t="shared" si="58"/>
        <v>191.18</v>
      </c>
      <c r="G311" s="44">
        <f t="shared" si="58"/>
        <v>158</v>
      </c>
      <c r="H311" s="145">
        <f t="shared" ref="H311:H316" si="59">E311/G311</f>
        <v>4.73664557</v>
      </c>
    </row>
    <row r="312">
      <c r="A312" s="39" t="s">
        <v>1478</v>
      </c>
      <c r="B312" s="1"/>
      <c r="C312" s="1"/>
      <c r="D312" s="71">
        <v>14.99</v>
      </c>
      <c r="E312" s="71">
        <v>14.99</v>
      </c>
      <c r="F312" s="71">
        <f t="shared" ref="F312:F316" si="60">D312-E312</f>
        <v>0</v>
      </c>
      <c r="G312" s="39">
        <v>80.0</v>
      </c>
      <c r="H312" s="71">
        <f t="shared" si="59"/>
        <v>0.187375</v>
      </c>
    </row>
    <row r="313">
      <c r="A313" s="39" t="s">
        <v>1467</v>
      </c>
      <c r="B313" s="1"/>
      <c r="C313" s="1"/>
      <c r="D313" s="71">
        <v>14.99</v>
      </c>
      <c r="E313" s="71">
        <v>14.99</v>
      </c>
      <c r="F313" s="71">
        <f t="shared" si="60"/>
        <v>0</v>
      </c>
      <c r="G313" s="39">
        <v>50.0</v>
      </c>
      <c r="H313" s="71">
        <f t="shared" si="59"/>
        <v>0.2998</v>
      </c>
    </row>
    <row r="314">
      <c r="A314" s="39" t="s">
        <v>1626</v>
      </c>
      <c r="B314" s="1"/>
      <c r="C314" s="1"/>
      <c r="D314" s="71">
        <v>869.61</v>
      </c>
      <c r="E314" s="71">
        <v>682.41</v>
      </c>
      <c r="F314" s="71">
        <f t="shared" si="60"/>
        <v>187.2</v>
      </c>
      <c r="G314" s="39">
        <v>18.0</v>
      </c>
      <c r="H314" s="71">
        <f t="shared" si="59"/>
        <v>37.91166667</v>
      </c>
    </row>
    <row r="315">
      <c r="A315" s="39" t="s">
        <v>1513</v>
      </c>
      <c r="B315" s="1"/>
      <c r="C315" s="1"/>
      <c r="D315" s="71">
        <v>19.99</v>
      </c>
      <c r="E315" s="71">
        <v>18.0</v>
      </c>
      <c r="F315" s="71">
        <f t="shared" si="60"/>
        <v>1.99</v>
      </c>
      <c r="G315" s="39">
        <v>5.0</v>
      </c>
      <c r="H315" s="71">
        <f t="shared" si="59"/>
        <v>3.6</v>
      </c>
    </row>
    <row r="316">
      <c r="A316" s="39" t="s">
        <v>1524</v>
      </c>
      <c r="B316" s="1"/>
      <c r="C316" s="1"/>
      <c r="D316" s="71">
        <v>19.99</v>
      </c>
      <c r="E316" s="71">
        <v>18.0</v>
      </c>
      <c r="F316" s="71">
        <f t="shared" si="60"/>
        <v>1.99</v>
      </c>
      <c r="G316" s="39">
        <v>5.0</v>
      </c>
      <c r="H316" s="71">
        <f t="shared" si="59"/>
        <v>3.6</v>
      </c>
    </row>
    <row r="317">
      <c r="A317" s="39"/>
      <c r="B317" s="1"/>
      <c r="C317" s="1"/>
      <c r="D317" s="71"/>
      <c r="E317" s="71"/>
      <c r="F317" s="71"/>
      <c r="G317" s="39"/>
      <c r="H317" s="71"/>
    </row>
    <row r="318">
      <c r="A318" s="43" t="s">
        <v>369</v>
      </c>
      <c r="B318" s="43" t="s">
        <v>325</v>
      </c>
      <c r="C318" s="43">
        <f>COUNTA(A319:A334)</f>
        <v>16</v>
      </c>
      <c r="D318" s="145">
        <f t="shared" ref="D318:G318" si="61">SUM(D319:D334)</f>
        <v>313.88</v>
      </c>
      <c r="E318" s="145">
        <f t="shared" si="61"/>
        <v>114.7</v>
      </c>
      <c r="F318" s="145">
        <f t="shared" si="61"/>
        <v>199.18</v>
      </c>
      <c r="G318" s="44">
        <f t="shared" si="61"/>
        <v>150</v>
      </c>
      <c r="H318" s="145">
        <f t="shared" ref="H318:H334" si="62">E318/G318</f>
        <v>0.7646666667</v>
      </c>
    </row>
    <row r="319">
      <c r="A319" s="39" t="s">
        <v>1194</v>
      </c>
      <c r="B319" s="1"/>
      <c r="C319" s="1"/>
      <c r="D319" s="71">
        <v>19.99</v>
      </c>
      <c r="E319" s="71">
        <v>7.99</v>
      </c>
      <c r="F319" s="71">
        <f t="shared" ref="F319:F334" si="63">D319-E319</f>
        <v>12</v>
      </c>
      <c r="G319" s="39">
        <v>45.0</v>
      </c>
      <c r="H319" s="71">
        <f t="shared" si="62"/>
        <v>0.1775555556</v>
      </c>
    </row>
    <row r="320">
      <c r="A320" s="39" t="s">
        <v>1162</v>
      </c>
      <c r="B320" s="1"/>
      <c r="C320" s="1"/>
      <c r="D320" s="71">
        <v>12.99</v>
      </c>
      <c r="E320" s="71">
        <v>12.99</v>
      </c>
      <c r="F320" s="71">
        <f t="shared" si="63"/>
        <v>0</v>
      </c>
      <c r="G320" s="39">
        <v>25.0</v>
      </c>
      <c r="H320" s="71">
        <f t="shared" si="62"/>
        <v>0.5196</v>
      </c>
    </row>
    <row r="321">
      <c r="A321" s="39" t="s">
        <v>1309</v>
      </c>
      <c r="B321" s="1"/>
      <c r="C321" s="1"/>
      <c r="D321" s="42">
        <v>69.99</v>
      </c>
      <c r="E321" s="42">
        <v>0.0</v>
      </c>
      <c r="F321" s="42">
        <f t="shared" si="63"/>
        <v>69.99</v>
      </c>
      <c r="G321" s="72">
        <v>21.0</v>
      </c>
      <c r="H321" s="71">
        <f t="shared" si="62"/>
        <v>0</v>
      </c>
    </row>
    <row r="322">
      <c r="A322" s="39" t="s">
        <v>1227</v>
      </c>
      <c r="B322" s="1"/>
      <c r="C322" s="1"/>
      <c r="D322" s="71">
        <v>39.99</v>
      </c>
      <c r="E322" s="71">
        <v>13.99</v>
      </c>
      <c r="F322" s="71">
        <f t="shared" si="63"/>
        <v>26</v>
      </c>
      <c r="G322" s="39">
        <v>20.0</v>
      </c>
      <c r="H322" s="71">
        <f t="shared" si="62"/>
        <v>0.6995</v>
      </c>
    </row>
    <row r="323">
      <c r="A323" s="72" t="s">
        <v>1303</v>
      </c>
      <c r="B323" s="1"/>
      <c r="C323" s="1"/>
      <c r="D323" s="71">
        <v>39.99</v>
      </c>
      <c r="E323" s="71">
        <v>4.79</v>
      </c>
      <c r="F323" s="71">
        <f t="shared" si="63"/>
        <v>35.2</v>
      </c>
      <c r="G323" s="39">
        <v>15.0</v>
      </c>
      <c r="H323" s="71">
        <f t="shared" si="62"/>
        <v>0.3193333333</v>
      </c>
    </row>
    <row r="324">
      <c r="A324" s="39" t="s">
        <v>1764</v>
      </c>
      <c r="B324" s="1"/>
      <c r="C324" s="1"/>
      <c r="D324" s="42">
        <v>0.0</v>
      </c>
      <c r="E324" s="42">
        <v>0.0</v>
      </c>
      <c r="F324" s="42">
        <f t="shared" si="63"/>
        <v>0</v>
      </c>
      <c r="G324" s="39">
        <v>7.0</v>
      </c>
      <c r="H324" s="71">
        <f t="shared" si="62"/>
        <v>0</v>
      </c>
    </row>
    <row r="325">
      <c r="A325" s="39" t="s">
        <v>1122</v>
      </c>
      <c r="B325" s="1"/>
      <c r="C325" s="1"/>
      <c r="D325" s="71">
        <v>14.99</v>
      </c>
      <c r="E325" s="71">
        <v>14.99</v>
      </c>
      <c r="F325" s="71">
        <f t="shared" si="63"/>
        <v>0</v>
      </c>
      <c r="G325" s="39">
        <v>7.0</v>
      </c>
      <c r="H325" s="71">
        <f t="shared" si="62"/>
        <v>2.141428571</v>
      </c>
    </row>
    <row r="326">
      <c r="A326" s="39" t="s">
        <v>1108</v>
      </c>
      <c r="B326" s="1"/>
      <c r="C326" s="1"/>
      <c r="D326" s="71">
        <v>9.99</v>
      </c>
      <c r="E326" s="71">
        <v>3.99</v>
      </c>
      <c r="F326" s="71">
        <f t="shared" si="63"/>
        <v>6</v>
      </c>
      <c r="G326" s="39">
        <v>2.0</v>
      </c>
      <c r="H326" s="71">
        <f t="shared" si="62"/>
        <v>1.995</v>
      </c>
    </row>
    <row r="327">
      <c r="A327" s="39" t="s">
        <v>1208</v>
      </c>
      <c r="B327" s="1"/>
      <c r="C327" s="1"/>
      <c r="D327" s="71">
        <v>34.99</v>
      </c>
      <c r="E327" s="71">
        <v>0.0</v>
      </c>
      <c r="F327" s="71">
        <f t="shared" si="63"/>
        <v>34.99</v>
      </c>
      <c r="G327" s="39">
        <v>1.0</v>
      </c>
      <c r="H327" s="71">
        <f t="shared" si="62"/>
        <v>0</v>
      </c>
    </row>
    <row r="328">
      <c r="A328" s="39" t="s">
        <v>1195</v>
      </c>
      <c r="B328" s="1"/>
      <c r="C328" s="1"/>
      <c r="D328" s="71">
        <v>0.0</v>
      </c>
      <c r="E328" s="71">
        <v>0.0</v>
      </c>
      <c r="F328" s="71">
        <f t="shared" si="63"/>
        <v>0</v>
      </c>
      <c r="G328" s="39">
        <v>1.0</v>
      </c>
      <c r="H328" s="71">
        <f t="shared" si="62"/>
        <v>0</v>
      </c>
    </row>
    <row r="329">
      <c r="A329" s="39" t="s">
        <v>1300</v>
      </c>
      <c r="B329" s="1"/>
      <c r="C329" s="1"/>
      <c r="D329" s="71">
        <v>0.0</v>
      </c>
      <c r="E329" s="71">
        <v>0.0</v>
      </c>
      <c r="F329" s="71">
        <f t="shared" si="63"/>
        <v>0</v>
      </c>
      <c r="G329" s="39">
        <v>1.0</v>
      </c>
      <c r="H329" s="71">
        <f t="shared" si="62"/>
        <v>0</v>
      </c>
    </row>
    <row r="330">
      <c r="A330" s="72" t="s">
        <v>1121</v>
      </c>
      <c r="B330" s="1"/>
      <c r="C330" s="1"/>
      <c r="D330" s="71">
        <v>7.99</v>
      </c>
      <c r="E330" s="71">
        <v>7.99</v>
      </c>
      <c r="F330" s="71">
        <f t="shared" si="63"/>
        <v>0</v>
      </c>
      <c r="G330" s="39">
        <v>1.0</v>
      </c>
      <c r="H330" s="71">
        <f t="shared" si="62"/>
        <v>7.99</v>
      </c>
    </row>
    <row r="331">
      <c r="A331" s="39" t="s">
        <v>1118</v>
      </c>
      <c r="B331" s="1"/>
      <c r="C331" s="1"/>
      <c r="D331" s="71">
        <v>9.99</v>
      </c>
      <c r="E331" s="71">
        <v>9.99</v>
      </c>
      <c r="F331" s="71">
        <f t="shared" si="63"/>
        <v>0</v>
      </c>
      <c r="G331" s="39">
        <v>1.0</v>
      </c>
      <c r="H331" s="71">
        <f t="shared" si="62"/>
        <v>9.99</v>
      </c>
    </row>
    <row r="332">
      <c r="A332" s="39" t="s">
        <v>1104</v>
      </c>
      <c r="B332" s="1"/>
      <c r="C332" s="1"/>
      <c r="D332" s="71">
        <v>10.0</v>
      </c>
      <c r="E332" s="71">
        <v>10.0</v>
      </c>
      <c r="F332" s="71">
        <f t="shared" si="63"/>
        <v>0</v>
      </c>
      <c r="G332" s="39">
        <v>1.0</v>
      </c>
      <c r="H332" s="71">
        <f t="shared" si="62"/>
        <v>10</v>
      </c>
    </row>
    <row r="333">
      <c r="A333" s="72" t="s">
        <v>1138</v>
      </c>
      <c r="B333" s="1"/>
      <c r="C333" s="1"/>
      <c r="D333" s="71">
        <v>12.99</v>
      </c>
      <c r="E333" s="71">
        <v>12.99</v>
      </c>
      <c r="F333" s="71">
        <f t="shared" si="63"/>
        <v>0</v>
      </c>
      <c r="G333" s="39">
        <v>1.0</v>
      </c>
      <c r="H333" s="71">
        <f t="shared" si="62"/>
        <v>12.99</v>
      </c>
    </row>
    <row r="334">
      <c r="A334" s="72" t="s">
        <v>1184</v>
      </c>
      <c r="B334" s="1"/>
      <c r="C334" s="1"/>
      <c r="D334" s="42">
        <v>29.99</v>
      </c>
      <c r="E334" s="42">
        <v>14.99</v>
      </c>
      <c r="F334" s="42">
        <f t="shared" si="63"/>
        <v>15</v>
      </c>
      <c r="G334" s="39">
        <v>1.0</v>
      </c>
      <c r="H334" s="71">
        <f t="shared" si="62"/>
        <v>14.99</v>
      </c>
    </row>
    <row r="335">
      <c r="A335" s="39"/>
      <c r="B335" s="1"/>
      <c r="C335" s="1"/>
      <c r="D335" s="71"/>
      <c r="E335" s="71"/>
      <c r="F335" s="71"/>
      <c r="G335" s="39"/>
      <c r="H335" s="71"/>
    </row>
    <row r="336">
      <c r="A336" s="43" t="s">
        <v>108</v>
      </c>
      <c r="B336" s="43" t="s">
        <v>92</v>
      </c>
      <c r="C336" s="43">
        <f>COUNTA(A337:A349)</f>
        <v>13</v>
      </c>
      <c r="D336" s="145">
        <f t="shared" ref="D336:G336" si="64">SUM(D337:D349)</f>
        <v>889.87</v>
      </c>
      <c r="E336" s="145">
        <f t="shared" si="64"/>
        <v>369.12</v>
      </c>
      <c r="F336" s="145">
        <f t="shared" si="64"/>
        <v>520.75</v>
      </c>
      <c r="G336" s="44">
        <f t="shared" si="64"/>
        <v>149</v>
      </c>
      <c r="H336" s="145">
        <f t="shared" ref="H336:H349" si="65">E336/G336</f>
        <v>2.477315436</v>
      </c>
    </row>
    <row r="337">
      <c r="A337" s="258" t="s">
        <v>743</v>
      </c>
      <c r="B337" s="460"/>
      <c r="C337" s="460"/>
      <c r="D337" s="257">
        <v>69.99</v>
      </c>
      <c r="E337" s="257">
        <v>27.99</v>
      </c>
      <c r="F337" s="257">
        <f t="shared" ref="F337:F349" si="66">D337-E337</f>
        <v>42</v>
      </c>
      <c r="G337" s="258">
        <v>28.0</v>
      </c>
      <c r="H337" s="257">
        <f t="shared" si="65"/>
        <v>0.9996428571</v>
      </c>
    </row>
    <row r="338">
      <c r="A338" s="258" t="s">
        <v>752</v>
      </c>
      <c r="B338" s="460"/>
      <c r="C338" s="460"/>
      <c r="D338" s="257">
        <v>79.99</v>
      </c>
      <c r="E338" s="257">
        <v>0.0</v>
      </c>
      <c r="F338" s="257">
        <f t="shared" si="66"/>
        <v>79.99</v>
      </c>
      <c r="G338" s="258">
        <v>25.0</v>
      </c>
      <c r="H338" s="257">
        <f t="shared" si="65"/>
        <v>0</v>
      </c>
    </row>
    <row r="339">
      <c r="A339" s="258" t="s">
        <v>724</v>
      </c>
      <c r="B339" s="460"/>
      <c r="C339" s="460"/>
      <c r="D339" s="257">
        <v>69.99</v>
      </c>
      <c r="E339" s="257">
        <v>39.89</v>
      </c>
      <c r="F339" s="257">
        <f t="shared" si="66"/>
        <v>30.1</v>
      </c>
      <c r="G339" s="258">
        <v>21.0</v>
      </c>
      <c r="H339" s="257">
        <f t="shared" si="65"/>
        <v>1.89952381</v>
      </c>
    </row>
    <row r="340">
      <c r="A340" s="182" t="s">
        <v>722</v>
      </c>
      <c r="B340" s="460"/>
      <c r="C340" s="460"/>
      <c r="D340" s="257">
        <v>69.99</v>
      </c>
      <c r="E340" s="257">
        <v>69.99</v>
      </c>
      <c r="F340" s="257">
        <f t="shared" si="66"/>
        <v>0</v>
      </c>
      <c r="G340" s="258">
        <v>18.0</v>
      </c>
      <c r="H340" s="257">
        <f t="shared" si="65"/>
        <v>3.888333333</v>
      </c>
    </row>
    <row r="341">
      <c r="A341" s="258" t="s">
        <v>698</v>
      </c>
      <c r="B341" s="460"/>
      <c r="C341" s="460"/>
      <c r="D341" s="257">
        <v>29.99</v>
      </c>
      <c r="E341" s="257">
        <v>15.0</v>
      </c>
      <c r="F341" s="257">
        <f t="shared" si="66"/>
        <v>14.99</v>
      </c>
      <c r="G341" s="258">
        <v>15.0</v>
      </c>
      <c r="H341" s="257">
        <f t="shared" si="65"/>
        <v>1</v>
      </c>
    </row>
    <row r="342">
      <c r="A342" s="258" t="s">
        <v>723</v>
      </c>
      <c r="B342" s="460"/>
      <c r="C342" s="460"/>
      <c r="D342" s="257">
        <v>69.99</v>
      </c>
      <c r="E342" s="257">
        <v>69.99</v>
      </c>
      <c r="F342" s="257">
        <f t="shared" si="66"/>
        <v>0</v>
      </c>
      <c r="G342" s="258">
        <v>14.0</v>
      </c>
      <c r="H342" s="257">
        <f t="shared" si="65"/>
        <v>4.999285714</v>
      </c>
    </row>
    <row r="343">
      <c r="A343" s="258" t="s">
        <v>721</v>
      </c>
      <c r="B343" s="460"/>
      <c r="C343" s="460"/>
      <c r="D343" s="257">
        <v>69.99</v>
      </c>
      <c r="E343" s="257">
        <v>69.99</v>
      </c>
      <c r="F343" s="257">
        <f t="shared" si="66"/>
        <v>0</v>
      </c>
      <c r="G343" s="258">
        <v>11.0</v>
      </c>
      <c r="H343" s="257">
        <f t="shared" si="65"/>
        <v>6.362727273</v>
      </c>
    </row>
    <row r="344">
      <c r="A344" s="258" t="s">
        <v>762</v>
      </c>
      <c r="B344" s="460"/>
      <c r="C344" s="460"/>
      <c r="D344" s="257">
        <v>79.99</v>
      </c>
      <c r="E344" s="257">
        <v>15.99</v>
      </c>
      <c r="F344" s="257">
        <f t="shared" si="66"/>
        <v>64</v>
      </c>
      <c r="G344" s="258">
        <v>8.0</v>
      </c>
      <c r="H344" s="257">
        <f t="shared" si="65"/>
        <v>1.99875</v>
      </c>
    </row>
    <row r="345">
      <c r="A345" s="258" t="s">
        <v>747</v>
      </c>
      <c r="B345" s="460"/>
      <c r="C345" s="460"/>
      <c r="D345" s="257">
        <v>89.99</v>
      </c>
      <c r="E345" s="257">
        <v>24.29</v>
      </c>
      <c r="F345" s="257">
        <f t="shared" si="66"/>
        <v>65.7</v>
      </c>
      <c r="G345" s="258">
        <v>4.0</v>
      </c>
      <c r="H345" s="257">
        <f t="shared" si="65"/>
        <v>6.0725</v>
      </c>
    </row>
    <row r="346">
      <c r="A346" s="258" t="s">
        <v>758</v>
      </c>
      <c r="B346" s="460"/>
      <c r="C346" s="460"/>
      <c r="D346" s="257">
        <v>79.99</v>
      </c>
      <c r="E346" s="257">
        <v>31.99</v>
      </c>
      <c r="F346" s="257">
        <f t="shared" si="66"/>
        <v>48</v>
      </c>
      <c r="G346" s="258">
        <v>2.0</v>
      </c>
      <c r="H346" s="257">
        <f t="shared" si="65"/>
        <v>15.995</v>
      </c>
    </row>
    <row r="347">
      <c r="A347" s="182" t="s">
        <v>763</v>
      </c>
      <c r="B347" s="460"/>
      <c r="C347" s="460"/>
      <c r="D347" s="257">
        <v>79.99</v>
      </c>
      <c r="E347" s="257">
        <v>0.0</v>
      </c>
      <c r="F347" s="257">
        <f t="shared" si="66"/>
        <v>79.99</v>
      </c>
      <c r="G347" s="258">
        <v>1.0</v>
      </c>
      <c r="H347" s="257">
        <f t="shared" si="65"/>
        <v>0</v>
      </c>
    </row>
    <row r="348">
      <c r="A348" s="182" t="s">
        <v>745</v>
      </c>
      <c r="B348" s="460"/>
      <c r="C348" s="460"/>
      <c r="D348" s="257">
        <v>69.99</v>
      </c>
      <c r="E348" s="257">
        <v>0.0</v>
      </c>
      <c r="F348" s="257">
        <f t="shared" si="66"/>
        <v>69.99</v>
      </c>
      <c r="G348" s="258">
        <v>1.0</v>
      </c>
      <c r="H348" s="257">
        <f t="shared" si="65"/>
        <v>0</v>
      </c>
    </row>
    <row r="349">
      <c r="A349" s="182" t="s">
        <v>704</v>
      </c>
      <c r="B349" s="460"/>
      <c r="C349" s="460"/>
      <c r="D349" s="257">
        <v>29.99</v>
      </c>
      <c r="E349" s="257">
        <v>4.0</v>
      </c>
      <c r="F349" s="257">
        <f t="shared" si="66"/>
        <v>25.99</v>
      </c>
      <c r="G349" s="258">
        <v>1.0</v>
      </c>
      <c r="H349" s="257">
        <f t="shared" si="65"/>
        <v>4</v>
      </c>
    </row>
    <row r="350">
      <c r="A350" s="461"/>
      <c r="B350" s="462"/>
      <c r="C350" s="461"/>
      <c r="D350" s="461"/>
      <c r="E350" s="461"/>
      <c r="F350" s="461"/>
      <c r="G350" s="461"/>
      <c r="H350" s="461"/>
    </row>
    <row r="351">
      <c r="A351" s="43" t="s">
        <v>506</v>
      </c>
      <c r="B351" s="43" t="s">
        <v>29</v>
      </c>
      <c r="C351" s="44">
        <f>COUNTA(A352)</f>
        <v>1</v>
      </c>
      <c r="D351" s="47">
        <f t="shared" ref="D351:G351" si="67">SUM(D352)</f>
        <v>14.99</v>
      </c>
      <c r="E351" s="47">
        <f t="shared" si="67"/>
        <v>7.99</v>
      </c>
      <c r="F351" s="47">
        <f t="shared" si="67"/>
        <v>7</v>
      </c>
      <c r="G351" s="43">
        <f t="shared" si="67"/>
        <v>147</v>
      </c>
      <c r="H351" s="47">
        <f t="shared" ref="H351:H352" si="68">E351/G351</f>
        <v>0.0543537415</v>
      </c>
    </row>
    <row r="352">
      <c r="A352" s="39" t="s">
        <v>1611</v>
      </c>
      <c r="B352" s="1"/>
      <c r="C352" s="1"/>
      <c r="D352" s="71">
        <v>14.99</v>
      </c>
      <c r="E352" s="71">
        <v>7.99</v>
      </c>
      <c r="F352" s="71">
        <f>D352-E352</f>
        <v>7</v>
      </c>
      <c r="G352" s="72">
        <v>147.0</v>
      </c>
      <c r="H352" s="71">
        <f t="shared" si="68"/>
        <v>0.0543537415</v>
      </c>
    </row>
    <row r="353">
      <c r="A353" s="7"/>
      <c r="B353" s="7"/>
      <c r="C353" s="7"/>
      <c r="D353" s="7"/>
      <c r="E353" s="7"/>
      <c r="F353" s="7"/>
      <c r="G353" s="7"/>
      <c r="H353" s="7"/>
    </row>
    <row r="354">
      <c r="A354" s="43" t="s">
        <v>570</v>
      </c>
      <c r="B354" s="43" t="s">
        <v>29</v>
      </c>
      <c r="C354" s="44">
        <f>COUNTA(A355:A359)</f>
        <v>5</v>
      </c>
      <c r="D354" s="145">
        <f t="shared" ref="D354:G354" si="69">SUM(D355:D359)</f>
        <v>81.95</v>
      </c>
      <c r="E354" s="145">
        <f t="shared" si="69"/>
        <v>81.95</v>
      </c>
      <c r="F354" s="145">
        <f t="shared" si="69"/>
        <v>0</v>
      </c>
      <c r="G354" s="44">
        <f t="shared" si="69"/>
        <v>138</v>
      </c>
      <c r="H354" s="145">
        <f t="shared" ref="H354:H355" si="70">E354/G354</f>
        <v>0.5938405797</v>
      </c>
    </row>
    <row r="355">
      <c r="A355" s="72" t="s">
        <v>1765</v>
      </c>
      <c r="B355" s="1"/>
      <c r="C355" s="1"/>
      <c r="D355" s="71">
        <v>12.99</v>
      </c>
      <c r="E355" s="71">
        <v>12.99</v>
      </c>
      <c r="F355" s="71">
        <f>D355-E355</f>
        <v>0</v>
      </c>
      <c r="G355" s="39">
        <v>45.0</v>
      </c>
      <c r="H355" s="71">
        <f t="shared" si="70"/>
        <v>0.2886666667</v>
      </c>
    </row>
    <row r="356">
      <c r="A356" s="72" t="s">
        <v>1766</v>
      </c>
      <c r="B356" s="1"/>
      <c r="C356" s="1"/>
      <c r="D356" s="71">
        <v>4.99</v>
      </c>
      <c r="E356" s="71">
        <v>4.99</v>
      </c>
      <c r="F356" s="71">
        <v>0.0</v>
      </c>
      <c r="G356" s="39">
        <v>30.0</v>
      </c>
      <c r="H356" s="71">
        <v>0.16633333333333333</v>
      </c>
    </row>
    <row r="357">
      <c r="A357" s="39" t="s">
        <v>1767</v>
      </c>
      <c r="B357" s="1"/>
      <c r="C357" s="1"/>
      <c r="D357" s="71">
        <v>8.99</v>
      </c>
      <c r="E357" s="71">
        <v>8.99</v>
      </c>
      <c r="F357" s="71">
        <f>D357-E357</f>
        <v>0</v>
      </c>
      <c r="G357" s="39">
        <v>30.0</v>
      </c>
      <c r="H357" s="71">
        <f>E357/G357</f>
        <v>0.2996666667</v>
      </c>
    </row>
    <row r="358">
      <c r="A358" s="72" t="s">
        <v>1768</v>
      </c>
      <c r="B358" s="1"/>
      <c r="C358" s="1"/>
      <c r="D358" s="71">
        <v>4.99</v>
      </c>
      <c r="E358" s="71">
        <v>4.99</v>
      </c>
      <c r="F358" s="71">
        <v>0.0</v>
      </c>
      <c r="G358" s="39">
        <v>25.0</v>
      </c>
      <c r="H358" s="71">
        <v>0.1996</v>
      </c>
    </row>
    <row r="359">
      <c r="A359" s="72" t="s">
        <v>1678</v>
      </c>
      <c r="B359" s="1"/>
      <c r="C359" s="1"/>
      <c r="D359" s="71">
        <v>49.99</v>
      </c>
      <c r="E359" s="71">
        <v>49.99</v>
      </c>
      <c r="F359" s="71">
        <v>0.0</v>
      </c>
      <c r="G359" s="39">
        <v>8.0</v>
      </c>
      <c r="H359" s="71">
        <v>6.24875</v>
      </c>
    </row>
    <row r="360">
      <c r="A360" s="7"/>
      <c r="B360" s="7"/>
      <c r="C360" s="7"/>
      <c r="D360" s="7"/>
      <c r="E360" s="7"/>
      <c r="F360" s="7"/>
      <c r="G360" s="7"/>
      <c r="H360" s="7"/>
    </row>
    <row r="361">
      <c r="A361" s="43" t="s">
        <v>136</v>
      </c>
      <c r="B361" s="43" t="s">
        <v>92</v>
      </c>
      <c r="C361" s="44">
        <f>COUNTA(A362:A363)</f>
        <v>2</v>
      </c>
      <c r="D361" s="47">
        <f t="shared" ref="D361:G361" si="71">SUM(D362:D363)</f>
        <v>169.98</v>
      </c>
      <c r="E361" s="47">
        <f t="shared" si="71"/>
        <v>94.98</v>
      </c>
      <c r="F361" s="47">
        <f t="shared" si="71"/>
        <v>75</v>
      </c>
      <c r="G361" s="43">
        <f t="shared" si="71"/>
        <v>134</v>
      </c>
      <c r="H361" s="47">
        <f t="shared" ref="H361:H363" si="72">E361/G361</f>
        <v>0.7088059701</v>
      </c>
    </row>
    <row r="362">
      <c r="A362" s="258" t="s">
        <v>748</v>
      </c>
      <c r="B362" s="460"/>
      <c r="C362" s="460"/>
      <c r="D362" s="257">
        <v>69.99</v>
      </c>
      <c r="E362" s="257">
        <v>34.99</v>
      </c>
      <c r="F362" s="257">
        <f t="shared" ref="F362:F363" si="73">D362-E362</f>
        <v>35</v>
      </c>
      <c r="G362" s="182">
        <v>79.0</v>
      </c>
      <c r="H362" s="257">
        <f t="shared" si="72"/>
        <v>0.4429113924</v>
      </c>
    </row>
    <row r="363">
      <c r="A363" s="258" t="s">
        <v>754</v>
      </c>
      <c r="B363" s="460"/>
      <c r="C363" s="460"/>
      <c r="D363" s="257">
        <v>99.99</v>
      </c>
      <c r="E363" s="257">
        <v>59.99</v>
      </c>
      <c r="F363" s="257">
        <f t="shared" si="73"/>
        <v>40</v>
      </c>
      <c r="G363" s="258">
        <v>55.0</v>
      </c>
      <c r="H363" s="257">
        <f t="shared" si="72"/>
        <v>1.090727273</v>
      </c>
    </row>
    <row r="364">
      <c r="A364" s="258"/>
      <c r="B364" s="460"/>
      <c r="C364" s="460"/>
      <c r="D364" s="257"/>
      <c r="E364" s="257"/>
      <c r="F364" s="257"/>
      <c r="G364" s="258"/>
      <c r="H364" s="257"/>
    </row>
    <row r="365">
      <c r="A365" s="224" t="s">
        <v>418</v>
      </c>
      <c r="B365" s="224" t="s">
        <v>419</v>
      </c>
      <c r="C365" s="221">
        <f>COUNTA(A366)</f>
        <v>1</v>
      </c>
      <c r="D365" s="226">
        <f t="shared" ref="D365:G365" si="74">SUM(D366)</f>
        <v>64.98</v>
      </c>
      <c r="E365" s="226">
        <f t="shared" si="74"/>
        <v>19.23</v>
      </c>
      <c r="F365" s="226">
        <f t="shared" si="74"/>
        <v>45.75</v>
      </c>
      <c r="G365" s="224">
        <f t="shared" si="74"/>
        <v>126</v>
      </c>
      <c r="H365" s="226">
        <f t="shared" ref="H365:H366" si="75">E365/G365</f>
        <v>0.1526190476</v>
      </c>
    </row>
    <row r="366">
      <c r="A366" s="142" t="s">
        <v>1354</v>
      </c>
      <c r="B366" s="1"/>
      <c r="C366" s="1"/>
      <c r="D366" s="227">
        <v>64.98</v>
      </c>
      <c r="E366" s="227">
        <v>19.23</v>
      </c>
      <c r="F366" s="143">
        <f>D366-E366</f>
        <v>45.75</v>
      </c>
      <c r="G366" s="142">
        <v>126.0</v>
      </c>
      <c r="H366" s="143">
        <f t="shared" si="75"/>
        <v>0.1526190476</v>
      </c>
    </row>
    <row r="367">
      <c r="A367" s="7"/>
      <c r="B367" s="7"/>
      <c r="C367" s="7"/>
      <c r="D367" s="7"/>
      <c r="E367" s="7"/>
      <c r="F367" s="7"/>
      <c r="G367" s="7"/>
      <c r="H367" s="7"/>
    </row>
    <row r="368">
      <c r="A368" s="43" t="s">
        <v>497</v>
      </c>
      <c r="B368" s="43" t="s">
        <v>29</v>
      </c>
      <c r="C368" s="44">
        <f>COUNTA(A369:A373)</f>
        <v>5</v>
      </c>
      <c r="D368" s="145">
        <f t="shared" ref="D368:G368" si="76">SUM(D369:D373)</f>
        <v>112.95</v>
      </c>
      <c r="E368" s="145">
        <f t="shared" si="76"/>
        <v>17.46</v>
      </c>
      <c r="F368" s="145">
        <f t="shared" si="76"/>
        <v>95.49</v>
      </c>
      <c r="G368" s="44">
        <f t="shared" si="76"/>
        <v>124</v>
      </c>
      <c r="H368" s="145">
        <f t="shared" ref="H368:H373" si="77">E368/G368</f>
        <v>0.1408064516</v>
      </c>
    </row>
    <row r="369">
      <c r="A369" s="39" t="s">
        <v>1644</v>
      </c>
      <c r="B369" s="1"/>
      <c r="C369" s="1"/>
      <c r="D369" s="71">
        <v>69.99</v>
      </c>
      <c r="E369" s="71">
        <v>0.0</v>
      </c>
      <c r="F369" s="71">
        <f t="shared" ref="F369:F373" si="78">D369-E369</f>
        <v>69.99</v>
      </c>
      <c r="G369" s="39">
        <v>57.0</v>
      </c>
      <c r="H369" s="71">
        <f t="shared" si="77"/>
        <v>0</v>
      </c>
    </row>
    <row r="370">
      <c r="A370" s="39" t="s">
        <v>1565</v>
      </c>
      <c r="B370" s="1"/>
      <c r="C370" s="1"/>
      <c r="D370" s="71">
        <v>24.99</v>
      </c>
      <c r="E370" s="71">
        <v>6.99</v>
      </c>
      <c r="F370" s="71">
        <f t="shared" si="78"/>
        <v>18</v>
      </c>
      <c r="G370" s="39">
        <v>50.0</v>
      </c>
      <c r="H370" s="71">
        <f t="shared" si="77"/>
        <v>0.1398</v>
      </c>
    </row>
    <row r="371">
      <c r="A371" s="39" t="s">
        <v>1569</v>
      </c>
      <c r="B371" s="1"/>
      <c r="C371" s="1"/>
      <c r="D371" s="71">
        <v>4.99</v>
      </c>
      <c r="E371" s="71">
        <v>4.99</v>
      </c>
      <c r="F371" s="71">
        <f t="shared" si="78"/>
        <v>0</v>
      </c>
      <c r="G371" s="39">
        <v>15.0</v>
      </c>
      <c r="H371" s="71">
        <f t="shared" si="77"/>
        <v>0.3326666667</v>
      </c>
    </row>
    <row r="372">
      <c r="A372" s="39" t="s">
        <v>1456</v>
      </c>
      <c r="B372" s="1"/>
      <c r="C372" s="1"/>
      <c r="D372" s="71">
        <v>4.99</v>
      </c>
      <c r="E372" s="71">
        <v>2.49</v>
      </c>
      <c r="F372" s="71">
        <f t="shared" si="78"/>
        <v>2.5</v>
      </c>
      <c r="G372" s="39">
        <v>1.0</v>
      </c>
      <c r="H372" s="71">
        <f t="shared" si="77"/>
        <v>2.49</v>
      </c>
    </row>
    <row r="373">
      <c r="A373" s="39" t="s">
        <v>1490</v>
      </c>
      <c r="B373" s="1"/>
      <c r="C373" s="1"/>
      <c r="D373" s="71">
        <v>7.99</v>
      </c>
      <c r="E373" s="71">
        <v>2.99</v>
      </c>
      <c r="F373" s="71">
        <f t="shared" si="78"/>
        <v>5</v>
      </c>
      <c r="G373" s="39">
        <v>1.0</v>
      </c>
      <c r="H373" s="71">
        <f t="shared" si="77"/>
        <v>2.99</v>
      </c>
    </row>
    <row r="374">
      <c r="A374" s="39"/>
      <c r="B374" s="1"/>
      <c r="C374" s="1"/>
      <c r="D374" s="71"/>
      <c r="E374" s="71"/>
      <c r="F374" s="71"/>
      <c r="G374" s="39"/>
      <c r="H374" s="71"/>
    </row>
    <row r="375">
      <c r="A375" s="43" t="s">
        <v>137</v>
      </c>
      <c r="B375" s="43" t="s">
        <v>92</v>
      </c>
      <c r="C375" s="44">
        <f>COUNTA(A376:A378)</f>
        <v>3</v>
      </c>
      <c r="D375" s="145">
        <f t="shared" ref="D375:G375" si="79">SUM(D376:D378)</f>
        <v>64.97</v>
      </c>
      <c r="E375" s="145">
        <f t="shared" si="79"/>
        <v>25.48</v>
      </c>
      <c r="F375" s="145">
        <f t="shared" si="79"/>
        <v>39.49</v>
      </c>
      <c r="G375" s="44">
        <f t="shared" si="79"/>
        <v>117</v>
      </c>
      <c r="H375" s="145">
        <f t="shared" ref="H375:H378" si="80">E375/G375</f>
        <v>0.2177777778</v>
      </c>
    </row>
    <row r="376">
      <c r="A376" s="258" t="s">
        <v>693</v>
      </c>
      <c r="B376" s="1"/>
      <c r="C376" s="1"/>
      <c r="D376" s="257">
        <v>14.99</v>
      </c>
      <c r="E376" s="257">
        <v>6.0</v>
      </c>
      <c r="F376" s="257">
        <f t="shared" ref="F376:F378" si="81">D376-E376</f>
        <v>8.99</v>
      </c>
      <c r="G376" s="258">
        <v>50.0</v>
      </c>
      <c r="H376" s="257">
        <f t="shared" si="80"/>
        <v>0.12</v>
      </c>
    </row>
    <row r="377">
      <c r="A377" s="258" t="s">
        <v>708</v>
      </c>
      <c r="B377" s="1"/>
      <c r="C377" s="1"/>
      <c r="D377" s="257">
        <v>29.99</v>
      </c>
      <c r="E377" s="257">
        <v>4.49</v>
      </c>
      <c r="F377" s="257">
        <f t="shared" si="81"/>
        <v>25.5</v>
      </c>
      <c r="G377" s="258">
        <v>42.0</v>
      </c>
      <c r="H377" s="257">
        <f t="shared" si="80"/>
        <v>0.1069047619</v>
      </c>
    </row>
    <row r="378">
      <c r="A378" s="258" t="s">
        <v>709</v>
      </c>
      <c r="B378" s="1"/>
      <c r="C378" s="1"/>
      <c r="D378" s="257">
        <v>19.99</v>
      </c>
      <c r="E378" s="257">
        <v>14.99</v>
      </c>
      <c r="F378" s="257">
        <f t="shared" si="81"/>
        <v>5</v>
      </c>
      <c r="G378" s="258">
        <v>25.0</v>
      </c>
      <c r="H378" s="257">
        <f t="shared" si="80"/>
        <v>0.5996</v>
      </c>
    </row>
    <row r="379">
      <c r="A379" s="7"/>
      <c r="B379" s="7"/>
      <c r="C379" s="7"/>
      <c r="D379" s="7"/>
      <c r="E379" s="7"/>
      <c r="F379" s="7"/>
      <c r="G379" s="7"/>
      <c r="H379" s="7"/>
    </row>
    <row r="380">
      <c r="A380" s="43" t="s">
        <v>509</v>
      </c>
      <c r="B380" s="43" t="s">
        <v>29</v>
      </c>
      <c r="C380" s="43">
        <f>COUNTA(A381:A387)</f>
        <v>7</v>
      </c>
      <c r="D380" s="145">
        <f t="shared" ref="D380:G380" si="82">SUM(D381:D387)</f>
        <v>121.92</v>
      </c>
      <c r="E380" s="145">
        <f t="shared" si="82"/>
        <v>58.96</v>
      </c>
      <c r="F380" s="145">
        <f t="shared" si="82"/>
        <v>62.96</v>
      </c>
      <c r="G380" s="44">
        <f t="shared" si="82"/>
        <v>116</v>
      </c>
      <c r="H380" s="145">
        <f t="shared" ref="H380:H387" si="83">E380/G380</f>
        <v>0.5082758621</v>
      </c>
    </row>
    <row r="381">
      <c r="A381" s="258" t="s">
        <v>1610</v>
      </c>
      <c r="B381" s="460"/>
      <c r="C381" s="460"/>
      <c r="D381" s="257">
        <v>29.99</v>
      </c>
      <c r="E381" s="257">
        <v>14.99</v>
      </c>
      <c r="F381" s="257">
        <f t="shared" ref="F381:F387" si="84">D381-E381</f>
        <v>15</v>
      </c>
      <c r="G381" s="258">
        <v>52.0</v>
      </c>
      <c r="H381" s="257">
        <f t="shared" si="83"/>
        <v>0.2882692308</v>
      </c>
    </row>
    <row r="382">
      <c r="A382" s="258" t="s">
        <v>1545</v>
      </c>
      <c r="B382" s="460"/>
      <c r="C382" s="460"/>
      <c r="D382" s="257">
        <v>24.99</v>
      </c>
      <c r="E382" s="257">
        <v>5.0</v>
      </c>
      <c r="F382" s="257">
        <f t="shared" si="84"/>
        <v>19.99</v>
      </c>
      <c r="G382" s="258">
        <v>45.0</v>
      </c>
      <c r="H382" s="257">
        <f t="shared" si="83"/>
        <v>0.1111111111</v>
      </c>
    </row>
    <row r="383">
      <c r="A383" s="258" t="s">
        <v>1446</v>
      </c>
      <c r="B383" s="460"/>
      <c r="C383" s="460"/>
      <c r="D383" s="71">
        <v>14.99</v>
      </c>
      <c r="E383" s="71">
        <v>10.0</v>
      </c>
      <c r="F383" s="71">
        <f t="shared" si="84"/>
        <v>4.99</v>
      </c>
      <c r="G383" s="39">
        <v>7.0</v>
      </c>
      <c r="H383" s="71">
        <f t="shared" si="83"/>
        <v>1.428571429</v>
      </c>
    </row>
    <row r="384">
      <c r="A384" s="182" t="s">
        <v>1455</v>
      </c>
      <c r="B384" s="460"/>
      <c r="C384" s="460"/>
      <c r="D384" s="71">
        <v>15.98</v>
      </c>
      <c r="E384" s="71">
        <v>10.49</v>
      </c>
      <c r="F384" s="71">
        <f t="shared" si="84"/>
        <v>5.49</v>
      </c>
      <c r="G384" s="39">
        <v>6.0</v>
      </c>
      <c r="H384" s="71">
        <f t="shared" si="83"/>
        <v>1.748333333</v>
      </c>
    </row>
    <row r="385">
      <c r="A385" s="182" t="s">
        <v>1451</v>
      </c>
      <c r="B385" s="460"/>
      <c r="C385" s="460"/>
      <c r="D385" s="71">
        <v>15.99</v>
      </c>
      <c r="E385" s="71">
        <v>10.5</v>
      </c>
      <c r="F385" s="71">
        <f t="shared" si="84"/>
        <v>5.49</v>
      </c>
      <c r="G385" s="39">
        <v>4.0</v>
      </c>
      <c r="H385" s="71">
        <f t="shared" si="83"/>
        <v>2.625</v>
      </c>
    </row>
    <row r="386">
      <c r="A386" s="258" t="s">
        <v>1483</v>
      </c>
      <c r="B386" s="460"/>
      <c r="C386" s="460"/>
      <c r="D386" s="257">
        <v>9.99</v>
      </c>
      <c r="E386" s="257">
        <v>3.99</v>
      </c>
      <c r="F386" s="257">
        <f t="shared" si="84"/>
        <v>6</v>
      </c>
      <c r="G386" s="258">
        <v>1.0</v>
      </c>
      <c r="H386" s="257">
        <f t="shared" si="83"/>
        <v>3.99</v>
      </c>
    </row>
    <row r="387">
      <c r="A387" s="258" t="s">
        <v>1486</v>
      </c>
      <c r="B387" s="460"/>
      <c r="C387" s="460"/>
      <c r="D387" s="257">
        <v>9.99</v>
      </c>
      <c r="E387" s="257">
        <v>3.99</v>
      </c>
      <c r="F387" s="257">
        <f t="shared" si="84"/>
        <v>6</v>
      </c>
      <c r="G387" s="258">
        <v>1.0</v>
      </c>
      <c r="H387" s="257">
        <f t="shared" si="83"/>
        <v>3.99</v>
      </c>
    </row>
    <row r="388">
      <c r="A388" s="7"/>
      <c r="B388" s="7"/>
      <c r="C388" s="7"/>
      <c r="D388" s="7"/>
      <c r="E388" s="7"/>
      <c r="F388" s="7"/>
      <c r="G388" s="7"/>
      <c r="H388" s="7"/>
    </row>
    <row r="389">
      <c r="A389" s="43" t="s">
        <v>589</v>
      </c>
      <c r="B389" s="43" t="s">
        <v>29</v>
      </c>
      <c r="C389" s="44">
        <f>COUNTA(A390:A392)</f>
        <v>3</v>
      </c>
      <c r="D389" s="145">
        <f t="shared" ref="D389:G389" si="85">SUM(D390:D392)</f>
        <v>128.96</v>
      </c>
      <c r="E389" s="145">
        <f t="shared" si="85"/>
        <v>58.98</v>
      </c>
      <c r="F389" s="145">
        <f t="shared" si="85"/>
        <v>69.98</v>
      </c>
      <c r="G389" s="44">
        <f t="shared" si="85"/>
        <v>113</v>
      </c>
      <c r="H389" s="145">
        <f t="shared" ref="H389:H392" si="86">E389/G389</f>
        <v>0.5219469027</v>
      </c>
    </row>
    <row r="390">
      <c r="A390" s="39" t="s">
        <v>1635</v>
      </c>
      <c r="B390" s="1"/>
      <c r="C390" s="1"/>
      <c r="D390" s="71">
        <v>69.99</v>
      </c>
      <c r="E390" s="71">
        <v>34.99</v>
      </c>
      <c r="F390" s="71">
        <f t="shared" ref="F390:F392" si="87">D390-E390</f>
        <v>35</v>
      </c>
      <c r="G390" s="39">
        <v>62.0</v>
      </c>
      <c r="H390" s="71">
        <f t="shared" si="86"/>
        <v>0.5643548387</v>
      </c>
    </row>
    <row r="391">
      <c r="A391" s="39" t="s">
        <v>1511</v>
      </c>
      <c r="B391" s="1"/>
      <c r="C391" s="1"/>
      <c r="D391" s="71">
        <v>44.98</v>
      </c>
      <c r="E391" s="71">
        <v>18.0</v>
      </c>
      <c r="F391" s="71">
        <f t="shared" si="87"/>
        <v>26.98</v>
      </c>
      <c r="G391" s="39">
        <v>50.0</v>
      </c>
      <c r="H391" s="71">
        <f t="shared" si="86"/>
        <v>0.36</v>
      </c>
    </row>
    <row r="392">
      <c r="A392" s="39" t="s">
        <v>1471</v>
      </c>
      <c r="B392" s="1"/>
      <c r="C392" s="1"/>
      <c r="D392" s="71">
        <v>13.99</v>
      </c>
      <c r="E392" s="71">
        <v>5.99</v>
      </c>
      <c r="F392" s="71">
        <f t="shared" si="87"/>
        <v>8</v>
      </c>
      <c r="G392" s="39">
        <v>1.0</v>
      </c>
      <c r="H392" s="71">
        <f t="shared" si="86"/>
        <v>5.99</v>
      </c>
    </row>
    <row r="393">
      <c r="A393" s="7"/>
      <c r="B393" s="7"/>
      <c r="C393" s="7"/>
      <c r="D393" s="7"/>
      <c r="E393" s="7"/>
      <c r="F393" s="7"/>
      <c r="G393" s="7"/>
      <c r="H393" s="7"/>
    </row>
    <row r="394">
      <c r="A394" s="43" t="s">
        <v>495</v>
      </c>
      <c r="B394" s="43" t="s">
        <v>29</v>
      </c>
      <c r="C394" s="44">
        <f>COUNTA(A395)</f>
        <v>1</v>
      </c>
      <c r="D394" s="46">
        <f t="shared" ref="D394:G394" si="88">SUM(D395)</f>
        <v>84.99</v>
      </c>
      <c r="E394" s="46">
        <f t="shared" si="88"/>
        <v>0</v>
      </c>
      <c r="F394" s="47">
        <f t="shared" si="88"/>
        <v>84.99</v>
      </c>
      <c r="G394" s="43">
        <f t="shared" si="88"/>
        <v>93</v>
      </c>
      <c r="H394" s="46">
        <f t="shared" ref="H394:H395" si="89">E394/G394</f>
        <v>0</v>
      </c>
    </row>
    <row r="395">
      <c r="A395" s="39" t="s">
        <v>1737</v>
      </c>
      <c r="B395" s="1"/>
      <c r="C395" s="1"/>
      <c r="D395" s="42">
        <v>84.99</v>
      </c>
      <c r="E395" s="42">
        <v>0.0</v>
      </c>
      <c r="F395" s="71">
        <f>D395-E395</f>
        <v>84.99</v>
      </c>
      <c r="G395" s="39">
        <v>93.0</v>
      </c>
      <c r="H395" s="71">
        <f t="shared" si="89"/>
        <v>0</v>
      </c>
    </row>
    <row r="396">
      <c r="A396" s="7"/>
      <c r="B396" s="7"/>
      <c r="C396" s="7"/>
      <c r="D396" s="7"/>
      <c r="E396" s="7"/>
      <c r="F396" s="7"/>
      <c r="G396" s="7"/>
      <c r="H396" s="7"/>
    </row>
    <row r="397">
      <c r="A397" s="43" t="s">
        <v>401</v>
      </c>
      <c r="B397" s="43" t="s">
        <v>400</v>
      </c>
      <c r="C397" s="44">
        <f>COUNTA(A398:A399)</f>
        <v>2</v>
      </c>
      <c r="D397" s="47">
        <f t="shared" ref="D397:G397" si="90">SUM(D398:D399)</f>
        <v>124.97</v>
      </c>
      <c r="E397" s="47">
        <f t="shared" si="90"/>
        <v>58.47</v>
      </c>
      <c r="F397" s="47">
        <f t="shared" si="90"/>
        <v>66.5</v>
      </c>
      <c r="G397" s="43">
        <f t="shared" si="90"/>
        <v>93</v>
      </c>
      <c r="H397" s="47">
        <f t="shared" ref="H397:H399" si="91">E397/G397</f>
        <v>0.6287096774</v>
      </c>
    </row>
    <row r="398">
      <c r="A398" s="39" t="s">
        <v>1343</v>
      </c>
      <c r="B398" s="1"/>
      <c r="C398" s="1"/>
      <c r="D398" s="71">
        <v>49.99</v>
      </c>
      <c r="E398" s="71">
        <v>33.49</v>
      </c>
      <c r="F398" s="71">
        <f t="shared" ref="F398:F399" si="92">D398-E398</f>
        <v>16.5</v>
      </c>
      <c r="G398" s="39">
        <v>83.0</v>
      </c>
      <c r="H398" s="71">
        <f t="shared" si="91"/>
        <v>0.4034939759</v>
      </c>
    </row>
    <row r="399">
      <c r="A399" s="39" t="s">
        <v>1337</v>
      </c>
      <c r="B399" s="1"/>
      <c r="C399" s="1"/>
      <c r="D399" s="71">
        <v>74.98</v>
      </c>
      <c r="E399" s="71">
        <v>24.98</v>
      </c>
      <c r="F399" s="71">
        <f t="shared" si="92"/>
        <v>50</v>
      </c>
      <c r="G399" s="39">
        <v>10.0</v>
      </c>
      <c r="H399" s="71">
        <f t="shared" si="91"/>
        <v>2.498</v>
      </c>
    </row>
    <row r="400">
      <c r="A400" s="461"/>
      <c r="B400" s="462"/>
      <c r="C400" s="461"/>
      <c r="D400" s="461"/>
      <c r="E400" s="461"/>
      <c r="F400" s="461"/>
      <c r="G400" s="461"/>
      <c r="H400" s="461"/>
    </row>
    <row r="401">
      <c r="A401" s="43" t="s">
        <v>195</v>
      </c>
      <c r="B401" s="43" t="s">
        <v>25</v>
      </c>
      <c r="C401" s="44">
        <f>COUNTA(A402:A406)</f>
        <v>5</v>
      </c>
      <c r="D401" s="145">
        <f t="shared" ref="D401:G401" si="93">SUM(D402:D406)</f>
        <v>77.94</v>
      </c>
      <c r="E401" s="145">
        <f t="shared" si="93"/>
        <v>38.36</v>
      </c>
      <c r="F401" s="145">
        <f t="shared" si="93"/>
        <v>39.58</v>
      </c>
      <c r="G401" s="44">
        <f t="shared" si="93"/>
        <v>92</v>
      </c>
      <c r="H401" s="145">
        <f t="shared" ref="H401:H406" si="94">E401/G401</f>
        <v>0.4169565217</v>
      </c>
    </row>
    <row r="402">
      <c r="A402" s="39" t="s">
        <v>954</v>
      </c>
      <c r="B402" s="1"/>
      <c r="C402" s="1"/>
      <c r="D402" s="71">
        <v>32.98</v>
      </c>
      <c r="E402" s="71">
        <v>2.99</v>
      </c>
      <c r="F402" s="71">
        <f t="shared" ref="F402:F406" si="95">D402-E402</f>
        <v>29.99</v>
      </c>
      <c r="G402" s="39">
        <v>76.0</v>
      </c>
      <c r="H402" s="71">
        <f t="shared" si="94"/>
        <v>0.03934210526</v>
      </c>
    </row>
    <row r="403">
      <c r="A403" s="39" t="s">
        <v>881</v>
      </c>
      <c r="B403" s="1"/>
      <c r="C403" s="1"/>
      <c r="D403" s="71">
        <v>4.99</v>
      </c>
      <c r="E403" s="71">
        <v>4.99</v>
      </c>
      <c r="F403" s="71">
        <f t="shared" si="95"/>
        <v>0</v>
      </c>
      <c r="G403" s="39">
        <v>5.0</v>
      </c>
      <c r="H403" s="71">
        <f t="shared" si="94"/>
        <v>0.998</v>
      </c>
    </row>
    <row r="404">
      <c r="A404" s="39" t="s">
        <v>887</v>
      </c>
      <c r="B404" s="1"/>
      <c r="C404" s="1"/>
      <c r="D404" s="71">
        <v>15.99</v>
      </c>
      <c r="E404" s="71">
        <v>6.4</v>
      </c>
      <c r="F404" s="71">
        <f t="shared" si="95"/>
        <v>9.59</v>
      </c>
      <c r="G404" s="39">
        <v>5.0</v>
      </c>
      <c r="H404" s="71">
        <f t="shared" si="94"/>
        <v>1.28</v>
      </c>
    </row>
    <row r="405">
      <c r="A405" s="39" t="s">
        <v>879</v>
      </c>
      <c r="B405" s="1"/>
      <c r="C405" s="1"/>
      <c r="D405" s="71">
        <v>7.99</v>
      </c>
      <c r="E405" s="71">
        <v>7.99</v>
      </c>
      <c r="F405" s="71">
        <f t="shared" si="95"/>
        <v>0</v>
      </c>
      <c r="G405" s="39">
        <v>5.0</v>
      </c>
      <c r="H405" s="71">
        <f t="shared" si="94"/>
        <v>1.598</v>
      </c>
    </row>
    <row r="406">
      <c r="A406" s="39" t="s">
        <v>967</v>
      </c>
      <c r="B406" s="1"/>
      <c r="C406" s="1"/>
      <c r="D406" s="71">
        <v>15.99</v>
      </c>
      <c r="E406" s="71">
        <v>15.99</v>
      </c>
      <c r="F406" s="71">
        <f t="shared" si="95"/>
        <v>0</v>
      </c>
      <c r="G406" s="39">
        <v>1.0</v>
      </c>
      <c r="H406" s="71">
        <f t="shared" si="94"/>
        <v>15.99</v>
      </c>
    </row>
    <row r="407">
      <c r="A407" s="461"/>
      <c r="B407" s="462"/>
      <c r="C407" s="461"/>
      <c r="D407" s="461"/>
      <c r="E407" s="461"/>
      <c r="F407" s="461"/>
      <c r="G407" s="461"/>
      <c r="H407" s="461"/>
    </row>
    <row r="408">
      <c r="A408" s="43" t="s">
        <v>345</v>
      </c>
      <c r="B408" s="43" t="s">
        <v>325</v>
      </c>
      <c r="C408" s="44">
        <f>COUNTA(A409:A412)</f>
        <v>4</v>
      </c>
      <c r="D408" s="145">
        <f t="shared" ref="D408:G408" si="96">SUM(D409:D412)</f>
        <v>149.96</v>
      </c>
      <c r="E408" s="145">
        <f t="shared" si="96"/>
        <v>23.98</v>
      </c>
      <c r="F408" s="145">
        <f t="shared" si="96"/>
        <v>125.98</v>
      </c>
      <c r="G408" s="44">
        <f t="shared" si="96"/>
        <v>88</v>
      </c>
      <c r="H408" s="145">
        <f t="shared" ref="H408:H412" si="97">E408/G408</f>
        <v>0.2725</v>
      </c>
    </row>
    <row r="409">
      <c r="A409" s="39" t="s">
        <v>1099</v>
      </c>
      <c r="B409" s="1"/>
      <c r="C409" s="1"/>
      <c r="D409" s="71">
        <v>14.99</v>
      </c>
      <c r="E409" s="71">
        <v>8.99</v>
      </c>
      <c r="F409" s="71">
        <f t="shared" ref="F409:F412" si="98">D409-E409</f>
        <v>6</v>
      </c>
      <c r="G409" s="39">
        <v>66.0</v>
      </c>
      <c r="H409" s="71">
        <f t="shared" si="97"/>
        <v>0.1362121212</v>
      </c>
    </row>
    <row r="410">
      <c r="A410" s="39" t="s">
        <v>1165</v>
      </c>
      <c r="B410" s="1"/>
      <c r="C410" s="1"/>
      <c r="D410" s="71">
        <v>49.99</v>
      </c>
      <c r="E410" s="71">
        <v>0.0</v>
      </c>
      <c r="F410" s="71">
        <f t="shared" si="98"/>
        <v>49.99</v>
      </c>
      <c r="G410" s="39">
        <v>18.0</v>
      </c>
      <c r="H410" s="71">
        <f t="shared" si="97"/>
        <v>0</v>
      </c>
    </row>
    <row r="411">
      <c r="A411" s="72" t="s">
        <v>1111</v>
      </c>
      <c r="B411" s="1"/>
      <c r="C411" s="1"/>
      <c r="D411" s="71">
        <v>14.99</v>
      </c>
      <c r="E411" s="71">
        <v>14.99</v>
      </c>
      <c r="F411" s="71">
        <f t="shared" si="98"/>
        <v>0</v>
      </c>
      <c r="G411" s="39">
        <v>3.0</v>
      </c>
      <c r="H411" s="71">
        <f t="shared" si="97"/>
        <v>4.996666667</v>
      </c>
    </row>
    <row r="412">
      <c r="A412" s="39" t="s">
        <v>1229</v>
      </c>
      <c r="B412" s="1"/>
      <c r="C412" s="1"/>
      <c r="D412" s="71">
        <v>69.99</v>
      </c>
      <c r="E412" s="71">
        <v>0.0</v>
      </c>
      <c r="F412" s="71">
        <f t="shared" si="98"/>
        <v>69.99</v>
      </c>
      <c r="G412" s="39">
        <v>1.0</v>
      </c>
      <c r="H412" s="71">
        <f t="shared" si="97"/>
        <v>0</v>
      </c>
    </row>
    <row r="413">
      <c r="A413" s="39"/>
      <c r="B413" s="1"/>
      <c r="C413" s="1"/>
      <c r="D413" s="71"/>
      <c r="E413" s="71"/>
      <c r="F413" s="71"/>
      <c r="G413" s="39"/>
      <c r="H413" s="71"/>
    </row>
    <row r="414">
      <c r="A414" s="43" t="s">
        <v>96</v>
      </c>
      <c r="B414" s="43" t="s">
        <v>92</v>
      </c>
      <c r="C414" s="44">
        <f>COUNTA(A415:A417)</f>
        <v>3</v>
      </c>
      <c r="D414" s="47">
        <f t="shared" ref="D414:G414" si="99">SUM(D415:D417)</f>
        <v>69.99</v>
      </c>
      <c r="E414" s="47">
        <f t="shared" si="99"/>
        <v>44.79</v>
      </c>
      <c r="F414" s="47">
        <f t="shared" si="99"/>
        <v>25.2</v>
      </c>
      <c r="G414" s="43">
        <f t="shared" si="99"/>
        <v>88</v>
      </c>
      <c r="H414" s="47">
        <f>E414/G414</f>
        <v>0.5089772727</v>
      </c>
    </row>
    <row r="415">
      <c r="A415" s="182" t="s">
        <v>711</v>
      </c>
      <c r="B415" s="460"/>
      <c r="C415" s="460"/>
      <c r="D415" s="257">
        <v>24.0</v>
      </c>
      <c r="E415" s="257">
        <v>14.93</v>
      </c>
      <c r="F415" s="257">
        <v>9.07</v>
      </c>
      <c r="G415" s="258">
        <v>43.0</v>
      </c>
      <c r="H415" s="257">
        <v>0.3472093023255814</v>
      </c>
    </row>
    <row r="416">
      <c r="A416" s="182" t="s">
        <v>697</v>
      </c>
      <c r="B416" s="460"/>
      <c r="C416" s="460"/>
      <c r="D416" s="257">
        <v>23.0</v>
      </c>
      <c r="E416" s="257">
        <v>14.93</v>
      </c>
      <c r="F416" s="257">
        <v>8.07</v>
      </c>
      <c r="G416" s="258">
        <v>30.0</v>
      </c>
      <c r="H416" s="257">
        <v>0.49766666666666665</v>
      </c>
    </row>
    <row r="417">
      <c r="A417" s="258" t="s">
        <v>703</v>
      </c>
      <c r="B417" s="460"/>
      <c r="C417" s="460"/>
      <c r="D417" s="257">
        <v>22.99</v>
      </c>
      <c r="E417" s="257">
        <v>14.93</v>
      </c>
      <c r="F417" s="257">
        <f>D417-E417</f>
        <v>8.06</v>
      </c>
      <c r="G417" s="182">
        <v>15.0</v>
      </c>
      <c r="H417" s="257">
        <f>E417/G417</f>
        <v>0.9953333333</v>
      </c>
    </row>
    <row r="418">
      <c r="A418" s="461"/>
      <c r="B418" s="462"/>
      <c r="C418" s="461"/>
      <c r="D418" s="461"/>
      <c r="E418" s="461"/>
      <c r="F418" s="461"/>
      <c r="G418" s="461"/>
      <c r="H418" s="461"/>
    </row>
    <row r="419">
      <c r="A419" s="43" t="s">
        <v>358</v>
      </c>
      <c r="B419" s="43" t="s">
        <v>325</v>
      </c>
      <c r="C419" s="44">
        <f>COUNTA(A420:A421)</f>
        <v>2</v>
      </c>
      <c r="D419" s="47">
        <f t="shared" ref="D419:G419" si="100">SUM(D420:D421)</f>
        <v>34.98</v>
      </c>
      <c r="E419" s="47">
        <f t="shared" si="100"/>
        <v>7.49</v>
      </c>
      <c r="F419" s="47">
        <f t="shared" si="100"/>
        <v>27.49</v>
      </c>
      <c r="G419" s="43">
        <f t="shared" si="100"/>
        <v>83</v>
      </c>
      <c r="H419" s="47">
        <f t="shared" ref="H419:H421" si="101">E419/G419</f>
        <v>0.09024096386</v>
      </c>
    </row>
    <row r="420">
      <c r="A420" s="39" t="s">
        <v>1146</v>
      </c>
      <c r="B420" s="1"/>
      <c r="C420" s="1"/>
      <c r="D420" s="71">
        <v>29.99</v>
      </c>
      <c r="E420" s="71">
        <v>5.0</v>
      </c>
      <c r="F420" s="71">
        <f t="shared" ref="F420:F421" si="102">D420-E420</f>
        <v>24.99</v>
      </c>
      <c r="G420" s="39">
        <v>80.0</v>
      </c>
      <c r="H420" s="71">
        <f t="shared" si="101"/>
        <v>0.0625</v>
      </c>
    </row>
    <row r="421">
      <c r="A421" s="39" t="s">
        <v>1070</v>
      </c>
      <c r="B421" s="1"/>
      <c r="C421" s="1"/>
      <c r="D421" s="71">
        <v>4.99</v>
      </c>
      <c r="E421" s="71">
        <v>2.49</v>
      </c>
      <c r="F421" s="71">
        <f t="shared" si="102"/>
        <v>2.5</v>
      </c>
      <c r="G421" s="39">
        <v>3.0</v>
      </c>
      <c r="H421" s="71">
        <f t="shared" si="101"/>
        <v>0.83</v>
      </c>
    </row>
    <row r="422">
      <c r="A422" s="39"/>
      <c r="B422" s="1"/>
      <c r="C422" s="1"/>
      <c r="D422" s="71"/>
      <c r="E422" s="71"/>
      <c r="F422" s="71"/>
      <c r="G422" s="39"/>
      <c r="H422" s="71"/>
    </row>
    <row r="423">
      <c r="A423" s="43" t="s">
        <v>367</v>
      </c>
      <c r="B423" s="43" t="s">
        <v>325</v>
      </c>
      <c r="C423" s="44">
        <f>COUNTA(A424:A425)</f>
        <v>2</v>
      </c>
      <c r="D423" s="46">
        <f t="shared" ref="D423:G423" si="103">SUM(D424:D425)</f>
        <v>89.98</v>
      </c>
      <c r="E423" s="46">
        <f t="shared" si="103"/>
        <v>40.98</v>
      </c>
      <c r="F423" s="46">
        <f t="shared" si="103"/>
        <v>49</v>
      </c>
      <c r="G423" s="43">
        <f t="shared" si="103"/>
        <v>78</v>
      </c>
      <c r="H423" s="46">
        <f t="shared" ref="H423:H425" si="104">E423/G423</f>
        <v>0.5253846154</v>
      </c>
    </row>
    <row r="424">
      <c r="A424" s="39" t="s">
        <v>1306</v>
      </c>
      <c r="B424" s="1"/>
      <c r="C424" s="1"/>
      <c r="D424" s="42">
        <v>69.99</v>
      </c>
      <c r="E424" s="42">
        <v>34.99</v>
      </c>
      <c r="F424" s="42">
        <f t="shared" ref="F424:F425" si="105">D424-E424</f>
        <v>35</v>
      </c>
      <c r="G424" s="39">
        <v>49.0</v>
      </c>
      <c r="H424" s="71">
        <f t="shared" si="104"/>
        <v>0.7140816327</v>
      </c>
    </row>
    <row r="425">
      <c r="A425" s="39" t="s">
        <v>1173</v>
      </c>
      <c r="B425" s="1"/>
      <c r="C425" s="1"/>
      <c r="D425" s="71">
        <v>19.99</v>
      </c>
      <c r="E425" s="71">
        <v>5.99</v>
      </c>
      <c r="F425" s="71">
        <f t="shared" si="105"/>
        <v>14</v>
      </c>
      <c r="G425" s="39">
        <v>29.0</v>
      </c>
      <c r="H425" s="71">
        <f t="shared" si="104"/>
        <v>0.2065517241</v>
      </c>
    </row>
    <row r="426">
      <c r="A426" s="461"/>
      <c r="B426" s="462"/>
      <c r="C426" s="461"/>
      <c r="D426" s="461"/>
      <c r="E426" s="461"/>
      <c r="F426" s="461"/>
      <c r="G426" s="461"/>
      <c r="H426" s="461"/>
    </row>
    <row r="427">
      <c r="A427" s="43" t="s">
        <v>1637</v>
      </c>
      <c r="B427" s="43" t="s">
        <v>29</v>
      </c>
      <c r="C427" s="44">
        <f>COUNTA(A428:A431)</f>
        <v>4</v>
      </c>
      <c r="D427" s="145">
        <f t="shared" ref="D427:G427" si="106">SUM(D428:D431)</f>
        <v>109.98</v>
      </c>
      <c r="E427" s="145">
        <f t="shared" si="106"/>
        <v>39.99</v>
      </c>
      <c r="F427" s="145">
        <f t="shared" si="106"/>
        <v>69.99</v>
      </c>
      <c r="G427" s="44">
        <f t="shared" si="106"/>
        <v>77</v>
      </c>
      <c r="H427" s="145">
        <f t="shared" ref="H427:H431" si="107">E427/G427</f>
        <v>0.5193506494</v>
      </c>
    </row>
    <row r="428">
      <c r="A428" s="72" t="s">
        <v>1769</v>
      </c>
      <c r="B428" s="1"/>
      <c r="C428" s="1"/>
      <c r="D428" s="71">
        <v>69.99</v>
      </c>
      <c r="E428" s="71">
        <v>0.0</v>
      </c>
      <c r="F428" s="71">
        <f t="shared" ref="F428:F431" si="108">D428-E428</f>
        <v>69.99</v>
      </c>
      <c r="G428" s="39">
        <v>46.0</v>
      </c>
      <c r="H428" s="71">
        <f t="shared" si="107"/>
        <v>0</v>
      </c>
    </row>
    <row r="429">
      <c r="A429" s="39" t="s">
        <v>1640</v>
      </c>
      <c r="B429" s="1"/>
      <c r="C429" s="1"/>
      <c r="D429" s="71">
        <v>13.33</v>
      </c>
      <c r="E429" s="71">
        <v>13.33</v>
      </c>
      <c r="F429" s="71">
        <f t="shared" si="108"/>
        <v>0</v>
      </c>
      <c r="G429" s="39">
        <v>11.0</v>
      </c>
      <c r="H429" s="71">
        <f t="shared" si="107"/>
        <v>1.211818182</v>
      </c>
    </row>
    <row r="430">
      <c r="A430" s="39" t="s">
        <v>1638</v>
      </c>
      <c r="B430" s="1"/>
      <c r="C430" s="1"/>
      <c r="D430" s="71">
        <v>13.33</v>
      </c>
      <c r="E430" s="71">
        <v>13.33</v>
      </c>
      <c r="F430" s="71">
        <f t="shared" si="108"/>
        <v>0</v>
      </c>
      <c r="G430" s="39">
        <v>10.0</v>
      </c>
      <c r="H430" s="71">
        <f t="shared" si="107"/>
        <v>1.333</v>
      </c>
    </row>
    <row r="431">
      <c r="A431" s="39" t="s">
        <v>1639</v>
      </c>
      <c r="B431" s="1"/>
      <c r="C431" s="1"/>
      <c r="D431" s="71">
        <v>13.33</v>
      </c>
      <c r="E431" s="71">
        <v>13.33</v>
      </c>
      <c r="F431" s="71">
        <f t="shared" si="108"/>
        <v>0</v>
      </c>
      <c r="G431" s="39">
        <v>10.0</v>
      </c>
      <c r="H431" s="71">
        <f t="shared" si="107"/>
        <v>1.333</v>
      </c>
    </row>
    <row r="432">
      <c r="A432" s="39"/>
      <c r="B432" s="1"/>
      <c r="C432" s="1"/>
      <c r="D432" s="71"/>
      <c r="E432" s="71"/>
      <c r="F432" s="71"/>
      <c r="G432" s="39"/>
      <c r="H432" s="71"/>
    </row>
    <row r="433">
      <c r="A433" s="43" t="s">
        <v>593</v>
      </c>
      <c r="B433" s="43" t="s">
        <v>29</v>
      </c>
      <c r="C433" s="44">
        <f>COUNTA(A434:A438)</f>
        <v>5</v>
      </c>
      <c r="D433" s="145">
        <f t="shared" ref="D433:G433" si="109">SUM(D434:D438)</f>
        <v>144.96</v>
      </c>
      <c r="E433" s="145">
        <f t="shared" si="109"/>
        <v>17.98</v>
      </c>
      <c r="F433" s="145">
        <f t="shared" si="109"/>
        <v>126.98</v>
      </c>
      <c r="G433" s="44">
        <f t="shared" si="109"/>
        <v>76</v>
      </c>
      <c r="H433" s="145">
        <f t="shared" ref="H433:H438" si="110">E433/G433</f>
        <v>0.2365789474</v>
      </c>
    </row>
    <row r="434">
      <c r="A434" s="39" t="s">
        <v>1627</v>
      </c>
      <c r="B434" s="1"/>
      <c r="C434" s="1"/>
      <c r="D434" s="71">
        <v>19.99</v>
      </c>
      <c r="E434" s="71">
        <v>0.0</v>
      </c>
      <c r="F434" s="71">
        <f t="shared" ref="F434:F438" si="111">D434-E434</f>
        <v>19.99</v>
      </c>
      <c r="G434" s="39">
        <v>44.0</v>
      </c>
      <c r="H434" s="71">
        <f t="shared" si="110"/>
        <v>0</v>
      </c>
    </row>
    <row r="435">
      <c r="A435" s="72" t="s">
        <v>1476</v>
      </c>
      <c r="B435" s="1"/>
      <c r="C435" s="1"/>
      <c r="D435" s="71">
        <v>12.99</v>
      </c>
      <c r="E435" s="71">
        <v>4.99</v>
      </c>
      <c r="F435" s="71">
        <f t="shared" si="111"/>
        <v>8</v>
      </c>
      <c r="G435" s="39">
        <v>25.0</v>
      </c>
      <c r="H435" s="71">
        <f t="shared" si="110"/>
        <v>0.1996</v>
      </c>
    </row>
    <row r="436">
      <c r="A436" s="39" t="s">
        <v>1485</v>
      </c>
      <c r="B436" s="1"/>
      <c r="C436" s="1"/>
      <c r="D436" s="71">
        <v>12.0</v>
      </c>
      <c r="E436" s="71">
        <v>3.0</v>
      </c>
      <c r="F436" s="71">
        <f t="shared" si="111"/>
        <v>9</v>
      </c>
      <c r="G436" s="39">
        <v>5.0</v>
      </c>
      <c r="H436" s="71">
        <f t="shared" si="110"/>
        <v>0.6</v>
      </c>
    </row>
    <row r="437">
      <c r="A437" s="39" t="s">
        <v>1770</v>
      </c>
      <c r="B437" s="1"/>
      <c r="C437" s="1"/>
      <c r="D437" s="42">
        <v>79.99</v>
      </c>
      <c r="E437" s="42">
        <v>0.0</v>
      </c>
      <c r="F437" s="42">
        <f t="shared" si="111"/>
        <v>79.99</v>
      </c>
      <c r="G437" s="39">
        <v>1.0</v>
      </c>
      <c r="H437" s="42">
        <f t="shared" si="110"/>
        <v>0</v>
      </c>
    </row>
    <row r="438">
      <c r="A438" s="39" t="s">
        <v>1509</v>
      </c>
      <c r="B438" s="1"/>
      <c r="C438" s="1"/>
      <c r="D438" s="71">
        <v>19.99</v>
      </c>
      <c r="E438" s="71">
        <v>9.99</v>
      </c>
      <c r="F438" s="71">
        <f t="shared" si="111"/>
        <v>10</v>
      </c>
      <c r="G438" s="39">
        <v>1.0</v>
      </c>
      <c r="H438" s="71">
        <f t="shared" si="110"/>
        <v>9.99</v>
      </c>
    </row>
    <row r="439">
      <c r="A439" s="39"/>
      <c r="B439" s="1"/>
      <c r="C439" s="1"/>
      <c r="D439" s="71"/>
      <c r="E439" s="71"/>
      <c r="F439" s="71"/>
      <c r="G439" s="39"/>
      <c r="H439" s="71"/>
    </row>
    <row r="440">
      <c r="A440" s="43" t="s">
        <v>331</v>
      </c>
      <c r="B440" s="43" t="s">
        <v>325</v>
      </c>
      <c r="C440" s="43">
        <f>COUNTA(A441:A455)</f>
        <v>15</v>
      </c>
      <c r="D440" s="145">
        <f t="shared" ref="D440:G440" si="112">SUM(D441:D455)</f>
        <v>474.86</v>
      </c>
      <c r="E440" s="145">
        <f t="shared" si="112"/>
        <v>298.38</v>
      </c>
      <c r="F440" s="145">
        <f t="shared" si="112"/>
        <v>176.48</v>
      </c>
      <c r="G440" s="44">
        <f t="shared" si="112"/>
        <v>74</v>
      </c>
      <c r="H440" s="145">
        <f t="shared" ref="H440:H441" si="113">E440/G440</f>
        <v>4.032162162</v>
      </c>
    </row>
    <row r="441">
      <c r="A441" s="258" t="s">
        <v>1069</v>
      </c>
      <c r="B441" s="460"/>
      <c r="C441" s="460"/>
      <c r="D441" s="257">
        <v>4.99</v>
      </c>
      <c r="E441" s="257">
        <v>4.99</v>
      </c>
      <c r="F441" s="257">
        <f t="shared" ref="F441:F455" si="114">D441-E441</f>
        <v>0</v>
      </c>
      <c r="G441" s="258">
        <v>15.0</v>
      </c>
      <c r="H441" s="257">
        <f t="shared" si="113"/>
        <v>0.3326666667</v>
      </c>
    </row>
    <row r="442">
      <c r="A442" s="258" t="s">
        <v>1307</v>
      </c>
      <c r="B442" s="460"/>
      <c r="C442" s="460"/>
      <c r="D442" s="469">
        <v>79.99</v>
      </c>
      <c r="E442" s="469">
        <v>39.99</v>
      </c>
      <c r="F442" s="469">
        <f t="shared" si="114"/>
        <v>40</v>
      </c>
      <c r="G442" s="182">
        <v>14.0</v>
      </c>
      <c r="H442" s="468">
        <v>3.33</v>
      </c>
    </row>
    <row r="443">
      <c r="A443" s="182" t="s">
        <v>1270</v>
      </c>
      <c r="B443" s="460"/>
      <c r="C443" s="460"/>
      <c r="D443" s="257">
        <v>29.99</v>
      </c>
      <c r="E443" s="257">
        <v>20.99</v>
      </c>
      <c r="F443" s="257">
        <f t="shared" si="114"/>
        <v>9</v>
      </c>
      <c r="G443" s="258">
        <v>7.0</v>
      </c>
      <c r="H443" s="257">
        <f t="shared" ref="H443:H455" si="115">E443/G443</f>
        <v>2.998571429</v>
      </c>
    </row>
    <row r="444">
      <c r="A444" s="182" t="s">
        <v>1771</v>
      </c>
      <c r="B444" s="460"/>
      <c r="C444" s="460"/>
      <c r="D444" s="257">
        <v>24.99</v>
      </c>
      <c r="E444" s="257">
        <v>14.99</v>
      </c>
      <c r="F444" s="257">
        <f t="shared" si="114"/>
        <v>10</v>
      </c>
      <c r="G444" s="258">
        <v>6.0</v>
      </c>
      <c r="H444" s="257">
        <f t="shared" si="115"/>
        <v>2.498333333</v>
      </c>
    </row>
    <row r="445">
      <c r="A445" s="258" t="s">
        <v>1167</v>
      </c>
      <c r="B445" s="460"/>
      <c r="C445" s="460"/>
      <c r="D445" s="257">
        <v>0.0</v>
      </c>
      <c r="E445" s="257">
        <v>0.0</v>
      </c>
      <c r="F445" s="257">
        <f t="shared" si="114"/>
        <v>0</v>
      </c>
      <c r="G445" s="258">
        <v>5.0</v>
      </c>
      <c r="H445" s="257">
        <f t="shared" si="115"/>
        <v>0</v>
      </c>
    </row>
    <row r="446">
      <c r="A446" s="258" t="s">
        <v>1066</v>
      </c>
      <c r="B446" s="460"/>
      <c r="C446" s="460"/>
      <c r="D446" s="257">
        <v>4.99</v>
      </c>
      <c r="E446" s="257">
        <v>4.99</v>
      </c>
      <c r="F446" s="257">
        <f t="shared" si="114"/>
        <v>0</v>
      </c>
      <c r="G446" s="258">
        <v>5.0</v>
      </c>
      <c r="H446" s="257">
        <f t="shared" si="115"/>
        <v>0.998</v>
      </c>
    </row>
    <row r="447">
      <c r="A447" s="258" t="s">
        <v>1183</v>
      </c>
      <c r="B447" s="460"/>
      <c r="C447" s="460"/>
      <c r="D447" s="257">
        <v>19.99</v>
      </c>
      <c r="E447" s="257">
        <v>19.99</v>
      </c>
      <c r="F447" s="257">
        <f t="shared" si="114"/>
        <v>0</v>
      </c>
      <c r="G447" s="258">
        <v>5.0</v>
      </c>
      <c r="H447" s="257">
        <f t="shared" si="115"/>
        <v>3.998</v>
      </c>
    </row>
    <row r="448">
      <c r="A448" s="182" t="s">
        <v>1079</v>
      </c>
      <c r="B448" s="460"/>
      <c r="C448" s="460"/>
      <c r="D448" s="257">
        <v>4.99</v>
      </c>
      <c r="E448" s="257">
        <v>2.5</v>
      </c>
      <c r="F448" s="257">
        <f t="shared" si="114"/>
        <v>2.49</v>
      </c>
      <c r="G448" s="182">
        <v>4.0</v>
      </c>
      <c r="H448" s="257">
        <f t="shared" si="115"/>
        <v>0.625</v>
      </c>
    </row>
    <row r="449">
      <c r="A449" s="258" t="s">
        <v>1123</v>
      </c>
      <c r="B449" s="460"/>
      <c r="C449" s="460"/>
      <c r="D449" s="257">
        <v>19.99</v>
      </c>
      <c r="E449" s="257">
        <v>19.99</v>
      </c>
      <c r="F449" s="257">
        <f t="shared" si="114"/>
        <v>0</v>
      </c>
      <c r="G449" s="182">
        <v>4.0</v>
      </c>
      <c r="H449" s="257">
        <f t="shared" si="115"/>
        <v>4.9975</v>
      </c>
    </row>
    <row r="450">
      <c r="A450" s="368" t="s">
        <v>1082</v>
      </c>
      <c r="B450" s="1"/>
      <c r="C450" s="1"/>
      <c r="D450" s="165">
        <v>9.99</v>
      </c>
      <c r="E450" s="165">
        <v>9.99</v>
      </c>
      <c r="F450" s="71">
        <f t="shared" si="114"/>
        <v>0</v>
      </c>
      <c r="G450" s="72">
        <v>2.0</v>
      </c>
      <c r="H450" s="71">
        <f t="shared" si="115"/>
        <v>4.995</v>
      </c>
    </row>
    <row r="451">
      <c r="A451" s="258" t="s">
        <v>1160</v>
      </c>
      <c r="B451" s="460"/>
      <c r="C451" s="460"/>
      <c r="D451" s="257">
        <v>15.0</v>
      </c>
      <c r="E451" s="257">
        <v>15.0</v>
      </c>
      <c r="F451" s="257">
        <f t="shared" si="114"/>
        <v>0</v>
      </c>
      <c r="G451" s="258">
        <v>2.0</v>
      </c>
      <c r="H451" s="257">
        <f t="shared" si="115"/>
        <v>7.5</v>
      </c>
    </row>
    <row r="452">
      <c r="A452" s="258" t="s">
        <v>1220</v>
      </c>
      <c r="B452" s="460"/>
      <c r="C452" s="460"/>
      <c r="D452" s="257">
        <v>74.98</v>
      </c>
      <c r="E452" s="257">
        <v>29.98</v>
      </c>
      <c r="F452" s="257">
        <f t="shared" si="114"/>
        <v>45</v>
      </c>
      <c r="G452" s="182">
        <v>2.0</v>
      </c>
      <c r="H452" s="257">
        <f t="shared" si="115"/>
        <v>14.99</v>
      </c>
    </row>
    <row r="453">
      <c r="A453" s="258" t="s">
        <v>1257</v>
      </c>
      <c r="B453" s="460"/>
      <c r="C453" s="460"/>
      <c r="D453" s="257">
        <v>69.99</v>
      </c>
      <c r="E453" s="257">
        <v>0.0</v>
      </c>
      <c r="F453" s="257">
        <f t="shared" si="114"/>
        <v>69.99</v>
      </c>
      <c r="G453" s="258">
        <v>1.0</v>
      </c>
      <c r="H453" s="257">
        <f t="shared" si="115"/>
        <v>0</v>
      </c>
    </row>
    <row r="454">
      <c r="A454" s="258" t="s">
        <v>1168</v>
      </c>
      <c r="B454" s="460"/>
      <c r="C454" s="460"/>
      <c r="D454" s="257">
        <v>14.99</v>
      </c>
      <c r="E454" s="257">
        <v>14.99</v>
      </c>
      <c r="F454" s="257">
        <f t="shared" si="114"/>
        <v>0</v>
      </c>
      <c r="G454" s="258">
        <v>1.0</v>
      </c>
      <c r="H454" s="257">
        <f t="shared" si="115"/>
        <v>14.99</v>
      </c>
    </row>
    <row r="455">
      <c r="A455" s="258" t="s">
        <v>1250</v>
      </c>
      <c r="B455" s="460"/>
      <c r="C455" s="460"/>
      <c r="D455" s="257">
        <v>99.99</v>
      </c>
      <c r="E455" s="257">
        <v>99.99</v>
      </c>
      <c r="F455" s="257">
        <f t="shared" si="114"/>
        <v>0</v>
      </c>
      <c r="G455" s="258">
        <v>1.0</v>
      </c>
      <c r="H455" s="257">
        <f t="shared" si="115"/>
        <v>99.99</v>
      </c>
    </row>
    <row r="456">
      <c r="A456" s="39"/>
      <c r="B456" s="1"/>
      <c r="C456" s="1"/>
      <c r="D456" s="71"/>
      <c r="E456" s="71"/>
      <c r="F456" s="71"/>
      <c r="G456" s="39"/>
      <c r="H456" s="71"/>
    </row>
    <row r="457">
      <c r="A457" s="43" t="s">
        <v>182</v>
      </c>
      <c r="B457" s="43" t="s">
        <v>25</v>
      </c>
      <c r="C457" s="44">
        <f>COUNTA(A458:A461)</f>
        <v>4</v>
      </c>
      <c r="D457" s="47">
        <f t="shared" ref="D457:G457" si="116">SUM(D458:D461)</f>
        <v>129.95</v>
      </c>
      <c r="E457" s="47">
        <f t="shared" si="116"/>
        <v>19.98</v>
      </c>
      <c r="F457" s="47">
        <f t="shared" si="116"/>
        <v>109.97</v>
      </c>
      <c r="G457" s="43">
        <f t="shared" si="116"/>
        <v>73</v>
      </c>
      <c r="H457" s="47">
        <f t="shared" ref="H457:H461" si="117">E457/G457</f>
        <v>0.2736986301</v>
      </c>
    </row>
    <row r="458">
      <c r="A458" s="72" t="s">
        <v>848</v>
      </c>
      <c r="B458" s="1"/>
      <c r="C458" s="1"/>
      <c r="D458" s="71">
        <v>39.99</v>
      </c>
      <c r="E458" s="165">
        <v>0.0</v>
      </c>
      <c r="F458" s="71">
        <f t="shared" ref="F458:F461" si="118">D458-E458</f>
        <v>39.99</v>
      </c>
      <c r="G458" s="72">
        <v>30.0</v>
      </c>
      <c r="H458" s="71">
        <f t="shared" si="117"/>
        <v>0</v>
      </c>
    </row>
    <row r="459">
      <c r="A459" s="72" t="s">
        <v>860</v>
      </c>
      <c r="B459" s="1"/>
      <c r="C459" s="1"/>
      <c r="D459" s="71">
        <v>19.99</v>
      </c>
      <c r="E459" s="71">
        <v>0.0</v>
      </c>
      <c r="F459" s="71">
        <f t="shared" si="118"/>
        <v>19.99</v>
      </c>
      <c r="G459" s="39">
        <v>25.0</v>
      </c>
      <c r="H459" s="71">
        <f t="shared" si="117"/>
        <v>0</v>
      </c>
    </row>
    <row r="460">
      <c r="A460" s="39" t="s">
        <v>837</v>
      </c>
      <c r="B460" s="1"/>
      <c r="C460" s="1"/>
      <c r="D460" s="165">
        <v>59.98</v>
      </c>
      <c r="E460" s="71">
        <v>9.99</v>
      </c>
      <c r="F460" s="71">
        <f t="shared" si="118"/>
        <v>49.99</v>
      </c>
      <c r="G460" s="72">
        <v>17.0</v>
      </c>
      <c r="H460" s="71">
        <f t="shared" si="117"/>
        <v>0.5876470588</v>
      </c>
    </row>
    <row r="461">
      <c r="A461" s="39" t="s">
        <v>827</v>
      </c>
      <c r="B461" s="1"/>
      <c r="C461" s="1"/>
      <c r="D461" s="71">
        <v>9.99</v>
      </c>
      <c r="E461" s="71">
        <v>9.99</v>
      </c>
      <c r="F461" s="71">
        <f t="shared" si="118"/>
        <v>0</v>
      </c>
      <c r="G461" s="39">
        <v>1.0</v>
      </c>
      <c r="H461" s="71">
        <f t="shared" si="117"/>
        <v>9.99</v>
      </c>
    </row>
    <row r="462">
      <c r="A462" s="461"/>
      <c r="B462" s="462"/>
      <c r="C462" s="461"/>
      <c r="D462" s="461"/>
      <c r="E462" s="461"/>
      <c r="F462" s="461"/>
      <c r="G462" s="461"/>
      <c r="H462" s="461"/>
    </row>
    <row r="463">
      <c r="A463" s="43" t="s">
        <v>237</v>
      </c>
      <c r="B463" s="47" t="s">
        <v>25</v>
      </c>
      <c r="C463" s="44">
        <f>COUNTA(A464:A466)</f>
        <v>3</v>
      </c>
      <c r="D463" s="145">
        <f t="shared" ref="D463:G463" si="119">SUM(D464:D466)</f>
        <v>89.97</v>
      </c>
      <c r="E463" s="145">
        <f t="shared" si="119"/>
        <v>48.97</v>
      </c>
      <c r="F463" s="145">
        <f t="shared" si="119"/>
        <v>41</v>
      </c>
      <c r="G463" s="44">
        <f t="shared" si="119"/>
        <v>72</v>
      </c>
      <c r="H463" s="145">
        <f t="shared" ref="H463:H466" si="120">E463/G463</f>
        <v>0.6801388889</v>
      </c>
    </row>
    <row r="464">
      <c r="A464" s="39" t="s">
        <v>904</v>
      </c>
      <c r="B464" s="1"/>
      <c r="C464" s="1"/>
      <c r="D464" s="165">
        <v>59.99</v>
      </c>
      <c r="E464" s="71">
        <v>34.99</v>
      </c>
      <c r="F464" s="71">
        <f t="shared" ref="F464:F466" si="121">D464-E464</f>
        <v>25</v>
      </c>
      <c r="G464" s="39">
        <v>70.0</v>
      </c>
      <c r="H464" s="71">
        <f t="shared" si="120"/>
        <v>0.4998571429</v>
      </c>
    </row>
    <row r="465">
      <c r="A465" s="39" t="s">
        <v>964</v>
      </c>
      <c r="B465" s="1"/>
      <c r="C465" s="1"/>
      <c r="D465" s="71">
        <v>9.99</v>
      </c>
      <c r="E465" s="71">
        <v>3.99</v>
      </c>
      <c r="F465" s="71">
        <f t="shared" si="121"/>
        <v>6</v>
      </c>
      <c r="G465" s="39">
        <v>1.0</v>
      </c>
      <c r="H465" s="71">
        <f t="shared" si="120"/>
        <v>3.99</v>
      </c>
    </row>
    <row r="466">
      <c r="A466" s="39" t="s">
        <v>965</v>
      </c>
      <c r="B466" s="1"/>
      <c r="C466" s="1"/>
      <c r="D466" s="71">
        <v>19.99</v>
      </c>
      <c r="E466" s="71">
        <v>9.99</v>
      </c>
      <c r="F466" s="71">
        <f t="shared" si="121"/>
        <v>10</v>
      </c>
      <c r="G466" s="39">
        <v>1.0</v>
      </c>
      <c r="H466" s="71">
        <f t="shared" si="120"/>
        <v>9.99</v>
      </c>
    </row>
    <row r="467">
      <c r="A467" s="461"/>
      <c r="B467" s="462"/>
      <c r="C467" s="461"/>
      <c r="D467" s="461"/>
      <c r="E467" s="461"/>
      <c r="F467" s="461"/>
      <c r="G467" s="461"/>
      <c r="H467" s="461"/>
    </row>
    <row r="468">
      <c r="A468" s="43" t="s">
        <v>626</v>
      </c>
      <c r="B468" s="43" t="s">
        <v>29</v>
      </c>
      <c r="C468" s="44">
        <f>COUNTA(A469)</f>
        <v>1</v>
      </c>
      <c r="D468" s="47">
        <f t="shared" ref="D468:G468" si="122">SUM(D469)</f>
        <v>96.94</v>
      </c>
      <c r="E468" s="47">
        <f t="shared" si="122"/>
        <v>57.94</v>
      </c>
      <c r="F468" s="47">
        <f t="shared" si="122"/>
        <v>39</v>
      </c>
      <c r="G468" s="43">
        <f t="shared" si="122"/>
        <v>71</v>
      </c>
      <c r="H468" s="47">
        <f t="shared" ref="H468:H469" si="123">E468/G468</f>
        <v>0.816056338</v>
      </c>
    </row>
    <row r="469">
      <c r="A469" s="39" t="s">
        <v>1625</v>
      </c>
      <c r="B469" s="1"/>
      <c r="C469" s="1"/>
      <c r="D469" s="71">
        <v>96.94</v>
      </c>
      <c r="E469" s="71">
        <v>57.94</v>
      </c>
      <c r="F469" s="71">
        <f>D469-E469</f>
        <v>39</v>
      </c>
      <c r="G469" s="39">
        <v>71.0</v>
      </c>
      <c r="H469" s="71">
        <f t="shared" si="123"/>
        <v>0.816056338</v>
      </c>
    </row>
    <row r="470">
      <c r="A470" s="461"/>
      <c r="B470" s="462"/>
      <c r="C470" s="461"/>
      <c r="D470" s="461"/>
      <c r="E470" s="461"/>
      <c r="F470" s="461"/>
      <c r="G470" s="461"/>
      <c r="H470" s="461"/>
    </row>
    <row r="471">
      <c r="A471" s="43" t="s">
        <v>200</v>
      </c>
      <c r="B471" s="43" t="s">
        <v>25</v>
      </c>
      <c r="C471" s="44">
        <f>COUNTA(A472)</f>
        <v>1</v>
      </c>
      <c r="D471" s="47">
        <f t="shared" ref="D471:G471" si="124">SUM(D472)</f>
        <v>9.99</v>
      </c>
      <c r="E471" s="47">
        <f t="shared" si="124"/>
        <v>9.99</v>
      </c>
      <c r="F471" s="47">
        <f t="shared" si="124"/>
        <v>0</v>
      </c>
      <c r="G471" s="43">
        <f t="shared" si="124"/>
        <v>70</v>
      </c>
      <c r="H471" s="47">
        <f t="shared" ref="H471:H472" si="125">E471/G471</f>
        <v>0.1427142857</v>
      </c>
    </row>
    <row r="472">
      <c r="A472" s="39" t="s">
        <v>814</v>
      </c>
      <c r="B472" s="1"/>
      <c r="C472" s="1"/>
      <c r="D472" s="71">
        <v>9.99</v>
      </c>
      <c r="E472" s="71">
        <v>9.99</v>
      </c>
      <c r="F472" s="71">
        <f>D472-E472</f>
        <v>0</v>
      </c>
      <c r="G472" s="39">
        <v>70.0</v>
      </c>
      <c r="H472" s="71">
        <f t="shared" si="125"/>
        <v>0.1427142857</v>
      </c>
    </row>
    <row r="473">
      <c r="A473" s="461"/>
      <c r="B473" s="462"/>
      <c r="C473" s="461"/>
      <c r="D473" s="461"/>
      <c r="E473" s="461"/>
      <c r="F473" s="461"/>
      <c r="G473" s="461"/>
      <c r="H473" s="461"/>
    </row>
    <row r="474">
      <c r="A474" s="43" t="s">
        <v>122</v>
      </c>
      <c r="B474" s="44" t="s">
        <v>92</v>
      </c>
      <c r="C474" s="44">
        <f>COUNTA(A475:A476)</f>
        <v>2</v>
      </c>
      <c r="D474" s="47">
        <f t="shared" ref="D474:G474" si="126">SUM(D475:D476)</f>
        <v>29.98</v>
      </c>
      <c r="E474" s="47">
        <f t="shared" si="126"/>
        <v>29.98</v>
      </c>
      <c r="F474" s="47">
        <f t="shared" si="126"/>
        <v>0</v>
      </c>
      <c r="G474" s="43">
        <f t="shared" si="126"/>
        <v>70</v>
      </c>
      <c r="H474" s="47">
        <f t="shared" ref="H474:H476" si="127">E474/G474</f>
        <v>0.4282857143</v>
      </c>
    </row>
    <row r="475">
      <c r="A475" s="39" t="s">
        <v>731</v>
      </c>
      <c r="B475" s="1"/>
      <c r="C475" s="1"/>
      <c r="D475" s="71">
        <v>19.99</v>
      </c>
      <c r="E475" s="71">
        <v>19.99</v>
      </c>
      <c r="F475" s="71">
        <f t="shared" ref="F475:F476" si="128">D475-E475</f>
        <v>0</v>
      </c>
      <c r="G475" s="39">
        <v>40.0</v>
      </c>
      <c r="H475" s="71">
        <f t="shared" si="127"/>
        <v>0.49975</v>
      </c>
    </row>
    <row r="476">
      <c r="A476" s="39" t="s">
        <v>715</v>
      </c>
      <c r="B476" s="1"/>
      <c r="C476" s="1"/>
      <c r="D476" s="71">
        <v>9.99</v>
      </c>
      <c r="E476" s="71">
        <v>9.99</v>
      </c>
      <c r="F476" s="71">
        <f t="shared" si="128"/>
        <v>0</v>
      </c>
      <c r="G476" s="39">
        <v>30.0</v>
      </c>
      <c r="H476" s="71">
        <f t="shared" si="127"/>
        <v>0.333</v>
      </c>
    </row>
    <row r="477">
      <c r="A477" s="461"/>
      <c r="B477" s="462"/>
      <c r="C477" s="461"/>
      <c r="D477" s="461"/>
      <c r="E477" s="461"/>
      <c r="F477" s="461"/>
      <c r="G477" s="461"/>
      <c r="H477" s="461"/>
    </row>
    <row r="478">
      <c r="A478" s="43" t="s">
        <v>203</v>
      </c>
      <c r="B478" s="43" t="s">
        <v>25</v>
      </c>
      <c r="C478" s="44">
        <f>COUNTA(A479:A481)</f>
        <v>3</v>
      </c>
      <c r="D478" s="47">
        <f t="shared" ref="D478:G478" si="129">SUM(D479:D481)</f>
        <v>57.56</v>
      </c>
      <c r="E478" s="47">
        <f t="shared" si="129"/>
        <v>38.46</v>
      </c>
      <c r="F478" s="47">
        <f t="shared" si="129"/>
        <v>19.1</v>
      </c>
      <c r="G478" s="43">
        <f t="shared" si="129"/>
        <v>69</v>
      </c>
      <c r="H478" s="47">
        <f t="shared" ref="H478:H481" si="130">E478/G478</f>
        <v>0.5573913043</v>
      </c>
    </row>
    <row r="479">
      <c r="A479" s="39" t="s">
        <v>1772</v>
      </c>
      <c r="B479" s="1"/>
      <c r="C479" s="1"/>
      <c r="D479" s="71">
        <v>23.58</v>
      </c>
      <c r="E479" s="71">
        <v>20.98</v>
      </c>
      <c r="F479" s="71">
        <f t="shared" ref="F479:F481" si="131">D479-E479</f>
        <v>2.6</v>
      </c>
      <c r="G479" s="39">
        <v>58.0</v>
      </c>
      <c r="H479" s="71">
        <f t="shared" si="130"/>
        <v>0.3617241379</v>
      </c>
    </row>
    <row r="480">
      <c r="A480" s="39" t="s">
        <v>844</v>
      </c>
      <c r="B480" s="1"/>
      <c r="C480" s="1"/>
      <c r="D480" s="71">
        <v>3.99</v>
      </c>
      <c r="E480" s="71">
        <v>3.99</v>
      </c>
      <c r="F480" s="71">
        <f t="shared" si="131"/>
        <v>0</v>
      </c>
      <c r="G480" s="39">
        <v>10.0</v>
      </c>
      <c r="H480" s="71">
        <f t="shared" si="130"/>
        <v>0.399</v>
      </c>
    </row>
    <row r="481">
      <c r="A481" s="39" t="s">
        <v>971</v>
      </c>
      <c r="B481" s="1"/>
      <c r="C481" s="1"/>
      <c r="D481" s="71">
        <v>29.99</v>
      </c>
      <c r="E481" s="71">
        <v>13.49</v>
      </c>
      <c r="F481" s="71">
        <f t="shared" si="131"/>
        <v>16.5</v>
      </c>
      <c r="G481" s="39">
        <v>1.0</v>
      </c>
      <c r="H481" s="71">
        <f t="shared" si="130"/>
        <v>13.49</v>
      </c>
    </row>
    <row r="482">
      <c r="A482" s="39"/>
      <c r="B482" s="1"/>
      <c r="C482" s="1"/>
      <c r="D482" s="71"/>
      <c r="E482" s="71"/>
      <c r="F482" s="71"/>
      <c r="G482" s="39"/>
      <c r="H482" s="71"/>
    </row>
    <row r="483">
      <c r="A483" s="43" t="s">
        <v>338</v>
      </c>
      <c r="B483" s="43" t="s">
        <v>325</v>
      </c>
      <c r="C483" s="43">
        <f>COUNTA(A484:A489)</f>
        <v>6</v>
      </c>
      <c r="D483" s="145">
        <f t="shared" ref="D483:G483" si="132">SUM(D484:D489)</f>
        <v>274.94</v>
      </c>
      <c r="E483" s="145">
        <f t="shared" si="132"/>
        <v>142.49</v>
      </c>
      <c r="F483" s="145">
        <f t="shared" si="132"/>
        <v>132.45</v>
      </c>
      <c r="G483" s="44">
        <f t="shared" si="132"/>
        <v>69</v>
      </c>
      <c r="H483" s="145">
        <f t="shared" ref="H483:H489" si="133">E483/G483</f>
        <v>2.065072464</v>
      </c>
    </row>
    <row r="484">
      <c r="A484" s="258" t="s">
        <v>1196</v>
      </c>
      <c r="B484" s="460"/>
      <c r="C484" s="460"/>
      <c r="D484" s="257">
        <v>34.99</v>
      </c>
      <c r="E484" s="257">
        <v>18.24</v>
      </c>
      <c r="F484" s="257">
        <f t="shared" ref="F484:F489" si="134">D484-E484</f>
        <v>16.75</v>
      </c>
      <c r="G484" s="258">
        <v>38.0</v>
      </c>
      <c r="H484" s="257">
        <f t="shared" si="133"/>
        <v>0.48</v>
      </c>
    </row>
    <row r="485">
      <c r="A485" s="258" t="s">
        <v>1149</v>
      </c>
      <c r="B485" s="460"/>
      <c r="C485" s="460"/>
      <c r="D485" s="257">
        <v>39.99</v>
      </c>
      <c r="E485" s="257">
        <v>14.79</v>
      </c>
      <c r="F485" s="257">
        <f t="shared" si="134"/>
        <v>25.2</v>
      </c>
      <c r="G485" s="258">
        <v>22.0</v>
      </c>
      <c r="H485" s="257">
        <f t="shared" si="133"/>
        <v>0.6722727273</v>
      </c>
    </row>
    <row r="486">
      <c r="A486" s="258" t="s">
        <v>1255</v>
      </c>
      <c r="B486" s="460"/>
      <c r="C486" s="460"/>
      <c r="D486" s="257">
        <v>69.99</v>
      </c>
      <c r="E486" s="257">
        <v>45.49</v>
      </c>
      <c r="F486" s="257">
        <f t="shared" si="134"/>
        <v>24.5</v>
      </c>
      <c r="G486" s="258">
        <v>5.0</v>
      </c>
      <c r="H486" s="257">
        <f t="shared" si="133"/>
        <v>9.098</v>
      </c>
    </row>
    <row r="487">
      <c r="A487" s="258" t="s">
        <v>1171</v>
      </c>
      <c r="B487" s="460"/>
      <c r="C487" s="460"/>
      <c r="D487" s="257">
        <v>19.99</v>
      </c>
      <c r="E487" s="257">
        <v>9.99</v>
      </c>
      <c r="F487" s="257">
        <f t="shared" si="134"/>
        <v>10</v>
      </c>
      <c r="G487" s="182">
        <v>2.0</v>
      </c>
      <c r="H487" s="257">
        <f t="shared" si="133"/>
        <v>4.995</v>
      </c>
    </row>
    <row r="488">
      <c r="A488" s="258" t="s">
        <v>1205</v>
      </c>
      <c r="B488" s="460"/>
      <c r="C488" s="460"/>
      <c r="D488" s="257">
        <v>49.99</v>
      </c>
      <c r="E488" s="257">
        <v>11.99</v>
      </c>
      <c r="F488" s="257">
        <f t="shared" si="134"/>
        <v>38</v>
      </c>
      <c r="G488" s="258">
        <v>1.0</v>
      </c>
      <c r="H488" s="257">
        <f t="shared" si="133"/>
        <v>11.99</v>
      </c>
    </row>
    <row r="489">
      <c r="A489" s="182" t="s">
        <v>1277</v>
      </c>
      <c r="B489" s="460"/>
      <c r="C489" s="460"/>
      <c r="D489" s="257">
        <v>59.99</v>
      </c>
      <c r="E489" s="257">
        <v>41.99</v>
      </c>
      <c r="F489" s="257">
        <f t="shared" si="134"/>
        <v>18</v>
      </c>
      <c r="G489" s="258">
        <v>1.0</v>
      </c>
      <c r="H489" s="257">
        <f t="shared" si="133"/>
        <v>41.99</v>
      </c>
    </row>
    <row r="490">
      <c r="A490" s="461"/>
      <c r="B490" s="462"/>
      <c r="C490" s="461"/>
      <c r="D490" s="461"/>
      <c r="E490" s="461"/>
      <c r="F490" s="461"/>
      <c r="G490" s="461"/>
      <c r="H490" s="461"/>
    </row>
    <row r="491">
      <c r="A491" s="43" t="s">
        <v>580</v>
      </c>
      <c r="B491" s="43" t="s">
        <v>29</v>
      </c>
      <c r="C491" s="44">
        <f>COUNTA(A492)</f>
        <v>1</v>
      </c>
      <c r="D491" s="47">
        <f t="shared" ref="D491:G491" si="135">SUM(D492)</f>
        <v>39.99</v>
      </c>
      <c r="E491" s="47">
        <f t="shared" si="135"/>
        <v>24.99</v>
      </c>
      <c r="F491" s="47">
        <f t="shared" si="135"/>
        <v>15</v>
      </c>
      <c r="G491" s="43">
        <f t="shared" si="135"/>
        <v>65</v>
      </c>
      <c r="H491" s="47">
        <f t="shared" ref="H491:H492" si="136">E491/G491</f>
        <v>0.3844615385</v>
      </c>
    </row>
    <row r="492">
      <c r="A492" s="39" t="s">
        <v>1649</v>
      </c>
      <c r="B492" s="1"/>
      <c r="C492" s="1"/>
      <c r="D492" s="71">
        <v>39.99</v>
      </c>
      <c r="E492" s="71">
        <v>24.99</v>
      </c>
      <c r="F492" s="71">
        <f>D492-E492</f>
        <v>15</v>
      </c>
      <c r="G492" s="39">
        <v>65.0</v>
      </c>
      <c r="H492" s="71">
        <f t="shared" si="136"/>
        <v>0.3844615385</v>
      </c>
    </row>
    <row r="493">
      <c r="A493" s="461"/>
      <c r="B493" s="462"/>
      <c r="C493" s="461"/>
      <c r="D493" s="461"/>
      <c r="E493" s="461"/>
      <c r="F493" s="461"/>
      <c r="G493" s="461"/>
      <c r="H493" s="461"/>
    </row>
    <row r="494">
      <c r="A494" s="104" t="s">
        <v>56</v>
      </c>
      <c r="B494" s="104" t="s">
        <v>57</v>
      </c>
      <c r="C494" s="243">
        <f>COUNTA(A495)</f>
        <v>1</v>
      </c>
      <c r="D494" s="106">
        <f t="shared" ref="D494:G494" si="137">SUM(D495)</f>
        <v>54.99</v>
      </c>
      <c r="E494" s="106">
        <f t="shared" si="137"/>
        <v>31.49</v>
      </c>
      <c r="F494" s="106">
        <f t="shared" si="137"/>
        <v>23.5</v>
      </c>
      <c r="G494" s="104">
        <f t="shared" si="137"/>
        <v>65</v>
      </c>
      <c r="H494" s="106">
        <f t="shared" ref="H494:H495" si="138">E494/G494</f>
        <v>0.4844615385</v>
      </c>
    </row>
    <row r="495">
      <c r="A495" s="108" t="s">
        <v>650</v>
      </c>
      <c r="B495" s="474"/>
      <c r="C495" s="474"/>
      <c r="D495" s="111">
        <v>54.99</v>
      </c>
      <c r="E495" s="111">
        <v>31.49</v>
      </c>
      <c r="F495" s="111">
        <f>D495-E495</f>
        <v>23.5</v>
      </c>
      <c r="G495" s="109">
        <v>65.0</v>
      </c>
      <c r="H495" s="111">
        <f t="shared" si="138"/>
        <v>0.4844615385</v>
      </c>
    </row>
    <row r="496">
      <c r="A496" s="461"/>
      <c r="B496" s="462"/>
      <c r="C496" s="461"/>
      <c r="D496" s="461"/>
      <c r="E496" s="461"/>
      <c r="F496" s="461"/>
      <c r="G496" s="461"/>
      <c r="H496" s="461"/>
    </row>
    <row r="497">
      <c r="A497" s="43" t="s">
        <v>230</v>
      </c>
      <c r="B497" s="43" t="s">
        <v>25</v>
      </c>
      <c r="C497" s="44">
        <f>COUNTA(A498)</f>
        <v>1</v>
      </c>
      <c r="D497" s="47">
        <f t="shared" ref="D497:G497" si="139">SUM(D498)</f>
        <v>19.99</v>
      </c>
      <c r="E497" s="47">
        <f t="shared" si="139"/>
        <v>4</v>
      </c>
      <c r="F497" s="47">
        <f t="shared" si="139"/>
        <v>15.99</v>
      </c>
      <c r="G497" s="43">
        <f t="shared" si="139"/>
        <v>60</v>
      </c>
      <c r="H497" s="47">
        <f t="shared" ref="H497:H498" si="140">E497/G497</f>
        <v>0.06666666667</v>
      </c>
    </row>
    <row r="498">
      <c r="A498" s="39" t="s">
        <v>842</v>
      </c>
      <c r="B498" s="1"/>
      <c r="C498" s="1"/>
      <c r="D498" s="71">
        <v>19.99</v>
      </c>
      <c r="E498" s="71">
        <v>4.0</v>
      </c>
      <c r="F498" s="71">
        <f>D498-E498</f>
        <v>15.99</v>
      </c>
      <c r="G498" s="39">
        <v>60.0</v>
      </c>
      <c r="H498" s="71">
        <f t="shared" si="140"/>
        <v>0.06666666667</v>
      </c>
    </row>
    <row r="499">
      <c r="A499" s="461"/>
      <c r="B499" s="462"/>
      <c r="C499" s="461"/>
      <c r="D499" s="461"/>
      <c r="E499" s="461"/>
      <c r="F499" s="461"/>
      <c r="G499" s="461"/>
      <c r="H499" s="461"/>
    </row>
    <row r="500">
      <c r="A500" s="43" t="s">
        <v>632</v>
      </c>
      <c r="B500" s="43" t="s">
        <v>29</v>
      </c>
      <c r="C500" s="44">
        <f>COUNTA(H501:H505)</f>
        <v>5</v>
      </c>
      <c r="D500" s="145">
        <f t="shared" ref="D500:G500" si="141">SUM(D501:D505)</f>
        <v>94.98</v>
      </c>
      <c r="E500" s="145">
        <f t="shared" si="141"/>
        <v>78.48</v>
      </c>
      <c r="F500" s="145">
        <f t="shared" si="141"/>
        <v>16.5</v>
      </c>
      <c r="G500" s="44">
        <f t="shared" si="141"/>
        <v>59</v>
      </c>
      <c r="H500" s="145">
        <f t="shared" ref="H500:H505" si="142">E500/G500</f>
        <v>1.330169492</v>
      </c>
    </row>
    <row r="501">
      <c r="A501" s="72" t="s">
        <v>1616</v>
      </c>
      <c r="B501" s="1"/>
      <c r="C501" s="1"/>
      <c r="D501" s="71">
        <v>13.33</v>
      </c>
      <c r="E501" s="71">
        <v>13.33</v>
      </c>
      <c r="F501" s="71">
        <f t="shared" ref="F501:F505" si="143">D501-E501</f>
        <v>0</v>
      </c>
      <c r="G501" s="39">
        <v>14.0</v>
      </c>
      <c r="H501" s="71">
        <f t="shared" si="142"/>
        <v>0.9521428571</v>
      </c>
    </row>
    <row r="502">
      <c r="A502" s="72" t="s">
        <v>1617</v>
      </c>
      <c r="B502" s="1"/>
      <c r="C502" s="1"/>
      <c r="D502" s="71">
        <v>13.33</v>
      </c>
      <c r="E502" s="71">
        <v>13.33</v>
      </c>
      <c r="F502" s="71">
        <f t="shared" si="143"/>
        <v>0</v>
      </c>
      <c r="G502" s="39">
        <v>14.0</v>
      </c>
      <c r="H502" s="71">
        <f t="shared" si="142"/>
        <v>0.9521428571</v>
      </c>
    </row>
    <row r="503">
      <c r="A503" s="72" t="s">
        <v>1618</v>
      </c>
      <c r="B503" s="1"/>
      <c r="C503" s="1"/>
      <c r="D503" s="71">
        <v>13.33</v>
      </c>
      <c r="E503" s="71">
        <v>13.33</v>
      </c>
      <c r="F503" s="71">
        <f t="shared" si="143"/>
        <v>0</v>
      </c>
      <c r="G503" s="39">
        <v>13.0</v>
      </c>
      <c r="H503" s="71">
        <f t="shared" si="142"/>
        <v>1.025384615</v>
      </c>
    </row>
    <row r="504">
      <c r="A504" s="72" t="s">
        <v>1662</v>
      </c>
      <c r="B504" s="1"/>
      <c r="C504" s="1"/>
      <c r="D504" s="71">
        <v>27.5</v>
      </c>
      <c r="E504" s="71">
        <v>19.25</v>
      </c>
      <c r="F504" s="71">
        <f t="shared" si="143"/>
        <v>8.25</v>
      </c>
      <c r="G504" s="39">
        <v>9.0</v>
      </c>
      <c r="H504" s="71">
        <f t="shared" si="142"/>
        <v>2.138888889</v>
      </c>
    </row>
    <row r="505">
      <c r="A505" s="72" t="s">
        <v>1663</v>
      </c>
      <c r="B505" s="1"/>
      <c r="C505" s="1"/>
      <c r="D505" s="71">
        <v>27.49</v>
      </c>
      <c r="E505" s="71">
        <v>19.24</v>
      </c>
      <c r="F505" s="71">
        <f t="shared" si="143"/>
        <v>8.25</v>
      </c>
      <c r="G505" s="39">
        <v>9.0</v>
      </c>
      <c r="H505" s="71">
        <f t="shared" si="142"/>
        <v>2.137777778</v>
      </c>
    </row>
    <row r="506">
      <c r="A506" s="461"/>
      <c r="B506" s="462"/>
      <c r="C506" s="461"/>
      <c r="D506" s="461"/>
      <c r="E506" s="461"/>
      <c r="F506" s="461"/>
      <c r="G506" s="461"/>
      <c r="H506" s="461"/>
    </row>
    <row r="507">
      <c r="A507" s="43" t="s">
        <v>498</v>
      </c>
      <c r="B507" s="43" t="s">
        <v>29</v>
      </c>
      <c r="C507" s="44">
        <f>COUNTA(A508:A510)</f>
        <v>3</v>
      </c>
      <c r="D507" s="47">
        <f t="shared" ref="D507:G507" si="144">SUM(D508:D510)</f>
        <v>96.94</v>
      </c>
      <c r="E507" s="47">
        <f t="shared" si="144"/>
        <v>12.99</v>
      </c>
      <c r="F507" s="47">
        <f t="shared" si="144"/>
        <v>83.95</v>
      </c>
      <c r="G507" s="43">
        <f t="shared" si="144"/>
        <v>58</v>
      </c>
      <c r="H507" s="47">
        <f t="shared" ref="H507:H510" si="145">E507/G507</f>
        <v>0.2239655172</v>
      </c>
    </row>
    <row r="508">
      <c r="A508" s="39" t="s">
        <v>1593</v>
      </c>
      <c r="B508" s="1"/>
      <c r="C508" s="1"/>
      <c r="D508" s="71">
        <v>19.99</v>
      </c>
      <c r="E508" s="71">
        <v>12.99</v>
      </c>
      <c r="F508" s="71">
        <f t="shared" ref="F508:F510" si="146">D508-E508</f>
        <v>7</v>
      </c>
      <c r="G508" s="39">
        <v>56.0</v>
      </c>
      <c r="H508" s="71">
        <f t="shared" si="145"/>
        <v>0.2319642857</v>
      </c>
    </row>
    <row r="509">
      <c r="A509" s="39" t="s">
        <v>1717</v>
      </c>
      <c r="B509" s="1"/>
      <c r="C509" s="1"/>
      <c r="D509" s="71">
        <v>69.99</v>
      </c>
      <c r="E509" s="71">
        <v>0.0</v>
      </c>
      <c r="F509" s="71">
        <f t="shared" si="146"/>
        <v>69.99</v>
      </c>
      <c r="G509" s="39">
        <v>1.0</v>
      </c>
      <c r="H509" s="71">
        <f t="shared" si="145"/>
        <v>0</v>
      </c>
    </row>
    <row r="510">
      <c r="A510" s="39" t="s">
        <v>1628</v>
      </c>
      <c r="B510" s="1"/>
      <c r="C510" s="1"/>
      <c r="D510" s="71">
        <v>6.96</v>
      </c>
      <c r="E510" s="71">
        <v>0.0</v>
      </c>
      <c r="F510" s="71">
        <f t="shared" si="146"/>
        <v>6.96</v>
      </c>
      <c r="G510" s="39">
        <v>1.0</v>
      </c>
      <c r="H510" s="71">
        <f t="shared" si="145"/>
        <v>0</v>
      </c>
    </row>
    <row r="511">
      <c r="A511" s="39"/>
      <c r="B511" s="1"/>
      <c r="C511" s="1"/>
      <c r="D511" s="71"/>
      <c r="E511" s="71"/>
      <c r="F511" s="71"/>
      <c r="G511" s="39"/>
      <c r="H511" s="71"/>
    </row>
    <row r="512">
      <c r="A512" s="43" t="s">
        <v>373</v>
      </c>
      <c r="B512" s="43" t="s">
        <v>325</v>
      </c>
      <c r="C512" s="44">
        <f>COUNTA(A513:A514)</f>
        <v>2</v>
      </c>
      <c r="D512" s="47">
        <f t="shared" ref="D512:G512" si="147">SUM(D513:D514)</f>
        <v>29.98</v>
      </c>
      <c r="E512" s="47">
        <f t="shared" si="147"/>
        <v>11.99</v>
      </c>
      <c r="F512" s="47">
        <f t="shared" si="147"/>
        <v>17.99</v>
      </c>
      <c r="G512" s="43">
        <f t="shared" si="147"/>
        <v>57</v>
      </c>
      <c r="H512" s="47">
        <f t="shared" ref="H512:H514" si="148">E512/G512</f>
        <v>0.2103508772</v>
      </c>
    </row>
    <row r="513">
      <c r="A513" s="39" t="s">
        <v>1093</v>
      </c>
      <c r="B513" s="1"/>
      <c r="C513" s="1"/>
      <c r="D513" s="71">
        <v>9.99</v>
      </c>
      <c r="E513" s="71">
        <v>9.99</v>
      </c>
      <c r="F513" s="71">
        <f t="shared" ref="F513:F514" si="149">D513-E513</f>
        <v>0</v>
      </c>
      <c r="G513" s="39">
        <v>45.0</v>
      </c>
      <c r="H513" s="71">
        <f t="shared" si="148"/>
        <v>0.222</v>
      </c>
    </row>
    <row r="514">
      <c r="A514" s="39" t="s">
        <v>1140</v>
      </c>
      <c r="B514" s="1"/>
      <c r="C514" s="1"/>
      <c r="D514" s="71">
        <v>19.99</v>
      </c>
      <c r="E514" s="71">
        <v>2.0</v>
      </c>
      <c r="F514" s="71">
        <f t="shared" si="149"/>
        <v>17.99</v>
      </c>
      <c r="G514" s="39">
        <v>12.0</v>
      </c>
      <c r="H514" s="71">
        <f t="shared" si="148"/>
        <v>0.1666666667</v>
      </c>
    </row>
    <row r="515">
      <c r="A515" s="461"/>
      <c r="B515" s="462"/>
      <c r="C515" s="461"/>
      <c r="D515" s="461"/>
      <c r="E515" s="461"/>
      <c r="F515" s="461"/>
      <c r="G515" s="461"/>
      <c r="H515" s="461"/>
    </row>
    <row r="516">
      <c r="A516" s="43" t="s">
        <v>186</v>
      </c>
      <c r="B516" s="43" t="s">
        <v>25</v>
      </c>
      <c r="C516" s="44">
        <f>COUNTA(A517:A520)</f>
        <v>4</v>
      </c>
      <c r="D516" s="145">
        <f t="shared" ref="D516:G516" si="150">SUM(D517:D520)</f>
        <v>48.97</v>
      </c>
      <c r="E516" s="145">
        <f t="shared" si="150"/>
        <v>43.97</v>
      </c>
      <c r="F516" s="145">
        <f t="shared" si="150"/>
        <v>5</v>
      </c>
      <c r="G516" s="44">
        <f t="shared" si="150"/>
        <v>57</v>
      </c>
      <c r="H516" s="145">
        <f t="shared" ref="H516:H520" si="151">E516/G516</f>
        <v>0.7714035088</v>
      </c>
    </row>
    <row r="517">
      <c r="A517" s="72" t="s">
        <v>855</v>
      </c>
      <c r="B517" s="1"/>
      <c r="C517" s="1"/>
      <c r="D517" s="71">
        <v>8.99</v>
      </c>
      <c r="E517" s="71">
        <v>3.99</v>
      </c>
      <c r="F517" s="71">
        <f t="shared" ref="F517:F520" si="152">D517-E517</f>
        <v>5</v>
      </c>
      <c r="G517" s="39">
        <v>25.0</v>
      </c>
      <c r="H517" s="71">
        <f t="shared" si="151"/>
        <v>0.1596</v>
      </c>
    </row>
    <row r="518">
      <c r="A518" s="39" t="s">
        <v>840</v>
      </c>
      <c r="B518" s="1"/>
      <c r="C518" s="1"/>
      <c r="D518" s="71">
        <v>5.0</v>
      </c>
      <c r="E518" s="71">
        <v>5.0</v>
      </c>
      <c r="F518" s="71">
        <f t="shared" si="152"/>
        <v>0</v>
      </c>
      <c r="G518" s="39">
        <v>20.0</v>
      </c>
      <c r="H518" s="71">
        <f t="shared" si="151"/>
        <v>0.25</v>
      </c>
    </row>
    <row r="519">
      <c r="A519" s="39" t="s">
        <v>850</v>
      </c>
      <c r="B519" s="1"/>
      <c r="C519" s="1"/>
      <c r="D519" s="71">
        <v>14.99</v>
      </c>
      <c r="E519" s="71">
        <v>14.99</v>
      </c>
      <c r="F519" s="71">
        <f t="shared" si="152"/>
        <v>0</v>
      </c>
      <c r="G519" s="39">
        <v>10.0</v>
      </c>
      <c r="H519" s="71">
        <f t="shared" si="151"/>
        <v>1.499</v>
      </c>
    </row>
    <row r="520">
      <c r="A520" s="39" t="s">
        <v>962</v>
      </c>
      <c r="B520" s="1"/>
      <c r="C520" s="1"/>
      <c r="D520" s="71">
        <v>19.99</v>
      </c>
      <c r="E520" s="71">
        <v>19.99</v>
      </c>
      <c r="F520" s="71">
        <f t="shared" si="152"/>
        <v>0</v>
      </c>
      <c r="G520" s="39">
        <v>2.0</v>
      </c>
      <c r="H520" s="71">
        <f t="shared" si="151"/>
        <v>9.995</v>
      </c>
    </row>
    <row r="521">
      <c r="A521" s="39"/>
      <c r="B521" s="1"/>
      <c r="C521" s="1"/>
      <c r="D521" s="71"/>
      <c r="E521" s="71"/>
      <c r="F521" s="71"/>
      <c r="G521" s="39"/>
      <c r="H521" s="71"/>
    </row>
    <row r="522">
      <c r="A522" s="43" t="s">
        <v>212</v>
      </c>
      <c r="B522" s="43" t="s">
        <v>25</v>
      </c>
      <c r="C522" s="44">
        <f>COUNTA(A523:A524)</f>
        <v>2</v>
      </c>
      <c r="D522" s="47">
        <f t="shared" ref="D522:G522" si="153">SUM(D523:D524)</f>
        <v>29.98</v>
      </c>
      <c r="E522" s="47">
        <f t="shared" si="153"/>
        <v>2.99</v>
      </c>
      <c r="F522" s="47">
        <f t="shared" si="153"/>
        <v>26.99</v>
      </c>
      <c r="G522" s="43">
        <f t="shared" si="153"/>
        <v>56</v>
      </c>
      <c r="H522" s="47">
        <f t="shared" ref="H522:H524" si="154">E522/G522</f>
        <v>0.05339285714</v>
      </c>
    </row>
    <row r="523">
      <c r="A523" s="39" t="s">
        <v>934</v>
      </c>
      <c r="B523" s="1"/>
      <c r="C523" s="1"/>
      <c r="D523" s="71">
        <v>19.99</v>
      </c>
      <c r="E523" s="71">
        <v>0.0</v>
      </c>
      <c r="F523" s="71">
        <f t="shared" ref="F523:F524" si="155">D523-E523</f>
        <v>19.99</v>
      </c>
      <c r="G523" s="72">
        <v>55.0</v>
      </c>
      <c r="H523" s="71">
        <f t="shared" si="154"/>
        <v>0</v>
      </c>
    </row>
    <row r="524">
      <c r="A524" s="39" t="s">
        <v>893</v>
      </c>
      <c r="B524" s="1"/>
      <c r="C524" s="1"/>
      <c r="D524" s="71">
        <v>9.99</v>
      </c>
      <c r="E524" s="71">
        <v>2.99</v>
      </c>
      <c r="F524" s="71">
        <f t="shared" si="155"/>
        <v>7</v>
      </c>
      <c r="G524" s="39">
        <v>1.0</v>
      </c>
      <c r="H524" s="71">
        <f t="shared" si="154"/>
        <v>2.99</v>
      </c>
    </row>
    <row r="525">
      <c r="A525" s="461"/>
      <c r="B525" s="462"/>
      <c r="C525" s="461"/>
      <c r="D525" s="461"/>
      <c r="E525" s="461"/>
      <c r="F525" s="461"/>
      <c r="G525" s="461"/>
      <c r="H525" s="461"/>
    </row>
    <row r="526">
      <c r="A526" s="104" t="s">
        <v>74</v>
      </c>
      <c r="B526" s="106" t="s">
        <v>57</v>
      </c>
      <c r="C526" s="243">
        <f>COUNTA(A527)</f>
        <v>1</v>
      </c>
      <c r="D526" s="106">
        <f t="shared" ref="D526:G526" si="156">SUM(D527)</f>
        <v>29.99</v>
      </c>
      <c r="E526" s="106">
        <f t="shared" si="156"/>
        <v>29.99</v>
      </c>
      <c r="F526" s="106">
        <f t="shared" si="156"/>
        <v>0</v>
      </c>
      <c r="G526" s="104">
        <f t="shared" si="156"/>
        <v>55</v>
      </c>
      <c r="H526" s="106">
        <f t="shared" ref="H526:H527" si="157">E526/G526</f>
        <v>0.5452727273</v>
      </c>
    </row>
    <row r="527">
      <c r="A527" s="109" t="s">
        <v>648</v>
      </c>
      <c r="B527" s="475"/>
      <c r="C527" s="475"/>
      <c r="D527" s="111">
        <v>29.99</v>
      </c>
      <c r="E527" s="111">
        <v>29.99</v>
      </c>
      <c r="F527" s="111">
        <f>D527-E527</f>
        <v>0</v>
      </c>
      <c r="G527" s="109">
        <v>55.0</v>
      </c>
      <c r="H527" s="111">
        <f t="shared" si="157"/>
        <v>0.5452727273</v>
      </c>
    </row>
    <row r="528">
      <c r="A528" s="461"/>
      <c r="B528" s="462"/>
      <c r="C528" s="461"/>
      <c r="D528" s="461"/>
      <c r="E528" s="461"/>
      <c r="F528" s="461"/>
      <c r="G528" s="461"/>
      <c r="H528" s="461"/>
    </row>
    <row r="529">
      <c r="A529" s="43" t="s">
        <v>100</v>
      </c>
      <c r="B529" s="44" t="s">
        <v>92</v>
      </c>
      <c r="C529" s="44">
        <f>COUNTA(A530)</f>
        <v>1</v>
      </c>
      <c r="D529" s="47">
        <f t="shared" ref="D529:G529" si="158">SUM(D530)</f>
        <v>19.99</v>
      </c>
      <c r="E529" s="47">
        <f t="shared" si="158"/>
        <v>0</v>
      </c>
      <c r="F529" s="47">
        <f t="shared" si="158"/>
        <v>19.99</v>
      </c>
      <c r="G529" s="43">
        <f t="shared" si="158"/>
        <v>54</v>
      </c>
      <c r="H529" s="47">
        <f t="shared" ref="H529:H530" si="159">E529/G529</f>
        <v>0</v>
      </c>
    </row>
    <row r="530">
      <c r="A530" s="39" t="s">
        <v>761</v>
      </c>
      <c r="B530" s="1"/>
      <c r="C530" s="1"/>
      <c r="D530" s="71">
        <v>19.99</v>
      </c>
      <c r="E530" s="71">
        <v>0.0</v>
      </c>
      <c r="F530" s="71">
        <f>D530-E530</f>
        <v>19.99</v>
      </c>
      <c r="G530" s="72">
        <v>54.0</v>
      </c>
      <c r="H530" s="71">
        <f t="shared" si="159"/>
        <v>0</v>
      </c>
    </row>
    <row r="531">
      <c r="A531" s="461"/>
      <c r="B531" s="462"/>
      <c r="C531" s="461"/>
      <c r="D531" s="461"/>
      <c r="E531" s="461"/>
      <c r="F531" s="461"/>
      <c r="G531" s="461"/>
      <c r="H531" s="461"/>
    </row>
    <row r="532">
      <c r="A532" s="174" t="s">
        <v>319</v>
      </c>
      <c r="B532" s="174" t="s">
        <v>318</v>
      </c>
      <c r="C532" s="476">
        <f>COUNTA(A533:A534)</f>
        <v>2</v>
      </c>
      <c r="D532" s="176">
        <f t="shared" ref="D532:G532" si="160">SUM(D533:D534)</f>
        <v>99.98</v>
      </c>
      <c r="E532" s="176">
        <f t="shared" si="160"/>
        <v>0</v>
      </c>
      <c r="F532" s="176">
        <f t="shared" si="160"/>
        <v>99.98</v>
      </c>
      <c r="G532" s="174">
        <f t="shared" si="160"/>
        <v>54</v>
      </c>
      <c r="H532" s="176">
        <f t="shared" ref="H532:H534" si="161">E532/G532</f>
        <v>0</v>
      </c>
    </row>
    <row r="533">
      <c r="A533" s="179" t="s">
        <v>1061</v>
      </c>
      <c r="B533" s="477"/>
      <c r="C533" s="477"/>
      <c r="D533" s="181">
        <v>49.99</v>
      </c>
      <c r="E533" s="181">
        <v>0.0</v>
      </c>
      <c r="F533" s="181">
        <f t="shared" ref="F533:F534" si="162">D533-E533</f>
        <v>49.99</v>
      </c>
      <c r="G533" s="179">
        <v>29.0</v>
      </c>
      <c r="H533" s="181">
        <f t="shared" si="161"/>
        <v>0</v>
      </c>
    </row>
    <row r="534">
      <c r="A534" s="179" t="s">
        <v>1062</v>
      </c>
      <c r="B534" s="477"/>
      <c r="C534" s="477"/>
      <c r="D534" s="478">
        <v>49.99</v>
      </c>
      <c r="E534" s="478">
        <v>0.0</v>
      </c>
      <c r="F534" s="478">
        <f t="shared" si="162"/>
        <v>49.99</v>
      </c>
      <c r="G534" s="179">
        <v>25.0</v>
      </c>
      <c r="H534" s="181">
        <f t="shared" si="161"/>
        <v>0</v>
      </c>
    </row>
    <row r="535">
      <c r="A535" s="461"/>
      <c r="B535" s="462"/>
      <c r="C535" s="461"/>
      <c r="D535" s="461"/>
      <c r="E535" s="461"/>
      <c r="F535" s="461"/>
      <c r="G535" s="461"/>
      <c r="H535" s="461"/>
    </row>
    <row r="536">
      <c r="A536" s="43" t="s">
        <v>109</v>
      </c>
      <c r="B536" s="43" t="s">
        <v>92</v>
      </c>
      <c r="C536" s="44">
        <f>COUNTA(A537:A538)</f>
        <v>2</v>
      </c>
      <c r="D536" s="47">
        <f t="shared" ref="D536:G536" si="163">SUM(D537:D538)</f>
        <v>54.98</v>
      </c>
      <c r="E536" s="47">
        <f t="shared" si="163"/>
        <v>12.98</v>
      </c>
      <c r="F536" s="47">
        <f t="shared" si="163"/>
        <v>42</v>
      </c>
      <c r="G536" s="43">
        <f t="shared" si="163"/>
        <v>54</v>
      </c>
      <c r="H536" s="47">
        <f t="shared" ref="H536:H538" si="164">E536/G536</f>
        <v>0.2403703704</v>
      </c>
    </row>
    <row r="537">
      <c r="A537" s="39" t="s">
        <v>740</v>
      </c>
      <c r="B537" s="1"/>
      <c r="C537" s="1"/>
      <c r="D537" s="71">
        <v>39.99</v>
      </c>
      <c r="E537" s="71">
        <v>6.98</v>
      </c>
      <c r="F537" s="71">
        <f t="shared" ref="F537:F538" si="165">D537-E537</f>
        <v>33.01</v>
      </c>
      <c r="G537" s="39">
        <v>44.0</v>
      </c>
      <c r="H537" s="71">
        <f t="shared" si="164"/>
        <v>0.1586363636</v>
      </c>
    </row>
    <row r="538">
      <c r="A538" s="72" t="s">
        <v>699</v>
      </c>
      <c r="B538" s="1"/>
      <c r="C538" s="1"/>
      <c r="D538" s="71">
        <v>14.99</v>
      </c>
      <c r="E538" s="71">
        <v>6.0</v>
      </c>
      <c r="F538" s="71">
        <f t="shared" si="165"/>
        <v>8.99</v>
      </c>
      <c r="G538" s="39">
        <v>10.0</v>
      </c>
      <c r="H538" s="71">
        <f t="shared" si="164"/>
        <v>0.6</v>
      </c>
    </row>
    <row r="539">
      <c r="A539" s="39"/>
      <c r="B539" s="1"/>
      <c r="C539" s="1"/>
      <c r="D539" s="71"/>
      <c r="E539" s="71"/>
      <c r="F539" s="71"/>
      <c r="G539" s="39"/>
      <c r="H539" s="71"/>
    </row>
    <row r="540">
      <c r="A540" s="102" t="s">
        <v>290</v>
      </c>
      <c r="B540" s="170" t="s">
        <v>291</v>
      </c>
      <c r="C540" s="103">
        <f>COUNTA(A541:A542)</f>
        <v>2</v>
      </c>
      <c r="D540" s="170">
        <f t="shared" ref="D540:G540" si="166">SUM(D541:D542)</f>
        <v>79.98</v>
      </c>
      <c r="E540" s="170">
        <f t="shared" si="166"/>
        <v>31.99</v>
      </c>
      <c r="F540" s="170">
        <f t="shared" si="166"/>
        <v>47.99</v>
      </c>
      <c r="G540" s="102">
        <f t="shared" si="166"/>
        <v>54</v>
      </c>
      <c r="H540" s="170">
        <f t="shared" ref="H540:H542" si="167">E540/G540</f>
        <v>0.5924074074</v>
      </c>
    </row>
    <row r="541">
      <c r="A541" s="35" t="s">
        <v>1041</v>
      </c>
      <c r="B541" s="1"/>
      <c r="C541" s="1"/>
      <c r="D541" s="26">
        <v>39.99</v>
      </c>
      <c r="E541" s="26">
        <v>31.99</v>
      </c>
      <c r="F541" s="26">
        <f t="shared" ref="F541:F542" si="168">D541-E541</f>
        <v>8</v>
      </c>
      <c r="G541" s="25">
        <v>30.0</v>
      </c>
      <c r="H541" s="26">
        <f t="shared" si="167"/>
        <v>1.066333333</v>
      </c>
    </row>
    <row r="542">
      <c r="A542" s="25" t="s">
        <v>1048</v>
      </c>
      <c r="B542" s="1"/>
      <c r="C542" s="1"/>
      <c r="D542" s="24">
        <v>39.99</v>
      </c>
      <c r="E542" s="24">
        <v>0.0</v>
      </c>
      <c r="F542" s="24">
        <f t="shared" si="168"/>
        <v>39.99</v>
      </c>
      <c r="G542" s="25">
        <v>24.0</v>
      </c>
      <c r="H542" s="26">
        <f t="shared" si="167"/>
        <v>0</v>
      </c>
    </row>
    <row r="543">
      <c r="A543" s="39"/>
      <c r="B543" s="1"/>
      <c r="C543" s="1"/>
      <c r="D543" s="71"/>
      <c r="E543" s="71"/>
      <c r="F543" s="71"/>
      <c r="G543" s="39"/>
      <c r="H543" s="71"/>
    </row>
    <row r="544">
      <c r="A544" s="43" t="s">
        <v>603</v>
      </c>
      <c r="B544" s="43" t="s">
        <v>29</v>
      </c>
      <c r="C544" s="44">
        <f>COUNTA(A545:A547)</f>
        <v>3</v>
      </c>
      <c r="D544" s="46">
        <f t="shared" ref="D544:G544" si="169">SUM(D545:D547)</f>
        <v>81.97</v>
      </c>
      <c r="E544" s="46">
        <f t="shared" si="169"/>
        <v>4.79</v>
      </c>
      <c r="F544" s="46">
        <f t="shared" si="169"/>
        <v>77.18</v>
      </c>
      <c r="G544" s="43">
        <f t="shared" si="169"/>
        <v>53</v>
      </c>
      <c r="H544" s="46">
        <f t="shared" ref="H544:H547" si="170">E544/G544</f>
        <v>0.09037735849</v>
      </c>
    </row>
    <row r="545">
      <c r="A545" s="72" t="s">
        <v>1702</v>
      </c>
      <c r="B545" s="1"/>
      <c r="C545" s="1"/>
      <c r="D545" s="42">
        <v>39.99</v>
      </c>
      <c r="E545" s="42">
        <v>0.0</v>
      </c>
      <c r="F545" s="42">
        <v>39.99</v>
      </c>
      <c r="G545" s="72">
        <v>37.0</v>
      </c>
      <c r="H545" s="42">
        <f t="shared" si="170"/>
        <v>0</v>
      </c>
    </row>
    <row r="546">
      <c r="A546" s="39" t="s">
        <v>1646</v>
      </c>
      <c r="B546" s="1"/>
      <c r="C546" s="1"/>
      <c r="D546" s="71">
        <v>29.99</v>
      </c>
      <c r="E546" s="71">
        <v>0.0</v>
      </c>
      <c r="F546" s="71">
        <f t="shared" ref="F546:F547" si="171">D546-E546</f>
        <v>29.99</v>
      </c>
      <c r="G546" s="39">
        <v>13.0</v>
      </c>
      <c r="H546" s="71">
        <f t="shared" si="170"/>
        <v>0</v>
      </c>
    </row>
    <row r="547">
      <c r="A547" s="72" t="s">
        <v>1720</v>
      </c>
      <c r="B547" s="1"/>
      <c r="C547" s="1"/>
      <c r="D547" s="71">
        <v>11.99</v>
      </c>
      <c r="E547" s="71">
        <v>4.79</v>
      </c>
      <c r="F547" s="71">
        <f t="shared" si="171"/>
        <v>7.2</v>
      </c>
      <c r="G547" s="39">
        <v>3.0</v>
      </c>
      <c r="H547" s="71">
        <f t="shared" si="170"/>
        <v>1.596666667</v>
      </c>
    </row>
    <row r="548">
      <c r="A548" s="39"/>
      <c r="B548" s="1"/>
      <c r="C548" s="1"/>
      <c r="D548" s="71"/>
      <c r="E548" s="71"/>
      <c r="F548" s="71"/>
      <c r="G548" s="39"/>
      <c r="H548" s="71"/>
    </row>
    <row r="549">
      <c r="A549" s="43" t="s">
        <v>111</v>
      </c>
      <c r="B549" s="43" t="s">
        <v>92</v>
      </c>
      <c r="C549" s="44">
        <f>COUNTA(A550:A551)</f>
        <v>2</v>
      </c>
      <c r="D549" s="47">
        <f t="shared" ref="D549:G549" si="172">SUM(D550:D551)</f>
        <v>32.98</v>
      </c>
      <c r="E549" s="47">
        <f t="shared" si="172"/>
        <v>21.63</v>
      </c>
      <c r="F549" s="47">
        <f t="shared" si="172"/>
        <v>11.35</v>
      </c>
      <c r="G549" s="43">
        <f t="shared" si="172"/>
        <v>51</v>
      </c>
      <c r="H549" s="47">
        <f t="shared" ref="H549:H551" si="173">E549/G549</f>
        <v>0.4241176471</v>
      </c>
    </row>
    <row r="550">
      <c r="A550" s="258" t="s">
        <v>753</v>
      </c>
      <c r="B550" s="1"/>
      <c r="C550" s="1"/>
      <c r="D550" s="257">
        <v>20.99</v>
      </c>
      <c r="E550" s="257">
        <v>13.64</v>
      </c>
      <c r="F550" s="257">
        <f t="shared" ref="F550:F551" si="174">D550-E550</f>
        <v>7.35</v>
      </c>
      <c r="G550" s="258">
        <v>42.0</v>
      </c>
      <c r="H550" s="257">
        <f t="shared" si="173"/>
        <v>0.3247619048</v>
      </c>
    </row>
    <row r="551">
      <c r="A551" s="182" t="s">
        <v>734</v>
      </c>
      <c r="B551" s="1"/>
      <c r="C551" s="1"/>
      <c r="D551" s="257">
        <v>11.99</v>
      </c>
      <c r="E551" s="257">
        <v>7.99</v>
      </c>
      <c r="F551" s="257">
        <f t="shared" si="174"/>
        <v>4</v>
      </c>
      <c r="G551" s="258">
        <v>9.0</v>
      </c>
      <c r="H551" s="257">
        <f t="shared" si="173"/>
        <v>0.8877777778</v>
      </c>
    </row>
    <row r="552">
      <c r="A552" s="461"/>
      <c r="B552" s="462"/>
      <c r="C552" s="461"/>
      <c r="D552" s="461"/>
      <c r="E552" s="461"/>
      <c r="F552" s="461"/>
      <c r="G552" s="461"/>
      <c r="H552" s="461"/>
    </row>
    <row r="553">
      <c r="A553" s="43" t="s">
        <v>517</v>
      </c>
      <c r="B553" s="43" t="s">
        <v>29</v>
      </c>
      <c r="C553" s="44">
        <f>COUNTA(A554:A558)</f>
        <v>5</v>
      </c>
      <c r="D553" s="145">
        <f t="shared" ref="D553:G553" si="175">SUM(D554:D558)</f>
        <v>117.95</v>
      </c>
      <c r="E553" s="145">
        <f t="shared" si="175"/>
        <v>63.46</v>
      </c>
      <c r="F553" s="145">
        <f t="shared" si="175"/>
        <v>54.49</v>
      </c>
      <c r="G553" s="44">
        <f t="shared" si="175"/>
        <v>51</v>
      </c>
      <c r="H553" s="145">
        <f t="shared" ref="H553:H558" si="176">E553/G553</f>
        <v>1.244313725</v>
      </c>
    </row>
    <row r="554">
      <c r="A554" s="39" t="s">
        <v>1686</v>
      </c>
      <c r="B554" s="1"/>
      <c r="C554" s="1"/>
      <c r="D554" s="71">
        <v>59.99</v>
      </c>
      <c r="E554" s="71">
        <v>41.99</v>
      </c>
      <c r="F554" s="71">
        <f t="shared" ref="F554:F558" si="177">D554-E554</f>
        <v>18</v>
      </c>
      <c r="G554" s="39">
        <v>22.0</v>
      </c>
      <c r="H554" s="71">
        <f t="shared" si="176"/>
        <v>1.908636364</v>
      </c>
    </row>
    <row r="555">
      <c r="A555" s="39" t="s">
        <v>1481</v>
      </c>
      <c r="B555" s="1"/>
      <c r="C555" s="1"/>
      <c r="D555" s="71">
        <v>10.99</v>
      </c>
      <c r="E555" s="71">
        <v>7.99</v>
      </c>
      <c r="F555" s="71">
        <f t="shared" si="177"/>
        <v>3</v>
      </c>
      <c r="G555" s="39">
        <v>20.0</v>
      </c>
      <c r="H555" s="71">
        <f t="shared" si="176"/>
        <v>0.3995</v>
      </c>
    </row>
    <row r="556">
      <c r="A556" s="39" t="s">
        <v>1544</v>
      </c>
      <c r="B556" s="1"/>
      <c r="C556" s="1"/>
      <c r="D556" s="71">
        <v>12.99</v>
      </c>
      <c r="E556" s="71">
        <v>0.0</v>
      </c>
      <c r="F556" s="71">
        <f t="shared" si="177"/>
        <v>12.99</v>
      </c>
      <c r="G556" s="39">
        <v>5.0</v>
      </c>
      <c r="H556" s="71">
        <f t="shared" si="176"/>
        <v>0</v>
      </c>
    </row>
    <row r="557">
      <c r="A557" s="72" t="s">
        <v>1715</v>
      </c>
      <c r="B557" s="1"/>
      <c r="C557" s="1"/>
      <c r="D557" s="71">
        <v>18.99</v>
      </c>
      <c r="E557" s="71">
        <v>6.49</v>
      </c>
      <c r="F557" s="71">
        <f t="shared" si="177"/>
        <v>12.5</v>
      </c>
      <c r="G557" s="39">
        <v>3.0</v>
      </c>
      <c r="H557" s="71">
        <f t="shared" si="176"/>
        <v>2.163333333</v>
      </c>
    </row>
    <row r="558">
      <c r="A558" s="72" t="s">
        <v>1573</v>
      </c>
      <c r="B558" s="1"/>
      <c r="C558" s="1"/>
      <c r="D558" s="71">
        <v>14.99</v>
      </c>
      <c r="E558" s="71">
        <v>6.99</v>
      </c>
      <c r="F558" s="71">
        <f t="shared" si="177"/>
        <v>8</v>
      </c>
      <c r="G558" s="39">
        <v>1.0</v>
      </c>
      <c r="H558" s="71">
        <f t="shared" si="176"/>
        <v>6.99</v>
      </c>
    </row>
    <row r="559">
      <c r="A559" s="461"/>
      <c r="B559" s="462"/>
      <c r="C559" s="461"/>
      <c r="D559" s="461"/>
      <c r="E559" s="461"/>
      <c r="F559" s="461"/>
      <c r="G559" s="461"/>
      <c r="H559" s="461"/>
    </row>
    <row r="560">
      <c r="A560" s="233" t="s">
        <v>429</v>
      </c>
      <c r="B560" s="479" t="s">
        <v>430</v>
      </c>
      <c r="C560" s="236">
        <f>COUNTA(A561)</f>
        <v>1</v>
      </c>
      <c r="D560" s="235">
        <f t="shared" ref="D560:G560" si="178">SUM(D561)</f>
        <v>14.99</v>
      </c>
      <c r="E560" s="235">
        <f t="shared" si="178"/>
        <v>2.99</v>
      </c>
      <c r="F560" s="235">
        <f t="shared" si="178"/>
        <v>12</v>
      </c>
      <c r="G560" s="233">
        <f t="shared" si="178"/>
        <v>50</v>
      </c>
      <c r="H560" s="235">
        <f t="shared" ref="H560:H561" si="179">E560/G560</f>
        <v>0.0598</v>
      </c>
    </row>
    <row r="561">
      <c r="A561" s="239" t="s">
        <v>1371</v>
      </c>
      <c r="B561" s="1"/>
      <c r="C561" s="1"/>
      <c r="D561" s="242">
        <v>14.99</v>
      </c>
      <c r="E561" s="242">
        <v>2.99</v>
      </c>
      <c r="F561" s="242">
        <f>D561-E561</f>
        <v>12</v>
      </c>
      <c r="G561" s="239">
        <v>50.0</v>
      </c>
      <c r="H561" s="242">
        <f t="shared" si="179"/>
        <v>0.0598</v>
      </c>
    </row>
    <row r="562">
      <c r="A562" s="461"/>
      <c r="B562" s="462"/>
      <c r="C562" s="461"/>
      <c r="D562" s="461"/>
      <c r="E562" s="461"/>
      <c r="F562" s="461"/>
      <c r="G562" s="461"/>
      <c r="H562" s="461"/>
    </row>
    <row r="563">
      <c r="A563" s="43" t="s">
        <v>238</v>
      </c>
      <c r="B563" s="43" t="s">
        <v>25</v>
      </c>
      <c r="C563" s="44">
        <f>COUNTA(A564)</f>
        <v>1</v>
      </c>
      <c r="D563" s="47">
        <f t="shared" ref="D563:G563" si="180">SUM(D564)</f>
        <v>4.99</v>
      </c>
      <c r="E563" s="47">
        <f t="shared" si="180"/>
        <v>4.99</v>
      </c>
      <c r="F563" s="47">
        <f t="shared" si="180"/>
        <v>0</v>
      </c>
      <c r="G563" s="43">
        <f t="shared" si="180"/>
        <v>50</v>
      </c>
      <c r="H563" s="47">
        <f t="shared" ref="H563:H564" si="181">E563/G563</f>
        <v>0.0998</v>
      </c>
    </row>
    <row r="564">
      <c r="A564" s="72" t="s">
        <v>810</v>
      </c>
      <c r="B564" s="1"/>
      <c r="C564" s="1"/>
      <c r="D564" s="71">
        <v>4.99</v>
      </c>
      <c r="E564" s="71">
        <v>4.99</v>
      </c>
      <c r="F564" s="71">
        <f>D564-E564</f>
        <v>0</v>
      </c>
      <c r="G564" s="39">
        <v>50.0</v>
      </c>
      <c r="H564" s="71">
        <f t="shared" si="181"/>
        <v>0.0998</v>
      </c>
    </row>
    <row r="565">
      <c r="A565" s="461"/>
      <c r="B565" s="462"/>
      <c r="C565" s="461"/>
      <c r="D565" s="461"/>
      <c r="E565" s="461"/>
      <c r="F565" s="461"/>
      <c r="G565" s="461"/>
      <c r="H565" s="461"/>
    </row>
    <row r="566">
      <c r="A566" s="152" t="s">
        <v>462</v>
      </c>
      <c r="B566" s="152" t="s">
        <v>455</v>
      </c>
      <c r="C566" s="255">
        <f>COUNTA(A567)</f>
        <v>1</v>
      </c>
      <c r="D566" s="154">
        <f t="shared" ref="D566:G566" si="182">SUM(D567)</f>
        <v>59.99</v>
      </c>
      <c r="E566" s="154">
        <f t="shared" si="182"/>
        <v>29.99</v>
      </c>
      <c r="F566" s="154">
        <f t="shared" si="182"/>
        <v>30</v>
      </c>
      <c r="G566" s="152">
        <f t="shared" si="182"/>
        <v>49</v>
      </c>
      <c r="H566" s="154">
        <f t="shared" ref="H566:H567" si="183">E566/G566</f>
        <v>0.6120408163</v>
      </c>
    </row>
    <row r="567">
      <c r="A567" s="156" t="s">
        <v>1423</v>
      </c>
      <c r="B567" s="480"/>
      <c r="C567" s="480"/>
      <c r="D567" s="159">
        <v>59.99</v>
      </c>
      <c r="E567" s="159">
        <v>29.99</v>
      </c>
      <c r="F567" s="159">
        <f>D567-E567</f>
        <v>30</v>
      </c>
      <c r="G567" s="156">
        <v>49.0</v>
      </c>
      <c r="H567" s="159">
        <f t="shared" si="183"/>
        <v>0.6120408163</v>
      </c>
    </row>
    <row r="568">
      <c r="A568" s="461"/>
      <c r="B568" s="462"/>
      <c r="C568" s="461"/>
      <c r="D568" s="461"/>
      <c r="E568" s="461"/>
      <c r="F568" s="461"/>
      <c r="G568" s="461"/>
      <c r="H568" s="461"/>
    </row>
    <row r="569">
      <c r="A569" s="53" t="s">
        <v>283</v>
      </c>
      <c r="B569" s="53" t="s">
        <v>265</v>
      </c>
      <c r="C569" s="75">
        <f>COUNTA(A570:A573)</f>
        <v>4</v>
      </c>
      <c r="D569" s="163">
        <f t="shared" ref="D569:G569" si="184">SUM(D570:D573)</f>
        <v>86.46</v>
      </c>
      <c r="E569" s="163">
        <f t="shared" si="184"/>
        <v>20.37</v>
      </c>
      <c r="F569" s="163">
        <f t="shared" si="184"/>
        <v>66.09</v>
      </c>
      <c r="G569" s="75">
        <f t="shared" si="184"/>
        <v>48</v>
      </c>
      <c r="H569" s="163">
        <f t="shared" ref="H569:H573" si="185">E569/G569</f>
        <v>0.424375</v>
      </c>
    </row>
    <row r="570">
      <c r="A570" s="229" t="s">
        <v>999</v>
      </c>
      <c r="B570" s="1"/>
      <c r="C570" s="1"/>
      <c r="D570" s="481">
        <v>22.99</v>
      </c>
      <c r="E570" s="481">
        <v>8.99</v>
      </c>
      <c r="F570" s="481">
        <f t="shared" ref="F570:F573" si="186">D570-E570</f>
        <v>14</v>
      </c>
      <c r="G570" s="229">
        <v>35.0</v>
      </c>
      <c r="H570" s="481">
        <f t="shared" si="185"/>
        <v>0.2568571429</v>
      </c>
    </row>
    <row r="571">
      <c r="A571" s="229" t="s">
        <v>1021</v>
      </c>
      <c r="B571" s="1"/>
      <c r="C571" s="1"/>
      <c r="D571" s="481">
        <v>29.99</v>
      </c>
      <c r="E571" s="481">
        <v>0.0</v>
      </c>
      <c r="F571" s="481">
        <f t="shared" si="186"/>
        <v>29.99</v>
      </c>
      <c r="G571" s="229">
        <v>11.0</v>
      </c>
      <c r="H571" s="481">
        <f t="shared" si="185"/>
        <v>0</v>
      </c>
    </row>
    <row r="572">
      <c r="A572" s="230" t="s">
        <v>998</v>
      </c>
      <c r="B572" s="1"/>
      <c r="C572" s="1"/>
      <c r="D572" s="481">
        <v>13.49</v>
      </c>
      <c r="E572" s="481">
        <v>5.39</v>
      </c>
      <c r="F572" s="481">
        <f t="shared" si="186"/>
        <v>8.1</v>
      </c>
      <c r="G572" s="230">
        <v>1.0</v>
      </c>
      <c r="H572" s="481">
        <f t="shared" si="185"/>
        <v>5.39</v>
      </c>
    </row>
    <row r="573">
      <c r="A573" s="229" t="s">
        <v>1773</v>
      </c>
      <c r="B573" s="1"/>
      <c r="C573" s="1"/>
      <c r="D573" s="481">
        <v>19.99</v>
      </c>
      <c r="E573" s="481">
        <v>5.99</v>
      </c>
      <c r="F573" s="481">
        <f t="shared" si="186"/>
        <v>14</v>
      </c>
      <c r="G573" s="229">
        <v>1.0</v>
      </c>
      <c r="H573" s="481">
        <f t="shared" si="185"/>
        <v>5.99</v>
      </c>
    </row>
    <row r="574">
      <c r="A574" s="229"/>
      <c r="B574" s="1"/>
      <c r="C574" s="1"/>
      <c r="D574" s="481"/>
      <c r="E574" s="481"/>
      <c r="F574" s="481"/>
      <c r="G574" s="229"/>
      <c r="H574" s="481"/>
    </row>
    <row r="575">
      <c r="A575" s="43" t="s">
        <v>226</v>
      </c>
      <c r="B575" s="43" t="s">
        <v>25</v>
      </c>
      <c r="C575" s="44">
        <f>COUNTA(A576:A579)</f>
        <v>4</v>
      </c>
      <c r="D575" s="145">
        <f t="shared" ref="D575:G575" si="187">SUM(D576:D579)</f>
        <v>79.96</v>
      </c>
      <c r="E575" s="145">
        <f t="shared" si="187"/>
        <v>33.96</v>
      </c>
      <c r="F575" s="145">
        <f t="shared" si="187"/>
        <v>46</v>
      </c>
      <c r="G575" s="44">
        <f t="shared" si="187"/>
        <v>47</v>
      </c>
      <c r="H575" s="145">
        <f t="shared" ref="H575:H579" si="188">E575/G575</f>
        <v>0.7225531915</v>
      </c>
    </row>
    <row r="576">
      <c r="A576" s="39" t="s">
        <v>841</v>
      </c>
      <c r="B576" s="1"/>
      <c r="C576" s="1"/>
      <c r="D576" s="71">
        <v>19.99</v>
      </c>
      <c r="E576" s="71">
        <v>7.99</v>
      </c>
      <c r="F576" s="71">
        <f t="shared" ref="F576:F579" si="189">D576-E576</f>
        <v>12</v>
      </c>
      <c r="G576" s="72">
        <v>22.0</v>
      </c>
      <c r="H576" s="71">
        <f t="shared" si="188"/>
        <v>0.3631818182</v>
      </c>
    </row>
    <row r="577">
      <c r="A577" s="39" t="s">
        <v>853</v>
      </c>
      <c r="B577" s="1"/>
      <c r="C577" s="1"/>
      <c r="D577" s="71">
        <v>19.99</v>
      </c>
      <c r="E577" s="71">
        <v>7.99</v>
      </c>
      <c r="F577" s="71">
        <f t="shared" si="189"/>
        <v>12</v>
      </c>
      <c r="G577" s="72">
        <v>20.0</v>
      </c>
      <c r="H577" s="71">
        <f t="shared" si="188"/>
        <v>0.3995</v>
      </c>
    </row>
    <row r="578">
      <c r="A578" s="39" t="s">
        <v>961</v>
      </c>
      <c r="B578" s="1"/>
      <c r="C578" s="1"/>
      <c r="D578" s="71">
        <v>19.99</v>
      </c>
      <c r="E578" s="71">
        <v>9.99</v>
      </c>
      <c r="F578" s="71">
        <f t="shared" si="189"/>
        <v>10</v>
      </c>
      <c r="G578" s="39">
        <v>4.0</v>
      </c>
      <c r="H578" s="71">
        <f t="shared" si="188"/>
        <v>2.4975</v>
      </c>
    </row>
    <row r="579">
      <c r="A579" s="39" t="s">
        <v>901</v>
      </c>
      <c r="B579" s="1"/>
      <c r="C579" s="1"/>
      <c r="D579" s="71">
        <v>19.99</v>
      </c>
      <c r="E579" s="71">
        <v>7.99</v>
      </c>
      <c r="F579" s="71">
        <f t="shared" si="189"/>
        <v>12</v>
      </c>
      <c r="G579" s="39">
        <v>1.0</v>
      </c>
      <c r="H579" s="71">
        <f t="shared" si="188"/>
        <v>7.99</v>
      </c>
    </row>
    <row r="580">
      <c r="A580" s="461"/>
      <c r="B580" s="462"/>
      <c r="C580" s="461"/>
      <c r="D580" s="461"/>
      <c r="E580" s="461"/>
      <c r="F580" s="461"/>
      <c r="G580" s="461"/>
      <c r="H580" s="461"/>
    </row>
    <row r="581">
      <c r="A581" s="43" t="s">
        <v>185</v>
      </c>
      <c r="B581" s="43" t="s">
        <v>25</v>
      </c>
      <c r="C581" s="44">
        <f>COUNTA(A582:A583)</f>
        <v>2</v>
      </c>
      <c r="D581" s="47">
        <f t="shared" ref="D581:G581" si="190">SUM(D582:D583)</f>
        <v>11.98</v>
      </c>
      <c r="E581" s="47">
        <f t="shared" si="190"/>
        <v>11.98</v>
      </c>
      <c r="F581" s="47">
        <f t="shared" si="190"/>
        <v>0</v>
      </c>
      <c r="G581" s="43">
        <f t="shared" si="190"/>
        <v>46</v>
      </c>
      <c r="H581" s="47">
        <f t="shared" ref="H581:H583" si="191">E581/G581</f>
        <v>0.2604347826</v>
      </c>
    </row>
    <row r="582">
      <c r="A582" s="39" t="s">
        <v>816</v>
      </c>
      <c r="B582" s="1"/>
      <c r="C582" s="1"/>
      <c r="D582" s="71">
        <v>9.99</v>
      </c>
      <c r="E582" s="71">
        <v>9.99</v>
      </c>
      <c r="F582" s="71">
        <f t="shared" ref="F582:F583" si="192">D582-E582</f>
        <v>0</v>
      </c>
      <c r="G582" s="39">
        <v>45.0</v>
      </c>
      <c r="H582" s="71">
        <f t="shared" si="191"/>
        <v>0.222</v>
      </c>
    </row>
    <row r="583">
      <c r="A583" s="39" t="s">
        <v>802</v>
      </c>
      <c r="B583" s="1"/>
      <c r="C583" s="1"/>
      <c r="D583" s="71">
        <v>1.99</v>
      </c>
      <c r="E583" s="71">
        <v>1.99</v>
      </c>
      <c r="F583" s="71">
        <f t="shared" si="192"/>
        <v>0</v>
      </c>
      <c r="G583" s="39">
        <v>1.0</v>
      </c>
      <c r="H583" s="71">
        <f t="shared" si="191"/>
        <v>1.99</v>
      </c>
    </row>
    <row r="584">
      <c r="A584" s="39"/>
      <c r="B584" s="1"/>
      <c r="C584" s="1"/>
      <c r="D584" s="71"/>
      <c r="E584" s="71"/>
      <c r="F584" s="71"/>
      <c r="G584" s="39"/>
      <c r="H584" s="71"/>
    </row>
    <row r="585">
      <c r="A585" s="43" t="s">
        <v>569</v>
      </c>
      <c r="B585" s="43" t="s">
        <v>29</v>
      </c>
      <c r="C585" s="44">
        <f>COUNTA(A586:A587)</f>
        <v>2</v>
      </c>
      <c r="D585" s="47">
        <f t="shared" ref="D585:G585" si="193">SUM(D586:D587)</f>
        <v>89.98</v>
      </c>
      <c r="E585" s="47">
        <f t="shared" si="193"/>
        <v>19.79</v>
      </c>
      <c r="F585" s="47">
        <f t="shared" si="193"/>
        <v>70.19</v>
      </c>
      <c r="G585" s="43">
        <f t="shared" si="193"/>
        <v>46</v>
      </c>
      <c r="H585" s="47">
        <f t="shared" ref="H585:H587" si="194">E585/G585</f>
        <v>0.4302173913</v>
      </c>
    </row>
    <row r="586">
      <c r="A586" s="39" t="s">
        <v>1560</v>
      </c>
      <c r="B586" s="1"/>
      <c r="C586" s="1"/>
      <c r="D586" s="71">
        <v>29.99</v>
      </c>
      <c r="E586" s="71">
        <v>0.0</v>
      </c>
      <c r="F586" s="71">
        <f t="shared" ref="F586:F587" si="195">D586-E586</f>
        <v>29.99</v>
      </c>
      <c r="G586" s="39">
        <v>44.0</v>
      </c>
      <c r="H586" s="71">
        <f t="shared" si="194"/>
        <v>0</v>
      </c>
    </row>
    <row r="587">
      <c r="A587" s="39" t="s">
        <v>1651</v>
      </c>
      <c r="B587" s="1"/>
      <c r="C587" s="1"/>
      <c r="D587" s="71">
        <v>59.99</v>
      </c>
      <c r="E587" s="71">
        <v>19.79</v>
      </c>
      <c r="F587" s="71">
        <f t="shared" si="195"/>
        <v>40.2</v>
      </c>
      <c r="G587" s="72">
        <v>2.0</v>
      </c>
      <c r="H587" s="71">
        <f t="shared" si="194"/>
        <v>9.895</v>
      </c>
    </row>
    <row r="588">
      <c r="A588" s="461"/>
      <c r="B588" s="462"/>
      <c r="C588" s="461"/>
      <c r="D588" s="461"/>
      <c r="E588" s="461"/>
      <c r="F588" s="461"/>
      <c r="G588" s="461"/>
      <c r="H588" s="461"/>
    </row>
    <row r="589">
      <c r="A589" s="53" t="s">
        <v>152</v>
      </c>
      <c r="B589" s="53" t="s">
        <v>153</v>
      </c>
      <c r="C589" s="53">
        <v>1.0</v>
      </c>
      <c r="D589" s="76">
        <v>29.99</v>
      </c>
      <c r="E589" s="76">
        <v>10.0</v>
      </c>
      <c r="F589" s="76">
        <f t="shared" ref="F589:F590" si="196">D589-E589</f>
        <v>19.99</v>
      </c>
      <c r="G589" s="53">
        <f>SUM(G590)</f>
        <v>45</v>
      </c>
      <c r="H589" s="76">
        <f t="shared" ref="H589:H590" si="197">E589/G589</f>
        <v>0.2222222222</v>
      </c>
    </row>
    <row r="590">
      <c r="A590" s="230" t="s">
        <v>782</v>
      </c>
      <c r="B590" s="229"/>
      <c r="C590" s="229"/>
      <c r="D590" s="231">
        <v>29.99</v>
      </c>
      <c r="E590" s="482">
        <v>10.0</v>
      </c>
      <c r="F590" s="483">
        <f t="shared" si="196"/>
        <v>19.99</v>
      </c>
      <c r="G590" s="230">
        <v>45.0</v>
      </c>
      <c r="H590" s="481">
        <f t="shared" si="197"/>
        <v>0.2222222222</v>
      </c>
    </row>
    <row r="591">
      <c r="A591" s="461"/>
      <c r="B591" s="462"/>
      <c r="C591" s="461"/>
      <c r="D591" s="461"/>
      <c r="E591" s="461"/>
      <c r="F591" s="461"/>
      <c r="G591" s="461"/>
      <c r="H591" s="461"/>
    </row>
    <row r="592">
      <c r="A592" s="53" t="s">
        <v>267</v>
      </c>
      <c r="B592" s="53" t="s">
        <v>265</v>
      </c>
      <c r="C592" s="75">
        <f>COUNTA(A593)</f>
        <v>1</v>
      </c>
      <c r="D592" s="76">
        <f t="shared" ref="D592:G592" si="198">SUM(D593)</f>
        <v>9.99</v>
      </c>
      <c r="E592" s="76">
        <f t="shared" si="198"/>
        <v>9.99</v>
      </c>
      <c r="F592" s="76">
        <f t="shared" si="198"/>
        <v>0</v>
      </c>
      <c r="G592" s="53">
        <f t="shared" si="198"/>
        <v>45</v>
      </c>
      <c r="H592" s="76">
        <f t="shared" ref="H592:H593" si="199">E592/G592</f>
        <v>0.222</v>
      </c>
    </row>
    <row r="593">
      <c r="A593" s="49" t="s">
        <v>1774</v>
      </c>
      <c r="B593" s="1"/>
      <c r="C593" s="1"/>
      <c r="D593" s="52">
        <v>9.99</v>
      </c>
      <c r="E593" s="52">
        <v>9.99</v>
      </c>
      <c r="F593" s="52">
        <f>D593-E593</f>
        <v>0</v>
      </c>
      <c r="G593" s="79">
        <v>45.0</v>
      </c>
      <c r="H593" s="52">
        <f t="shared" si="199"/>
        <v>0.222</v>
      </c>
    </row>
    <row r="594">
      <c r="A594" s="461"/>
      <c r="B594" s="462"/>
      <c r="C594" s="461"/>
      <c r="D594" s="461"/>
      <c r="E594" s="461"/>
      <c r="F594" s="461"/>
      <c r="G594" s="461"/>
      <c r="H594" s="461"/>
    </row>
    <row r="595">
      <c r="A595" s="43" t="s">
        <v>336</v>
      </c>
      <c r="B595" s="43" t="s">
        <v>325</v>
      </c>
      <c r="C595" s="44">
        <f>COUNTA(A596)</f>
        <v>1</v>
      </c>
      <c r="D595" s="47">
        <f t="shared" ref="D595:G595" si="200">SUM(D596)</f>
        <v>19.99</v>
      </c>
      <c r="E595" s="47">
        <f t="shared" si="200"/>
        <v>13.99</v>
      </c>
      <c r="F595" s="47">
        <f t="shared" si="200"/>
        <v>6</v>
      </c>
      <c r="G595" s="43">
        <f t="shared" si="200"/>
        <v>45</v>
      </c>
      <c r="H595" s="47">
        <f t="shared" ref="H595:H596" si="201">E595/G595</f>
        <v>0.3108888889</v>
      </c>
    </row>
    <row r="596">
      <c r="A596" s="72" t="s">
        <v>1120</v>
      </c>
      <c r="B596" s="1"/>
      <c r="C596" s="1"/>
      <c r="D596" s="71">
        <v>19.99</v>
      </c>
      <c r="E596" s="71">
        <v>13.99</v>
      </c>
      <c r="F596" s="71">
        <f>D596-E596</f>
        <v>6</v>
      </c>
      <c r="G596" s="39">
        <v>45.0</v>
      </c>
      <c r="H596" s="71">
        <f t="shared" si="201"/>
        <v>0.3108888889</v>
      </c>
    </row>
    <row r="597">
      <c r="A597" s="461"/>
      <c r="B597" s="462"/>
      <c r="C597" s="461"/>
      <c r="D597" s="461"/>
      <c r="E597" s="461"/>
      <c r="F597" s="461"/>
      <c r="G597" s="461"/>
      <c r="H597" s="461"/>
    </row>
    <row r="598">
      <c r="A598" s="53" t="s">
        <v>256</v>
      </c>
      <c r="B598" s="53" t="s">
        <v>255</v>
      </c>
      <c r="C598" s="75">
        <f>COUNTA(A599)</f>
        <v>1</v>
      </c>
      <c r="D598" s="76">
        <f t="shared" ref="D598:G598" si="202">SUM(D599)</f>
        <v>29.99</v>
      </c>
      <c r="E598" s="76">
        <f t="shared" si="202"/>
        <v>0</v>
      </c>
      <c r="F598" s="76">
        <f t="shared" si="202"/>
        <v>29.99</v>
      </c>
      <c r="G598" s="53">
        <f t="shared" si="202"/>
        <v>43</v>
      </c>
      <c r="H598" s="76">
        <f t="shared" ref="H598:H599" si="203">E598/G598</f>
        <v>0</v>
      </c>
    </row>
    <row r="599">
      <c r="A599" s="79" t="s">
        <v>991</v>
      </c>
      <c r="B599" s="1"/>
      <c r="C599" s="1"/>
      <c r="D599" s="52">
        <v>29.99</v>
      </c>
      <c r="E599" s="52">
        <v>0.0</v>
      </c>
      <c r="F599" s="52">
        <f>D599-E599</f>
        <v>29.99</v>
      </c>
      <c r="G599" s="79">
        <v>43.0</v>
      </c>
      <c r="H599" s="52">
        <f t="shared" si="203"/>
        <v>0</v>
      </c>
    </row>
    <row r="600">
      <c r="A600" s="461"/>
      <c r="B600" s="462"/>
      <c r="C600" s="461"/>
      <c r="D600" s="461"/>
      <c r="E600" s="461"/>
      <c r="F600" s="461"/>
      <c r="G600" s="461"/>
      <c r="H600" s="461"/>
    </row>
    <row r="601">
      <c r="A601" s="43" t="s">
        <v>240</v>
      </c>
      <c r="B601" s="43" t="s">
        <v>25</v>
      </c>
      <c r="C601" s="43">
        <f>COUNTA(A602:A609)</f>
        <v>8</v>
      </c>
      <c r="D601" s="145">
        <f t="shared" ref="D601:G601" si="204">SUM(D602:D609)</f>
        <v>137.91</v>
      </c>
      <c r="E601" s="145">
        <f t="shared" si="204"/>
        <v>64.17</v>
      </c>
      <c r="F601" s="145">
        <f t="shared" si="204"/>
        <v>73.74</v>
      </c>
      <c r="G601" s="44">
        <f t="shared" si="204"/>
        <v>43</v>
      </c>
      <c r="H601" s="145">
        <f t="shared" ref="H601:H609" si="205">E601/G601</f>
        <v>1.492325581</v>
      </c>
    </row>
    <row r="602">
      <c r="A602" s="258" t="s">
        <v>867</v>
      </c>
      <c r="B602" s="460"/>
      <c r="C602" s="460"/>
      <c r="D602" s="257">
        <v>9.99</v>
      </c>
      <c r="E602" s="257">
        <v>9.99</v>
      </c>
      <c r="F602" s="257">
        <f t="shared" ref="F602:F609" si="206">D602-E602</f>
        <v>0</v>
      </c>
      <c r="G602" s="258">
        <v>30.0</v>
      </c>
      <c r="H602" s="257">
        <f t="shared" si="205"/>
        <v>0.333</v>
      </c>
    </row>
    <row r="603">
      <c r="A603" s="258" t="s">
        <v>859</v>
      </c>
      <c r="B603" s="460"/>
      <c r="C603" s="460"/>
      <c r="D603" s="257">
        <v>14.99</v>
      </c>
      <c r="E603" s="257">
        <v>0.0</v>
      </c>
      <c r="F603" s="257">
        <f t="shared" si="206"/>
        <v>14.99</v>
      </c>
      <c r="G603" s="258">
        <v>5.0</v>
      </c>
      <c r="H603" s="257">
        <f t="shared" si="205"/>
        <v>0</v>
      </c>
    </row>
    <row r="604">
      <c r="A604" s="48" t="s">
        <v>956</v>
      </c>
      <c r="B604" s="460"/>
      <c r="C604" s="460"/>
      <c r="D604" s="42">
        <v>24.99</v>
      </c>
      <c r="E604" s="42">
        <v>8.49</v>
      </c>
      <c r="F604" s="42">
        <f t="shared" si="206"/>
        <v>16.5</v>
      </c>
      <c r="G604" s="72">
        <v>3.0</v>
      </c>
      <c r="H604" s="42">
        <f t="shared" si="205"/>
        <v>2.83</v>
      </c>
    </row>
    <row r="605">
      <c r="A605" s="258" t="s">
        <v>898</v>
      </c>
      <c r="B605" s="460"/>
      <c r="C605" s="460"/>
      <c r="D605" s="257">
        <v>24.99</v>
      </c>
      <c r="E605" s="257">
        <v>4.99</v>
      </c>
      <c r="F605" s="257">
        <f t="shared" si="206"/>
        <v>20</v>
      </c>
      <c r="G605" s="258">
        <v>1.0</v>
      </c>
      <c r="H605" s="257">
        <f t="shared" si="205"/>
        <v>4.99</v>
      </c>
    </row>
    <row r="606">
      <c r="A606" s="258" t="s">
        <v>895</v>
      </c>
      <c r="B606" s="460"/>
      <c r="C606" s="460"/>
      <c r="D606" s="257">
        <v>17.49</v>
      </c>
      <c r="E606" s="257">
        <v>8.99</v>
      </c>
      <c r="F606" s="257">
        <f t="shared" si="206"/>
        <v>8.5</v>
      </c>
      <c r="G606" s="258">
        <v>1.0</v>
      </c>
      <c r="H606" s="257">
        <f t="shared" si="205"/>
        <v>8.99</v>
      </c>
    </row>
    <row r="607">
      <c r="A607" s="258" t="s">
        <v>913</v>
      </c>
      <c r="B607" s="460"/>
      <c r="C607" s="460"/>
      <c r="D607" s="257">
        <v>17.49</v>
      </c>
      <c r="E607" s="257">
        <v>8.99</v>
      </c>
      <c r="F607" s="257">
        <f t="shared" si="206"/>
        <v>8.5</v>
      </c>
      <c r="G607" s="258">
        <v>1.0</v>
      </c>
      <c r="H607" s="257">
        <f t="shared" si="205"/>
        <v>8.99</v>
      </c>
    </row>
    <row r="608">
      <c r="A608" s="258" t="s">
        <v>939</v>
      </c>
      <c r="B608" s="460"/>
      <c r="C608" s="460"/>
      <c r="D608" s="257">
        <v>14.99</v>
      </c>
      <c r="E608" s="257">
        <v>9.74</v>
      </c>
      <c r="F608" s="257">
        <f t="shared" si="206"/>
        <v>5.25</v>
      </c>
      <c r="G608" s="258">
        <v>1.0</v>
      </c>
      <c r="H608" s="257">
        <f t="shared" si="205"/>
        <v>9.74</v>
      </c>
    </row>
    <row r="609">
      <c r="A609" s="258" t="s">
        <v>829</v>
      </c>
      <c r="B609" s="460"/>
      <c r="C609" s="460"/>
      <c r="D609" s="257">
        <v>12.98</v>
      </c>
      <c r="E609" s="257">
        <v>12.98</v>
      </c>
      <c r="F609" s="257">
        <f t="shared" si="206"/>
        <v>0</v>
      </c>
      <c r="G609" s="258">
        <v>1.0</v>
      </c>
      <c r="H609" s="257">
        <f t="shared" si="205"/>
        <v>12.98</v>
      </c>
    </row>
    <row r="610">
      <c r="A610" s="461"/>
      <c r="B610" s="462"/>
      <c r="C610" s="461"/>
      <c r="D610" s="461"/>
      <c r="E610" s="461"/>
      <c r="F610" s="461"/>
      <c r="G610" s="461"/>
      <c r="H610" s="461"/>
    </row>
    <row r="611">
      <c r="A611" s="53" t="s">
        <v>266</v>
      </c>
      <c r="B611" s="53" t="s">
        <v>265</v>
      </c>
      <c r="C611" s="75">
        <f>COUNTA(A612:A616)</f>
        <v>5</v>
      </c>
      <c r="D611" s="163">
        <f t="shared" ref="D611:G611" si="207">SUM(D612:D616)</f>
        <v>141.94</v>
      </c>
      <c r="E611" s="163">
        <f t="shared" si="207"/>
        <v>66.94</v>
      </c>
      <c r="F611" s="163">
        <f t="shared" si="207"/>
        <v>75</v>
      </c>
      <c r="G611" s="75">
        <f t="shared" si="207"/>
        <v>43</v>
      </c>
      <c r="H611" s="163">
        <f t="shared" ref="H611:H616" si="208">E611/G611</f>
        <v>1.556744186</v>
      </c>
    </row>
    <row r="612">
      <c r="A612" s="79" t="s">
        <v>1023</v>
      </c>
      <c r="B612" s="1"/>
      <c r="C612" s="1"/>
      <c r="D612" s="52">
        <v>51.98</v>
      </c>
      <c r="E612" s="52">
        <v>16.98</v>
      </c>
      <c r="F612" s="52">
        <f t="shared" ref="F612:F616" si="209">D612-E612</f>
        <v>35</v>
      </c>
      <c r="G612" s="79">
        <v>34.0</v>
      </c>
      <c r="H612" s="52">
        <f t="shared" si="208"/>
        <v>0.4994117647</v>
      </c>
    </row>
    <row r="613">
      <c r="A613" s="79" t="s">
        <v>1031</v>
      </c>
      <c r="B613" s="1"/>
      <c r="C613" s="1"/>
      <c r="D613" s="166">
        <v>59.99</v>
      </c>
      <c r="E613" s="166">
        <v>29.99</v>
      </c>
      <c r="F613" s="166">
        <f t="shared" si="209"/>
        <v>30</v>
      </c>
      <c r="G613" s="79">
        <v>6.0</v>
      </c>
      <c r="H613" s="52">
        <f t="shared" si="208"/>
        <v>4.998333333</v>
      </c>
    </row>
    <row r="614">
      <c r="A614" s="49" t="s">
        <v>1014</v>
      </c>
      <c r="B614" s="1"/>
      <c r="C614" s="1"/>
      <c r="D614" s="52">
        <v>9.99</v>
      </c>
      <c r="E614" s="52">
        <v>4.99</v>
      </c>
      <c r="F614" s="52">
        <f t="shared" si="209"/>
        <v>5</v>
      </c>
      <c r="G614" s="79">
        <v>1.0</v>
      </c>
      <c r="H614" s="52">
        <f t="shared" si="208"/>
        <v>4.99</v>
      </c>
    </row>
    <row r="615">
      <c r="A615" s="49" t="s">
        <v>1007</v>
      </c>
      <c r="B615" s="1"/>
      <c r="C615" s="1"/>
      <c r="D615" s="52">
        <v>4.99</v>
      </c>
      <c r="E615" s="52">
        <v>4.99</v>
      </c>
      <c r="F615" s="52">
        <f t="shared" si="209"/>
        <v>0</v>
      </c>
      <c r="G615" s="79">
        <v>1.0</v>
      </c>
      <c r="H615" s="52">
        <f t="shared" si="208"/>
        <v>4.99</v>
      </c>
    </row>
    <row r="616">
      <c r="A616" s="49" t="s">
        <v>1008</v>
      </c>
      <c r="B616" s="1"/>
      <c r="C616" s="1"/>
      <c r="D616" s="52">
        <v>14.99</v>
      </c>
      <c r="E616" s="52">
        <v>9.99</v>
      </c>
      <c r="F616" s="52">
        <f t="shared" si="209"/>
        <v>5</v>
      </c>
      <c r="G616" s="79">
        <v>1.0</v>
      </c>
      <c r="H616" s="52">
        <f t="shared" si="208"/>
        <v>9.99</v>
      </c>
    </row>
    <row r="617">
      <c r="A617" s="461"/>
      <c r="B617" s="462"/>
      <c r="C617" s="461"/>
      <c r="D617" s="461"/>
      <c r="E617" s="461"/>
      <c r="F617" s="461"/>
      <c r="G617" s="461"/>
      <c r="H617" s="461"/>
    </row>
    <row r="618">
      <c r="A618" s="43" t="s">
        <v>184</v>
      </c>
      <c r="B618" s="43" t="s">
        <v>25</v>
      </c>
      <c r="C618" s="44">
        <f>COUNTA(A619)</f>
        <v>1</v>
      </c>
      <c r="D618" s="47">
        <f t="shared" ref="D618:G618" si="210">SUM(D619)</f>
        <v>69.99</v>
      </c>
      <c r="E618" s="47">
        <f t="shared" si="210"/>
        <v>34.99</v>
      </c>
      <c r="F618" s="47">
        <f t="shared" si="210"/>
        <v>35</v>
      </c>
      <c r="G618" s="43">
        <f t="shared" si="210"/>
        <v>42</v>
      </c>
      <c r="H618" s="47">
        <f t="shared" ref="H618:H619" si="211">E618/G618</f>
        <v>0.8330952381</v>
      </c>
    </row>
    <row r="619">
      <c r="A619" s="72" t="s">
        <v>955</v>
      </c>
      <c r="B619" s="1"/>
      <c r="C619" s="1"/>
      <c r="D619" s="71">
        <v>69.99</v>
      </c>
      <c r="E619" s="71">
        <v>34.99</v>
      </c>
      <c r="F619" s="71">
        <f>D619-E619</f>
        <v>35</v>
      </c>
      <c r="G619" s="39">
        <v>42.0</v>
      </c>
      <c r="H619" s="71">
        <f t="shared" si="211"/>
        <v>0.8330952381</v>
      </c>
    </row>
    <row r="620">
      <c r="A620" s="461"/>
      <c r="B620" s="462"/>
      <c r="C620" s="461"/>
      <c r="D620" s="461"/>
      <c r="E620" s="461"/>
      <c r="F620" s="461"/>
      <c r="G620" s="461"/>
      <c r="H620" s="461"/>
    </row>
    <row r="621">
      <c r="A621" s="43" t="s">
        <v>393</v>
      </c>
      <c r="B621" s="43" t="s">
        <v>394</v>
      </c>
      <c r="C621" s="44">
        <f>COUNTA(A622:A623)</f>
        <v>2</v>
      </c>
      <c r="D621" s="46">
        <f t="shared" ref="D621:G621" si="212">SUM(D622:D623)</f>
        <v>54.98</v>
      </c>
      <c r="E621" s="46">
        <f t="shared" si="212"/>
        <v>35.43</v>
      </c>
      <c r="F621" s="46">
        <f t="shared" si="212"/>
        <v>19.55</v>
      </c>
      <c r="G621" s="43">
        <f t="shared" si="212"/>
        <v>42</v>
      </c>
      <c r="H621" s="46">
        <f t="shared" ref="H621:H623" si="213">E621/G621</f>
        <v>0.8435714286</v>
      </c>
    </row>
    <row r="622">
      <c r="A622" s="39" t="s">
        <v>1330</v>
      </c>
      <c r="B622" s="1"/>
      <c r="C622" s="1"/>
      <c r="D622" s="42">
        <v>34.99</v>
      </c>
      <c r="E622" s="42">
        <v>23.44</v>
      </c>
      <c r="F622" s="42">
        <f t="shared" ref="F622:F623" si="214">D622-E622</f>
        <v>11.55</v>
      </c>
      <c r="G622" s="39">
        <v>34.0</v>
      </c>
      <c r="H622" s="71">
        <f t="shared" si="213"/>
        <v>0.6894117647</v>
      </c>
    </row>
    <row r="623">
      <c r="A623" s="39" t="s">
        <v>1329</v>
      </c>
      <c r="B623" s="1"/>
      <c r="C623" s="1"/>
      <c r="D623" s="71">
        <v>19.99</v>
      </c>
      <c r="E623" s="71">
        <v>11.99</v>
      </c>
      <c r="F623" s="71">
        <f t="shared" si="214"/>
        <v>8</v>
      </c>
      <c r="G623" s="39">
        <v>8.0</v>
      </c>
      <c r="H623" s="71">
        <f t="shared" si="213"/>
        <v>1.49875</v>
      </c>
    </row>
    <row r="624">
      <c r="A624" s="461"/>
      <c r="B624" s="462"/>
      <c r="C624" s="461"/>
      <c r="D624" s="461"/>
      <c r="E624" s="461"/>
      <c r="F624" s="461"/>
      <c r="G624" s="461"/>
      <c r="H624" s="461"/>
    </row>
    <row r="625">
      <c r="A625" s="43" t="s">
        <v>211</v>
      </c>
      <c r="B625" s="43" t="s">
        <v>25</v>
      </c>
      <c r="C625" s="44">
        <f>COUNTA(A626:A629)</f>
        <v>4</v>
      </c>
      <c r="D625" s="145">
        <f t="shared" ref="D625:G625" si="215">SUM(D626:D629)</f>
        <v>104.96</v>
      </c>
      <c r="E625" s="145">
        <f t="shared" si="215"/>
        <v>71.97</v>
      </c>
      <c r="F625" s="145">
        <f t="shared" si="215"/>
        <v>32.99</v>
      </c>
      <c r="G625" s="44">
        <f t="shared" si="215"/>
        <v>42</v>
      </c>
      <c r="H625" s="145">
        <f t="shared" ref="H625:H629" si="216">E625/G625</f>
        <v>1.713571429</v>
      </c>
    </row>
    <row r="626">
      <c r="A626" s="39" t="s">
        <v>839</v>
      </c>
      <c r="B626" s="1"/>
      <c r="C626" s="1"/>
      <c r="D626" s="71">
        <v>14.99</v>
      </c>
      <c r="E626" s="71">
        <v>10.5</v>
      </c>
      <c r="F626" s="71">
        <f t="shared" ref="F626:F629" si="217">D626-E626</f>
        <v>4.49</v>
      </c>
      <c r="G626" s="39">
        <v>20.0</v>
      </c>
      <c r="H626" s="71">
        <f t="shared" si="216"/>
        <v>0.525</v>
      </c>
    </row>
    <row r="627">
      <c r="A627" s="39" t="s">
        <v>849</v>
      </c>
      <c r="B627" s="1"/>
      <c r="C627" s="1"/>
      <c r="D627" s="71">
        <v>29.99</v>
      </c>
      <c r="E627" s="71">
        <v>19.49</v>
      </c>
      <c r="F627" s="71">
        <f t="shared" si="217"/>
        <v>10.5</v>
      </c>
      <c r="G627" s="39">
        <v>20.0</v>
      </c>
      <c r="H627" s="71">
        <f t="shared" si="216"/>
        <v>0.9745</v>
      </c>
    </row>
    <row r="628">
      <c r="A628" s="39" t="s">
        <v>905</v>
      </c>
      <c r="B628" s="1"/>
      <c r="C628" s="1"/>
      <c r="D628" s="71">
        <v>19.99</v>
      </c>
      <c r="E628" s="71">
        <v>11.99</v>
      </c>
      <c r="F628" s="71">
        <f t="shared" si="217"/>
        <v>8</v>
      </c>
      <c r="G628" s="39">
        <v>1.0</v>
      </c>
      <c r="H628" s="71">
        <f t="shared" si="216"/>
        <v>11.99</v>
      </c>
    </row>
    <row r="629">
      <c r="A629" s="39" t="s">
        <v>930</v>
      </c>
      <c r="B629" s="1"/>
      <c r="C629" s="1"/>
      <c r="D629" s="71">
        <v>39.99</v>
      </c>
      <c r="E629" s="71">
        <v>29.99</v>
      </c>
      <c r="F629" s="71">
        <f t="shared" si="217"/>
        <v>10</v>
      </c>
      <c r="G629" s="39">
        <v>1.0</v>
      </c>
      <c r="H629" s="71">
        <f t="shared" si="216"/>
        <v>29.99</v>
      </c>
    </row>
    <row r="630">
      <c r="A630" s="461"/>
      <c r="B630" s="462"/>
      <c r="C630" s="461"/>
      <c r="D630" s="461"/>
      <c r="E630" s="461"/>
      <c r="F630" s="461"/>
      <c r="G630" s="461"/>
      <c r="H630" s="461"/>
    </row>
    <row r="631">
      <c r="A631" s="43" t="s">
        <v>574</v>
      </c>
      <c r="B631" s="43" t="s">
        <v>29</v>
      </c>
      <c r="C631" s="44">
        <f>COUNTA(A632:A633)</f>
        <v>2</v>
      </c>
      <c r="D631" s="47">
        <f t="shared" ref="D631:G631" si="218">SUM(D632:D633)</f>
        <v>39.98</v>
      </c>
      <c r="E631" s="47">
        <f t="shared" si="218"/>
        <v>15.98</v>
      </c>
      <c r="F631" s="47">
        <f t="shared" si="218"/>
        <v>24</v>
      </c>
      <c r="G631" s="43">
        <f t="shared" si="218"/>
        <v>41</v>
      </c>
      <c r="H631" s="47">
        <f t="shared" ref="H631:H633" si="219">E631/G631</f>
        <v>0.3897560976</v>
      </c>
    </row>
    <row r="632">
      <c r="A632" s="72" t="s">
        <v>1484</v>
      </c>
      <c r="B632" s="1"/>
      <c r="C632" s="1"/>
      <c r="D632" s="71">
        <v>19.99</v>
      </c>
      <c r="E632" s="71">
        <v>7.99</v>
      </c>
      <c r="F632" s="71">
        <f t="shared" ref="F632:F633" si="220">D632-E632</f>
        <v>12</v>
      </c>
      <c r="G632" s="39">
        <v>23.0</v>
      </c>
      <c r="H632" s="71">
        <f t="shared" si="219"/>
        <v>0.3473913043</v>
      </c>
    </row>
    <row r="633">
      <c r="A633" s="72" t="s">
        <v>1475</v>
      </c>
      <c r="B633" s="1"/>
      <c r="C633" s="1"/>
      <c r="D633" s="71">
        <v>19.99</v>
      </c>
      <c r="E633" s="71">
        <v>7.99</v>
      </c>
      <c r="F633" s="71">
        <f t="shared" si="220"/>
        <v>12</v>
      </c>
      <c r="G633" s="39">
        <v>18.0</v>
      </c>
      <c r="H633" s="71">
        <f t="shared" si="219"/>
        <v>0.4438888889</v>
      </c>
    </row>
    <row r="634">
      <c r="A634" s="461"/>
      <c r="B634" s="462"/>
      <c r="C634" s="461"/>
      <c r="D634" s="461"/>
      <c r="E634" s="461"/>
      <c r="F634" s="461"/>
      <c r="G634" s="461"/>
      <c r="H634" s="461"/>
    </row>
    <row r="635">
      <c r="A635" s="43" t="s">
        <v>541</v>
      </c>
      <c r="B635" s="69" t="s">
        <v>29</v>
      </c>
      <c r="C635" s="44">
        <f>COUNTA(A636)</f>
        <v>1</v>
      </c>
      <c r="D635" s="47">
        <f t="shared" ref="D635:G635" si="221">SUM(D636)</f>
        <v>59.99</v>
      </c>
      <c r="E635" s="47">
        <f t="shared" si="221"/>
        <v>8</v>
      </c>
      <c r="F635" s="47">
        <f t="shared" si="221"/>
        <v>51.99</v>
      </c>
      <c r="G635" s="43">
        <f t="shared" si="221"/>
        <v>40</v>
      </c>
      <c r="H635" s="47">
        <f t="shared" ref="H635:H636" si="222">E635/G635</f>
        <v>0.2</v>
      </c>
    </row>
    <row r="636">
      <c r="A636" s="39" t="s">
        <v>1541</v>
      </c>
      <c r="B636" s="1"/>
      <c r="C636" s="1"/>
      <c r="D636" s="71">
        <v>59.99</v>
      </c>
      <c r="E636" s="71">
        <v>8.0</v>
      </c>
      <c r="F636" s="71">
        <f>D636-E636</f>
        <v>51.99</v>
      </c>
      <c r="G636" s="39">
        <v>40.0</v>
      </c>
      <c r="H636" s="71">
        <f t="shared" si="222"/>
        <v>0.2</v>
      </c>
    </row>
    <row r="637">
      <c r="A637" s="461"/>
      <c r="B637" s="462"/>
      <c r="C637" s="461"/>
      <c r="D637" s="461"/>
      <c r="E637" s="461"/>
      <c r="F637" s="461"/>
      <c r="G637" s="461"/>
      <c r="H637" s="461"/>
    </row>
    <row r="638">
      <c r="A638" s="43" t="s">
        <v>542</v>
      </c>
      <c r="B638" s="69" t="s">
        <v>29</v>
      </c>
      <c r="C638" s="44">
        <f>COUNTA(A639)</f>
        <v>1</v>
      </c>
      <c r="D638" s="47">
        <f t="shared" ref="D638:G638" si="223">SUM(D639)</f>
        <v>39.99</v>
      </c>
      <c r="E638" s="47">
        <f t="shared" si="223"/>
        <v>19.99</v>
      </c>
      <c r="F638" s="47">
        <f t="shared" si="223"/>
        <v>20</v>
      </c>
      <c r="G638" s="43">
        <f t="shared" si="223"/>
        <v>40</v>
      </c>
      <c r="H638" s="47">
        <f t="shared" ref="H638:H639" si="224">E638/G638</f>
        <v>0.49975</v>
      </c>
    </row>
    <row r="639">
      <c r="A639" s="39" t="s">
        <v>1552</v>
      </c>
      <c r="B639" s="1"/>
      <c r="C639" s="1"/>
      <c r="D639" s="71">
        <v>39.99</v>
      </c>
      <c r="E639" s="71">
        <v>19.99</v>
      </c>
      <c r="F639" s="71">
        <f>D639-E639</f>
        <v>20</v>
      </c>
      <c r="G639" s="39">
        <v>40.0</v>
      </c>
      <c r="H639" s="71">
        <f t="shared" si="224"/>
        <v>0.49975</v>
      </c>
    </row>
    <row r="640">
      <c r="A640" s="461"/>
      <c r="B640" s="462"/>
      <c r="C640" s="461"/>
      <c r="D640" s="461"/>
      <c r="E640" s="461"/>
      <c r="F640" s="461"/>
      <c r="G640" s="461"/>
      <c r="H640" s="461"/>
    </row>
    <row r="641">
      <c r="A641" s="102" t="s">
        <v>293</v>
      </c>
      <c r="B641" s="170" t="s">
        <v>291</v>
      </c>
      <c r="C641" s="103">
        <f>COUNTA(A642:A643)</f>
        <v>2</v>
      </c>
      <c r="D641" s="170">
        <f t="shared" ref="D641:G641" si="225">SUM(D642:D643)</f>
        <v>79.98</v>
      </c>
      <c r="E641" s="170">
        <f t="shared" si="225"/>
        <v>19.98</v>
      </c>
      <c r="F641" s="170">
        <f t="shared" si="225"/>
        <v>60</v>
      </c>
      <c r="G641" s="102">
        <f t="shared" si="225"/>
        <v>40</v>
      </c>
      <c r="H641" s="170">
        <f t="shared" ref="H641:H643" si="226">E641/G641</f>
        <v>0.4995</v>
      </c>
    </row>
    <row r="642">
      <c r="A642" s="25" t="s">
        <v>1045</v>
      </c>
      <c r="B642" s="1"/>
      <c r="C642" s="1"/>
      <c r="D642" s="26">
        <v>39.99</v>
      </c>
      <c r="E642" s="26">
        <v>11.99</v>
      </c>
      <c r="F642" s="26">
        <f t="shared" ref="F642:F643" si="227">D642-E642</f>
        <v>28</v>
      </c>
      <c r="G642" s="25">
        <v>21.0</v>
      </c>
      <c r="H642" s="26">
        <f t="shared" si="226"/>
        <v>0.570952381</v>
      </c>
    </row>
    <row r="643">
      <c r="A643" s="25" t="s">
        <v>1775</v>
      </c>
      <c r="B643" s="1"/>
      <c r="C643" s="1"/>
      <c r="D643" s="26">
        <v>39.99</v>
      </c>
      <c r="E643" s="26">
        <v>7.99</v>
      </c>
      <c r="F643" s="26">
        <f t="shared" si="227"/>
        <v>32</v>
      </c>
      <c r="G643" s="25">
        <v>19.0</v>
      </c>
      <c r="H643" s="26">
        <f t="shared" si="226"/>
        <v>0.4205263158</v>
      </c>
    </row>
    <row r="644">
      <c r="A644" s="461"/>
      <c r="B644" s="462"/>
      <c r="C644" s="461"/>
      <c r="D644" s="461"/>
      <c r="E644" s="461"/>
      <c r="F644" s="461"/>
      <c r="G644" s="461"/>
      <c r="H644" s="461"/>
    </row>
    <row r="645">
      <c r="A645" s="102" t="s">
        <v>306</v>
      </c>
      <c r="B645" s="102" t="s">
        <v>291</v>
      </c>
      <c r="C645" s="103">
        <f>COUNTA(A646)</f>
        <v>1</v>
      </c>
      <c r="D645" s="170">
        <f t="shared" ref="D645:G645" si="228">SUM(D646)</f>
        <v>19.99</v>
      </c>
      <c r="E645" s="170">
        <f t="shared" si="228"/>
        <v>19.99</v>
      </c>
      <c r="F645" s="170">
        <f t="shared" si="228"/>
        <v>0</v>
      </c>
      <c r="G645" s="102">
        <f t="shared" si="228"/>
        <v>40</v>
      </c>
      <c r="H645" s="170">
        <f t="shared" ref="H645:H646" si="229">E645/G645</f>
        <v>0.49975</v>
      </c>
    </row>
    <row r="646">
      <c r="A646" s="273" t="s">
        <v>1033</v>
      </c>
      <c r="B646" s="1"/>
      <c r="C646" s="1"/>
      <c r="D646" s="484">
        <v>19.99</v>
      </c>
      <c r="E646" s="484">
        <v>19.99</v>
      </c>
      <c r="F646" s="484">
        <f>D646-E646</f>
        <v>0</v>
      </c>
      <c r="G646" s="273">
        <v>40.0</v>
      </c>
      <c r="H646" s="484">
        <f t="shared" si="229"/>
        <v>0.49975</v>
      </c>
    </row>
    <row r="647">
      <c r="A647" s="461"/>
      <c r="B647" s="462"/>
      <c r="C647" s="461"/>
      <c r="D647" s="461"/>
      <c r="E647" s="461"/>
      <c r="F647" s="461"/>
      <c r="G647" s="461"/>
      <c r="H647" s="461"/>
    </row>
    <row r="648">
      <c r="A648" s="43" t="s">
        <v>217</v>
      </c>
      <c r="B648" s="43" t="s">
        <v>25</v>
      </c>
      <c r="C648" s="44">
        <f>COUNTA(A649:A650)</f>
        <v>2</v>
      </c>
      <c r="D648" s="47">
        <f t="shared" ref="D648:G648" si="230">SUM(D649:D650)</f>
        <v>15.97</v>
      </c>
      <c r="E648" s="47">
        <f t="shared" si="230"/>
        <v>15.97</v>
      </c>
      <c r="F648" s="47">
        <f t="shared" si="230"/>
        <v>0</v>
      </c>
      <c r="G648" s="43">
        <f t="shared" si="230"/>
        <v>39</v>
      </c>
      <c r="H648" s="47">
        <f t="shared" ref="H648:H650" si="231">E648/G648</f>
        <v>0.4094871795</v>
      </c>
    </row>
    <row r="649">
      <c r="A649" s="39" t="s">
        <v>886</v>
      </c>
      <c r="B649" s="1"/>
      <c r="C649" s="1"/>
      <c r="D649" s="71">
        <v>2.99</v>
      </c>
      <c r="E649" s="71">
        <v>2.99</v>
      </c>
      <c r="F649" s="71">
        <f t="shared" ref="F649:F650" si="232">D649-E649</f>
        <v>0</v>
      </c>
      <c r="G649" s="39">
        <v>25.0</v>
      </c>
      <c r="H649" s="71">
        <f t="shared" si="231"/>
        <v>0.1196</v>
      </c>
    </row>
    <row r="650">
      <c r="A650" s="39" t="s">
        <v>909</v>
      </c>
      <c r="B650" s="1"/>
      <c r="C650" s="1"/>
      <c r="D650" s="71">
        <v>12.98</v>
      </c>
      <c r="E650" s="71">
        <v>12.98</v>
      </c>
      <c r="F650" s="71">
        <f t="shared" si="232"/>
        <v>0</v>
      </c>
      <c r="G650" s="39">
        <v>14.0</v>
      </c>
      <c r="H650" s="71">
        <f t="shared" si="231"/>
        <v>0.9271428571</v>
      </c>
    </row>
    <row r="651">
      <c r="A651" s="461"/>
      <c r="B651" s="462"/>
      <c r="C651" s="461"/>
      <c r="D651" s="461"/>
      <c r="E651" s="461"/>
      <c r="F651" s="461"/>
      <c r="G651" s="461"/>
      <c r="H651" s="461"/>
    </row>
    <row r="652">
      <c r="A652" s="53" t="s">
        <v>254</v>
      </c>
      <c r="B652" s="53" t="s">
        <v>255</v>
      </c>
      <c r="C652" s="75">
        <f>COUNTA(A653:A655)</f>
        <v>3</v>
      </c>
      <c r="D652" s="76">
        <f t="shared" ref="D652:G652" si="233">SUM(D653:D655)</f>
        <v>34.96</v>
      </c>
      <c r="E652" s="76">
        <f t="shared" si="233"/>
        <v>18.46</v>
      </c>
      <c r="F652" s="76">
        <f t="shared" si="233"/>
        <v>16.5</v>
      </c>
      <c r="G652" s="53">
        <f t="shared" si="233"/>
        <v>39</v>
      </c>
      <c r="H652" s="76">
        <f t="shared" ref="H652:H655" si="234">E652/G652</f>
        <v>0.4733333333</v>
      </c>
    </row>
    <row r="653">
      <c r="A653" s="79" t="s">
        <v>989</v>
      </c>
      <c r="B653" s="1"/>
      <c r="C653" s="1"/>
      <c r="D653" s="52">
        <v>14.99</v>
      </c>
      <c r="E653" s="52">
        <v>4.49</v>
      </c>
      <c r="F653" s="52">
        <f t="shared" ref="F653:F655" si="235">D653-E653</f>
        <v>10.5</v>
      </c>
      <c r="G653" s="79">
        <v>33.0</v>
      </c>
      <c r="H653" s="52">
        <f t="shared" si="234"/>
        <v>0.1360606061</v>
      </c>
    </row>
    <row r="654">
      <c r="A654" s="79" t="s">
        <v>984</v>
      </c>
      <c r="B654" s="1"/>
      <c r="C654" s="1"/>
      <c r="D654" s="52">
        <v>9.98</v>
      </c>
      <c r="E654" s="52">
        <v>9.98</v>
      </c>
      <c r="F654" s="52">
        <f t="shared" si="235"/>
        <v>0</v>
      </c>
      <c r="G654" s="79">
        <v>5.0</v>
      </c>
      <c r="H654" s="52">
        <f t="shared" si="234"/>
        <v>1.996</v>
      </c>
    </row>
    <row r="655">
      <c r="A655" s="79" t="s">
        <v>986</v>
      </c>
      <c r="B655" s="1"/>
      <c r="C655" s="1"/>
      <c r="D655" s="52">
        <v>9.99</v>
      </c>
      <c r="E655" s="52">
        <v>3.99</v>
      </c>
      <c r="F655" s="52">
        <f t="shared" si="235"/>
        <v>6</v>
      </c>
      <c r="G655" s="79">
        <v>1.0</v>
      </c>
      <c r="H655" s="52">
        <f t="shared" si="234"/>
        <v>3.99</v>
      </c>
    </row>
    <row r="656">
      <c r="A656" s="461"/>
      <c r="B656" s="462"/>
      <c r="C656" s="461"/>
      <c r="D656" s="461"/>
      <c r="E656" s="461"/>
      <c r="F656" s="461"/>
      <c r="G656" s="461"/>
      <c r="H656" s="461"/>
    </row>
    <row r="657">
      <c r="A657" s="43" t="s">
        <v>104</v>
      </c>
      <c r="B657" s="43" t="s">
        <v>92</v>
      </c>
      <c r="C657" s="44">
        <f>COUNTA(A658)</f>
        <v>1</v>
      </c>
      <c r="D657" s="47">
        <f t="shared" ref="D657:G657" si="236">SUM(D658)</f>
        <v>24.99</v>
      </c>
      <c r="E657" s="47">
        <f t="shared" si="236"/>
        <v>0</v>
      </c>
      <c r="F657" s="47">
        <f t="shared" si="236"/>
        <v>24.99</v>
      </c>
      <c r="G657" s="43">
        <f t="shared" si="236"/>
        <v>37</v>
      </c>
      <c r="H657" s="47">
        <f t="shared" ref="H657:H658" si="237">E657/G657</f>
        <v>0</v>
      </c>
    </row>
    <row r="658">
      <c r="A658" s="39" t="s">
        <v>755</v>
      </c>
      <c r="B658" s="1"/>
      <c r="C658" s="1"/>
      <c r="D658" s="71">
        <v>24.99</v>
      </c>
      <c r="E658" s="71">
        <v>0.0</v>
      </c>
      <c r="F658" s="71">
        <f>D658-E658</f>
        <v>24.99</v>
      </c>
      <c r="G658" s="39">
        <v>37.0</v>
      </c>
      <c r="H658" s="71">
        <f t="shared" si="237"/>
        <v>0</v>
      </c>
    </row>
    <row r="659">
      <c r="A659" s="461"/>
      <c r="B659" s="462"/>
      <c r="C659" s="461"/>
      <c r="D659" s="461"/>
      <c r="E659" s="461"/>
      <c r="F659" s="461"/>
      <c r="G659" s="461"/>
      <c r="H659" s="461"/>
    </row>
    <row r="660">
      <c r="A660" s="43" t="s">
        <v>544</v>
      </c>
      <c r="B660" s="43" t="s">
        <v>29</v>
      </c>
      <c r="C660" s="44">
        <f>COUNTA(A661:A662)</f>
        <v>2</v>
      </c>
      <c r="D660" s="47">
        <f t="shared" ref="D660:G660" si="238">SUM(D661:D662)</f>
        <v>26.38</v>
      </c>
      <c r="E660" s="47">
        <f t="shared" si="238"/>
        <v>20.88</v>
      </c>
      <c r="F660" s="47">
        <f t="shared" si="238"/>
        <v>5.5</v>
      </c>
      <c r="G660" s="43">
        <f t="shared" si="238"/>
        <v>37</v>
      </c>
      <c r="H660" s="47">
        <f t="shared" ref="H660:H662" si="239">E660/G660</f>
        <v>0.5643243243</v>
      </c>
    </row>
    <row r="661">
      <c r="A661" s="39" t="s">
        <v>1643</v>
      </c>
      <c r="B661" s="1"/>
      <c r="C661" s="1"/>
      <c r="D661" s="71">
        <v>18.89</v>
      </c>
      <c r="E661" s="71">
        <v>18.89</v>
      </c>
      <c r="F661" s="71">
        <f t="shared" ref="F661:F662" si="240">D661-E661</f>
        <v>0</v>
      </c>
      <c r="G661" s="39">
        <v>26.0</v>
      </c>
      <c r="H661" s="71">
        <f t="shared" si="239"/>
        <v>0.7265384615</v>
      </c>
    </row>
    <row r="662">
      <c r="A662" s="39" t="s">
        <v>1558</v>
      </c>
      <c r="B662" s="1"/>
      <c r="C662" s="1"/>
      <c r="D662" s="71">
        <v>7.49</v>
      </c>
      <c r="E662" s="71">
        <v>1.99</v>
      </c>
      <c r="F662" s="71">
        <f t="shared" si="240"/>
        <v>5.5</v>
      </c>
      <c r="G662" s="39">
        <v>11.0</v>
      </c>
      <c r="H662" s="71">
        <f t="shared" si="239"/>
        <v>0.1809090909</v>
      </c>
    </row>
    <row r="663">
      <c r="A663" s="461"/>
      <c r="B663" s="462"/>
      <c r="C663" s="461"/>
      <c r="D663" s="461"/>
      <c r="E663" s="461"/>
      <c r="F663" s="461"/>
      <c r="G663" s="461"/>
      <c r="H663" s="461"/>
    </row>
    <row r="664">
      <c r="A664" s="43" t="s">
        <v>129</v>
      </c>
      <c r="B664" s="43" t="s">
        <v>92</v>
      </c>
      <c r="C664" s="44">
        <f>COUNTA(A665)</f>
        <v>1</v>
      </c>
      <c r="D664" s="47">
        <f t="shared" ref="D664:G664" si="241">SUM(D665)</f>
        <v>13.99</v>
      </c>
      <c r="E664" s="47">
        <f t="shared" si="241"/>
        <v>5.99</v>
      </c>
      <c r="F664" s="47">
        <f t="shared" si="241"/>
        <v>8</v>
      </c>
      <c r="G664" s="43">
        <f t="shared" si="241"/>
        <v>36</v>
      </c>
      <c r="H664" s="47">
        <f t="shared" ref="H664:H665" si="242">E664/G664</f>
        <v>0.1663888889</v>
      </c>
    </row>
    <row r="665">
      <c r="A665" s="39" t="s">
        <v>686</v>
      </c>
      <c r="B665" s="1"/>
      <c r="C665" s="1"/>
      <c r="D665" s="71">
        <v>13.99</v>
      </c>
      <c r="E665" s="71">
        <v>5.99</v>
      </c>
      <c r="F665" s="71">
        <f>D665-E665</f>
        <v>8</v>
      </c>
      <c r="G665" s="39">
        <v>36.0</v>
      </c>
      <c r="H665" s="71">
        <f t="shared" si="242"/>
        <v>0.1663888889</v>
      </c>
    </row>
    <row r="666">
      <c r="A666" s="461"/>
      <c r="B666" s="462"/>
      <c r="C666" s="461"/>
      <c r="D666" s="461"/>
      <c r="E666" s="461"/>
      <c r="F666" s="461"/>
      <c r="G666" s="461"/>
      <c r="H666" s="461"/>
    </row>
    <row r="667">
      <c r="A667" s="43" t="s">
        <v>81</v>
      </c>
      <c r="B667" s="43" t="s">
        <v>79</v>
      </c>
      <c r="C667" s="44">
        <f>COUNTA(A668:A670)</f>
        <v>3</v>
      </c>
      <c r="D667" s="47">
        <f t="shared" ref="D667:G667" si="243">SUM(D668:D670)</f>
        <v>129.97</v>
      </c>
      <c r="E667" s="47">
        <f t="shared" si="243"/>
        <v>70.97</v>
      </c>
      <c r="F667" s="47">
        <f t="shared" si="243"/>
        <v>59</v>
      </c>
      <c r="G667" s="43">
        <f t="shared" si="243"/>
        <v>36</v>
      </c>
      <c r="H667" s="47">
        <f t="shared" ref="H667:H670" si="244">E667/G667</f>
        <v>1.971388889</v>
      </c>
    </row>
    <row r="668">
      <c r="A668" s="39" t="s">
        <v>674</v>
      </c>
      <c r="B668" s="1"/>
      <c r="C668" s="1"/>
      <c r="D668" s="71">
        <v>39.99</v>
      </c>
      <c r="E668" s="71">
        <v>22.99</v>
      </c>
      <c r="F668" s="71">
        <f t="shared" ref="F668:F670" si="245">D668-E668</f>
        <v>17</v>
      </c>
      <c r="G668" s="39">
        <v>17.0</v>
      </c>
      <c r="H668" s="71">
        <f t="shared" si="244"/>
        <v>1.352352941</v>
      </c>
    </row>
    <row r="669">
      <c r="A669" s="72" t="s">
        <v>673</v>
      </c>
      <c r="B669" s="1"/>
      <c r="C669" s="1"/>
      <c r="D669" s="71">
        <v>29.99</v>
      </c>
      <c r="E669" s="71">
        <v>17.99</v>
      </c>
      <c r="F669" s="71">
        <f t="shared" si="245"/>
        <v>12</v>
      </c>
      <c r="G669" s="39">
        <v>15.0</v>
      </c>
      <c r="H669" s="71">
        <f t="shared" si="244"/>
        <v>1.199333333</v>
      </c>
    </row>
    <row r="670">
      <c r="A670" s="39" t="s">
        <v>675</v>
      </c>
      <c r="B670" s="1"/>
      <c r="C670" s="1"/>
      <c r="D670" s="42">
        <v>59.99</v>
      </c>
      <c r="E670" s="42">
        <v>29.99</v>
      </c>
      <c r="F670" s="42">
        <f t="shared" si="245"/>
        <v>30</v>
      </c>
      <c r="G670" s="72">
        <v>4.0</v>
      </c>
      <c r="H670" s="42">
        <f t="shared" si="244"/>
        <v>7.4975</v>
      </c>
    </row>
    <row r="671">
      <c r="A671" s="461"/>
      <c r="B671" s="462"/>
      <c r="C671" s="461"/>
      <c r="D671" s="461"/>
      <c r="E671" s="461"/>
      <c r="F671" s="461"/>
      <c r="G671" s="461"/>
      <c r="H671" s="461"/>
    </row>
    <row r="672">
      <c r="A672" s="43" t="s">
        <v>558</v>
      </c>
      <c r="B672" s="69" t="s">
        <v>29</v>
      </c>
      <c r="C672" s="44">
        <f>COUNTA(A673)</f>
        <v>1</v>
      </c>
      <c r="D672" s="47">
        <f t="shared" ref="D672:G672" si="246">SUM(D673)</f>
        <v>24.99</v>
      </c>
      <c r="E672" s="47">
        <f t="shared" si="246"/>
        <v>0</v>
      </c>
      <c r="F672" s="47">
        <f t="shared" si="246"/>
        <v>24.99</v>
      </c>
      <c r="G672" s="43">
        <f t="shared" si="246"/>
        <v>35</v>
      </c>
      <c r="H672" s="47">
        <f t="shared" ref="H672:H673" si="247">E672/G672</f>
        <v>0</v>
      </c>
    </row>
    <row r="673">
      <c r="A673" s="39" t="s">
        <v>1645</v>
      </c>
      <c r="B673" s="1"/>
      <c r="C673" s="1"/>
      <c r="D673" s="71">
        <v>24.99</v>
      </c>
      <c r="E673" s="71">
        <v>0.0</v>
      </c>
      <c r="F673" s="71">
        <f>D673-E673</f>
        <v>24.99</v>
      </c>
      <c r="G673" s="39">
        <v>35.0</v>
      </c>
      <c r="H673" s="71">
        <f t="shared" si="247"/>
        <v>0</v>
      </c>
    </row>
    <row r="674">
      <c r="A674" s="39"/>
      <c r="B674" s="1"/>
      <c r="C674" s="1"/>
      <c r="D674" s="71"/>
      <c r="E674" s="71"/>
      <c r="F674" s="71"/>
      <c r="G674" s="39"/>
      <c r="H674" s="71"/>
    </row>
    <row r="675">
      <c r="A675" s="43" t="s">
        <v>312</v>
      </c>
      <c r="B675" s="43" t="s">
        <v>313</v>
      </c>
      <c r="C675" s="44">
        <f>COUNTA(A676)</f>
        <v>1</v>
      </c>
      <c r="D675" s="47">
        <f t="shared" ref="D675:G675" si="248">SUM(D676)</f>
        <v>24.99</v>
      </c>
      <c r="E675" s="47">
        <f t="shared" si="248"/>
        <v>0</v>
      </c>
      <c r="F675" s="47">
        <f t="shared" si="248"/>
        <v>24.99</v>
      </c>
      <c r="G675" s="43">
        <f t="shared" si="248"/>
        <v>35</v>
      </c>
      <c r="H675" s="47">
        <f t="shared" ref="H675:H676" si="249">E675/G675</f>
        <v>0</v>
      </c>
    </row>
    <row r="676">
      <c r="A676" s="39" t="s">
        <v>1054</v>
      </c>
      <c r="B676" s="1"/>
      <c r="C676" s="1"/>
      <c r="D676" s="71">
        <v>24.99</v>
      </c>
      <c r="E676" s="71">
        <v>0.0</v>
      </c>
      <c r="F676" s="71">
        <f>D676-E676</f>
        <v>24.99</v>
      </c>
      <c r="G676" s="39">
        <v>35.0</v>
      </c>
      <c r="H676" s="71">
        <f t="shared" si="249"/>
        <v>0</v>
      </c>
    </row>
    <row r="677">
      <c r="A677" s="461"/>
      <c r="B677" s="462"/>
      <c r="C677" s="461"/>
      <c r="D677" s="461"/>
      <c r="E677" s="461"/>
      <c r="F677" s="461"/>
      <c r="G677" s="461"/>
      <c r="H677" s="461"/>
    </row>
    <row r="678">
      <c r="A678" s="43" t="s">
        <v>435</v>
      </c>
      <c r="B678" s="43" t="s">
        <v>436</v>
      </c>
      <c r="C678" s="44">
        <f>COUNTA(A679:A681)</f>
        <v>3</v>
      </c>
      <c r="D678" s="47">
        <f t="shared" ref="D678:G678" si="250">SUM(D679:D681)</f>
        <v>44.97</v>
      </c>
      <c r="E678" s="47">
        <f t="shared" si="250"/>
        <v>4.47</v>
      </c>
      <c r="F678" s="47">
        <f t="shared" si="250"/>
        <v>40.5</v>
      </c>
      <c r="G678" s="43">
        <f t="shared" si="250"/>
        <v>35</v>
      </c>
      <c r="H678" s="47">
        <f t="shared" ref="H678:H681" si="251">E678/G678</f>
        <v>0.1277142857</v>
      </c>
    </row>
    <row r="679">
      <c r="A679" s="258" t="s">
        <v>1375</v>
      </c>
      <c r="B679" s="460"/>
      <c r="C679" s="460"/>
      <c r="D679" s="257">
        <v>14.99</v>
      </c>
      <c r="E679" s="257">
        <v>1.49</v>
      </c>
      <c r="F679" s="257">
        <f t="shared" ref="F679:F681" si="252">D679-E679</f>
        <v>13.5</v>
      </c>
      <c r="G679" s="182">
        <v>33.0</v>
      </c>
      <c r="H679" s="257">
        <f t="shared" si="251"/>
        <v>0.04515151515</v>
      </c>
    </row>
    <row r="680">
      <c r="A680" s="258" t="s">
        <v>1776</v>
      </c>
      <c r="B680" s="460"/>
      <c r="C680" s="460"/>
      <c r="D680" s="257">
        <v>14.99</v>
      </c>
      <c r="E680" s="257">
        <v>1.49</v>
      </c>
      <c r="F680" s="257">
        <f t="shared" si="252"/>
        <v>13.5</v>
      </c>
      <c r="G680" s="258">
        <v>1.0</v>
      </c>
      <c r="H680" s="257">
        <f t="shared" si="251"/>
        <v>1.49</v>
      </c>
    </row>
    <row r="681">
      <c r="A681" s="258" t="s">
        <v>1377</v>
      </c>
      <c r="B681" s="460"/>
      <c r="C681" s="460"/>
      <c r="D681" s="257">
        <v>14.99</v>
      </c>
      <c r="E681" s="257">
        <v>1.49</v>
      </c>
      <c r="F681" s="257">
        <f t="shared" si="252"/>
        <v>13.5</v>
      </c>
      <c r="G681" s="258">
        <v>1.0</v>
      </c>
      <c r="H681" s="257">
        <f t="shared" si="251"/>
        <v>1.49</v>
      </c>
    </row>
    <row r="682">
      <c r="A682" s="461"/>
      <c r="B682" s="462"/>
      <c r="C682" s="461"/>
      <c r="D682" s="461"/>
      <c r="E682" s="461"/>
      <c r="F682" s="461"/>
      <c r="G682" s="461"/>
      <c r="H682" s="461"/>
    </row>
    <row r="683">
      <c r="A683" s="213" t="s">
        <v>145</v>
      </c>
      <c r="B683" s="485" t="s">
        <v>141</v>
      </c>
      <c r="C683" s="485">
        <f>COUNTA(A684)</f>
        <v>1</v>
      </c>
      <c r="D683" s="215">
        <f t="shared" ref="D683:G683" si="253">SUM(D684)</f>
        <v>4.99</v>
      </c>
      <c r="E683" s="215">
        <f t="shared" si="253"/>
        <v>4.99</v>
      </c>
      <c r="F683" s="215">
        <f t="shared" si="253"/>
        <v>0</v>
      </c>
      <c r="G683" s="213">
        <f t="shared" si="253"/>
        <v>35</v>
      </c>
      <c r="H683" s="215">
        <f t="shared" ref="H683:H684" si="254">E683/G683</f>
        <v>0.1425714286</v>
      </c>
    </row>
    <row r="684">
      <c r="A684" s="217" t="s">
        <v>770</v>
      </c>
      <c r="B684" s="1"/>
      <c r="C684" s="1"/>
      <c r="D684" s="220">
        <v>4.99</v>
      </c>
      <c r="E684" s="220">
        <v>4.99</v>
      </c>
      <c r="F684" s="220">
        <f>D684-E684</f>
        <v>0</v>
      </c>
      <c r="G684" s="218">
        <v>35.0</v>
      </c>
      <c r="H684" s="220">
        <f t="shared" si="254"/>
        <v>0.1425714286</v>
      </c>
    </row>
    <row r="685">
      <c r="A685" s="461"/>
      <c r="B685" s="462"/>
      <c r="C685" s="461"/>
      <c r="D685" s="461"/>
      <c r="E685" s="461"/>
      <c r="F685" s="461"/>
      <c r="G685" s="461"/>
      <c r="H685" s="461"/>
    </row>
    <row r="686">
      <c r="A686" s="43" t="s">
        <v>594</v>
      </c>
      <c r="B686" s="43" t="s">
        <v>29</v>
      </c>
      <c r="C686" s="44">
        <f>COUNTA(A687:A688)</f>
        <v>2</v>
      </c>
      <c r="D686" s="47">
        <f t="shared" ref="D686:G686" si="255">SUM(D687:D688)</f>
        <v>16.98</v>
      </c>
      <c r="E686" s="47">
        <f t="shared" si="255"/>
        <v>6.98</v>
      </c>
      <c r="F686" s="47">
        <f t="shared" si="255"/>
        <v>10</v>
      </c>
      <c r="G686" s="43">
        <f t="shared" si="255"/>
        <v>35</v>
      </c>
      <c r="H686" s="47">
        <f t="shared" ref="H686:H688" si="256">E686/G686</f>
        <v>0.1994285714</v>
      </c>
    </row>
    <row r="687">
      <c r="A687" s="39" t="s">
        <v>1548</v>
      </c>
      <c r="B687" s="1"/>
      <c r="C687" s="1"/>
      <c r="D687" s="71">
        <v>14.99</v>
      </c>
      <c r="E687" s="71">
        <v>4.99</v>
      </c>
      <c r="F687" s="71">
        <f t="shared" ref="F687:F688" si="257">D687-E687</f>
        <v>10</v>
      </c>
      <c r="G687" s="39">
        <v>30.0</v>
      </c>
      <c r="H687" s="71">
        <f t="shared" si="256"/>
        <v>0.1663333333</v>
      </c>
    </row>
    <row r="688">
      <c r="A688" s="39" t="s">
        <v>1777</v>
      </c>
      <c r="B688" s="1"/>
      <c r="C688" s="1"/>
      <c r="D688" s="71">
        <v>1.99</v>
      </c>
      <c r="E688" s="71">
        <v>1.99</v>
      </c>
      <c r="F688" s="71">
        <f t="shared" si="257"/>
        <v>0</v>
      </c>
      <c r="G688" s="39">
        <v>5.0</v>
      </c>
      <c r="H688" s="71">
        <f t="shared" si="256"/>
        <v>0.398</v>
      </c>
    </row>
    <row r="689">
      <c r="A689" s="461"/>
      <c r="B689" s="462"/>
      <c r="C689" s="461"/>
      <c r="D689" s="461"/>
      <c r="E689" s="461"/>
      <c r="F689" s="461"/>
      <c r="G689" s="461"/>
      <c r="H689" s="461"/>
    </row>
    <row r="690">
      <c r="A690" s="43" t="s">
        <v>607</v>
      </c>
      <c r="B690" s="43" t="s">
        <v>29</v>
      </c>
      <c r="C690" s="44">
        <f>COUNTA(A691)</f>
        <v>1</v>
      </c>
      <c r="D690" s="47">
        <f t="shared" ref="D690:G690" si="258">SUM(D691)</f>
        <v>19.99</v>
      </c>
      <c r="E690" s="47">
        <f t="shared" si="258"/>
        <v>14.99</v>
      </c>
      <c r="F690" s="47">
        <f t="shared" si="258"/>
        <v>5</v>
      </c>
      <c r="G690" s="43">
        <f t="shared" si="258"/>
        <v>35</v>
      </c>
      <c r="H690" s="47">
        <f t="shared" ref="H690:H691" si="259">E690/G690</f>
        <v>0.4282857143</v>
      </c>
    </row>
    <row r="691">
      <c r="A691" s="39" t="s">
        <v>1540</v>
      </c>
      <c r="B691" s="1"/>
      <c r="C691" s="1"/>
      <c r="D691" s="165">
        <v>19.99</v>
      </c>
      <c r="E691" s="71">
        <v>14.99</v>
      </c>
      <c r="F691" s="71">
        <f>D691-E691</f>
        <v>5</v>
      </c>
      <c r="G691" s="39">
        <v>35.0</v>
      </c>
      <c r="H691" s="71">
        <f t="shared" si="259"/>
        <v>0.4282857143</v>
      </c>
    </row>
    <row r="692">
      <c r="A692" s="461"/>
      <c r="B692" s="462"/>
      <c r="C692" s="461"/>
      <c r="D692" s="461"/>
      <c r="E692" s="461"/>
      <c r="F692" s="461"/>
      <c r="G692" s="461"/>
      <c r="H692" s="461"/>
    </row>
    <row r="693">
      <c r="A693" s="43" t="s">
        <v>629</v>
      </c>
      <c r="B693" s="43" t="s">
        <v>29</v>
      </c>
      <c r="C693" s="44">
        <f>COUNTA(A694:A695)</f>
        <v>2</v>
      </c>
      <c r="D693" s="47">
        <f t="shared" ref="D693:G693" si="260">SUM(D694:D695)</f>
        <v>59.98</v>
      </c>
      <c r="E693" s="47">
        <f t="shared" si="260"/>
        <v>19.49</v>
      </c>
      <c r="F693" s="47">
        <f t="shared" si="260"/>
        <v>40.49</v>
      </c>
      <c r="G693" s="43">
        <f t="shared" si="260"/>
        <v>35</v>
      </c>
      <c r="H693" s="47">
        <f t="shared" ref="H693:H695" si="261">E693/G693</f>
        <v>0.5568571429</v>
      </c>
    </row>
    <row r="694">
      <c r="A694" s="39" t="s">
        <v>1679</v>
      </c>
      <c r="B694" s="1"/>
      <c r="C694" s="1"/>
      <c r="D694" s="71">
        <v>29.99</v>
      </c>
      <c r="E694" s="71">
        <v>19.49</v>
      </c>
      <c r="F694" s="71">
        <f t="shared" ref="F694:F695" si="262">D694-E694</f>
        <v>10.5</v>
      </c>
      <c r="G694" s="39">
        <v>18.0</v>
      </c>
      <c r="H694" s="71">
        <f t="shared" si="261"/>
        <v>1.082777778</v>
      </c>
    </row>
    <row r="695">
      <c r="A695" s="39" t="s">
        <v>1641</v>
      </c>
      <c r="B695" s="1"/>
      <c r="C695" s="1"/>
      <c r="D695" s="71">
        <v>29.99</v>
      </c>
      <c r="E695" s="71">
        <v>0.0</v>
      </c>
      <c r="F695" s="71">
        <f t="shared" si="262"/>
        <v>29.99</v>
      </c>
      <c r="G695" s="39">
        <v>17.0</v>
      </c>
      <c r="H695" s="71">
        <f t="shared" si="261"/>
        <v>0</v>
      </c>
    </row>
    <row r="696">
      <c r="A696" s="461"/>
      <c r="B696" s="462"/>
      <c r="C696" s="461"/>
      <c r="D696" s="461"/>
      <c r="E696" s="461"/>
      <c r="F696" s="461"/>
      <c r="G696" s="461"/>
      <c r="H696" s="461"/>
    </row>
    <row r="697">
      <c r="A697" s="43" t="s">
        <v>342</v>
      </c>
      <c r="B697" s="43" t="s">
        <v>325</v>
      </c>
      <c r="C697" s="44">
        <f>COUNTA(A698:A699)</f>
        <v>2</v>
      </c>
      <c r="D697" s="47">
        <f t="shared" ref="D697:G697" si="263">SUM(D698:D699)</f>
        <v>49.98</v>
      </c>
      <c r="E697" s="47">
        <f t="shared" si="263"/>
        <v>30</v>
      </c>
      <c r="F697" s="47">
        <f t="shared" si="263"/>
        <v>19.98</v>
      </c>
      <c r="G697" s="43">
        <f t="shared" si="263"/>
        <v>35</v>
      </c>
      <c r="H697" s="47">
        <f t="shared" ref="H697:H699" si="264">E697/G697</f>
        <v>0.8571428571</v>
      </c>
    </row>
    <row r="698">
      <c r="A698" s="39" t="s">
        <v>1159</v>
      </c>
      <c r="B698" s="1"/>
      <c r="C698" s="1"/>
      <c r="D698" s="71">
        <v>19.99</v>
      </c>
      <c r="E698" s="71">
        <v>12.0</v>
      </c>
      <c r="F698" s="71">
        <f t="shared" ref="F698:F699" si="265">D698-E698</f>
        <v>7.99</v>
      </c>
      <c r="G698" s="39">
        <v>20.0</v>
      </c>
      <c r="H698" s="71">
        <f t="shared" si="264"/>
        <v>0.6</v>
      </c>
    </row>
    <row r="699">
      <c r="A699" s="39" t="s">
        <v>1169</v>
      </c>
      <c r="B699" s="1"/>
      <c r="C699" s="1"/>
      <c r="D699" s="71">
        <v>29.99</v>
      </c>
      <c r="E699" s="71">
        <v>18.0</v>
      </c>
      <c r="F699" s="71">
        <f t="shared" si="265"/>
        <v>11.99</v>
      </c>
      <c r="G699" s="39">
        <v>15.0</v>
      </c>
      <c r="H699" s="71">
        <f t="shared" si="264"/>
        <v>1.2</v>
      </c>
    </row>
    <row r="700">
      <c r="A700" s="461"/>
      <c r="B700" s="462"/>
      <c r="C700" s="461"/>
      <c r="D700" s="461"/>
      <c r="E700" s="461"/>
      <c r="F700" s="461"/>
      <c r="G700" s="461"/>
      <c r="H700" s="461"/>
    </row>
    <row r="701">
      <c r="A701" s="43" t="s">
        <v>335</v>
      </c>
      <c r="B701" s="43" t="s">
        <v>325</v>
      </c>
      <c r="C701" s="44">
        <f>COUNTA(A702:A704)</f>
        <v>3</v>
      </c>
      <c r="D701" s="47">
        <f t="shared" ref="D701:G701" si="266">SUM(D702:D704)</f>
        <v>113.91</v>
      </c>
      <c r="E701" s="47">
        <f t="shared" si="266"/>
        <v>73.91</v>
      </c>
      <c r="F701" s="47">
        <f t="shared" si="266"/>
        <v>40</v>
      </c>
      <c r="G701" s="43">
        <f t="shared" si="266"/>
        <v>35</v>
      </c>
      <c r="H701" s="47">
        <f t="shared" ref="H701:H704" si="267">E701/G701</f>
        <v>2.111714286</v>
      </c>
    </row>
    <row r="702">
      <c r="A702" s="72" t="s">
        <v>1778</v>
      </c>
      <c r="B702" s="1"/>
      <c r="C702" s="1"/>
      <c r="D702" s="71">
        <v>75.93</v>
      </c>
      <c r="E702" s="71">
        <v>55.93</v>
      </c>
      <c r="F702" s="71">
        <f t="shared" ref="F702:F704" si="268">D702-E702</f>
        <v>20</v>
      </c>
      <c r="G702" s="39">
        <v>33.0</v>
      </c>
      <c r="H702" s="71">
        <f t="shared" si="267"/>
        <v>1.694848485</v>
      </c>
    </row>
    <row r="703">
      <c r="A703" s="72" t="s">
        <v>1779</v>
      </c>
      <c r="B703" s="1"/>
      <c r="C703" s="1"/>
      <c r="D703" s="71">
        <v>7.99</v>
      </c>
      <c r="E703" s="71">
        <v>2.99</v>
      </c>
      <c r="F703" s="71">
        <f t="shared" si="268"/>
        <v>5</v>
      </c>
      <c r="G703" s="39">
        <v>1.0</v>
      </c>
      <c r="H703" s="71">
        <f t="shared" si="267"/>
        <v>2.99</v>
      </c>
    </row>
    <row r="704">
      <c r="A704" s="39" t="s">
        <v>1780</v>
      </c>
      <c r="B704" s="1"/>
      <c r="C704" s="1"/>
      <c r="D704" s="71">
        <v>29.99</v>
      </c>
      <c r="E704" s="71">
        <v>14.99</v>
      </c>
      <c r="F704" s="71">
        <f t="shared" si="268"/>
        <v>15</v>
      </c>
      <c r="G704" s="39">
        <v>1.0</v>
      </c>
      <c r="H704" s="71">
        <f t="shared" si="267"/>
        <v>14.99</v>
      </c>
    </row>
    <row r="705">
      <c r="A705" s="461"/>
      <c r="B705" s="462"/>
      <c r="C705" s="461"/>
      <c r="D705" s="461"/>
      <c r="E705" s="461"/>
      <c r="F705" s="461"/>
      <c r="G705" s="461"/>
      <c r="H705" s="461"/>
    </row>
    <row r="706">
      <c r="A706" s="43" t="s">
        <v>640</v>
      </c>
      <c r="B706" s="43" t="s">
        <v>29</v>
      </c>
      <c r="C706" s="44">
        <f>COUNTA(A707:A708)</f>
        <v>2</v>
      </c>
      <c r="D706" s="47">
        <f t="shared" ref="D706:G706" si="269">SUM(D707:D708)</f>
        <v>35.98</v>
      </c>
      <c r="E706" s="47">
        <f t="shared" si="269"/>
        <v>23.49</v>
      </c>
      <c r="F706" s="47">
        <f t="shared" si="269"/>
        <v>12.49</v>
      </c>
      <c r="G706" s="43">
        <f t="shared" si="269"/>
        <v>34</v>
      </c>
      <c r="H706" s="47">
        <f t="shared" ref="H706:H708" si="270">E706/G706</f>
        <v>0.6908823529</v>
      </c>
    </row>
    <row r="707">
      <c r="A707" s="39" t="s">
        <v>1672</v>
      </c>
      <c r="B707" s="1"/>
      <c r="C707" s="1"/>
      <c r="D707" s="71">
        <v>21.99</v>
      </c>
      <c r="E707" s="71">
        <v>16.49</v>
      </c>
      <c r="F707" s="71">
        <f t="shared" ref="F707:F708" si="271">D707-E707</f>
        <v>5.5</v>
      </c>
      <c r="G707" s="39">
        <v>24.0</v>
      </c>
      <c r="H707" s="71">
        <f t="shared" si="270"/>
        <v>0.6870833333</v>
      </c>
    </row>
    <row r="708">
      <c r="A708" s="39" t="s">
        <v>1585</v>
      </c>
      <c r="B708" s="1"/>
      <c r="C708" s="1"/>
      <c r="D708" s="71">
        <v>13.99</v>
      </c>
      <c r="E708" s="71">
        <v>7.0</v>
      </c>
      <c r="F708" s="71">
        <f t="shared" si="271"/>
        <v>6.99</v>
      </c>
      <c r="G708" s="39">
        <v>10.0</v>
      </c>
      <c r="H708" s="71">
        <f t="shared" si="270"/>
        <v>0.7</v>
      </c>
    </row>
    <row r="709">
      <c r="A709" s="461"/>
      <c r="B709" s="462"/>
      <c r="C709" s="461"/>
      <c r="D709" s="461"/>
      <c r="E709" s="461"/>
      <c r="F709" s="461"/>
      <c r="G709" s="461"/>
      <c r="H709" s="461"/>
    </row>
    <row r="710">
      <c r="A710" s="152" t="s">
        <v>456</v>
      </c>
      <c r="B710" s="152" t="s">
        <v>455</v>
      </c>
      <c r="C710" s="255">
        <f>COUNTA(A711:A712)</f>
        <v>2</v>
      </c>
      <c r="D710" s="154">
        <f t="shared" ref="D710:G710" si="272">SUM(D711:D712)</f>
        <v>61.94</v>
      </c>
      <c r="E710" s="154">
        <f t="shared" si="272"/>
        <v>33.54</v>
      </c>
      <c r="F710" s="154">
        <f t="shared" si="272"/>
        <v>28.4</v>
      </c>
      <c r="G710" s="152">
        <f t="shared" si="272"/>
        <v>34</v>
      </c>
      <c r="H710" s="154">
        <f t="shared" ref="H710:H712" si="273">E710/G710</f>
        <v>0.9864705882</v>
      </c>
    </row>
    <row r="711">
      <c r="A711" s="156" t="s">
        <v>1403</v>
      </c>
      <c r="B711" s="486"/>
      <c r="C711" s="486"/>
      <c r="D711" s="159">
        <v>31.95</v>
      </c>
      <c r="E711" s="159">
        <v>18.55</v>
      </c>
      <c r="F711" s="159">
        <f t="shared" ref="F711:F712" si="274">D711-E711</f>
        <v>13.4</v>
      </c>
      <c r="G711" s="156">
        <v>20.0</v>
      </c>
      <c r="H711" s="159">
        <f t="shared" si="273"/>
        <v>0.9275</v>
      </c>
    </row>
    <row r="712">
      <c r="A712" s="156" t="s">
        <v>1432</v>
      </c>
      <c r="B712" s="486"/>
      <c r="C712" s="486"/>
      <c r="D712" s="157">
        <v>29.99</v>
      </c>
      <c r="E712" s="157">
        <v>14.99</v>
      </c>
      <c r="F712" s="159">
        <f t="shared" si="274"/>
        <v>15</v>
      </c>
      <c r="G712" s="155">
        <v>14.0</v>
      </c>
      <c r="H712" s="159">
        <f t="shared" si="273"/>
        <v>1.070714286</v>
      </c>
    </row>
    <row r="713">
      <c r="A713" s="461"/>
      <c r="B713" s="462"/>
      <c r="C713" s="461"/>
      <c r="D713" s="461"/>
      <c r="E713" s="461"/>
      <c r="F713" s="461"/>
      <c r="G713" s="461"/>
      <c r="H713" s="461"/>
    </row>
    <row r="714">
      <c r="A714" s="43" t="s">
        <v>235</v>
      </c>
      <c r="B714" s="43" t="s">
        <v>25</v>
      </c>
      <c r="C714" s="44">
        <f>COUNTA(A715:A718)</f>
        <v>4</v>
      </c>
      <c r="D714" s="145">
        <f t="shared" ref="D714:G714" si="275">SUM(D715:D718)</f>
        <v>164.96</v>
      </c>
      <c r="E714" s="145">
        <f t="shared" si="275"/>
        <v>44.37</v>
      </c>
      <c r="F714" s="145">
        <f t="shared" si="275"/>
        <v>120.59</v>
      </c>
      <c r="G714" s="44">
        <f t="shared" si="275"/>
        <v>34</v>
      </c>
      <c r="H714" s="145">
        <f t="shared" ref="H714:H718" si="276">E714/G714</f>
        <v>1.305</v>
      </c>
    </row>
    <row r="715">
      <c r="A715" s="39" t="s">
        <v>937</v>
      </c>
      <c r="B715" s="1"/>
      <c r="C715" s="1"/>
      <c r="D715" s="71">
        <v>69.99</v>
      </c>
      <c r="E715" s="71">
        <v>29.39</v>
      </c>
      <c r="F715" s="71">
        <f t="shared" ref="F715:F718" si="277">D715-E715</f>
        <v>40.6</v>
      </c>
      <c r="G715" s="39">
        <v>30.0</v>
      </c>
      <c r="H715" s="71">
        <f t="shared" si="276"/>
        <v>0.9796666667</v>
      </c>
    </row>
    <row r="716">
      <c r="A716" s="39" t="s">
        <v>928</v>
      </c>
      <c r="B716" s="1"/>
      <c r="C716" s="1"/>
      <c r="D716" s="71">
        <v>39.99</v>
      </c>
      <c r="E716" s="71">
        <v>0.0</v>
      </c>
      <c r="F716" s="71">
        <f t="shared" si="277"/>
        <v>39.99</v>
      </c>
      <c r="G716" s="72">
        <v>2.0</v>
      </c>
      <c r="H716" s="71">
        <f t="shared" si="276"/>
        <v>0</v>
      </c>
    </row>
    <row r="717">
      <c r="A717" s="39" t="s">
        <v>836</v>
      </c>
      <c r="B717" s="1"/>
      <c r="C717" s="1"/>
      <c r="D717" s="71">
        <v>4.99</v>
      </c>
      <c r="E717" s="71">
        <v>4.99</v>
      </c>
      <c r="F717" s="71">
        <f t="shared" si="277"/>
        <v>0</v>
      </c>
      <c r="G717" s="39">
        <v>1.0</v>
      </c>
      <c r="H717" s="71">
        <f t="shared" si="276"/>
        <v>4.99</v>
      </c>
    </row>
    <row r="718">
      <c r="A718" s="72" t="s">
        <v>873</v>
      </c>
      <c r="B718" s="1"/>
      <c r="C718" s="1"/>
      <c r="D718" s="71">
        <v>49.99</v>
      </c>
      <c r="E718" s="71">
        <v>9.99</v>
      </c>
      <c r="F718" s="71">
        <f t="shared" si="277"/>
        <v>40</v>
      </c>
      <c r="G718" s="39">
        <v>1.0</v>
      </c>
      <c r="H718" s="71">
        <f t="shared" si="276"/>
        <v>9.99</v>
      </c>
    </row>
    <row r="719">
      <c r="A719" s="461"/>
      <c r="B719" s="462"/>
      <c r="C719" s="461"/>
      <c r="D719" s="461"/>
      <c r="E719" s="461"/>
      <c r="F719" s="461"/>
      <c r="G719" s="461"/>
      <c r="H719" s="461"/>
    </row>
    <row r="720">
      <c r="A720" s="43" t="s">
        <v>35</v>
      </c>
      <c r="B720" s="43" t="s">
        <v>29</v>
      </c>
      <c r="C720" s="44">
        <f>COUNTA(A721:A723)</f>
        <v>3</v>
      </c>
      <c r="D720" s="46">
        <f t="shared" ref="D720:G720" si="278">SUM(D721:D723)</f>
        <v>25.97</v>
      </c>
      <c r="E720" s="46">
        <f t="shared" si="278"/>
        <v>13.75</v>
      </c>
      <c r="F720" s="46">
        <f t="shared" si="278"/>
        <v>12.22</v>
      </c>
      <c r="G720" s="43">
        <f t="shared" si="278"/>
        <v>33</v>
      </c>
      <c r="H720" s="46">
        <f t="shared" ref="H720:H723" si="279">E720/G720</f>
        <v>0.4166666667</v>
      </c>
    </row>
    <row r="721">
      <c r="A721" s="39" t="s">
        <v>36</v>
      </c>
      <c r="B721" s="1"/>
      <c r="C721" s="1"/>
      <c r="D721" s="42">
        <v>9.99</v>
      </c>
      <c r="E721" s="42">
        <v>5.76</v>
      </c>
      <c r="F721" s="42">
        <v>4.23</v>
      </c>
      <c r="G721" s="72">
        <v>16.0</v>
      </c>
      <c r="H721" s="71">
        <f t="shared" si="279"/>
        <v>0.36</v>
      </c>
    </row>
    <row r="722">
      <c r="A722" s="39" t="s">
        <v>50</v>
      </c>
      <c r="B722" s="1"/>
      <c r="C722" s="1"/>
      <c r="D722" s="71">
        <v>7.99</v>
      </c>
      <c r="E722" s="71">
        <v>4.0</v>
      </c>
      <c r="F722" s="71">
        <f t="shared" ref="F722:F723" si="280">D722-E722</f>
        <v>3.99</v>
      </c>
      <c r="G722" s="39">
        <v>15.0</v>
      </c>
      <c r="H722" s="71">
        <f t="shared" si="279"/>
        <v>0.2666666667</v>
      </c>
    </row>
    <row r="723">
      <c r="A723" s="39" t="s">
        <v>51</v>
      </c>
      <c r="B723" s="1"/>
      <c r="C723" s="1"/>
      <c r="D723" s="71">
        <v>7.99</v>
      </c>
      <c r="E723" s="71">
        <v>3.99</v>
      </c>
      <c r="F723" s="71">
        <f t="shared" si="280"/>
        <v>4</v>
      </c>
      <c r="G723" s="72">
        <v>2.0</v>
      </c>
      <c r="H723" s="71">
        <f t="shared" si="279"/>
        <v>1.995</v>
      </c>
    </row>
    <row r="724">
      <c r="A724" s="461"/>
      <c r="B724" s="462"/>
      <c r="C724" s="461"/>
      <c r="D724" s="461"/>
      <c r="E724" s="461"/>
      <c r="F724" s="461"/>
      <c r="G724" s="461"/>
      <c r="H724" s="461"/>
    </row>
    <row r="725">
      <c r="A725" s="43" t="s">
        <v>635</v>
      </c>
      <c r="B725" s="43" t="s">
        <v>29</v>
      </c>
      <c r="C725" s="44">
        <f>COUNTA(A726:A728)</f>
        <v>3</v>
      </c>
      <c r="D725" s="47">
        <f t="shared" ref="D725:G725" si="281">SUM(D726:D728)</f>
        <v>44.97</v>
      </c>
      <c r="E725" s="47">
        <f t="shared" si="281"/>
        <v>30.97</v>
      </c>
      <c r="F725" s="47">
        <f t="shared" si="281"/>
        <v>14</v>
      </c>
      <c r="G725" s="43">
        <f t="shared" si="281"/>
        <v>32</v>
      </c>
      <c r="H725" s="47">
        <f t="shared" ref="H725:H728" si="282">E725/G725</f>
        <v>0.9678125</v>
      </c>
    </row>
    <row r="726">
      <c r="A726" s="39" t="s">
        <v>1781</v>
      </c>
      <c r="B726" s="1"/>
      <c r="C726" s="1"/>
      <c r="D726" s="71">
        <v>19.99</v>
      </c>
      <c r="E726" s="71">
        <v>19.99</v>
      </c>
      <c r="F726" s="71">
        <f t="shared" ref="F726:F728" si="283">D726-E726</f>
        <v>0</v>
      </c>
      <c r="G726" s="39">
        <v>15.0</v>
      </c>
      <c r="H726" s="71">
        <f t="shared" si="282"/>
        <v>1.332666667</v>
      </c>
    </row>
    <row r="727">
      <c r="A727" s="72" t="s">
        <v>1576</v>
      </c>
      <c r="B727" s="1"/>
      <c r="C727" s="1"/>
      <c r="D727" s="71">
        <v>9.99</v>
      </c>
      <c r="E727" s="71">
        <v>3.99</v>
      </c>
      <c r="F727" s="71">
        <f t="shared" si="283"/>
        <v>6</v>
      </c>
      <c r="G727" s="72">
        <v>12.0</v>
      </c>
      <c r="H727" s="71">
        <f t="shared" si="282"/>
        <v>0.3325</v>
      </c>
    </row>
    <row r="728">
      <c r="A728" s="39" t="s">
        <v>1568</v>
      </c>
      <c r="B728" s="1"/>
      <c r="C728" s="1"/>
      <c r="D728" s="71">
        <v>14.99</v>
      </c>
      <c r="E728" s="71">
        <v>6.99</v>
      </c>
      <c r="F728" s="71">
        <f t="shared" si="283"/>
        <v>8</v>
      </c>
      <c r="G728" s="39">
        <v>5.0</v>
      </c>
      <c r="H728" s="71">
        <f t="shared" si="282"/>
        <v>1.398</v>
      </c>
    </row>
    <row r="729">
      <c r="A729" s="461"/>
      <c r="B729" s="462"/>
      <c r="C729" s="461"/>
      <c r="D729" s="461"/>
      <c r="E729" s="461"/>
      <c r="F729" s="461"/>
      <c r="G729" s="461"/>
      <c r="H729" s="461"/>
    </row>
    <row r="730">
      <c r="A730" s="43" t="s">
        <v>115</v>
      </c>
      <c r="B730" s="44" t="s">
        <v>92</v>
      </c>
      <c r="C730" s="44">
        <f>COUNTA(A731)</f>
        <v>1</v>
      </c>
      <c r="D730" s="47">
        <f t="shared" ref="D730:G730" si="284">SUM(D731)</f>
        <v>12.99</v>
      </c>
      <c r="E730" s="47">
        <f t="shared" si="284"/>
        <v>12.99</v>
      </c>
      <c r="F730" s="47">
        <f t="shared" si="284"/>
        <v>0</v>
      </c>
      <c r="G730" s="43">
        <f t="shared" si="284"/>
        <v>30</v>
      </c>
      <c r="H730" s="47">
        <f t="shared" ref="H730:H731" si="285">E730/G730</f>
        <v>0.433</v>
      </c>
    </row>
    <row r="731">
      <c r="A731" s="258" t="s">
        <v>700</v>
      </c>
      <c r="B731" s="1"/>
      <c r="C731" s="1"/>
      <c r="D731" s="257">
        <v>12.99</v>
      </c>
      <c r="E731" s="257">
        <v>12.99</v>
      </c>
      <c r="F731" s="257">
        <f>D731-E731</f>
        <v>0</v>
      </c>
      <c r="G731" s="258">
        <v>30.0</v>
      </c>
      <c r="H731" s="257">
        <f t="shared" si="285"/>
        <v>0.433</v>
      </c>
    </row>
    <row r="732">
      <c r="A732" s="179"/>
      <c r="B732" s="477"/>
      <c r="C732" s="477"/>
      <c r="D732" s="478"/>
      <c r="E732" s="478"/>
      <c r="F732" s="478"/>
      <c r="G732" s="179"/>
      <c r="H732" s="181"/>
    </row>
    <row r="733">
      <c r="A733" s="213" t="s">
        <v>143</v>
      </c>
      <c r="B733" s="485" t="s">
        <v>141</v>
      </c>
      <c r="C733" s="485">
        <f>COUNTA(A734)</f>
        <v>1</v>
      </c>
      <c r="D733" s="215">
        <f t="shared" ref="D733:G733" si="286">SUM(D734)</f>
        <v>19.99</v>
      </c>
      <c r="E733" s="215">
        <f t="shared" si="286"/>
        <v>19.99</v>
      </c>
      <c r="F733" s="215">
        <f t="shared" si="286"/>
        <v>0</v>
      </c>
      <c r="G733" s="213">
        <f t="shared" si="286"/>
        <v>30</v>
      </c>
      <c r="H733" s="215">
        <f t="shared" ref="H733:H734" si="287">E733/G733</f>
        <v>0.6663333333</v>
      </c>
    </row>
    <row r="734">
      <c r="A734" s="218" t="s">
        <v>772</v>
      </c>
      <c r="B734" s="487"/>
      <c r="C734" s="487"/>
      <c r="D734" s="220">
        <v>19.99</v>
      </c>
      <c r="E734" s="220">
        <v>19.99</v>
      </c>
      <c r="F734" s="220">
        <f>D734-E734</f>
        <v>0</v>
      </c>
      <c r="G734" s="218">
        <v>30.0</v>
      </c>
      <c r="H734" s="220">
        <f t="shared" si="287"/>
        <v>0.6663333333</v>
      </c>
    </row>
    <row r="735">
      <c r="A735" s="461"/>
      <c r="B735" s="462"/>
      <c r="C735" s="461"/>
      <c r="D735" s="461"/>
      <c r="E735" s="461"/>
      <c r="F735" s="461"/>
      <c r="G735" s="461"/>
      <c r="H735" s="461"/>
    </row>
    <row r="736">
      <c r="A736" s="43" t="s">
        <v>130</v>
      </c>
      <c r="B736" s="69" t="s">
        <v>92</v>
      </c>
      <c r="C736" s="44">
        <f>COUNTA(A737)</f>
        <v>1</v>
      </c>
      <c r="D736" s="47">
        <f t="shared" ref="D736:G736" si="288">SUM(D737)</f>
        <v>23.98</v>
      </c>
      <c r="E736" s="47">
        <f t="shared" si="288"/>
        <v>15.98</v>
      </c>
      <c r="F736" s="47">
        <f t="shared" si="288"/>
        <v>8</v>
      </c>
      <c r="G736" s="43">
        <f t="shared" si="288"/>
        <v>29</v>
      </c>
      <c r="H736" s="47">
        <f t="shared" ref="H736:H737" si="289">E736/G736</f>
        <v>0.5510344828</v>
      </c>
    </row>
    <row r="737">
      <c r="A737" s="72" t="s">
        <v>688</v>
      </c>
      <c r="B737" s="1"/>
      <c r="C737" s="1"/>
      <c r="D737" s="71">
        <v>23.98</v>
      </c>
      <c r="E737" s="71">
        <v>15.98</v>
      </c>
      <c r="F737" s="71">
        <f>D737-E737</f>
        <v>8</v>
      </c>
      <c r="G737" s="39">
        <v>29.0</v>
      </c>
      <c r="H737" s="71">
        <f t="shared" si="289"/>
        <v>0.5510344828</v>
      </c>
    </row>
    <row r="738">
      <c r="A738" s="179"/>
      <c r="B738" s="477"/>
      <c r="C738" s="477"/>
      <c r="D738" s="478"/>
      <c r="E738" s="478"/>
      <c r="F738" s="478"/>
      <c r="G738" s="179"/>
      <c r="H738" s="181"/>
    </row>
    <row r="739">
      <c r="A739" s="43" t="s">
        <v>197</v>
      </c>
      <c r="B739" s="43" t="s">
        <v>25</v>
      </c>
      <c r="C739" s="44">
        <f>COUNTA(A740:A743)</f>
        <v>4</v>
      </c>
      <c r="D739" s="47">
        <f t="shared" ref="D739:G739" si="290">SUM(D740:D743)</f>
        <v>44.96</v>
      </c>
      <c r="E739" s="47">
        <f t="shared" si="290"/>
        <v>19.97</v>
      </c>
      <c r="F739" s="47">
        <f t="shared" si="290"/>
        <v>24.99</v>
      </c>
      <c r="G739" s="43">
        <f t="shared" si="290"/>
        <v>29</v>
      </c>
      <c r="H739" s="47">
        <f t="shared" ref="H739:H743" si="291">E739/G739</f>
        <v>0.6886206897</v>
      </c>
    </row>
    <row r="740">
      <c r="A740" s="39" t="s">
        <v>806</v>
      </c>
      <c r="B740" s="1"/>
      <c r="C740" s="1"/>
      <c r="D740" s="71">
        <v>4.99</v>
      </c>
      <c r="E740" s="71">
        <v>4.99</v>
      </c>
      <c r="F740" s="71">
        <f t="shared" ref="F740:F743" si="292">D740-E740</f>
        <v>0</v>
      </c>
      <c r="G740" s="39">
        <v>15.0</v>
      </c>
      <c r="H740" s="71">
        <f t="shared" si="291"/>
        <v>0.3326666667</v>
      </c>
    </row>
    <row r="741">
      <c r="A741" s="72" t="s">
        <v>813</v>
      </c>
      <c r="B741" s="1"/>
      <c r="C741" s="1"/>
      <c r="D741" s="42">
        <v>9.99</v>
      </c>
      <c r="E741" s="42">
        <v>4.99</v>
      </c>
      <c r="F741" s="42">
        <f t="shared" si="292"/>
        <v>5</v>
      </c>
      <c r="G741" s="39">
        <v>11.0</v>
      </c>
      <c r="H741" s="42">
        <f t="shared" si="291"/>
        <v>0.4536363636</v>
      </c>
    </row>
    <row r="742">
      <c r="A742" s="39" t="s">
        <v>821</v>
      </c>
      <c r="B742" s="1"/>
      <c r="C742" s="1"/>
      <c r="D742" s="71">
        <v>9.99</v>
      </c>
      <c r="E742" s="71">
        <v>0.0</v>
      </c>
      <c r="F742" s="71">
        <f t="shared" si="292"/>
        <v>9.99</v>
      </c>
      <c r="G742" s="39">
        <v>2.0</v>
      </c>
      <c r="H742" s="71">
        <f t="shared" si="291"/>
        <v>0</v>
      </c>
    </row>
    <row r="743">
      <c r="A743" s="72" t="s">
        <v>963</v>
      </c>
      <c r="B743" s="1"/>
      <c r="C743" s="1"/>
      <c r="D743" s="71">
        <v>19.99</v>
      </c>
      <c r="E743" s="71">
        <v>9.99</v>
      </c>
      <c r="F743" s="71">
        <f t="shared" si="292"/>
        <v>10</v>
      </c>
      <c r="G743" s="39">
        <v>1.0</v>
      </c>
      <c r="H743" s="71">
        <f t="shared" si="291"/>
        <v>9.99</v>
      </c>
    </row>
    <row r="744">
      <c r="A744" s="179"/>
      <c r="B744" s="477"/>
      <c r="C744" s="477"/>
      <c r="D744" s="478"/>
      <c r="E744" s="478"/>
      <c r="F744" s="478"/>
      <c r="G744" s="179"/>
      <c r="H744" s="181"/>
    </row>
    <row r="745">
      <c r="A745" s="43" t="s">
        <v>572</v>
      </c>
      <c r="B745" s="43" t="s">
        <v>29</v>
      </c>
      <c r="C745" s="44">
        <f>COUNTA(A746)</f>
        <v>1</v>
      </c>
      <c r="D745" s="47">
        <f t="shared" ref="D745:G745" si="293">SUM(D746)</f>
        <v>29.99</v>
      </c>
      <c r="E745" s="47">
        <f t="shared" si="293"/>
        <v>29.99</v>
      </c>
      <c r="F745" s="47">
        <f t="shared" si="293"/>
        <v>0</v>
      </c>
      <c r="G745" s="43">
        <f t="shared" si="293"/>
        <v>29</v>
      </c>
      <c r="H745" s="47">
        <f t="shared" ref="H745:H746" si="294">E745/G745</f>
        <v>1.034137931</v>
      </c>
    </row>
    <row r="746">
      <c r="A746" s="72" t="s">
        <v>1650</v>
      </c>
      <c r="B746" s="1"/>
      <c r="C746" s="1"/>
      <c r="D746" s="71">
        <v>29.99</v>
      </c>
      <c r="E746" s="71">
        <v>29.99</v>
      </c>
      <c r="F746" s="71">
        <f>D746-E746</f>
        <v>0</v>
      </c>
      <c r="G746" s="39">
        <v>29.0</v>
      </c>
      <c r="H746" s="71">
        <f t="shared" si="294"/>
        <v>1.034137931</v>
      </c>
    </row>
    <row r="747">
      <c r="A747" s="461"/>
      <c r="B747" s="462"/>
      <c r="C747" s="461"/>
      <c r="D747" s="461"/>
      <c r="E747" s="461"/>
      <c r="F747" s="461"/>
      <c r="G747" s="461"/>
      <c r="H747" s="461"/>
    </row>
    <row r="748">
      <c r="A748" s="224" t="s">
        <v>89</v>
      </c>
      <c r="B748" s="224" t="s">
        <v>90</v>
      </c>
      <c r="C748" s="221">
        <f>COUNTA(A749)</f>
        <v>1</v>
      </c>
      <c r="D748" s="226">
        <f t="shared" ref="D748:G748" si="295">SUM(D749)</f>
        <v>24.99</v>
      </c>
      <c r="E748" s="226">
        <f t="shared" si="295"/>
        <v>9.99</v>
      </c>
      <c r="F748" s="226">
        <f t="shared" si="295"/>
        <v>15</v>
      </c>
      <c r="G748" s="224">
        <f t="shared" si="295"/>
        <v>28</v>
      </c>
      <c r="H748" s="226">
        <f t="shared" ref="H748:H749" si="296">E748/G748</f>
        <v>0.3567857143</v>
      </c>
    </row>
    <row r="749">
      <c r="A749" s="112" t="s">
        <v>680</v>
      </c>
      <c r="B749" s="488"/>
      <c r="C749" s="488"/>
      <c r="D749" s="143">
        <v>24.99</v>
      </c>
      <c r="E749" s="143">
        <v>9.99</v>
      </c>
      <c r="F749" s="143">
        <f>D749-E749</f>
        <v>15</v>
      </c>
      <c r="G749" s="142">
        <v>28.0</v>
      </c>
      <c r="H749" s="143">
        <f t="shared" si="296"/>
        <v>0.3567857143</v>
      </c>
    </row>
    <row r="750">
      <c r="A750" s="461"/>
      <c r="B750" s="462"/>
      <c r="C750" s="461"/>
      <c r="D750" s="461"/>
      <c r="E750" s="461"/>
      <c r="F750" s="461"/>
      <c r="G750" s="461"/>
      <c r="H750" s="461"/>
    </row>
    <row r="751">
      <c r="A751" s="224" t="s">
        <v>420</v>
      </c>
      <c r="B751" s="224" t="s">
        <v>419</v>
      </c>
      <c r="C751" s="221">
        <f>COUNTA(A752:A753)</f>
        <v>2</v>
      </c>
      <c r="D751" s="226">
        <f t="shared" ref="D751:G751" si="297">SUM(D752:D753)</f>
        <v>25.98</v>
      </c>
      <c r="E751" s="226">
        <f t="shared" si="297"/>
        <v>22.73</v>
      </c>
      <c r="F751" s="226">
        <f t="shared" si="297"/>
        <v>3.25</v>
      </c>
      <c r="G751" s="224">
        <f t="shared" si="297"/>
        <v>27</v>
      </c>
      <c r="H751" s="226">
        <f t="shared" ref="H751:H753" si="298">E751/G751</f>
        <v>0.8418518519</v>
      </c>
    </row>
    <row r="752">
      <c r="A752" s="142" t="s">
        <v>1356</v>
      </c>
      <c r="B752" s="488"/>
      <c r="C752" s="488"/>
      <c r="D752" s="143">
        <v>12.99</v>
      </c>
      <c r="E752" s="143">
        <v>12.99</v>
      </c>
      <c r="F752" s="143">
        <f t="shared" ref="F752:F753" si="299">D752-E752</f>
        <v>0</v>
      </c>
      <c r="G752" s="112">
        <v>15.0</v>
      </c>
      <c r="H752" s="143">
        <f t="shared" si="298"/>
        <v>0.866</v>
      </c>
    </row>
    <row r="753">
      <c r="A753" s="112" t="s">
        <v>1355</v>
      </c>
      <c r="B753" s="488"/>
      <c r="C753" s="488"/>
      <c r="D753" s="143">
        <v>12.99</v>
      </c>
      <c r="E753" s="143">
        <v>9.74</v>
      </c>
      <c r="F753" s="143">
        <f t="shared" si="299"/>
        <v>3.25</v>
      </c>
      <c r="G753" s="112">
        <v>12.0</v>
      </c>
      <c r="H753" s="143">
        <f t="shared" si="298"/>
        <v>0.8116666667</v>
      </c>
    </row>
    <row r="754">
      <c r="A754" s="461"/>
      <c r="B754" s="462"/>
      <c r="C754" s="461"/>
      <c r="D754" s="461"/>
      <c r="E754" s="461"/>
      <c r="F754" s="461"/>
      <c r="G754" s="461"/>
      <c r="H754" s="461"/>
    </row>
    <row r="755">
      <c r="A755" s="43" t="s">
        <v>102</v>
      </c>
      <c r="B755" s="43" t="s">
        <v>92</v>
      </c>
      <c r="C755" s="44">
        <f>COUNTA(A756:A757)</f>
        <v>2</v>
      </c>
      <c r="D755" s="47">
        <f t="shared" ref="D755:G755" si="300">SUM(D756:D757)</f>
        <v>29.99</v>
      </c>
      <c r="E755" s="47">
        <f t="shared" si="300"/>
        <v>2.5</v>
      </c>
      <c r="F755" s="47">
        <f t="shared" si="300"/>
        <v>27.49</v>
      </c>
      <c r="G755" s="43">
        <f t="shared" si="300"/>
        <v>26</v>
      </c>
      <c r="H755" s="47">
        <f t="shared" ref="H755:H757" si="301">E755/G755</f>
        <v>0.09615384615</v>
      </c>
    </row>
    <row r="756">
      <c r="A756" s="39" t="s">
        <v>702</v>
      </c>
      <c r="B756" s="1"/>
      <c r="C756" s="1"/>
      <c r="D756" s="71">
        <v>29.99</v>
      </c>
      <c r="E756" s="71">
        <v>2.5</v>
      </c>
      <c r="F756" s="71">
        <f t="shared" ref="F756:F757" si="302">D756-E756</f>
        <v>27.49</v>
      </c>
      <c r="G756" s="39">
        <v>25.0</v>
      </c>
      <c r="H756" s="71">
        <f t="shared" si="301"/>
        <v>0.1</v>
      </c>
    </row>
    <row r="757">
      <c r="A757" s="39" t="s">
        <v>728</v>
      </c>
      <c r="B757" s="1"/>
      <c r="C757" s="1"/>
      <c r="D757" s="71">
        <v>0.0</v>
      </c>
      <c r="E757" s="71">
        <v>0.0</v>
      </c>
      <c r="F757" s="71">
        <f t="shared" si="302"/>
        <v>0</v>
      </c>
      <c r="G757" s="39">
        <v>1.0</v>
      </c>
      <c r="H757" s="71">
        <f t="shared" si="301"/>
        <v>0</v>
      </c>
    </row>
    <row r="758">
      <c r="A758" s="39"/>
      <c r="B758" s="1"/>
      <c r="C758" s="1"/>
      <c r="D758" s="42"/>
      <c r="E758" s="42"/>
      <c r="F758" s="71"/>
      <c r="G758" s="39"/>
      <c r="H758" s="71"/>
    </row>
    <row r="759">
      <c r="A759" s="43" t="s">
        <v>94</v>
      </c>
      <c r="B759" s="43" t="s">
        <v>92</v>
      </c>
      <c r="C759" s="44">
        <f>COUNTA(A760:A762)</f>
        <v>3</v>
      </c>
      <c r="D759" s="47">
        <f t="shared" ref="D759:G759" si="303">SUM(D760:D762)</f>
        <v>16.48</v>
      </c>
      <c r="E759" s="47">
        <f t="shared" si="303"/>
        <v>6.49</v>
      </c>
      <c r="F759" s="47">
        <f t="shared" si="303"/>
        <v>9.99</v>
      </c>
      <c r="G759" s="43">
        <f t="shared" si="303"/>
        <v>26</v>
      </c>
      <c r="H759" s="47">
        <f t="shared" ref="H759:H762" si="304">E759/G759</f>
        <v>0.2496153846</v>
      </c>
    </row>
    <row r="760">
      <c r="A760" s="258" t="s">
        <v>681</v>
      </c>
      <c r="B760" s="460"/>
      <c r="C760" s="460"/>
      <c r="D760" s="257">
        <v>1.49</v>
      </c>
      <c r="E760" s="257">
        <v>1.49</v>
      </c>
      <c r="F760" s="257">
        <f t="shared" ref="F760:F762" si="305">D760-E760</f>
        <v>0</v>
      </c>
      <c r="G760" s="258">
        <v>20.0</v>
      </c>
      <c r="H760" s="257">
        <f t="shared" si="304"/>
        <v>0.0745</v>
      </c>
    </row>
    <row r="761">
      <c r="A761" s="258" t="s">
        <v>694</v>
      </c>
      <c r="B761" s="460"/>
      <c r="C761" s="460"/>
      <c r="D761" s="257">
        <v>14.99</v>
      </c>
      <c r="E761" s="257">
        <v>5.0</v>
      </c>
      <c r="F761" s="257">
        <f t="shared" si="305"/>
        <v>9.99</v>
      </c>
      <c r="G761" s="258">
        <v>5.0</v>
      </c>
      <c r="H761" s="257">
        <f t="shared" si="304"/>
        <v>1</v>
      </c>
    </row>
    <row r="762">
      <c r="A762" s="258" t="s">
        <v>760</v>
      </c>
      <c r="B762" s="460"/>
      <c r="C762" s="460"/>
      <c r="D762" s="257">
        <v>0.0</v>
      </c>
      <c r="E762" s="257">
        <v>0.0</v>
      </c>
      <c r="F762" s="257">
        <f t="shared" si="305"/>
        <v>0</v>
      </c>
      <c r="G762" s="258">
        <v>1.0</v>
      </c>
      <c r="H762" s="257">
        <f t="shared" si="304"/>
        <v>0</v>
      </c>
    </row>
    <row r="763">
      <c r="A763" s="461"/>
      <c r="B763" s="462"/>
      <c r="C763" s="461"/>
      <c r="D763" s="461"/>
      <c r="E763" s="461"/>
      <c r="F763" s="461"/>
      <c r="G763" s="461"/>
      <c r="H763" s="461"/>
    </row>
    <row r="764">
      <c r="A764" s="43" t="s">
        <v>592</v>
      </c>
      <c r="B764" s="43" t="s">
        <v>29</v>
      </c>
      <c r="C764" s="44">
        <f>COUNTA(A765:A766)</f>
        <v>2</v>
      </c>
      <c r="D764" s="47">
        <f t="shared" ref="D764:G764" si="306">SUM(D765:D766)</f>
        <v>84.98</v>
      </c>
      <c r="E764" s="47">
        <f t="shared" si="306"/>
        <v>14.99</v>
      </c>
      <c r="F764" s="47">
        <f t="shared" si="306"/>
        <v>69.99</v>
      </c>
      <c r="G764" s="43">
        <f t="shared" si="306"/>
        <v>26</v>
      </c>
      <c r="H764" s="47">
        <f t="shared" ref="H764:H766" si="307">E764/G764</f>
        <v>0.5765384615</v>
      </c>
    </row>
    <row r="765">
      <c r="A765" s="39" t="s">
        <v>1566</v>
      </c>
      <c r="B765" s="1"/>
      <c r="C765" s="1"/>
      <c r="D765" s="71">
        <v>14.99</v>
      </c>
      <c r="E765" s="71">
        <v>14.99</v>
      </c>
      <c r="F765" s="71">
        <f t="shared" ref="F765:F766" si="308">D765-E765</f>
        <v>0</v>
      </c>
      <c r="G765" s="39">
        <v>25.0</v>
      </c>
      <c r="H765" s="71">
        <f t="shared" si="307"/>
        <v>0.5996</v>
      </c>
    </row>
    <row r="766">
      <c r="A766" s="72" t="s">
        <v>1705</v>
      </c>
      <c r="B766" s="1"/>
      <c r="C766" s="1"/>
      <c r="D766" s="42">
        <v>69.99</v>
      </c>
      <c r="E766" s="42">
        <v>0.0</v>
      </c>
      <c r="F766" s="71">
        <f t="shared" si="308"/>
        <v>69.99</v>
      </c>
      <c r="G766" s="39">
        <v>1.0</v>
      </c>
      <c r="H766" s="71">
        <f t="shared" si="307"/>
        <v>0</v>
      </c>
    </row>
    <row r="767">
      <c r="A767" s="461"/>
      <c r="B767" s="462"/>
      <c r="C767" s="461"/>
      <c r="D767" s="461"/>
      <c r="E767" s="461"/>
      <c r="F767" s="461"/>
      <c r="G767" s="461"/>
      <c r="H767" s="461"/>
    </row>
    <row r="768">
      <c r="A768" s="43" t="s">
        <v>493</v>
      </c>
      <c r="B768" s="43" t="s">
        <v>29</v>
      </c>
      <c r="C768" s="44">
        <f>COUNTA(A769)</f>
        <v>1</v>
      </c>
      <c r="D768" s="47">
        <f t="shared" ref="D768:G768" si="309">SUM(D769)</f>
        <v>19.99</v>
      </c>
      <c r="E768" s="47">
        <f t="shared" si="309"/>
        <v>0</v>
      </c>
      <c r="F768" s="47">
        <f t="shared" si="309"/>
        <v>19.99</v>
      </c>
      <c r="G768" s="43">
        <f t="shared" si="309"/>
        <v>25</v>
      </c>
      <c r="H768" s="47">
        <f t="shared" ref="H768:H769" si="310">E768/G768</f>
        <v>0</v>
      </c>
    </row>
    <row r="769">
      <c r="A769" s="39" t="s">
        <v>1666</v>
      </c>
      <c r="B769" s="1"/>
      <c r="C769" s="1"/>
      <c r="D769" s="71">
        <v>19.99</v>
      </c>
      <c r="E769" s="71">
        <v>0.0</v>
      </c>
      <c r="F769" s="71">
        <f>D769-E769</f>
        <v>19.99</v>
      </c>
      <c r="G769" s="39">
        <v>25.0</v>
      </c>
      <c r="H769" s="71">
        <f t="shared" si="310"/>
        <v>0</v>
      </c>
    </row>
    <row r="770">
      <c r="A770" s="179"/>
      <c r="B770" s="477"/>
      <c r="C770" s="477"/>
      <c r="D770" s="478"/>
      <c r="E770" s="478"/>
      <c r="F770" s="478"/>
      <c r="G770" s="179"/>
      <c r="H770" s="181"/>
    </row>
    <row r="771">
      <c r="A771" s="43" t="s">
        <v>519</v>
      </c>
      <c r="B771" s="43" t="s">
        <v>29</v>
      </c>
      <c r="C771" s="44">
        <f>COUNTA(A772)</f>
        <v>1</v>
      </c>
      <c r="D771" s="47">
        <f t="shared" ref="D771:G771" si="311">SUM(D772)</f>
        <v>29.99</v>
      </c>
      <c r="E771" s="47">
        <f t="shared" si="311"/>
        <v>1</v>
      </c>
      <c r="F771" s="47">
        <f t="shared" si="311"/>
        <v>28.99</v>
      </c>
      <c r="G771" s="43">
        <f t="shared" si="311"/>
        <v>25</v>
      </c>
      <c r="H771" s="47">
        <f t="shared" ref="H771:H772" si="312">E771/G771</f>
        <v>0.04</v>
      </c>
    </row>
    <row r="772">
      <c r="A772" s="39" t="s">
        <v>1512</v>
      </c>
      <c r="B772" s="1"/>
      <c r="C772" s="1"/>
      <c r="D772" s="71">
        <v>29.99</v>
      </c>
      <c r="E772" s="71">
        <v>1.0</v>
      </c>
      <c r="F772" s="71">
        <f>D772-E772</f>
        <v>28.99</v>
      </c>
      <c r="G772" s="39">
        <v>25.0</v>
      </c>
      <c r="H772" s="71">
        <f t="shared" si="312"/>
        <v>0.04</v>
      </c>
    </row>
    <row r="773">
      <c r="A773" s="179"/>
      <c r="B773" s="477"/>
      <c r="C773" s="477"/>
      <c r="D773" s="478"/>
      <c r="E773" s="478"/>
      <c r="F773" s="478"/>
      <c r="G773" s="179"/>
      <c r="H773" s="181"/>
    </row>
    <row r="774">
      <c r="A774" s="146" t="s">
        <v>134</v>
      </c>
      <c r="B774" s="146" t="s">
        <v>92</v>
      </c>
      <c r="C774" s="43">
        <v>1.0</v>
      </c>
      <c r="D774" s="148">
        <v>29.99</v>
      </c>
      <c r="E774" s="148">
        <v>5.99</v>
      </c>
      <c r="F774" s="148">
        <f t="shared" ref="F774:F775" si="313">D774-E774</f>
        <v>24</v>
      </c>
      <c r="G774" s="43">
        <f>SUM(G775)</f>
        <v>25</v>
      </c>
      <c r="H774" s="46">
        <f t="shared" ref="H774:H775" si="314">E774/G774</f>
        <v>0.2396</v>
      </c>
    </row>
    <row r="775">
      <c r="A775" s="39" t="s">
        <v>744</v>
      </c>
      <c r="B775" s="73"/>
      <c r="C775" s="73"/>
      <c r="D775" s="363">
        <v>29.99</v>
      </c>
      <c r="E775" s="363">
        <v>5.99</v>
      </c>
      <c r="F775" s="363">
        <f t="shared" si="313"/>
        <v>24</v>
      </c>
      <c r="G775" s="40">
        <v>25.0</v>
      </c>
      <c r="H775" s="363">
        <f t="shared" si="314"/>
        <v>0.2396</v>
      </c>
    </row>
    <row r="776">
      <c r="A776" s="179"/>
      <c r="B776" s="477"/>
      <c r="C776" s="477"/>
      <c r="D776" s="478"/>
      <c r="E776" s="478"/>
      <c r="F776" s="478"/>
      <c r="G776" s="179"/>
      <c r="H776" s="181"/>
    </row>
    <row r="777">
      <c r="A777" s="53" t="s">
        <v>273</v>
      </c>
      <c r="B777" s="75" t="s">
        <v>265</v>
      </c>
      <c r="C777" s="75">
        <f>COUNTA(A778)</f>
        <v>1</v>
      </c>
      <c r="D777" s="76">
        <f t="shared" ref="D777:G777" si="315">SUM(D778)</f>
        <v>16.99</v>
      </c>
      <c r="E777" s="76">
        <f t="shared" si="315"/>
        <v>5.99</v>
      </c>
      <c r="F777" s="76">
        <f t="shared" si="315"/>
        <v>11</v>
      </c>
      <c r="G777" s="53">
        <f t="shared" si="315"/>
        <v>25</v>
      </c>
      <c r="H777" s="76">
        <f t="shared" ref="H777:H778" si="316">E777/G777</f>
        <v>0.2396</v>
      </c>
    </row>
    <row r="778">
      <c r="A778" s="79" t="s">
        <v>1009</v>
      </c>
      <c r="B778" s="1"/>
      <c r="C778" s="1"/>
      <c r="D778" s="52">
        <v>16.99</v>
      </c>
      <c r="E778" s="52">
        <v>5.99</v>
      </c>
      <c r="F778" s="52">
        <f>D778-E778</f>
        <v>11</v>
      </c>
      <c r="G778" s="79">
        <v>25.0</v>
      </c>
      <c r="H778" s="52">
        <f t="shared" si="316"/>
        <v>0.2396</v>
      </c>
    </row>
    <row r="779">
      <c r="A779" s="179"/>
      <c r="B779" s="477"/>
      <c r="C779" s="477"/>
      <c r="D779" s="478"/>
      <c r="E779" s="478"/>
      <c r="F779" s="478"/>
      <c r="G779" s="179"/>
      <c r="H779" s="181"/>
    </row>
    <row r="780">
      <c r="A780" s="43" t="s">
        <v>324</v>
      </c>
      <c r="B780" s="43" t="s">
        <v>325</v>
      </c>
      <c r="C780" s="44">
        <f>COUNTA(A781)</f>
        <v>1</v>
      </c>
      <c r="D780" s="47">
        <f t="shared" ref="D780:G780" si="317">SUM(D781)</f>
        <v>5.99</v>
      </c>
      <c r="E780" s="47">
        <f t="shared" si="317"/>
        <v>5.99</v>
      </c>
      <c r="F780" s="47">
        <f t="shared" si="317"/>
        <v>0</v>
      </c>
      <c r="G780" s="43">
        <f t="shared" si="317"/>
        <v>25</v>
      </c>
      <c r="H780" s="47">
        <f t="shared" ref="H780:H781" si="318">E780/G780</f>
        <v>0.2396</v>
      </c>
    </row>
    <row r="781">
      <c r="A781" s="39" t="s">
        <v>1187</v>
      </c>
      <c r="B781" s="1"/>
      <c r="C781" s="1"/>
      <c r="D781" s="71">
        <v>5.99</v>
      </c>
      <c r="E781" s="71">
        <v>5.99</v>
      </c>
      <c r="F781" s="71">
        <f>D781-E781</f>
        <v>0</v>
      </c>
      <c r="G781" s="39">
        <v>25.0</v>
      </c>
      <c r="H781" s="71">
        <f t="shared" si="318"/>
        <v>0.2396</v>
      </c>
    </row>
    <row r="782">
      <c r="A782" s="179"/>
      <c r="B782" s="477"/>
      <c r="C782" s="477"/>
      <c r="D782" s="478"/>
      <c r="E782" s="478"/>
      <c r="F782" s="478"/>
      <c r="G782" s="179"/>
      <c r="H782" s="181"/>
    </row>
    <row r="783">
      <c r="A783" s="104" t="s">
        <v>69</v>
      </c>
      <c r="B783" s="104" t="s">
        <v>57</v>
      </c>
      <c r="C783" s="243">
        <f>COUNTA(A784:A785)</f>
        <v>2</v>
      </c>
      <c r="D783" s="244">
        <f t="shared" ref="D783:H783" si="319">SUM(D784:D785)</f>
        <v>53.98</v>
      </c>
      <c r="E783" s="244">
        <f t="shared" si="319"/>
        <v>2.85</v>
      </c>
      <c r="F783" s="244">
        <f t="shared" si="319"/>
        <v>51.13</v>
      </c>
      <c r="G783" s="243">
        <f t="shared" si="319"/>
        <v>25</v>
      </c>
      <c r="H783" s="244">
        <f t="shared" si="319"/>
        <v>0.285</v>
      </c>
    </row>
    <row r="784">
      <c r="A784" s="108" t="s">
        <v>644</v>
      </c>
      <c r="B784" s="474"/>
      <c r="C784" s="474"/>
      <c r="D784" s="245">
        <v>26.99</v>
      </c>
      <c r="E784" s="245">
        <v>0.0</v>
      </c>
      <c r="F784" s="111">
        <f t="shared" ref="F784:F785" si="320">D784-E784</f>
        <v>26.99</v>
      </c>
      <c r="G784" s="108">
        <v>15.0</v>
      </c>
      <c r="H784" s="111">
        <f t="shared" ref="H784:H785" si="321">E784/G784</f>
        <v>0</v>
      </c>
    </row>
    <row r="785">
      <c r="A785" s="108" t="s">
        <v>646</v>
      </c>
      <c r="B785" s="474"/>
      <c r="C785" s="474"/>
      <c r="D785" s="489">
        <v>26.99</v>
      </c>
      <c r="E785" s="489">
        <v>2.85</v>
      </c>
      <c r="F785" s="489">
        <f t="shared" si="320"/>
        <v>24.14</v>
      </c>
      <c r="G785" s="108">
        <v>10.0</v>
      </c>
      <c r="H785" s="489">
        <f t="shared" si="321"/>
        <v>0.285</v>
      </c>
    </row>
    <row r="786">
      <c r="A786" s="179"/>
      <c r="B786" s="477"/>
      <c r="C786" s="477"/>
      <c r="D786" s="478"/>
      <c r="E786" s="478"/>
      <c r="F786" s="478"/>
      <c r="G786" s="179"/>
      <c r="H786" s="181"/>
    </row>
    <row r="787">
      <c r="A787" s="43" t="s">
        <v>180</v>
      </c>
      <c r="B787" s="44" t="s">
        <v>25</v>
      </c>
      <c r="C787" s="44">
        <f>COUNTA(A788)</f>
        <v>1</v>
      </c>
      <c r="D787" s="47">
        <f t="shared" ref="D787:G787" si="322">SUM(D788)</f>
        <v>24.99</v>
      </c>
      <c r="E787" s="47">
        <f t="shared" si="322"/>
        <v>9.99</v>
      </c>
      <c r="F787" s="47">
        <f t="shared" si="322"/>
        <v>15</v>
      </c>
      <c r="G787" s="43">
        <f t="shared" si="322"/>
        <v>25</v>
      </c>
      <c r="H787" s="47">
        <f t="shared" ref="H787:H788" si="323">E787/G787</f>
        <v>0.3996</v>
      </c>
    </row>
    <row r="788">
      <c r="A788" s="39" t="s">
        <v>863</v>
      </c>
      <c r="B788" s="1"/>
      <c r="C788" s="1"/>
      <c r="D788" s="71">
        <v>24.99</v>
      </c>
      <c r="E788" s="71">
        <v>9.99</v>
      </c>
      <c r="F788" s="71">
        <f>D788-E788</f>
        <v>15</v>
      </c>
      <c r="G788" s="39">
        <v>25.0</v>
      </c>
      <c r="H788" s="71">
        <f t="shared" si="323"/>
        <v>0.3996</v>
      </c>
    </row>
    <row r="789">
      <c r="A789" s="179"/>
      <c r="B789" s="477"/>
      <c r="C789" s="477"/>
      <c r="D789" s="478"/>
      <c r="E789" s="478"/>
      <c r="F789" s="478"/>
      <c r="G789" s="179"/>
      <c r="H789" s="181"/>
    </row>
    <row r="790">
      <c r="A790" s="43" t="s">
        <v>231</v>
      </c>
      <c r="B790" s="43" t="s">
        <v>25</v>
      </c>
      <c r="C790" s="44">
        <f>COUNTA(A791)</f>
        <v>1</v>
      </c>
      <c r="D790" s="47">
        <f t="shared" ref="D790:G790" si="324">SUM(D791)</f>
        <v>24.99</v>
      </c>
      <c r="E790" s="47">
        <f t="shared" si="324"/>
        <v>9.99</v>
      </c>
      <c r="F790" s="47">
        <f t="shared" si="324"/>
        <v>15</v>
      </c>
      <c r="G790" s="43">
        <f t="shared" si="324"/>
        <v>25</v>
      </c>
      <c r="H790" s="47">
        <f t="shared" ref="H790:H791" si="325">E790/G790</f>
        <v>0.3996</v>
      </c>
    </row>
    <row r="791">
      <c r="A791" s="39" t="s">
        <v>884</v>
      </c>
      <c r="B791" s="1"/>
      <c r="C791" s="1"/>
      <c r="D791" s="71">
        <v>24.99</v>
      </c>
      <c r="E791" s="71">
        <v>9.99</v>
      </c>
      <c r="F791" s="71">
        <f>D791-E791</f>
        <v>15</v>
      </c>
      <c r="G791" s="39">
        <v>25.0</v>
      </c>
      <c r="H791" s="71">
        <f t="shared" si="325"/>
        <v>0.3996</v>
      </c>
    </row>
    <row r="792">
      <c r="A792" s="179"/>
      <c r="B792" s="477"/>
      <c r="C792" s="477"/>
      <c r="D792" s="478"/>
      <c r="E792" s="478"/>
      <c r="F792" s="478"/>
      <c r="G792" s="179"/>
      <c r="H792" s="181"/>
    </row>
    <row r="793">
      <c r="A793" s="43" t="s">
        <v>106</v>
      </c>
      <c r="B793" s="43" t="s">
        <v>92</v>
      </c>
      <c r="C793" s="44">
        <f>COUNTA(A794:A795)</f>
        <v>2</v>
      </c>
      <c r="D793" s="47">
        <f t="shared" ref="D793:G793" si="326">SUM(D794:D795)</f>
        <v>39.98</v>
      </c>
      <c r="E793" s="47">
        <f t="shared" si="326"/>
        <v>16</v>
      </c>
      <c r="F793" s="47">
        <f t="shared" si="326"/>
        <v>23.98</v>
      </c>
      <c r="G793" s="43">
        <f t="shared" si="326"/>
        <v>25</v>
      </c>
      <c r="H793" s="47">
        <f t="shared" ref="H793:H795" si="327">E793/G793</f>
        <v>0.64</v>
      </c>
    </row>
    <row r="794">
      <c r="A794" s="258" t="s">
        <v>701</v>
      </c>
      <c r="B794" s="258"/>
      <c r="C794" s="258"/>
      <c r="D794" s="257">
        <v>19.99</v>
      </c>
      <c r="E794" s="257">
        <v>4.0</v>
      </c>
      <c r="F794" s="257">
        <f t="shared" ref="F794:F795" si="328">D794-E794</f>
        <v>15.99</v>
      </c>
      <c r="G794" s="258">
        <v>15.0</v>
      </c>
      <c r="H794" s="257">
        <f t="shared" si="327"/>
        <v>0.2666666667</v>
      </c>
    </row>
    <row r="795">
      <c r="A795" s="258" t="s">
        <v>691</v>
      </c>
      <c r="B795" s="258"/>
      <c r="C795" s="258"/>
      <c r="D795" s="257">
        <v>19.99</v>
      </c>
      <c r="E795" s="257">
        <v>12.0</v>
      </c>
      <c r="F795" s="257">
        <f t="shared" si="328"/>
        <v>7.99</v>
      </c>
      <c r="G795" s="258">
        <v>10.0</v>
      </c>
      <c r="H795" s="257">
        <f t="shared" si="327"/>
        <v>1.2</v>
      </c>
    </row>
    <row r="796">
      <c r="A796" s="179"/>
      <c r="B796" s="477"/>
      <c r="C796" s="477"/>
      <c r="D796" s="478"/>
      <c r="E796" s="478"/>
      <c r="F796" s="478"/>
      <c r="G796" s="179"/>
      <c r="H796" s="181"/>
    </row>
    <row r="797">
      <c r="A797" s="43" t="s">
        <v>174</v>
      </c>
      <c r="B797" s="44" t="s">
        <v>25</v>
      </c>
      <c r="C797" s="44">
        <f>COUNTA(A798)</f>
        <v>1</v>
      </c>
      <c r="D797" s="47">
        <f t="shared" ref="D797:G797" si="329">SUM(D798)</f>
        <v>19.99</v>
      </c>
      <c r="E797" s="47">
        <f t="shared" si="329"/>
        <v>18</v>
      </c>
      <c r="F797" s="47">
        <f t="shared" si="329"/>
        <v>1.99</v>
      </c>
      <c r="G797" s="43">
        <f t="shared" si="329"/>
        <v>25</v>
      </c>
      <c r="H797" s="47">
        <f t="shared" ref="H797:H798" si="330">E797/G797</f>
        <v>0.72</v>
      </c>
    </row>
    <row r="798">
      <c r="A798" s="39" t="s">
        <v>845</v>
      </c>
      <c r="B798" s="1"/>
      <c r="C798" s="1"/>
      <c r="D798" s="71">
        <v>19.99</v>
      </c>
      <c r="E798" s="71">
        <v>18.0</v>
      </c>
      <c r="F798" s="71">
        <f>D798-E798</f>
        <v>1.99</v>
      </c>
      <c r="G798" s="39">
        <v>25.0</v>
      </c>
      <c r="H798" s="71">
        <f t="shared" si="330"/>
        <v>0.72</v>
      </c>
    </row>
    <row r="799">
      <c r="A799" s="461"/>
      <c r="B799" s="462"/>
      <c r="C799" s="461"/>
      <c r="D799" s="461"/>
      <c r="E799" s="461"/>
      <c r="F799" s="461"/>
      <c r="G799" s="461"/>
      <c r="H799" s="461"/>
    </row>
    <row r="800">
      <c r="A800" s="43" t="s">
        <v>556</v>
      </c>
      <c r="B800" s="43" t="s">
        <v>29</v>
      </c>
      <c r="C800" s="44">
        <f>COUNTA(A801:A804)</f>
        <v>4</v>
      </c>
      <c r="D800" s="145">
        <f t="shared" ref="D800:G800" si="331">SUM(D801:D804)</f>
        <v>49.96</v>
      </c>
      <c r="E800" s="145">
        <f t="shared" si="331"/>
        <v>23.46</v>
      </c>
      <c r="F800" s="145">
        <f t="shared" si="331"/>
        <v>26.5</v>
      </c>
      <c r="G800" s="44">
        <f t="shared" si="331"/>
        <v>25</v>
      </c>
      <c r="H800" s="145">
        <f t="shared" ref="H800:H804" si="332">E800/G800</f>
        <v>0.9384</v>
      </c>
    </row>
    <row r="801">
      <c r="A801" s="39" t="s">
        <v>1577</v>
      </c>
      <c r="B801" s="1"/>
      <c r="C801" s="1"/>
      <c r="D801" s="71">
        <v>14.99</v>
      </c>
      <c r="E801" s="71">
        <v>4.74</v>
      </c>
      <c r="F801" s="71">
        <f t="shared" ref="F801:F804" si="333">D801-E801</f>
        <v>10.25</v>
      </c>
      <c r="G801" s="39">
        <v>16.0</v>
      </c>
      <c r="H801" s="71">
        <f t="shared" si="332"/>
        <v>0.29625</v>
      </c>
    </row>
    <row r="802">
      <c r="A802" s="39" t="s">
        <v>1659</v>
      </c>
      <c r="B802" s="1"/>
      <c r="C802" s="1"/>
      <c r="D802" s="71">
        <v>14.99</v>
      </c>
      <c r="E802" s="71">
        <v>9.74</v>
      </c>
      <c r="F802" s="71">
        <f t="shared" si="333"/>
        <v>5.25</v>
      </c>
      <c r="G802" s="39">
        <v>7.0</v>
      </c>
      <c r="H802" s="71">
        <f t="shared" si="332"/>
        <v>1.391428571</v>
      </c>
    </row>
    <row r="803">
      <c r="A803" s="39" t="s">
        <v>1572</v>
      </c>
      <c r="B803" s="1"/>
      <c r="C803" s="1"/>
      <c r="D803" s="71">
        <v>14.99</v>
      </c>
      <c r="E803" s="71">
        <v>3.99</v>
      </c>
      <c r="F803" s="71">
        <f t="shared" si="333"/>
        <v>11</v>
      </c>
      <c r="G803" s="39">
        <v>1.0</v>
      </c>
      <c r="H803" s="71">
        <f t="shared" si="332"/>
        <v>3.99</v>
      </c>
    </row>
    <row r="804">
      <c r="A804" s="72" t="s">
        <v>1502</v>
      </c>
      <c r="B804" s="1"/>
      <c r="C804" s="1"/>
      <c r="D804" s="71">
        <v>4.99</v>
      </c>
      <c r="E804" s="71">
        <v>4.99</v>
      </c>
      <c r="F804" s="71">
        <f t="shared" si="333"/>
        <v>0</v>
      </c>
      <c r="G804" s="39">
        <v>1.0</v>
      </c>
      <c r="H804" s="71">
        <f t="shared" si="332"/>
        <v>4.99</v>
      </c>
    </row>
    <row r="805">
      <c r="A805" s="39"/>
      <c r="B805" s="1"/>
      <c r="C805" s="1"/>
      <c r="D805" s="71"/>
      <c r="E805" s="71"/>
      <c r="F805" s="71"/>
      <c r="G805" s="39"/>
      <c r="H805" s="71"/>
    </row>
    <row r="806">
      <c r="A806" s="104" t="s">
        <v>66</v>
      </c>
      <c r="B806" s="104" t="s">
        <v>57</v>
      </c>
      <c r="C806" s="243">
        <f>COUNTA(A807)</f>
        <v>1</v>
      </c>
      <c r="D806" s="106">
        <f t="shared" ref="D806:G806" si="334">SUM(D807)</f>
        <v>4.99</v>
      </c>
      <c r="E806" s="106">
        <f t="shared" si="334"/>
        <v>4.99</v>
      </c>
      <c r="F806" s="106">
        <f t="shared" si="334"/>
        <v>0</v>
      </c>
      <c r="G806" s="104">
        <f t="shared" si="334"/>
        <v>24</v>
      </c>
      <c r="H806" s="106">
        <f t="shared" ref="H806:H807" si="335">E806/G806</f>
        <v>0.2079166667</v>
      </c>
    </row>
    <row r="807">
      <c r="A807" s="108" t="s">
        <v>653</v>
      </c>
      <c r="B807" s="475"/>
      <c r="C807" s="475"/>
      <c r="D807" s="111">
        <v>4.99</v>
      </c>
      <c r="E807" s="111">
        <v>4.99</v>
      </c>
      <c r="F807" s="111">
        <f>D807-E807</f>
        <v>0</v>
      </c>
      <c r="G807" s="109">
        <v>24.0</v>
      </c>
      <c r="H807" s="111">
        <f t="shared" si="335"/>
        <v>0.2079166667</v>
      </c>
    </row>
    <row r="808">
      <c r="A808" s="179"/>
      <c r="B808" s="477"/>
      <c r="C808" s="477"/>
      <c r="D808" s="478"/>
      <c r="E808" s="478"/>
      <c r="F808" s="478"/>
      <c r="G808" s="179"/>
      <c r="H808" s="181"/>
    </row>
    <row r="809">
      <c r="A809" s="43" t="s">
        <v>218</v>
      </c>
      <c r="B809" s="43" t="s">
        <v>25</v>
      </c>
      <c r="C809" s="44">
        <f>COUNTA(A810:A811)</f>
        <v>2</v>
      </c>
      <c r="D809" s="47">
        <f t="shared" ref="D809:G809" si="336">SUM(D810:D811)</f>
        <v>69.98</v>
      </c>
      <c r="E809" s="47">
        <f t="shared" si="336"/>
        <v>11.99</v>
      </c>
      <c r="F809" s="47">
        <f t="shared" si="336"/>
        <v>57.99</v>
      </c>
      <c r="G809" s="43">
        <f t="shared" si="336"/>
        <v>24</v>
      </c>
      <c r="H809" s="47">
        <f t="shared" ref="H809:H811" si="337">E809/G809</f>
        <v>0.4995833333</v>
      </c>
    </row>
    <row r="810">
      <c r="A810" s="39" t="s">
        <v>929</v>
      </c>
      <c r="B810" s="1"/>
      <c r="C810" s="1"/>
      <c r="D810" s="71">
        <v>29.99</v>
      </c>
      <c r="E810" s="71">
        <v>0.0</v>
      </c>
      <c r="F810" s="71">
        <f t="shared" ref="F810:F811" si="338">D810-E810</f>
        <v>29.99</v>
      </c>
      <c r="G810" s="39">
        <v>21.0</v>
      </c>
      <c r="H810" s="71">
        <f t="shared" si="337"/>
        <v>0</v>
      </c>
    </row>
    <row r="811">
      <c r="A811" s="39" t="s">
        <v>919</v>
      </c>
      <c r="B811" s="1"/>
      <c r="C811" s="1"/>
      <c r="D811" s="71">
        <v>39.99</v>
      </c>
      <c r="E811" s="71">
        <v>11.99</v>
      </c>
      <c r="F811" s="71">
        <f t="shared" si="338"/>
        <v>28</v>
      </c>
      <c r="G811" s="39">
        <v>3.0</v>
      </c>
      <c r="H811" s="71">
        <f t="shared" si="337"/>
        <v>3.996666667</v>
      </c>
    </row>
    <row r="812">
      <c r="A812" s="179"/>
      <c r="B812" s="477"/>
      <c r="C812" s="477"/>
      <c r="D812" s="478"/>
      <c r="E812" s="478"/>
      <c r="F812" s="478"/>
      <c r="G812" s="179"/>
      <c r="H812" s="181"/>
    </row>
    <row r="813">
      <c r="A813" s="43" t="s">
        <v>637</v>
      </c>
      <c r="B813" s="43" t="s">
        <v>29</v>
      </c>
      <c r="C813" s="44">
        <f>COUNTA(A814)</f>
        <v>1</v>
      </c>
      <c r="D813" s="47">
        <f t="shared" ref="D813:G813" si="339">SUM(D814)</f>
        <v>19.99</v>
      </c>
      <c r="E813" s="47">
        <f t="shared" si="339"/>
        <v>13.99</v>
      </c>
      <c r="F813" s="47">
        <f t="shared" si="339"/>
        <v>6</v>
      </c>
      <c r="G813" s="43">
        <f t="shared" si="339"/>
        <v>24</v>
      </c>
      <c r="H813" s="47">
        <f t="shared" ref="H813:H814" si="340">E813/G813</f>
        <v>0.5829166667</v>
      </c>
    </row>
    <row r="814">
      <c r="A814" s="39" t="s">
        <v>1681</v>
      </c>
      <c r="B814" s="1"/>
      <c r="C814" s="1"/>
      <c r="D814" s="71">
        <v>19.99</v>
      </c>
      <c r="E814" s="71">
        <v>13.99</v>
      </c>
      <c r="F814" s="71">
        <f>D814-E814</f>
        <v>6</v>
      </c>
      <c r="G814" s="39">
        <v>24.0</v>
      </c>
      <c r="H814" s="71">
        <f t="shared" si="340"/>
        <v>0.5829166667</v>
      </c>
    </row>
    <row r="815">
      <c r="A815" s="179"/>
      <c r="B815" s="477"/>
      <c r="C815" s="477"/>
      <c r="D815" s="478"/>
      <c r="E815" s="478"/>
      <c r="F815" s="478"/>
      <c r="G815" s="179"/>
      <c r="H815" s="181"/>
    </row>
    <row r="816">
      <c r="A816" s="43" t="s">
        <v>404</v>
      </c>
      <c r="B816" s="43" t="s">
        <v>400</v>
      </c>
      <c r="C816" s="44">
        <f>COUNTA(A817)</f>
        <v>1</v>
      </c>
      <c r="D816" s="47">
        <f t="shared" ref="D816:G816" si="341">SUM(D817)</f>
        <v>29.99</v>
      </c>
      <c r="E816" s="47">
        <f t="shared" si="341"/>
        <v>14.99</v>
      </c>
      <c r="F816" s="47">
        <f t="shared" si="341"/>
        <v>15</v>
      </c>
      <c r="G816" s="43">
        <f t="shared" si="341"/>
        <v>24</v>
      </c>
      <c r="H816" s="47">
        <f t="shared" ref="H816:H817" si="342">E816/G816</f>
        <v>0.6245833333</v>
      </c>
    </row>
    <row r="817">
      <c r="A817" s="72" t="s">
        <v>1344</v>
      </c>
      <c r="B817" s="1"/>
      <c r="C817" s="1"/>
      <c r="D817" s="71">
        <v>29.99</v>
      </c>
      <c r="E817" s="71">
        <v>14.99</v>
      </c>
      <c r="F817" s="71">
        <f>D817-E817</f>
        <v>15</v>
      </c>
      <c r="G817" s="39">
        <v>24.0</v>
      </c>
      <c r="H817" s="71">
        <f t="shared" si="342"/>
        <v>0.6245833333</v>
      </c>
    </row>
    <row r="818">
      <c r="A818" s="179"/>
      <c r="B818" s="477"/>
      <c r="C818" s="477"/>
      <c r="D818" s="478"/>
      <c r="E818" s="478"/>
      <c r="F818" s="478"/>
      <c r="G818" s="179"/>
      <c r="H818" s="181"/>
    </row>
    <row r="819">
      <c r="A819" s="104" t="s">
        <v>71</v>
      </c>
      <c r="B819" s="104" t="s">
        <v>57</v>
      </c>
      <c r="C819" s="243">
        <f>COUNTA(A820)</f>
        <v>1</v>
      </c>
      <c r="D819" s="106">
        <f t="shared" ref="D819:G819" si="343">SUM(D820)</f>
        <v>29.99</v>
      </c>
      <c r="E819" s="106">
        <f t="shared" si="343"/>
        <v>23.99</v>
      </c>
      <c r="F819" s="106">
        <f t="shared" si="343"/>
        <v>6</v>
      </c>
      <c r="G819" s="104">
        <f t="shared" si="343"/>
        <v>24</v>
      </c>
      <c r="H819" s="106">
        <f t="shared" ref="H819:H820" si="344">E819/G819</f>
        <v>0.9995833333</v>
      </c>
    </row>
    <row r="820">
      <c r="A820" s="109" t="s">
        <v>664</v>
      </c>
      <c r="B820" s="475"/>
      <c r="C820" s="475"/>
      <c r="D820" s="111">
        <v>29.99</v>
      </c>
      <c r="E820" s="111">
        <v>23.99</v>
      </c>
      <c r="F820" s="111">
        <f>D820-E820</f>
        <v>6</v>
      </c>
      <c r="G820" s="109">
        <v>24.0</v>
      </c>
      <c r="H820" s="111">
        <f t="shared" si="344"/>
        <v>0.9995833333</v>
      </c>
    </row>
    <row r="821">
      <c r="A821" s="39"/>
      <c r="B821" s="1"/>
      <c r="C821" s="1"/>
      <c r="D821" s="71"/>
      <c r="E821" s="71"/>
      <c r="F821" s="71"/>
      <c r="G821" s="39"/>
      <c r="H821" s="71"/>
    </row>
    <row r="822">
      <c r="A822" s="152" t="s">
        <v>467</v>
      </c>
      <c r="B822" s="154" t="s">
        <v>455</v>
      </c>
      <c r="C822" s="255">
        <f>COUNTA(A823:A826)</f>
        <v>4</v>
      </c>
      <c r="D822" s="490">
        <f t="shared" ref="D822:G822" si="345">SUM(D823:D826)</f>
        <v>73.96</v>
      </c>
      <c r="E822" s="490">
        <f t="shared" si="345"/>
        <v>32.71</v>
      </c>
      <c r="F822" s="490">
        <f t="shared" si="345"/>
        <v>41.25</v>
      </c>
      <c r="G822" s="255">
        <f t="shared" si="345"/>
        <v>24</v>
      </c>
      <c r="H822" s="490">
        <f t="shared" ref="H822:H826" si="346">E822/G822</f>
        <v>1.362916667</v>
      </c>
    </row>
    <row r="823">
      <c r="A823" s="155" t="s">
        <v>1404</v>
      </c>
      <c r="B823" s="486"/>
      <c r="C823" s="486"/>
      <c r="D823" s="159">
        <v>8.99</v>
      </c>
      <c r="E823" s="159">
        <v>1.99</v>
      </c>
      <c r="F823" s="159">
        <f t="shared" ref="F823:F826" si="347">D823-E823</f>
        <v>7</v>
      </c>
      <c r="G823" s="156">
        <v>10.0</v>
      </c>
      <c r="H823" s="159">
        <f t="shared" si="346"/>
        <v>0.199</v>
      </c>
    </row>
    <row r="824">
      <c r="A824" s="155" t="s">
        <v>1405</v>
      </c>
      <c r="B824" s="486"/>
      <c r="C824" s="486"/>
      <c r="D824" s="159">
        <v>14.99</v>
      </c>
      <c r="E824" s="159">
        <v>9.99</v>
      </c>
      <c r="F824" s="159">
        <f t="shared" si="347"/>
        <v>5</v>
      </c>
      <c r="G824" s="156">
        <v>9.0</v>
      </c>
      <c r="H824" s="159">
        <f t="shared" si="346"/>
        <v>1.11</v>
      </c>
    </row>
    <row r="825">
      <c r="A825" s="155" t="s">
        <v>1406</v>
      </c>
      <c r="B825" s="486"/>
      <c r="C825" s="486"/>
      <c r="D825" s="159">
        <v>19.99</v>
      </c>
      <c r="E825" s="159">
        <v>4.99</v>
      </c>
      <c r="F825" s="159">
        <f t="shared" si="347"/>
        <v>15</v>
      </c>
      <c r="G825" s="156">
        <v>4.0</v>
      </c>
      <c r="H825" s="159">
        <f t="shared" si="346"/>
        <v>1.2475</v>
      </c>
    </row>
    <row r="826">
      <c r="A826" s="156" t="s">
        <v>1427</v>
      </c>
      <c r="B826" s="486"/>
      <c r="C826" s="486"/>
      <c r="D826" s="157">
        <v>29.99</v>
      </c>
      <c r="E826" s="157">
        <v>15.74</v>
      </c>
      <c r="F826" s="157">
        <f t="shared" si="347"/>
        <v>14.25</v>
      </c>
      <c r="G826" s="156">
        <v>1.0</v>
      </c>
      <c r="H826" s="159">
        <f t="shared" si="346"/>
        <v>15.74</v>
      </c>
    </row>
    <row r="827">
      <c r="A827" s="461"/>
      <c r="B827" s="462"/>
      <c r="C827" s="461"/>
      <c r="D827" s="461"/>
      <c r="E827" s="461"/>
      <c r="F827" s="461"/>
      <c r="G827" s="461"/>
      <c r="H827" s="461"/>
    </row>
    <row r="828">
      <c r="A828" s="43" t="s">
        <v>411</v>
      </c>
      <c r="B828" s="43" t="s">
        <v>400</v>
      </c>
      <c r="C828" s="44">
        <f>COUNTA(A829)</f>
        <v>1</v>
      </c>
      <c r="D828" s="46">
        <f t="shared" ref="D828:G828" si="348">SUM(D829)</f>
        <v>19.99</v>
      </c>
      <c r="E828" s="46">
        <f t="shared" si="348"/>
        <v>2.99</v>
      </c>
      <c r="F828" s="46">
        <f t="shared" si="348"/>
        <v>17</v>
      </c>
      <c r="G828" s="43">
        <f t="shared" si="348"/>
        <v>23</v>
      </c>
      <c r="H828" s="46">
        <f t="shared" ref="H828:H829" si="349">E828/G828</f>
        <v>0.13</v>
      </c>
    </row>
    <row r="829">
      <c r="A829" s="39" t="s">
        <v>1335</v>
      </c>
      <c r="B829" s="1"/>
      <c r="C829" s="1"/>
      <c r="D829" s="42">
        <v>19.99</v>
      </c>
      <c r="E829" s="42">
        <v>2.99</v>
      </c>
      <c r="F829" s="42">
        <f>D829-E829</f>
        <v>17</v>
      </c>
      <c r="G829" s="72">
        <v>23.0</v>
      </c>
      <c r="H829" s="42">
        <f t="shared" si="349"/>
        <v>0.13</v>
      </c>
    </row>
    <row r="830">
      <c r="A830" s="461"/>
      <c r="B830" s="462"/>
      <c r="C830" s="461"/>
      <c r="D830" s="461"/>
      <c r="E830" s="461"/>
      <c r="F830" s="461"/>
      <c r="G830" s="461"/>
      <c r="H830" s="461"/>
    </row>
    <row r="831">
      <c r="A831" s="43" t="s">
        <v>395</v>
      </c>
      <c r="B831" s="43" t="s">
        <v>396</v>
      </c>
      <c r="C831" s="44">
        <f>COUNTA(A832:A833)</f>
        <v>2</v>
      </c>
      <c r="D831" s="46">
        <f t="shared" ref="D831:G831" si="350">SUM(D832:D833)</f>
        <v>29.98</v>
      </c>
      <c r="E831" s="46">
        <f t="shared" si="350"/>
        <v>4.99</v>
      </c>
      <c r="F831" s="46">
        <f t="shared" si="350"/>
        <v>24.99</v>
      </c>
      <c r="G831" s="43">
        <f t="shared" si="350"/>
        <v>23</v>
      </c>
      <c r="H831" s="46">
        <f t="shared" ref="H831:H833" si="351">E831/G831</f>
        <v>0.2169565217</v>
      </c>
    </row>
    <row r="832">
      <c r="A832" s="75" t="s">
        <v>1332</v>
      </c>
      <c r="B832" s="491"/>
      <c r="C832" s="491"/>
      <c r="D832" s="168">
        <v>19.99</v>
      </c>
      <c r="E832" s="168">
        <v>0.0</v>
      </c>
      <c r="F832" s="168">
        <f t="shared" ref="F832:F833" si="352">D832-E832</f>
        <v>19.99</v>
      </c>
      <c r="G832" s="53">
        <v>13.0</v>
      </c>
      <c r="H832" s="168">
        <f t="shared" si="351"/>
        <v>0</v>
      </c>
    </row>
    <row r="833">
      <c r="A833" s="75" t="s">
        <v>1331</v>
      </c>
      <c r="B833" s="491"/>
      <c r="C833" s="491"/>
      <c r="D833" s="163">
        <v>9.99</v>
      </c>
      <c r="E833" s="163">
        <v>4.99</v>
      </c>
      <c r="F833" s="163">
        <f t="shared" si="352"/>
        <v>5</v>
      </c>
      <c r="G833" s="75">
        <v>10.0</v>
      </c>
      <c r="H833" s="163">
        <f t="shared" si="351"/>
        <v>0.499</v>
      </c>
    </row>
    <row r="834">
      <c r="A834" s="461"/>
      <c r="B834" s="462"/>
      <c r="C834" s="461"/>
      <c r="D834" s="461"/>
      <c r="E834" s="461"/>
      <c r="F834" s="461"/>
      <c r="G834" s="461"/>
      <c r="H834" s="461"/>
    </row>
    <row r="835">
      <c r="A835" s="102" t="s">
        <v>300</v>
      </c>
      <c r="B835" s="102" t="s">
        <v>291</v>
      </c>
      <c r="C835" s="103">
        <f>COUNTA(A836)</f>
        <v>1</v>
      </c>
      <c r="D835" s="170">
        <f t="shared" ref="D835:G835" si="353">SUM(D836)</f>
        <v>24.99</v>
      </c>
      <c r="E835" s="170">
        <f t="shared" si="353"/>
        <v>17.49</v>
      </c>
      <c r="F835" s="170">
        <f t="shared" si="353"/>
        <v>7.5</v>
      </c>
      <c r="G835" s="102">
        <f t="shared" si="353"/>
        <v>23</v>
      </c>
      <c r="H835" s="170">
        <f t="shared" ref="H835:H836" si="354">E835/G835</f>
        <v>0.7604347826</v>
      </c>
    </row>
    <row r="836">
      <c r="A836" s="273" t="s">
        <v>1042</v>
      </c>
      <c r="B836" s="1"/>
      <c r="C836" s="1"/>
      <c r="D836" s="484">
        <v>24.99</v>
      </c>
      <c r="E836" s="484">
        <v>17.49</v>
      </c>
      <c r="F836" s="484">
        <f>D836-E836</f>
        <v>7.5</v>
      </c>
      <c r="G836" s="273">
        <v>23.0</v>
      </c>
      <c r="H836" s="484">
        <f t="shared" si="354"/>
        <v>0.7604347826</v>
      </c>
    </row>
    <row r="837">
      <c r="A837" s="461"/>
      <c r="B837" s="462"/>
      <c r="C837" s="461"/>
      <c r="D837" s="461"/>
      <c r="E837" s="461"/>
      <c r="F837" s="461"/>
      <c r="G837" s="461"/>
      <c r="H837" s="461"/>
    </row>
    <row r="838">
      <c r="A838" s="43" t="s">
        <v>627</v>
      </c>
      <c r="B838" s="43" t="s">
        <v>29</v>
      </c>
      <c r="C838" s="44">
        <f>COUNTA(A839:A840)</f>
        <v>2</v>
      </c>
      <c r="D838" s="46">
        <f t="shared" ref="D838:G838" si="355">SUM(D839:D840)</f>
        <v>35.98</v>
      </c>
      <c r="E838" s="46">
        <f t="shared" si="355"/>
        <v>24.58</v>
      </c>
      <c r="F838" s="46">
        <f t="shared" si="355"/>
        <v>11.4</v>
      </c>
      <c r="G838" s="43">
        <f t="shared" si="355"/>
        <v>23</v>
      </c>
      <c r="H838" s="46">
        <f t="shared" ref="H838:H840" si="356">E838/G838</f>
        <v>1.068695652</v>
      </c>
    </row>
    <row r="839">
      <c r="A839" s="48" t="s">
        <v>1634</v>
      </c>
      <c r="B839" s="37"/>
      <c r="C839" s="37"/>
      <c r="D839" s="42">
        <v>13.99</v>
      </c>
      <c r="E839" s="42">
        <v>6.99</v>
      </c>
      <c r="F839" s="42">
        <f t="shared" ref="F839:F840" si="357">D839-E839</f>
        <v>7</v>
      </c>
      <c r="G839" s="72">
        <v>14.0</v>
      </c>
      <c r="H839" s="42">
        <f t="shared" si="356"/>
        <v>0.4992857143</v>
      </c>
    </row>
    <row r="840">
      <c r="A840" s="72" t="s">
        <v>1707</v>
      </c>
      <c r="B840" s="37"/>
      <c r="C840" s="37"/>
      <c r="D840" s="469">
        <v>21.99</v>
      </c>
      <c r="E840" s="469">
        <v>17.59</v>
      </c>
      <c r="F840" s="42">
        <f t="shared" si="357"/>
        <v>4.4</v>
      </c>
      <c r="G840" s="258">
        <v>9.0</v>
      </c>
      <c r="H840" s="469">
        <f t="shared" si="356"/>
        <v>1.954444444</v>
      </c>
    </row>
    <row r="841">
      <c r="A841" s="72"/>
      <c r="B841" s="37"/>
      <c r="C841" s="37"/>
      <c r="D841" s="469"/>
      <c r="E841" s="469"/>
      <c r="F841" s="42"/>
      <c r="G841" s="258"/>
      <c r="H841" s="469"/>
    </row>
    <row r="842">
      <c r="A842" s="43" t="s">
        <v>357</v>
      </c>
      <c r="B842" s="43" t="s">
        <v>325</v>
      </c>
      <c r="C842" s="44">
        <f>COUNTA(A843)</f>
        <v>1</v>
      </c>
      <c r="D842" s="46">
        <f t="shared" ref="D842:G842" si="358">SUM(D843)</f>
        <v>28.99</v>
      </c>
      <c r="E842" s="46">
        <f t="shared" si="358"/>
        <v>28.99</v>
      </c>
      <c r="F842" s="46">
        <f t="shared" si="358"/>
        <v>0</v>
      </c>
      <c r="G842" s="43">
        <f t="shared" si="358"/>
        <v>22</v>
      </c>
      <c r="H842" s="46">
        <f t="shared" ref="H842:H843" si="359">E842/G842</f>
        <v>1.317727273</v>
      </c>
    </row>
    <row r="843">
      <c r="A843" s="39" t="s">
        <v>1310</v>
      </c>
      <c r="B843" s="1"/>
      <c r="C843" s="1"/>
      <c r="D843" s="42">
        <v>28.99</v>
      </c>
      <c r="E843" s="42">
        <v>28.99</v>
      </c>
      <c r="F843" s="42">
        <f>D843-E843</f>
        <v>0</v>
      </c>
      <c r="G843" s="72">
        <v>22.0</v>
      </c>
      <c r="H843" s="71">
        <f t="shared" si="359"/>
        <v>1.317727273</v>
      </c>
    </row>
    <row r="844">
      <c r="A844" s="461"/>
      <c r="B844" s="462"/>
      <c r="C844" s="461"/>
      <c r="D844" s="461"/>
      <c r="E844" s="461"/>
      <c r="F844" s="461"/>
      <c r="G844" s="461"/>
      <c r="H844" s="461"/>
    </row>
    <row r="845">
      <c r="A845" s="43" t="s">
        <v>482</v>
      </c>
      <c r="B845" s="43" t="s">
        <v>483</v>
      </c>
      <c r="C845" s="44">
        <f>COUNTA(A846)</f>
        <v>1</v>
      </c>
      <c r="D845" s="47">
        <f t="shared" ref="D845:G845" si="360">SUM(D846)</f>
        <v>14.99</v>
      </c>
      <c r="E845" s="47">
        <f t="shared" si="360"/>
        <v>0</v>
      </c>
      <c r="F845" s="47">
        <f t="shared" si="360"/>
        <v>14.99</v>
      </c>
      <c r="G845" s="43">
        <f t="shared" si="360"/>
        <v>21</v>
      </c>
      <c r="H845" s="47">
        <f t="shared" ref="H845:H846" si="361">E845/G845</f>
        <v>0</v>
      </c>
    </row>
    <row r="846">
      <c r="A846" s="75" t="s">
        <v>1434</v>
      </c>
      <c r="B846" s="491"/>
      <c r="C846" s="491"/>
      <c r="D846" s="163">
        <v>14.99</v>
      </c>
      <c r="E846" s="163">
        <v>0.0</v>
      </c>
      <c r="F846" s="163">
        <f>D846-E846</f>
        <v>14.99</v>
      </c>
      <c r="G846" s="53">
        <v>21.0</v>
      </c>
      <c r="H846" s="163">
        <f t="shared" si="361"/>
        <v>0</v>
      </c>
    </row>
    <row r="847">
      <c r="A847" s="461"/>
      <c r="B847" s="462"/>
      <c r="C847" s="461"/>
      <c r="D847" s="461"/>
      <c r="E847" s="461"/>
      <c r="F847" s="461"/>
      <c r="G847" s="461"/>
      <c r="H847" s="461"/>
    </row>
    <row r="848">
      <c r="A848" s="43" t="s">
        <v>408</v>
      </c>
      <c r="B848" s="43" t="s">
        <v>400</v>
      </c>
      <c r="C848" s="44">
        <f>COUNTA(A849)</f>
        <v>1</v>
      </c>
      <c r="D848" s="47">
        <f t="shared" ref="D848:G848" si="362">SUM(D849)</f>
        <v>14.99</v>
      </c>
      <c r="E848" s="47">
        <f t="shared" si="362"/>
        <v>1.49</v>
      </c>
      <c r="F848" s="47">
        <f t="shared" si="362"/>
        <v>13.5</v>
      </c>
      <c r="G848" s="43">
        <f t="shared" si="362"/>
        <v>20</v>
      </c>
      <c r="H848" s="47">
        <f t="shared" ref="H848:H849" si="363">E848/G848</f>
        <v>0.0745</v>
      </c>
    </row>
    <row r="849">
      <c r="A849" s="39" t="s">
        <v>1339</v>
      </c>
      <c r="B849" s="1"/>
      <c r="C849" s="1"/>
      <c r="D849" s="71">
        <v>14.99</v>
      </c>
      <c r="E849" s="71">
        <v>1.49</v>
      </c>
      <c r="F849" s="71">
        <f>D849-E849</f>
        <v>13.5</v>
      </c>
      <c r="G849" s="39">
        <v>20.0</v>
      </c>
      <c r="H849" s="71">
        <f t="shared" si="363"/>
        <v>0.0745</v>
      </c>
    </row>
    <row r="850">
      <c r="A850" s="179"/>
      <c r="B850" s="477"/>
      <c r="C850" s="477"/>
      <c r="D850" s="478"/>
      <c r="E850" s="478"/>
      <c r="F850" s="478"/>
      <c r="G850" s="179"/>
      <c r="H850" s="181"/>
    </row>
    <row r="851">
      <c r="A851" s="201" t="s">
        <v>387</v>
      </c>
      <c r="B851" s="204" t="s">
        <v>384</v>
      </c>
      <c r="C851" s="204">
        <f>COUNTA(A852:A853)</f>
        <v>2</v>
      </c>
      <c r="D851" s="203">
        <f t="shared" ref="D851:G851" si="364">SUM(D852:D853)</f>
        <v>36.98</v>
      </c>
      <c r="E851" s="203">
        <f t="shared" si="364"/>
        <v>1.49</v>
      </c>
      <c r="F851" s="203">
        <f t="shared" si="364"/>
        <v>35.49</v>
      </c>
      <c r="G851" s="201">
        <f t="shared" si="364"/>
        <v>20</v>
      </c>
      <c r="H851" s="203">
        <f t="shared" ref="H851:H853" si="365">E851/G851</f>
        <v>0.0745</v>
      </c>
    </row>
    <row r="852">
      <c r="A852" s="471" t="s">
        <v>1323</v>
      </c>
      <c r="B852" s="472"/>
      <c r="C852" s="472"/>
      <c r="D852" s="473">
        <v>21.99</v>
      </c>
      <c r="E852" s="473">
        <v>0.0</v>
      </c>
      <c r="F852" s="473">
        <f t="shared" ref="F852:F853" si="366">D852-E852</f>
        <v>21.99</v>
      </c>
      <c r="G852" s="472">
        <v>19.0</v>
      </c>
      <c r="H852" s="473">
        <f t="shared" si="365"/>
        <v>0</v>
      </c>
    </row>
    <row r="853">
      <c r="A853" s="471" t="s">
        <v>1318</v>
      </c>
      <c r="B853" s="472"/>
      <c r="C853" s="472"/>
      <c r="D853" s="473">
        <v>14.99</v>
      </c>
      <c r="E853" s="473">
        <v>1.49</v>
      </c>
      <c r="F853" s="473">
        <f t="shared" si="366"/>
        <v>13.5</v>
      </c>
      <c r="G853" s="471">
        <v>1.0</v>
      </c>
      <c r="H853" s="473">
        <f t="shared" si="365"/>
        <v>1.49</v>
      </c>
    </row>
    <row r="854">
      <c r="A854" s="179"/>
      <c r="B854" s="477"/>
      <c r="C854" s="477"/>
      <c r="D854" s="478"/>
      <c r="E854" s="478"/>
      <c r="F854" s="478"/>
      <c r="G854" s="179"/>
      <c r="H854" s="181"/>
    </row>
    <row r="855">
      <c r="A855" s="43" t="s">
        <v>533</v>
      </c>
      <c r="B855" s="69" t="s">
        <v>29</v>
      </c>
      <c r="C855" s="44">
        <f>COUNTA(A856)</f>
        <v>1</v>
      </c>
      <c r="D855" s="47">
        <f t="shared" ref="D855:G855" si="367">SUM(D856)</f>
        <v>12.99</v>
      </c>
      <c r="E855" s="47">
        <f t="shared" si="367"/>
        <v>2.99</v>
      </c>
      <c r="F855" s="47">
        <f t="shared" si="367"/>
        <v>10</v>
      </c>
      <c r="G855" s="43">
        <f t="shared" si="367"/>
        <v>20</v>
      </c>
      <c r="H855" s="47">
        <f t="shared" ref="H855:H856" si="368">E855/G855</f>
        <v>0.1495</v>
      </c>
    </row>
    <row r="856">
      <c r="A856" s="39" t="s">
        <v>1537</v>
      </c>
      <c r="B856" s="1"/>
      <c r="C856" s="1"/>
      <c r="D856" s="71">
        <v>12.99</v>
      </c>
      <c r="E856" s="71">
        <v>2.99</v>
      </c>
      <c r="F856" s="71">
        <f>D856-E856</f>
        <v>10</v>
      </c>
      <c r="G856" s="39">
        <v>20.0</v>
      </c>
      <c r="H856" s="71">
        <f t="shared" si="368"/>
        <v>0.1495</v>
      </c>
    </row>
    <row r="857">
      <c r="A857" s="179"/>
      <c r="B857" s="477"/>
      <c r="C857" s="477"/>
      <c r="D857" s="478"/>
      <c r="E857" s="478"/>
      <c r="F857" s="478"/>
      <c r="G857" s="179"/>
      <c r="H857" s="181"/>
    </row>
    <row r="858">
      <c r="A858" s="43" t="s">
        <v>547</v>
      </c>
      <c r="B858" s="69" t="s">
        <v>29</v>
      </c>
      <c r="C858" s="44">
        <f>COUNTA(A859)</f>
        <v>1</v>
      </c>
      <c r="D858" s="47">
        <f t="shared" ref="D858:G858" si="369">SUM(D859)</f>
        <v>29.99</v>
      </c>
      <c r="E858" s="47">
        <f t="shared" si="369"/>
        <v>4</v>
      </c>
      <c r="F858" s="47">
        <f t="shared" si="369"/>
        <v>25.99</v>
      </c>
      <c r="G858" s="43">
        <f t="shared" si="369"/>
        <v>20</v>
      </c>
      <c r="H858" s="47">
        <f t="shared" ref="H858:H859" si="370">E858/G858</f>
        <v>0.2</v>
      </c>
    </row>
    <row r="859">
      <c r="A859" s="39" t="s">
        <v>1507</v>
      </c>
      <c r="B859" s="1"/>
      <c r="C859" s="1"/>
      <c r="D859" s="71">
        <v>29.99</v>
      </c>
      <c r="E859" s="71">
        <v>4.0</v>
      </c>
      <c r="F859" s="71">
        <f>D859-E859</f>
        <v>25.99</v>
      </c>
      <c r="G859" s="39">
        <v>20.0</v>
      </c>
      <c r="H859" s="71">
        <f t="shared" si="370"/>
        <v>0.2</v>
      </c>
    </row>
    <row r="860">
      <c r="A860" s="179"/>
      <c r="B860" s="477"/>
      <c r="C860" s="477"/>
      <c r="D860" s="478"/>
      <c r="E860" s="478"/>
      <c r="F860" s="478"/>
      <c r="G860" s="179"/>
      <c r="H860" s="181"/>
    </row>
    <row r="861">
      <c r="A861" s="104" t="s">
        <v>440</v>
      </c>
      <c r="B861" s="104" t="s">
        <v>441</v>
      </c>
      <c r="C861" s="243">
        <f>COUNTA(A862:A863)</f>
        <v>2</v>
      </c>
      <c r="D861" s="492">
        <f t="shared" ref="D861:G861" si="371">SUM(D862:D863)</f>
        <v>34.98</v>
      </c>
      <c r="E861" s="492">
        <f t="shared" si="371"/>
        <v>4.99</v>
      </c>
      <c r="F861" s="492">
        <f t="shared" si="371"/>
        <v>29.99</v>
      </c>
      <c r="G861" s="243">
        <f t="shared" si="371"/>
        <v>20</v>
      </c>
      <c r="H861" s="492">
        <f t="shared" ref="H861:H863" si="372">E861/G861</f>
        <v>0.2495</v>
      </c>
    </row>
    <row r="862">
      <c r="A862" s="109" t="s">
        <v>1379</v>
      </c>
      <c r="B862" s="474"/>
      <c r="C862" s="474"/>
      <c r="D862" s="111">
        <v>14.99</v>
      </c>
      <c r="E862" s="111">
        <v>4.99</v>
      </c>
      <c r="F862" s="111">
        <f t="shared" ref="F862:F863" si="373">D862-E862</f>
        <v>10</v>
      </c>
      <c r="G862" s="109">
        <v>18.0</v>
      </c>
      <c r="H862" s="111">
        <f t="shared" si="372"/>
        <v>0.2772222222</v>
      </c>
    </row>
    <row r="863">
      <c r="A863" s="108" t="s">
        <v>1380</v>
      </c>
      <c r="B863" s="474"/>
      <c r="C863" s="474"/>
      <c r="D863" s="245">
        <v>19.99</v>
      </c>
      <c r="E863" s="245">
        <v>0.0</v>
      </c>
      <c r="F863" s="111">
        <f t="shared" si="373"/>
        <v>19.99</v>
      </c>
      <c r="G863" s="108">
        <v>2.0</v>
      </c>
      <c r="H863" s="111">
        <f t="shared" si="372"/>
        <v>0</v>
      </c>
    </row>
    <row r="864">
      <c r="A864" s="179"/>
      <c r="B864" s="477"/>
      <c r="C864" s="477"/>
      <c r="D864" s="478"/>
      <c r="E864" s="478"/>
      <c r="F864" s="478"/>
      <c r="G864" s="179"/>
      <c r="H864" s="181"/>
    </row>
    <row r="865">
      <c r="A865" s="43" t="s">
        <v>181</v>
      </c>
      <c r="B865" s="44" t="s">
        <v>25</v>
      </c>
      <c r="C865" s="44">
        <f>COUNTA(A866)</f>
        <v>1</v>
      </c>
      <c r="D865" s="47">
        <f t="shared" ref="D865:G865" si="374">SUM(D866)</f>
        <v>6.99</v>
      </c>
      <c r="E865" s="47">
        <f t="shared" si="374"/>
        <v>6.99</v>
      </c>
      <c r="F865" s="47">
        <f t="shared" si="374"/>
        <v>0</v>
      </c>
      <c r="G865" s="43">
        <f t="shared" si="374"/>
        <v>20</v>
      </c>
      <c r="H865" s="47">
        <f t="shared" ref="H865:H866" si="375">E865/G865</f>
        <v>0.3495</v>
      </c>
    </row>
    <row r="866">
      <c r="A866" s="39" t="s">
        <v>852</v>
      </c>
      <c r="B866" s="1"/>
      <c r="C866" s="1"/>
      <c r="D866" s="71">
        <v>6.99</v>
      </c>
      <c r="E866" s="71">
        <v>6.99</v>
      </c>
      <c r="F866" s="71">
        <f>D866-E866</f>
        <v>0</v>
      </c>
      <c r="G866" s="39">
        <v>20.0</v>
      </c>
      <c r="H866" s="71">
        <f t="shared" si="375"/>
        <v>0.3495</v>
      </c>
    </row>
    <row r="867">
      <c r="A867" s="179"/>
      <c r="B867" s="477"/>
      <c r="C867" s="477"/>
      <c r="D867" s="478"/>
      <c r="E867" s="478"/>
      <c r="F867" s="478"/>
      <c r="G867" s="179"/>
      <c r="H867" s="181"/>
    </row>
    <row r="868">
      <c r="A868" s="43" t="s">
        <v>567</v>
      </c>
      <c r="B868" s="69" t="s">
        <v>29</v>
      </c>
      <c r="C868" s="44">
        <f>COUNTA(A869)</f>
        <v>1</v>
      </c>
      <c r="D868" s="47">
        <f t="shared" ref="D868:G868" si="376">SUM(D869)</f>
        <v>14.99</v>
      </c>
      <c r="E868" s="47">
        <f t="shared" si="376"/>
        <v>7.5</v>
      </c>
      <c r="F868" s="47">
        <f t="shared" si="376"/>
        <v>7.49</v>
      </c>
      <c r="G868" s="43">
        <f t="shared" si="376"/>
        <v>20</v>
      </c>
      <c r="H868" s="47">
        <f t="shared" ref="H868:H869" si="377">E868/G868</f>
        <v>0.375</v>
      </c>
    </row>
    <row r="869">
      <c r="A869" s="39" t="s">
        <v>1516</v>
      </c>
      <c r="B869" s="1"/>
      <c r="C869" s="1"/>
      <c r="D869" s="71">
        <v>14.99</v>
      </c>
      <c r="E869" s="71">
        <v>7.5</v>
      </c>
      <c r="F869" s="71">
        <f>D869-E869</f>
        <v>7.49</v>
      </c>
      <c r="G869" s="39">
        <v>20.0</v>
      </c>
      <c r="H869" s="71">
        <f t="shared" si="377"/>
        <v>0.375</v>
      </c>
    </row>
    <row r="870">
      <c r="A870" s="179"/>
      <c r="B870" s="477"/>
      <c r="C870" s="477"/>
      <c r="D870" s="478"/>
      <c r="E870" s="478"/>
      <c r="F870" s="478"/>
      <c r="G870" s="179"/>
      <c r="H870" s="181"/>
    </row>
    <row r="871">
      <c r="A871" s="53" t="s">
        <v>274</v>
      </c>
      <c r="B871" s="75" t="s">
        <v>265</v>
      </c>
      <c r="C871" s="75">
        <f>COUNTA(A872)</f>
        <v>1</v>
      </c>
      <c r="D871" s="76">
        <f t="shared" ref="D871:G871" si="378">SUM(D872)</f>
        <v>9.99</v>
      </c>
      <c r="E871" s="76">
        <f t="shared" si="378"/>
        <v>9.99</v>
      </c>
      <c r="F871" s="76">
        <f t="shared" si="378"/>
        <v>0</v>
      </c>
      <c r="G871" s="53">
        <f t="shared" si="378"/>
        <v>20</v>
      </c>
      <c r="H871" s="76">
        <f t="shared" ref="H871:H872" si="379">E871/G871</f>
        <v>0.4995</v>
      </c>
    </row>
    <row r="872">
      <c r="A872" s="79" t="s">
        <v>1000</v>
      </c>
      <c r="B872" s="1"/>
      <c r="C872" s="1"/>
      <c r="D872" s="52">
        <v>9.99</v>
      </c>
      <c r="E872" s="52">
        <v>9.99</v>
      </c>
      <c r="F872" s="52">
        <f>D872-E872</f>
        <v>0</v>
      </c>
      <c r="G872" s="79">
        <v>20.0</v>
      </c>
      <c r="H872" s="52">
        <f t="shared" si="379"/>
        <v>0.4995</v>
      </c>
    </row>
    <row r="873">
      <c r="A873" s="179"/>
      <c r="B873" s="477"/>
      <c r="C873" s="477"/>
      <c r="D873" s="478"/>
      <c r="E873" s="478"/>
      <c r="F873" s="478"/>
      <c r="G873" s="179"/>
      <c r="H873" s="181"/>
    </row>
    <row r="874">
      <c r="A874" s="102" t="s">
        <v>295</v>
      </c>
      <c r="B874" s="102" t="s">
        <v>291</v>
      </c>
      <c r="C874" s="103">
        <f>COUNTA(A875)</f>
        <v>1</v>
      </c>
      <c r="D874" s="170">
        <f t="shared" ref="D874:G874" si="380">SUM(D875)</f>
        <v>9.99</v>
      </c>
      <c r="E874" s="170">
        <f t="shared" si="380"/>
        <v>9.99</v>
      </c>
      <c r="F874" s="170">
        <f t="shared" si="380"/>
        <v>0</v>
      </c>
      <c r="G874" s="102">
        <f t="shared" si="380"/>
        <v>20</v>
      </c>
      <c r="H874" s="170">
        <f t="shared" ref="H874:H875" si="381">E874/G874</f>
        <v>0.4995</v>
      </c>
    </row>
    <row r="875">
      <c r="A875" s="25" t="s">
        <v>1034</v>
      </c>
      <c r="B875" s="1"/>
      <c r="C875" s="1"/>
      <c r="D875" s="26">
        <v>9.99</v>
      </c>
      <c r="E875" s="26">
        <v>9.99</v>
      </c>
      <c r="F875" s="26">
        <f>D875-E875</f>
        <v>0</v>
      </c>
      <c r="G875" s="25">
        <v>20.0</v>
      </c>
      <c r="H875" s="26">
        <f t="shared" si="381"/>
        <v>0.4995</v>
      </c>
    </row>
    <row r="876">
      <c r="A876" s="179"/>
      <c r="B876" s="477"/>
      <c r="C876" s="477"/>
      <c r="D876" s="478"/>
      <c r="E876" s="478"/>
      <c r="F876" s="478"/>
      <c r="G876" s="179"/>
      <c r="H876" s="181"/>
    </row>
    <row r="877">
      <c r="A877" s="43" t="s">
        <v>371</v>
      </c>
      <c r="B877" s="43" t="s">
        <v>325</v>
      </c>
      <c r="C877" s="44">
        <f>COUNTA(A878:A879)</f>
        <v>2</v>
      </c>
      <c r="D877" s="47">
        <f t="shared" ref="D877:G877" si="382">SUM(D878:D879)</f>
        <v>35.97</v>
      </c>
      <c r="E877" s="47">
        <f t="shared" si="382"/>
        <v>12.98</v>
      </c>
      <c r="F877" s="47">
        <f t="shared" si="382"/>
        <v>22.99</v>
      </c>
      <c r="G877" s="43">
        <f t="shared" si="382"/>
        <v>20</v>
      </c>
      <c r="H877" s="47">
        <f t="shared" ref="H877:H879" si="383">E877/G877</f>
        <v>0.649</v>
      </c>
    </row>
    <row r="878">
      <c r="A878" s="39" t="s">
        <v>1081</v>
      </c>
      <c r="B878" s="1"/>
      <c r="C878" s="1"/>
      <c r="D878" s="71">
        <v>27.98</v>
      </c>
      <c r="E878" s="71">
        <v>4.99</v>
      </c>
      <c r="F878" s="71">
        <f t="shared" ref="F878:F879" si="384">D878-E878</f>
        <v>22.99</v>
      </c>
      <c r="G878" s="72">
        <v>18.0</v>
      </c>
      <c r="H878" s="71">
        <f t="shared" si="383"/>
        <v>0.2772222222</v>
      </c>
    </row>
    <row r="879">
      <c r="A879" s="39" t="s">
        <v>1089</v>
      </c>
      <c r="B879" s="1"/>
      <c r="C879" s="1"/>
      <c r="D879" s="71">
        <v>7.99</v>
      </c>
      <c r="E879" s="71">
        <v>7.99</v>
      </c>
      <c r="F879" s="71">
        <f t="shared" si="384"/>
        <v>0</v>
      </c>
      <c r="G879" s="39">
        <v>2.0</v>
      </c>
      <c r="H879" s="71">
        <f t="shared" si="383"/>
        <v>3.995</v>
      </c>
    </row>
    <row r="880">
      <c r="A880" s="179"/>
      <c r="B880" s="477"/>
      <c r="C880" s="477"/>
      <c r="D880" s="478"/>
      <c r="E880" s="478"/>
      <c r="F880" s="478"/>
      <c r="G880" s="179"/>
      <c r="H880" s="181"/>
    </row>
    <row r="881">
      <c r="A881" s="53" t="s">
        <v>374</v>
      </c>
      <c r="B881" s="53" t="s">
        <v>375</v>
      </c>
      <c r="C881" s="75">
        <f>COUNTA(A882)</f>
        <v>1</v>
      </c>
      <c r="D881" s="76">
        <f t="shared" ref="D881:G881" si="385">SUM(D882)</f>
        <v>49.98</v>
      </c>
      <c r="E881" s="76">
        <f t="shared" si="385"/>
        <v>12.98</v>
      </c>
      <c r="F881" s="76">
        <f t="shared" si="385"/>
        <v>37</v>
      </c>
      <c r="G881" s="53">
        <f t="shared" si="385"/>
        <v>20</v>
      </c>
      <c r="H881" s="76">
        <f t="shared" ref="H881:H882" si="386">E881/G881</f>
        <v>0.649</v>
      </c>
    </row>
    <row r="882">
      <c r="A882" s="49" t="s">
        <v>1312</v>
      </c>
      <c r="B882" s="1"/>
      <c r="C882" s="1"/>
      <c r="D882" s="52">
        <v>49.98</v>
      </c>
      <c r="E882" s="52">
        <v>12.98</v>
      </c>
      <c r="F882" s="52">
        <f>D882-E882</f>
        <v>37</v>
      </c>
      <c r="G882" s="79">
        <v>20.0</v>
      </c>
      <c r="H882" s="52">
        <f t="shared" si="386"/>
        <v>0.649</v>
      </c>
    </row>
    <row r="883">
      <c r="A883" s="179"/>
      <c r="B883" s="477"/>
      <c r="C883" s="477"/>
      <c r="D883" s="478"/>
      <c r="E883" s="478"/>
      <c r="F883" s="478"/>
      <c r="G883" s="179"/>
      <c r="H883" s="181"/>
    </row>
    <row r="884">
      <c r="A884" s="104" t="s">
        <v>67</v>
      </c>
      <c r="B884" s="104" t="s">
        <v>57</v>
      </c>
      <c r="C884" s="243">
        <f>COUNTA(A885)</f>
        <v>1</v>
      </c>
      <c r="D884" s="106">
        <f t="shared" ref="D884:G884" si="387">SUM(D885)</f>
        <v>19.99</v>
      </c>
      <c r="E884" s="106">
        <f t="shared" si="387"/>
        <v>14.99</v>
      </c>
      <c r="F884" s="106">
        <f t="shared" si="387"/>
        <v>5</v>
      </c>
      <c r="G884" s="104">
        <f t="shared" si="387"/>
        <v>20</v>
      </c>
      <c r="H884" s="106">
        <f t="shared" ref="H884:H885" si="388">E884/G884</f>
        <v>0.7495</v>
      </c>
    </row>
    <row r="885">
      <c r="A885" s="109" t="s">
        <v>660</v>
      </c>
      <c r="B885" s="475"/>
      <c r="C885" s="475"/>
      <c r="D885" s="111">
        <v>19.99</v>
      </c>
      <c r="E885" s="111">
        <v>14.99</v>
      </c>
      <c r="F885" s="111">
        <f>D885-E885</f>
        <v>5</v>
      </c>
      <c r="G885" s="109">
        <v>20.0</v>
      </c>
      <c r="H885" s="111">
        <f t="shared" si="388"/>
        <v>0.7495</v>
      </c>
    </row>
    <row r="886">
      <c r="A886" s="179"/>
      <c r="B886" s="477"/>
      <c r="C886" s="477"/>
      <c r="D886" s="478"/>
      <c r="E886" s="478"/>
      <c r="F886" s="478"/>
      <c r="G886" s="179"/>
      <c r="H886" s="181"/>
    </row>
    <row r="887">
      <c r="A887" s="104" t="s">
        <v>64</v>
      </c>
      <c r="B887" s="104" t="s">
        <v>57</v>
      </c>
      <c r="C887" s="243">
        <f>COUNTA(A888)</f>
        <v>1</v>
      </c>
      <c r="D887" s="106">
        <f t="shared" ref="D887:G887" si="389">SUM(D888)</f>
        <v>24.98</v>
      </c>
      <c r="E887" s="106">
        <f t="shared" si="389"/>
        <v>24.98</v>
      </c>
      <c r="F887" s="106">
        <f t="shared" si="389"/>
        <v>0</v>
      </c>
      <c r="G887" s="104">
        <f t="shared" si="389"/>
        <v>20</v>
      </c>
      <c r="H887" s="106">
        <f t="shared" ref="H887:H888" si="390">E887/G887</f>
        <v>1.249</v>
      </c>
    </row>
    <row r="888">
      <c r="A888" s="109" t="s">
        <v>655</v>
      </c>
      <c r="B888" s="474"/>
      <c r="C888" s="474"/>
      <c r="D888" s="111">
        <v>24.98</v>
      </c>
      <c r="E888" s="111">
        <v>24.98</v>
      </c>
      <c r="F888" s="111">
        <f>D888-E888</f>
        <v>0</v>
      </c>
      <c r="G888" s="109">
        <v>20.0</v>
      </c>
      <c r="H888" s="111">
        <f t="shared" si="390"/>
        <v>1.249</v>
      </c>
    </row>
    <row r="889">
      <c r="A889" s="461"/>
      <c r="B889" s="462"/>
      <c r="C889" s="461"/>
      <c r="D889" s="461"/>
      <c r="E889" s="461"/>
      <c r="F889" s="461"/>
      <c r="G889" s="461"/>
      <c r="H889" s="461"/>
    </row>
    <row r="890">
      <c r="A890" s="43" t="s">
        <v>531</v>
      </c>
      <c r="B890" s="43" t="s">
        <v>29</v>
      </c>
      <c r="C890" s="44">
        <f>COUNTA(A891:A892)</f>
        <v>2</v>
      </c>
      <c r="D890" s="47">
        <f t="shared" ref="D890:G890" si="391">SUM(D891:D892)</f>
        <v>39.98</v>
      </c>
      <c r="E890" s="47">
        <f t="shared" si="391"/>
        <v>29.98</v>
      </c>
      <c r="F890" s="47">
        <f t="shared" si="391"/>
        <v>10</v>
      </c>
      <c r="G890" s="43">
        <f t="shared" si="391"/>
        <v>20</v>
      </c>
      <c r="H890" s="47">
        <f t="shared" ref="H890:H892" si="392">E890/G890</f>
        <v>1.499</v>
      </c>
    </row>
    <row r="891">
      <c r="A891" s="39" t="s">
        <v>1594</v>
      </c>
      <c r="B891" s="1"/>
      <c r="C891" s="1"/>
      <c r="D891" s="71">
        <v>19.99</v>
      </c>
      <c r="E891" s="71">
        <v>9.99</v>
      </c>
      <c r="F891" s="71">
        <f t="shared" ref="F891:F892" si="393">D891-E891</f>
        <v>10</v>
      </c>
      <c r="G891" s="39">
        <v>19.0</v>
      </c>
      <c r="H891" s="71">
        <f t="shared" si="392"/>
        <v>0.5257894737</v>
      </c>
    </row>
    <row r="892">
      <c r="A892" s="72" t="s">
        <v>1567</v>
      </c>
      <c r="B892" s="1"/>
      <c r="C892" s="1"/>
      <c r="D892" s="71">
        <v>19.99</v>
      </c>
      <c r="E892" s="71">
        <v>19.99</v>
      </c>
      <c r="F892" s="71">
        <f t="shared" si="393"/>
        <v>0</v>
      </c>
      <c r="G892" s="39">
        <v>1.0</v>
      </c>
      <c r="H892" s="71">
        <f t="shared" si="392"/>
        <v>19.99</v>
      </c>
    </row>
    <row r="893">
      <c r="A893" s="461"/>
      <c r="B893" s="462"/>
      <c r="C893" s="461"/>
      <c r="D893" s="461"/>
      <c r="E893" s="461"/>
      <c r="F893" s="461"/>
      <c r="G893" s="461"/>
      <c r="H893" s="461"/>
    </row>
    <row r="894">
      <c r="A894" s="43" t="s">
        <v>521</v>
      </c>
      <c r="B894" s="69" t="s">
        <v>29</v>
      </c>
      <c r="C894" s="44">
        <f>COUNTA(A895)</f>
        <v>1</v>
      </c>
      <c r="D894" s="47">
        <f t="shared" ref="D894:G894" si="394">SUM(D895)</f>
        <v>39.99</v>
      </c>
      <c r="E894" s="47">
        <f t="shared" si="394"/>
        <v>0</v>
      </c>
      <c r="F894" s="47">
        <f t="shared" si="394"/>
        <v>39.99</v>
      </c>
      <c r="G894" s="43">
        <f t="shared" si="394"/>
        <v>19</v>
      </c>
      <c r="H894" s="47">
        <f t="shared" ref="H894:H895" si="395">E894/G894</f>
        <v>0</v>
      </c>
    </row>
    <row r="895">
      <c r="A895" s="39" t="s">
        <v>1687</v>
      </c>
      <c r="B895" s="1"/>
      <c r="C895" s="1"/>
      <c r="D895" s="71">
        <v>39.99</v>
      </c>
      <c r="E895" s="71">
        <v>0.0</v>
      </c>
      <c r="F895" s="71">
        <f>D895-E895</f>
        <v>39.99</v>
      </c>
      <c r="G895" s="39">
        <v>19.0</v>
      </c>
      <c r="H895" s="71">
        <f t="shared" si="395"/>
        <v>0</v>
      </c>
    </row>
    <row r="896">
      <c r="A896" s="462"/>
      <c r="B896" s="462"/>
      <c r="C896" s="461"/>
      <c r="D896" s="462"/>
      <c r="E896" s="462"/>
      <c r="F896" s="462"/>
      <c r="G896" s="462"/>
      <c r="H896" s="462"/>
    </row>
    <row r="897">
      <c r="A897" s="43" t="s">
        <v>516</v>
      </c>
      <c r="B897" s="43" t="s">
        <v>29</v>
      </c>
      <c r="C897" s="44">
        <f>COUNTA(A898:A899)</f>
        <v>2</v>
      </c>
      <c r="D897" s="47">
        <f t="shared" ref="D897:G897" si="396">SUM(D898:D899)</f>
        <v>24.98</v>
      </c>
      <c r="E897" s="47">
        <f t="shared" si="396"/>
        <v>14.48</v>
      </c>
      <c r="F897" s="47">
        <f t="shared" si="396"/>
        <v>10.5</v>
      </c>
      <c r="G897" s="43">
        <f t="shared" si="396"/>
        <v>19</v>
      </c>
      <c r="H897" s="47">
        <f t="shared" ref="H897:H899" si="397">E897/G897</f>
        <v>0.7621052632</v>
      </c>
    </row>
    <row r="898">
      <c r="A898" s="39" t="s">
        <v>1597</v>
      </c>
      <c r="B898" s="1"/>
      <c r="C898" s="1"/>
      <c r="D898" s="71">
        <v>14.99</v>
      </c>
      <c r="E898" s="71">
        <v>7.49</v>
      </c>
      <c r="F898" s="71">
        <f t="shared" ref="F898:F899" si="398">D898-E898</f>
        <v>7.5</v>
      </c>
      <c r="G898" s="39">
        <v>17.0</v>
      </c>
      <c r="H898" s="71">
        <f t="shared" si="397"/>
        <v>0.4405882353</v>
      </c>
    </row>
    <row r="899">
      <c r="A899" s="39" t="s">
        <v>1674</v>
      </c>
      <c r="B899" s="1"/>
      <c r="C899" s="1"/>
      <c r="D899" s="71">
        <v>9.99</v>
      </c>
      <c r="E899" s="71">
        <v>6.99</v>
      </c>
      <c r="F899" s="71">
        <f t="shared" si="398"/>
        <v>3</v>
      </c>
      <c r="G899" s="72">
        <v>2.0</v>
      </c>
      <c r="H899" s="71">
        <f t="shared" si="397"/>
        <v>3.495</v>
      </c>
    </row>
    <row r="900">
      <c r="A900" s="462"/>
      <c r="B900" s="462"/>
      <c r="C900" s="461"/>
      <c r="D900" s="462"/>
      <c r="E900" s="462"/>
      <c r="F900" s="462"/>
      <c r="G900" s="462"/>
      <c r="H900" s="462"/>
    </row>
    <row r="901">
      <c r="A901" s="43" t="s">
        <v>330</v>
      </c>
      <c r="B901" s="43" t="s">
        <v>325</v>
      </c>
      <c r="C901" s="44">
        <f>COUNTA(A902:A903)</f>
        <v>2</v>
      </c>
      <c r="D901" s="47">
        <f t="shared" ref="D901:G901" si="399">SUM(D902:D903)</f>
        <v>149.97</v>
      </c>
      <c r="E901" s="47">
        <f t="shared" si="399"/>
        <v>114.97</v>
      </c>
      <c r="F901" s="47">
        <f t="shared" si="399"/>
        <v>35</v>
      </c>
      <c r="G901" s="43">
        <f t="shared" si="399"/>
        <v>19</v>
      </c>
      <c r="H901" s="47">
        <f t="shared" ref="H901:H903" si="400">E901/G901</f>
        <v>6.051052632</v>
      </c>
    </row>
    <row r="902">
      <c r="A902" s="39" t="s">
        <v>1156</v>
      </c>
      <c r="B902" s="1"/>
      <c r="C902" s="1"/>
      <c r="D902" s="71">
        <v>79.98</v>
      </c>
      <c r="E902" s="71">
        <v>79.98</v>
      </c>
      <c r="F902" s="71">
        <f t="shared" ref="F902:F903" si="401">D902-E902</f>
        <v>0</v>
      </c>
      <c r="G902" s="39">
        <v>18.0</v>
      </c>
      <c r="H902" s="71">
        <f t="shared" si="400"/>
        <v>4.443333333</v>
      </c>
    </row>
    <row r="903">
      <c r="A903" s="72" t="s">
        <v>1180</v>
      </c>
      <c r="B903" s="1"/>
      <c r="C903" s="1"/>
      <c r="D903" s="71">
        <v>69.99</v>
      </c>
      <c r="E903" s="71">
        <v>34.99</v>
      </c>
      <c r="F903" s="71">
        <f t="shared" si="401"/>
        <v>35</v>
      </c>
      <c r="G903" s="39">
        <v>1.0</v>
      </c>
      <c r="H903" s="71">
        <f t="shared" si="400"/>
        <v>34.99</v>
      </c>
    </row>
    <row r="904">
      <c r="A904" s="461"/>
      <c r="B904" s="462"/>
      <c r="C904" s="461"/>
      <c r="D904" s="461"/>
      <c r="E904" s="461"/>
      <c r="F904" s="461"/>
      <c r="G904" s="461"/>
      <c r="H904" s="461"/>
    </row>
    <row r="905">
      <c r="A905" s="43" t="s">
        <v>630</v>
      </c>
      <c r="B905" s="43" t="s">
        <v>29</v>
      </c>
      <c r="C905" s="44">
        <f>COUNTA(A906)</f>
        <v>1</v>
      </c>
      <c r="D905" s="47">
        <f t="shared" ref="D905:G905" si="402">SUM(D906)</f>
        <v>9.99</v>
      </c>
      <c r="E905" s="47">
        <f t="shared" si="402"/>
        <v>3.99</v>
      </c>
      <c r="F905" s="47">
        <f t="shared" si="402"/>
        <v>6</v>
      </c>
      <c r="G905" s="43">
        <f t="shared" si="402"/>
        <v>18</v>
      </c>
      <c r="H905" s="47">
        <f t="shared" ref="H905:H906" si="403">E905/G905</f>
        <v>0.2216666667</v>
      </c>
    </row>
    <row r="906">
      <c r="A906" s="39" t="s">
        <v>1603</v>
      </c>
      <c r="B906" s="1"/>
      <c r="C906" s="1"/>
      <c r="D906" s="71">
        <v>9.99</v>
      </c>
      <c r="E906" s="71">
        <v>3.99</v>
      </c>
      <c r="F906" s="71">
        <f>D906-E906</f>
        <v>6</v>
      </c>
      <c r="G906" s="39">
        <v>18.0</v>
      </c>
      <c r="H906" s="71">
        <f t="shared" si="403"/>
        <v>0.2216666667</v>
      </c>
    </row>
    <row r="907">
      <c r="A907" s="179"/>
      <c r="B907" s="477"/>
      <c r="C907" s="477"/>
      <c r="D907" s="478"/>
      <c r="E907" s="478"/>
      <c r="F907" s="478"/>
      <c r="G907" s="179"/>
      <c r="H907" s="181"/>
    </row>
    <row r="908">
      <c r="A908" s="43" t="s">
        <v>215</v>
      </c>
      <c r="B908" s="43" t="s">
        <v>25</v>
      </c>
      <c r="C908" s="44">
        <f>COUNTA(A909)</f>
        <v>1</v>
      </c>
      <c r="D908" s="47">
        <f t="shared" ref="D908:G908" si="404">SUM(D909)</f>
        <v>19.99</v>
      </c>
      <c r="E908" s="47">
        <f t="shared" si="404"/>
        <v>11.99</v>
      </c>
      <c r="F908" s="47">
        <f t="shared" si="404"/>
        <v>8</v>
      </c>
      <c r="G908" s="43">
        <f t="shared" si="404"/>
        <v>18</v>
      </c>
      <c r="H908" s="47">
        <f t="shared" ref="H908:H909" si="405">E908/G908</f>
        <v>0.6661111111</v>
      </c>
    </row>
    <row r="909">
      <c r="A909" s="72" t="s">
        <v>969</v>
      </c>
      <c r="B909" s="1"/>
      <c r="C909" s="1"/>
      <c r="D909" s="71">
        <v>19.99</v>
      </c>
      <c r="E909" s="71">
        <v>11.99</v>
      </c>
      <c r="F909" s="71">
        <f>D909-E909</f>
        <v>8</v>
      </c>
      <c r="G909" s="39">
        <v>18.0</v>
      </c>
      <c r="H909" s="71">
        <f t="shared" si="405"/>
        <v>0.6661111111</v>
      </c>
    </row>
    <row r="910">
      <c r="A910" s="461"/>
      <c r="B910" s="462"/>
      <c r="C910" s="461"/>
      <c r="D910" s="461"/>
      <c r="E910" s="461"/>
      <c r="F910" s="461"/>
      <c r="G910" s="461"/>
      <c r="H910" s="461"/>
    </row>
    <row r="911">
      <c r="A911" s="43" t="s">
        <v>412</v>
      </c>
      <c r="B911" s="43" t="s">
        <v>400</v>
      </c>
      <c r="C911" s="44">
        <f>COUNTA(A912:A913)</f>
        <v>2</v>
      </c>
      <c r="D911" s="46">
        <f t="shared" ref="D911:G911" si="406">SUM(D912:D913)</f>
        <v>104.98</v>
      </c>
      <c r="E911" s="46">
        <f t="shared" si="406"/>
        <v>42.98</v>
      </c>
      <c r="F911" s="46">
        <f t="shared" si="406"/>
        <v>62</v>
      </c>
      <c r="G911" s="43">
        <f t="shared" si="406"/>
        <v>18</v>
      </c>
      <c r="H911" s="46">
        <f t="shared" ref="H911:H913" si="407">E911/G911</f>
        <v>2.387777778</v>
      </c>
    </row>
    <row r="912">
      <c r="A912" s="39" t="s">
        <v>1351</v>
      </c>
      <c r="B912" s="1"/>
      <c r="C912" s="1"/>
      <c r="D912" s="42">
        <v>59.99</v>
      </c>
      <c r="E912" s="42">
        <v>15.99</v>
      </c>
      <c r="F912" s="42">
        <f t="shared" ref="F912:F913" si="408">D912-E912</f>
        <v>44</v>
      </c>
      <c r="G912" s="39">
        <v>17.0</v>
      </c>
      <c r="H912" s="71">
        <f t="shared" si="407"/>
        <v>0.9405882353</v>
      </c>
    </row>
    <row r="913">
      <c r="A913" s="72" t="s">
        <v>1340</v>
      </c>
      <c r="B913" s="1"/>
      <c r="C913" s="1"/>
      <c r="D913" s="71">
        <v>44.99</v>
      </c>
      <c r="E913" s="71">
        <v>26.99</v>
      </c>
      <c r="F913" s="71">
        <f t="shared" si="408"/>
        <v>18</v>
      </c>
      <c r="G913" s="39">
        <v>1.0</v>
      </c>
      <c r="H913" s="71">
        <f t="shared" si="407"/>
        <v>26.99</v>
      </c>
    </row>
    <row r="914">
      <c r="A914" s="461"/>
      <c r="B914" s="462"/>
      <c r="C914" s="461"/>
      <c r="D914" s="461"/>
      <c r="E914" s="461"/>
      <c r="F914" s="461"/>
      <c r="G914" s="461"/>
      <c r="H914" s="461"/>
    </row>
    <row r="915">
      <c r="A915" s="152" t="s">
        <v>476</v>
      </c>
      <c r="B915" s="152" t="s">
        <v>455</v>
      </c>
      <c r="C915" s="255">
        <f>COUNTA(A916:A918)</f>
        <v>3</v>
      </c>
      <c r="D915" s="490">
        <f t="shared" ref="D915:G915" si="409">SUM(D916:D918)</f>
        <v>69.97</v>
      </c>
      <c r="E915" s="490">
        <f t="shared" si="409"/>
        <v>8.99</v>
      </c>
      <c r="F915" s="490">
        <f t="shared" si="409"/>
        <v>60.98</v>
      </c>
      <c r="G915" s="255">
        <f t="shared" si="409"/>
        <v>17</v>
      </c>
      <c r="H915" s="490">
        <f t="shared" ref="H915:H918" si="410">E915/G915</f>
        <v>0.5288235294</v>
      </c>
    </row>
    <row r="916">
      <c r="A916" s="156" t="s">
        <v>1397</v>
      </c>
      <c r="B916" s="486"/>
      <c r="C916" s="486"/>
      <c r="D916" s="159">
        <v>19.99</v>
      </c>
      <c r="E916" s="159">
        <v>1.0</v>
      </c>
      <c r="F916" s="159">
        <f t="shared" ref="F916:F918" si="411">D916-E916</f>
        <v>18.99</v>
      </c>
      <c r="G916" s="156">
        <v>15.0</v>
      </c>
      <c r="H916" s="159">
        <f t="shared" si="410"/>
        <v>0.06666666667</v>
      </c>
    </row>
    <row r="917">
      <c r="A917" s="156" t="s">
        <v>1394</v>
      </c>
      <c r="B917" s="486"/>
      <c r="C917" s="486"/>
      <c r="D917" s="159">
        <v>29.99</v>
      </c>
      <c r="E917" s="159">
        <v>3.0</v>
      </c>
      <c r="F917" s="159">
        <f t="shared" si="411"/>
        <v>26.99</v>
      </c>
      <c r="G917" s="156">
        <v>1.0</v>
      </c>
      <c r="H917" s="159">
        <f t="shared" si="410"/>
        <v>3</v>
      </c>
    </row>
    <row r="918">
      <c r="A918" s="155" t="s">
        <v>1399</v>
      </c>
      <c r="B918" s="486"/>
      <c r="C918" s="486"/>
      <c r="D918" s="159">
        <v>19.99</v>
      </c>
      <c r="E918" s="159">
        <v>4.99</v>
      </c>
      <c r="F918" s="159">
        <f t="shared" si="411"/>
        <v>15</v>
      </c>
      <c r="G918" s="156">
        <v>1.0</v>
      </c>
      <c r="H918" s="159">
        <f t="shared" si="410"/>
        <v>4.99</v>
      </c>
    </row>
    <row r="919">
      <c r="A919" s="461"/>
      <c r="B919" s="462"/>
      <c r="C919" s="461"/>
      <c r="D919" s="461"/>
      <c r="E919" s="461"/>
      <c r="F919" s="461"/>
      <c r="G919" s="461"/>
      <c r="H919" s="461"/>
    </row>
    <row r="920">
      <c r="A920" s="53" t="s">
        <v>155</v>
      </c>
      <c r="B920" s="53" t="s">
        <v>153</v>
      </c>
      <c r="C920" s="75">
        <f>COUNTA(A921)</f>
        <v>1</v>
      </c>
      <c r="D920" s="76">
        <f t="shared" ref="D920:G920" si="412">SUM(D921)</f>
        <v>19.99</v>
      </c>
      <c r="E920" s="76">
        <f t="shared" si="412"/>
        <v>9.99</v>
      </c>
      <c r="F920" s="76">
        <f t="shared" si="412"/>
        <v>10</v>
      </c>
      <c r="G920" s="53">
        <f t="shared" si="412"/>
        <v>17</v>
      </c>
      <c r="H920" s="76">
        <f t="shared" ref="H920:H921" si="413">E920/G920</f>
        <v>0.5876470588</v>
      </c>
    </row>
    <row r="921">
      <c r="A921" s="79" t="s">
        <v>784</v>
      </c>
      <c r="B921" s="1"/>
      <c r="C921" s="1"/>
      <c r="D921" s="52">
        <v>19.99</v>
      </c>
      <c r="E921" s="52">
        <v>9.99</v>
      </c>
      <c r="F921" s="52">
        <f>D921-E921</f>
        <v>10</v>
      </c>
      <c r="G921" s="79">
        <v>17.0</v>
      </c>
      <c r="H921" s="52">
        <f t="shared" si="413"/>
        <v>0.5876470588</v>
      </c>
    </row>
    <row r="922">
      <c r="A922" s="461"/>
      <c r="B922" s="462"/>
      <c r="C922" s="461"/>
      <c r="D922" s="461"/>
      <c r="E922" s="461"/>
      <c r="F922" s="461"/>
      <c r="G922" s="461"/>
      <c r="H922" s="461"/>
    </row>
    <row r="923">
      <c r="A923" s="43" t="s">
        <v>234</v>
      </c>
      <c r="B923" s="47" t="s">
        <v>25</v>
      </c>
      <c r="C923" s="44">
        <f>COUNTA(A924:A927)</f>
        <v>4</v>
      </c>
      <c r="D923" s="145">
        <f t="shared" ref="D923:G923" si="414">SUM(D924:D927)</f>
        <v>62.96</v>
      </c>
      <c r="E923" s="145">
        <f t="shared" si="414"/>
        <v>19.97</v>
      </c>
      <c r="F923" s="145">
        <f t="shared" si="414"/>
        <v>42.99</v>
      </c>
      <c r="G923" s="44">
        <f t="shared" si="414"/>
        <v>17</v>
      </c>
      <c r="H923" s="145">
        <f t="shared" ref="H923:H927" si="415">E923/G923</f>
        <v>1.174705882</v>
      </c>
    </row>
    <row r="924">
      <c r="A924" s="72" t="s">
        <v>876</v>
      </c>
      <c r="B924" s="1"/>
      <c r="C924" s="1"/>
      <c r="D924" s="71">
        <v>22.49</v>
      </c>
      <c r="E924" s="71">
        <v>4.99</v>
      </c>
      <c r="F924" s="71">
        <f t="shared" ref="F924:F927" si="416">D924-E924</f>
        <v>17.5</v>
      </c>
      <c r="G924" s="39">
        <v>10.0</v>
      </c>
      <c r="H924" s="71">
        <f t="shared" si="415"/>
        <v>0.499</v>
      </c>
    </row>
    <row r="925">
      <c r="A925" s="72" t="s">
        <v>838</v>
      </c>
      <c r="B925" s="1"/>
      <c r="C925" s="1"/>
      <c r="D925" s="71">
        <v>22.49</v>
      </c>
      <c r="E925" s="71">
        <v>5.0</v>
      </c>
      <c r="F925" s="71">
        <f t="shared" si="416"/>
        <v>17.49</v>
      </c>
      <c r="G925" s="39">
        <v>5.0</v>
      </c>
      <c r="H925" s="71">
        <f t="shared" si="415"/>
        <v>1</v>
      </c>
    </row>
    <row r="926">
      <c r="A926" s="39" t="s">
        <v>798</v>
      </c>
      <c r="B926" s="1"/>
      <c r="C926" s="1"/>
      <c r="D926" s="71">
        <v>9.99</v>
      </c>
      <c r="E926" s="71">
        <v>1.99</v>
      </c>
      <c r="F926" s="71">
        <f t="shared" si="416"/>
        <v>8</v>
      </c>
      <c r="G926" s="72">
        <v>1.0</v>
      </c>
      <c r="H926" s="71">
        <f t="shared" si="415"/>
        <v>1.99</v>
      </c>
    </row>
    <row r="927">
      <c r="A927" s="39" t="s">
        <v>831</v>
      </c>
      <c r="B927" s="1"/>
      <c r="C927" s="1"/>
      <c r="D927" s="71">
        <v>7.99</v>
      </c>
      <c r="E927" s="71">
        <v>7.99</v>
      </c>
      <c r="F927" s="71">
        <f t="shared" si="416"/>
        <v>0</v>
      </c>
      <c r="G927" s="39">
        <v>1.0</v>
      </c>
      <c r="H927" s="71">
        <f t="shared" si="415"/>
        <v>7.99</v>
      </c>
    </row>
    <row r="928">
      <c r="A928" s="39"/>
      <c r="B928" s="1"/>
      <c r="C928" s="1"/>
      <c r="D928" s="71"/>
      <c r="E928" s="71"/>
      <c r="F928" s="71"/>
      <c r="G928" s="39"/>
      <c r="H928" s="71"/>
    </row>
    <row r="929">
      <c r="A929" s="43" t="s">
        <v>397</v>
      </c>
      <c r="B929" s="43" t="s">
        <v>398</v>
      </c>
      <c r="C929" s="44">
        <f>COUNTA(A930:A931)</f>
        <v>2</v>
      </c>
      <c r="D929" s="46">
        <f t="shared" ref="D929:G929" si="417">SUM(D930:D931)</f>
        <v>69.98</v>
      </c>
      <c r="E929" s="46">
        <f t="shared" si="417"/>
        <v>21.48</v>
      </c>
      <c r="F929" s="46">
        <f t="shared" si="417"/>
        <v>48.5</v>
      </c>
      <c r="G929" s="43">
        <f t="shared" si="417"/>
        <v>17</v>
      </c>
      <c r="H929" s="46">
        <f t="shared" ref="H929:H931" si="418">E929/G929</f>
        <v>1.263529412</v>
      </c>
    </row>
    <row r="930">
      <c r="A930" s="48" t="s">
        <v>1334</v>
      </c>
      <c r="B930" s="1"/>
      <c r="C930" s="1"/>
      <c r="D930" s="42">
        <v>49.99</v>
      </c>
      <c r="E930" s="42">
        <v>17.49</v>
      </c>
      <c r="F930" s="42">
        <f t="shared" ref="F930:F931" si="419">D930-E930</f>
        <v>32.5</v>
      </c>
      <c r="G930" s="39">
        <v>14.0</v>
      </c>
      <c r="H930" s="42">
        <f t="shared" si="418"/>
        <v>1.249285714</v>
      </c>
    </row>
    <row r="931">
      <c r="A931" s="72" t="s">
        <v>1782</v>
      </c>
      <c r="B931" s="1"/>
      <c r="C931" s="1"/>
      <c r="D931" s="71">
        <v>19.99</v>
      </c>
      <c r="E931" s="71">
        <v>3.99</v>
      </c>
      <c r="F931" s="71">
        <f t="shared" si="419"/>
        <v>16</v>
      </c>
      <c r="G931" s="39">
        <v>3.0</v>
      </c>
      <c r="H931" s="71">
        <f t="shared" si="418"/>
        <v>1.33</v>
      </c>
    </row>
    <row r="932">
      <c r="A932" s="39"/>
      <c r="B932" s="1"/>
      <c r="C932" s="1"/>
      <c r="D932" s="71"/>
      <c r="E932" s="71"/>
      <c r="F932" s="71"/>
      <c r="G932" s="39"/>
      <c r="H932" s="71"/>
    </row>
    <row r="933">
      <c r="A933" s="43" t="s">
        <v>91</v>
      </c>
      <c r="B933" s="43" t="s">
        <v>92</v>
      </c>
      <c r="C933" s="44">
        <f>COUNTA(A934)</f>
        <v>1</v>
      </c>
      <c r="D933" s="47">
        <f t="shared" ref="D933:G933" si="420">SUM(D934)</f>
        <v>14.99</v>
      </c>
      <c r="E933" s="47">
        <f t="shared" si="420"/>
        <v>4.99</v>
      </c>
      <c r="F933" s="47">
        <f t="shared" si="420"/>
        <v>10</v>
      </c>
      <c r="G933" s="43">
        <f t="shared" si="420"/>
        <v>16</v>
      </c>
      <c r="H933" s="47">
        <f t="shared" ref="H933:H934" si="421">E933/G933</f>
        <v>0.311875</v>
      </c>
    </row>
    <row r="934">
      <c r="A934" s="39" t="s">
        <v>732</v>
      </c>
      <c r="B934" s="1"/>
      <c r="C934" s="1"/>
      <c r="D934" s="71">
        <v>14.99</v>
      </c>
      <c r="E934" s="71">
        <v>4.99</v>
      </c>
      <c r="F934" s="71">
        <f>D934-E934</f>
        <v>10</v>
      </c>
      <c r="G934" s="39">
        <v>16.0</v>
      </c>
      <c r="H934" s="71">
        <f t="shared" si="421"/>
        <v>0.311875</v>
      </c>
    </row>
    <row r="935">
      <c r="A935" s="39"/>
      <c r="B935" s="1"/>
      <c r="C935" s="1"/>
      <c r="D935" s="71"/>
      <c r="E935" s="71"/>
      <c r="F935" s="71"/>
      <c r="G935" s="39"/>
      <c r="H935" s="71"/>
    </row>
    <row r="936">
      <c r="A936" s="43" t="s">
        <v>566</v>
      </c>
      <c r="B936" s="43" t="s">
        <v>29</v>
      </c>
      <c r="C936" s="44">
        <f>COUNTA(A937:A938)</f>
        <v>2</v>
      </c>
      <c r="D936" s="47">
        <f t="shared" ref="D936:G936" si="422">SUM(D937:D938)</f>
        <v>33.98</v>
      </c>
      <c r="E936" s="47">
        <f t="shared" si="422"/>
        <v>9.58</v>
      </c>
      <c r="F936" s="47">
        <f t="shared" si="422"/>
        <v>24.4</v>
      </c>
      <c r="G936" s="43">
        <f t="shared" si="422"/>
        <v>16</v>
      </c>
      <c r="H936" s="47">
        <f t="shared" ref="H936:H938" si="423">E936/G936</f>
        <v>0.59875</v>
      </c>
    </row>
    <row r="937">
      <c r="A937" s="39" t="s">
        <v>1601</v>
      </c>
      <c r="B937" s="1"/>
      <c r="C937" s="1"/>
      <c r="D937" s="71">
        <v>9.99</v>
      </c>
      <c r="E937" s="71">
        <v>4.99</v>
      </c>
      <c r="F937" s="71">
        <f t="shared" ref="F937:F938" si="424">D937-E937</f>
        <v>5</v>
      </c>
      <c r="G937" s="39">
        <v>15.0</v>
      </c>
      <c r="H937" s="71">
        <f t="shared" si="423"/>
        <v>0.3326666667</v>
      </c>
    </row>
    <row r="938">
      <c r="A938" s="72" t="s">
        <v>1699</v>
      </c>
      <c r="B938" s="1"/>
      <c r="C938" s="1"/>
      <c r="D938" s="71">
        <v>23.99</v>
      </c>
      <c r="E938" s="71">
        <v>4.59</v>
      </c>
      <c r="F938" s="71">
        <f t="shared" si="424"/>
        <v>19.4</v>
      </c>
      <c r="G938" s="39">
        <v>1.0</v>
      </c>
      <c r="H938" s="71">
        <f t="shared" si="423"/>
        <v>4.59</v>
      </c>
    </row>
    <row r="939">
      <c r="A939" s="39"/>
      <c r="B939" s="1"/>
      <c r="C939" s="1"/>
      <c r="D939" s="42"/>
      <c r="E939" s="42"/>
      <c r="F939" s="71"/>
      <c r="G939" s="39"/>
      <c r="H939" s="71"/>
    </row>
    <row r="940">
      <c r="A940" s="43" t="s">
        <v>490</v>
      </c>
      <c r="B940" s="43" t="s">
        <v>29</v>
      </c>
      <c r="C940" s="44">
        <f>COUNTA(A941:A942)</f>
        <v>2</v>
      </c>
      <c r="D940" s="47">
        <f t="shared" ref="D940:G940" si="425">SUM(D941:D942)</f>
        <v>37.49</v>
      </c>
      <c r="E940" s="47">
        <f t="shared" si="425"/>
        <v>14.99</v>
      </c>
      <c r="F940" s="47">
        <f t="shared" si="425"/>
        <v>22.5</v>
      </c>
      <c r="G940" s="43">
        <f t="shared" si="425"/>
        <v>16</v>
      </c>
      <c r="H940" s="47">
        <f t="shared" ref="H940:H942" si="426">E940/G940</f>
        <v>0.936875</v>
      </c>
    </row>
    <row r="941">
      <c r="A941" s="72" t="s">
        <v>1498</v>
      </c>
      <c r="B941" s="1"/>
      <c r="C941" s="1"/>
      <c r="D941" s="71">
        <v>12.5</v>
      </c>
      <c r="E941" s="71">
        <v>5.0</v>
      </c>
      <c r="F941" s="71">
        <f t="shared" ref="F941:F942" si="427">D941-E941</f>
        <v>7.5</v>
      </c>
      <c r="G941" s="39">
        <v>15.0</v>
      </c>
      <c r="H941" s="71">
        <f t="shared" si="426"/>
        <v>0.3333333333</v>
      </c>
    </row>
    <row r="942">
      <c r="A942" s="72" t="s">
        <v>1546</v>
      </c>
      <c r="B942" s="1"/>
      <c r="C942" s="1"/>
      <c r="D942" s="71">
        <v>24.99</v>
      </c>
      <c r="E942" s="71">
        <v>9.99</v>
      </c>
      <c r="F942" s="71">
        <f t="shared" si="427"/>
        <v>15</v>
      </c>
      <c r="G942" s="39">
        <v>1.0</v>
      </c>
      <c r="H942" s="71">
        <f t="shared" si="426"/>
        <v>9.99</v>
      </c>
    </row>
    <row r="943">
      <c r="A943" s="39"/>
      <c r="B943" s="1"/>
      <c r="C943" s="1"/>
      <c r="D943" s="42"/>
      <c r="E943" s="42"/>
      <c r="F943" s="71"/>
      <c r="G943" s="39"/>
      <c r="H943" s="71"/>
    </row>
    <row r="944">
      <c r="A944" s="43" t="s">
        <v>314</v>
      </c>
      <c r="B944" s="43" t="s">
        <v>313</v>
      </c>
      <c r="C944" s="44">
        <f>COUNTA(A945:A946)</f>
        <v>2</v>
      </c>
      <c r="D944" s="47">
        <f t="shared" ref="D944:G944" si="428">SUM(D945:D946)</f>
        <v>28.98</v>
      </c>
      <c r="E944" s="47">
        <f t="shared" si="428"/>
        <v>24.48</v>
      </c>
      <c r="F944" s="47">
        <f t="shared" si="428"/>
        <v>4.5</v>
      </c>
      <c r="G944" s="43">
        <f t="shared" si="428"/>
        <v>16</v>
      </c>
      <c r="H944" s="47">
        <f t="shared" ref="H944:H946" si="429">E944/G944</f>
        <v>1.53</v>
      </c>
    </row>
    <row r="945">
      <c r="A945" s="258" t="s">
        <v>1053</v>
      </c>
      <c r="B945" s="1"/>
      <c r="C945" s="1"/>
      <c r="D945" s="257">
        <v>13.99</v>
      </c>
      <c r="E945" s="257">
        <v>13.99</v>
      </c>
      <c r="F945" s="257">
        <f t="shared" ref="F945:F946" si="430">D945-E945</f>
        <v>0</v>
      </c>
      <c r="G945" s="258">
        <v>10.0</v>
      </c>
      <c r="H945" s="257">
        <f t="shared" si="429"/>
        <v>1.399</v>
      </c>
    </row>
    <row r="946">
      <c r="A946" s="258" t="s">
        <v>1055</v>
      </c>
      <c r="B946" s="1"/>
      <c r="C946" s="1"/>
      <c r="D946" s="257">
        <v>14.99</v>
      </c>
      <c r="E946" s="257">
        <v>10.49</v>
      </c>
      <c r="F946" s="257">
        <f t="shared" si="430"/>
        <v>4.5</v>
      </c>
      <c r="G946" s="258">
        <v>6.0</v>
      </c>
      <c r="H946" s="257">
        <f t="shared" si="429"/>
        <v>1.748333333</v>
      </c>
    </row>
    <row r="947">
      <c r="A947" s="39"/>
      <c r="B947" s="1"/>
      <c r="C947" s="1"/>
      <c r="D947" s="42"/>
      <c r="E947" s="42"/>
      <c r="F947" s="71"/>
      <c r="G947" s="39"/>
      <c r="H947" s="71"/>
    </row>
    <row r="948">
      <c r="A948" s="43" t="s">
        <v>526</v>
      </c>
      <c r="B948" s="43" t="s">
        <v>29</v>
      </c>
      <c r="C948" s="44">
        <f>COUNTA(A949:A950)</f>
        <v>2</v>
      </c>
      <c r="D948" s="47">
        <f t="shared" ref="D948:G948" si="431">SUM(D949:D950)</f>
        <v>89.97</v>
      </c>
      <c r="E948" s="47">
        <f t="shared" si="431"/>
        <v>38.47</v>
      </c>
      <c r="F948" s="47">
        <f t="shared" si="431"/>
        <v>51.5</v>
      </c>
      <c r="G948" s="43">
        <f t="shared" si="431"/>
        <v>16</v>
      </c>
      <c r="H948" s="47">
        <f t="shared" ref="H948:H950" si="432">E948/G948</f>
        <v>2.404375</v>
      </c>
    </row>
    <row r="949">
      <c r="A949" s="39" t="s">
        <v>1536</v>
      </c>
      <c r="B949" s="1"/>
      <c r="C949" s="1"/>
      <c r="D949" s="71">
        <v>39.98</v>
      </c>
      <c r="E949" s="71">
        <v>25.98</v>
      </c>
      <c r="F949" s="71">
        <f t="shared" ref="F949:F950" si="433">D949-E949</f>
        <v>14</v>
      </c>
      <c r="G949" s="39">
        <v>15.0</v>
      </c>
      <c r="H949" s="71">
        <f t="shared" si="432"/>
        <v>1.732</v>
      </c>
    </row>
    <row r="950">
      <c r="A950" s="39" t="s">
        <v>1608</v>
      </c>
      <c r="B950" s="1"/>
      <c r="C950" s="1"/>
      <c r="D950" s="71">
        <v>49.99</v>
      </c>
      <c r="E950" s="71">
        <v>12.49</v>
      </c>
      <c r="F950" s="71">
        <f t="shared" si="433"/>
        <v>37.5</v>
      </c>
      <c r="G950" s="39">
        <v>1.0</v>
      </c>
      <c r="H950" s="71">
        <f t="shared" si="432"/>
        <v>12.49</v>
      </c>
    </row>
    <row r="951">
      <c r="A951" s="39"/>
      <c r="B951" s="1"/>
      <c r="C951" s="1"/>
      <c r="D951" s="42"/>
      <c r="E951" s="42"/>
      <c r="F951" s="71"/>
      <c r="G951" s="39"/>
      <c r="H951" s="71"/>
    </row>
    <row r="952">
      <c r="A952" s="43" t="s">
        <v>246</v>
      </c>
      <c r="B952" s="43" t="s">
        <v>25</v>
      </c>
      <c r="C952" s="44">
        <f>COUNTA(A953:A954)</f>
        <v>2</v>
      </c>
      <c r="D952" s="47">
        <f t="shared" ref="D952:G952" si="434">SUM(D953:D954)</f>
        <v>86.97</v>
      </c>
      <c r="E952" s="47">
        <f t="shared" si="434"/>
        <v>52.57</v>
      </c>
      <c r="F952" s="47">
        <f t="shared" si="434"/>
        <v>34.4</v>
      </c>
      <c r="G952" s="43">
        <f t="shared" si="434"/>
        <v>16</v>
      </c>
      <c r="H952" s="47">
        <f t="shared" ref="H952:H954" si="435">E952/G952</f>
        <v>3.285625</v>
      </c>
    </row>
    <row r="953">
      <c r="A953" s="39" t="s">
        <v>931</v>
      </c>
      <c r="B953" s="1"/>
      <c r="C953" s="1"/>
      <c r="D953" s="71">
        <v>56.98</v>
      </c>
      <c r="E953" s="71">
        <v>37.58</v>
      </c>
      <c r="F953" s="71">
        <f t="shared" ref="F953:F954" si="436">D953-E953</f>
        <v>19.4</v>
      </c>
      <c r="G953" s="39">
        <v>15.0</v>
      </c>
      <c r="H953" s="71">
        <f t="shared" si="435"/>
        <v>2.505333333</v>
      </c>
    </row>
    <row r="954">
      <c r="A954" s="39" t="s">
        <v>951</v>
      </c>
      <c r="B954" s="1"/>
      <c r="C954" s="1"/>
      <c r="D954" s="71">
        <v>29.99</v>
      </c>
      <c r="E954" s="71">
        <v>14.99</v>
      </c>
      <c r="F954" s="71">
        <f t="shared" si="436"/>
        <v>15</v>
      </c>
      <c r="G954" s="39">
        <v>1.0</v>
      </c>
      <c r="H954" s="71">
        <f t="shared" si="435"/>
        <v>14.99</v>
      </c>
    </row>
    <row r="955">
      <c r="A955" s="39"/>
      <c r="B955" s="1"/>
      <c r="C955" s="1"/>
      <c r="D955" s="71"/>
      <c r="E955" s="71"/>
      <c r="F955" s="71"/>
      <c r="G955" s="39"/>
      <c r="H955" s="71"/>
    </row>
    <row r="956">
      <c r="A956" s="43" t="s">
        <v>216</v>
      </c>
      <c r="B956" s="43" t="s">
        <v>25</v>
      </c>
      <c r="C956" s="44">
        <f>COUNTA(A957)</f>
        <v>1</v>
      </c>
      <c r="D956" s="47">
        <f t="shared" ref="D956:G956" si="437">SUM(D957)</f>
        <v>24.99</v>
      </c>
      <c r="E956" s="47">
        <f t="shared" si="437"/>
        <v>0</v>
      </c>
      <c r="F956" s="47">
        <f t="shared" si="437"/>
        <v>24.99</v>
      </c>
      <c r="G956" s="43">
        <f t="shared" si="437"/>
        <v>15</v>
      </c>
      <c r="H956" s="47">
        <f t="shared" ref="H956:H957" si="438">E956/G956</f>
        <v>0</v>
      </c>
    </row>
    <row r="957">
      <c r="A957" s="39" t="s">
        <v>945</v>
      </c>
      <c r="B957" s="1"/>
      <c r="C957" s="1"/>
      <c r="D957" s="71">
        <v>24.99</v>
      </c>
      <c r="E957" s="71">
        <v>0.0</v>
      </c>
      <c r="F957" s="71">
        <f>D957-E957</f>
        <v>24.99</v>
      </c>
      <c r="G957" s="72">
        <v>15.0</v>
      </c>
      <c r="H957" s="71">
        <f t="shared" si="438"/>
        <v>0</v>
      </c>
    </row>
    <row r="958">
      <c r="A958" s="39"/>
      <c r="B958" s="1"/>
      <c r="C958" s="1"/>
      <c r="D958" s="71"/>
      <c r="E958" s="71"/>
      <c r="F958" s="71"/>
      <c r="G958" s="39"/>
      <c r="H958" s="71"/>
    </row>
    <row r="959">
      <c r="A959" s="246" t="s">
        <v>451</v>
      </c>
      <c r="B959" s="246" t="s">
        <v>443</v>
      </c>
      <c r="C959" s="493">
        <f>COUNTA(A960)</f>
        <v>1</v>
      </c>
      <c r="D959" s="248">
        <f t="shared" ref="D959:G959" si="439">SUM(D960)</f>
        <v>4.99</v>
      </c>
      <c r="E959" s="248">
        <f t="shared" si="439"/>
        <v>1.99</v>
      </c>
      <c r="F959" s="248">
        <f t="shared" si="439"/>
        <v>3</v>
      </c>
      <c r="G959" s="246">
        <f t="shared" si="439"/>
        <v>15</v>
      </c>
      <c r="H959" s="248">
        <f t="shared" ref="H959:H960" si="440">E959/G959</f>
        <v>0.1326666667</v>
      </c>
    </row>
    <row r="960">
      <c r="A960" s="250" t="s">
        <v>1381</v>
      </c>
      <c r="B960" s="494"/>
      <c r="C960" s="494"/>
      <c r="D960" s="253">
        <v>4.99</v>
      </c>
      <c r="E960" s="253">
        <v>1.99</v>
      </c>
      <c r="F960" s="253">
        <f>D960-E960</f>
        <v>3</v>
      </c>
      <c r="G960" s="250">
        <v>15.0</v>
      </c>
      <c r="H960" s="253">
        <f t="shared" si="440"/>
        <v>0.1326666667</v>
      </c>
    </row>
    <row r="961">
      <c r="A961" s="179"/>
      <c r="B961" s="477"/>
      <c r="C961" s="477"/>
      <c r="D961" s="478"/>
      <c r="E961" s="478"/>
      <c r="F961" s="478"/>
      <c r="G961" s="179"/>
      <c r="H961" s="181"/>
    </row>
    <row r="962">
      <c r="A962" s="53" t="s">
        <v>287</v>
      </c>
      <c r="B962" s="53" t="s">
        <v>265</v>
      </c>
      <c r="C962" s="75">
        <f>COUNTA(A963:A964)</f>
        <v>2</v>
      </c>
      <c r="D962" s="76">
        <f t="shared" ref="D962:G962" si="441">SUM(D963:D964)</f>
        <v>2.99</v>
      </c>
      <c r="E962" s="76">
        <f t="shared" si="441"/>
        <v>2.99</v>
      </c>
      <c r="F962" s="76">
        <f t="shared" si="441"/>
        <v>0</v>
      </c>
      <c r="G962" s="53">
        <f t="shared" si="441"/>
        <v>15</v>
      </c>
      <c r="H962" s="76">
        <f t="shared" ref="H962:H964" si="442">E962/G962</f>
        <v>0.1993333333</v>
      </c>
    </row>
    <row r="963">
      <c r="A963" s="229" t="s">
        <v>1011</v>
      </c>
      <c r="B963" s="1"/>
      <c r="C963" s="1"/>
      <c r="D963" s="481">
        <v>2.99</v>
      </c>
      <c r="E963" s="481">
        <v>2.99</v>
      </c>
      <c r="F963" s="481">
        <f t="shared" ref="F963:F964" si="443">D963-E963</f>
        <v>0</v>
      </c>
      <c r="G963" s="229">
        <v>10.0</v>
      </c>
      <c r="H963" s="481">
        <f t="shared" si="442"/>
        <v>0.299</v>
      </c>
    </row>
    <row r="964">
      <c r="A964" s="229" t="s">
        <v>1012</v>
      </c>
      <c r="B964" s="1"/>
      <c r="C964" s="1"/>
      <c r="D964" s="481">
        <v>0.0</v>
      </c>
      <c r="E964" s="481">
        <v>0.0</v>
      </c>
      <c r="F964" s="481">
        <f t="shared" si="443"/>
        <v>0</v>
      </c>
      <c r="G964" s="229">
        <v>5.0</v>
      </c>
      <c r="H964" s="481">
        <f t="shared" si="442"/>
        <v>0</v>
      </c>
    </row>
    <row r="965">
      <c r="A965" s="39"/>
      <c r="B965" s="1"/>
      <c r="C965" s="1"/>
      <c r="D965" s="42"/>
      <c r="E965" s="42"/>
      <c r="F965" s="71"/>
      <c r="G965" s="39"/>
      <c r="H965" s="71"/>
    </row>
    <row r="966">
      <c r="A966" s="43" t="s">
        <v>207</v>
      </c>
      <c r="B966" s="43" t="s">
        <v>25</v>
      </c>
      <c r="C966" s="44">
        <f>COUNTA(A967)</f>
        <v>1</v>
      </c>
      <c r="D966" s="47">
        <f t="shared" ref="D966:G966" si="444">SUM(D967)</f>
        <v>7.99</v>
      </c>
      <c r="E966" s="47">
        <f t="shared" si="444"/>
        <v>3.99</v>
      </c>
      <c r="F966" s="47">
        <f t="shared" si="444"/>
        <v>4</v>
      </c>
      <c r="G966" s="43">
        <f t="shared" si="444"/>
        <v>15</v>
      </c>
      <c r="H966" s="47">
        <f t="shared" ref="H966:H967" si="445">E966/G966</f>
        <v>0.266</v>
      </c>
    </row>
    <row r="967">
      <c r="A967" s="39" t="s">
        <v>894</v>
      </c>
      <c r="B967" s="1"/>
      <c r="C967" s="1"/>
      <c r="D967" s="71">
        <v>7.99</v>
      </c>
      <c r="E967" s="71">
        <v>3.99</v>
      </c>
      <c r="F967" s="71">
        <f>D967-E967</f>
        <v>4</v>
      </c>
      <c r="G967" s="39">
        <v>15.0</v>
      </c>
      <c r="H967" s="71">
        <f t="shared" si="445"/>
        <v>0.266</v>
      </c>
    </row>
    <row r="968">
      <c r="A968" s="39"/>
      <c r="B968" s="1"/>
      <c r="C968" s="1"/>
      <c r="D968" s="42"/>
      <c r="E968" s="42"/>
      <c r="F968" s="71"/>
      <c r="G968" s="39"/>
      <c r="H968" s="71"/>
    </row>
    <row r="969">
      <c r="A969" s="43" t="s">
        <v>101</v>
      </c>
      <c r="B969" s="43" t="s">
        <v>92</v>
      </c>
      <c r="C969" s="44">
        <f>COUNTA(A970)</f>
        <v>1</v>
      </c>
      <c r="D969" s="47">
        <f t="shared" ref="D969:G969" si="446">SUM(D970)</f>
        <v>12.99</v>
      </c>
      <c r="E969" s="47">
        <f t="shared" si="446"/>
        <v>4.99</v>
      </c>
      <c r="F969" s="47">
        <f t="shared" si="446"/>
        <v>8</v>
      </c>
      <c r="G969" s="43">
        <f t="shared" si="446"/>
        <v>15</v>
      </c>
      <c r="H969" s="47">
        <f t="shared" ref="H969:H970" si="447">E969/G969</f>
        <v>0.3326666667</v>
      </c>
    </row>
    <row r="970">
      <c r="A970" s="39" t="s">
        <v>718</v>
      </c>
      <c r="B970" s="1"/>
      <c r="C970" s="1"/>
      <c r="D970" s="71">
        <v>12.99</v>
      </c>
      <c r="E970" s="71">
        <v>4.99</v>
      </c>
      <c r="F970" s="71">
        <f>D970-E970</f>
        <v>8</v>
      </c>
      <c r="G970" s="39">
        <v>15.0</v>
      </c>
      <c r="H970" s="71">
        <f t="shared" si="447"/>
        <v>0.3326666667</v>
      </c>
    </row>
    <row r="971">
      <c r="A971" s="179"/>
      <c r="B971" s="477"/>
      <c r="C971" s="477"/>
      <c r="D971" s="478"/>
      <c r="E971" s="478"/>
      <c r="F971" s="478"/>
      <c r="G971" s="179"/>
      <c r="H971" s="181"/>
    </row>
    <row r="972">
      <c r="A972" s="43" t="s">
        <v>491</v>
      </c>
      <c r="B972" s="43" t="s">
        <v>29</v>
      </c>
      <c r="C972" s="44">
        <f>COUNTA(A973)</f>
        <v>1</v>
      </c>
      <c r="D972" s="47">
        <f t="shared" ref="D972:G972" si="448">SUM(D973)</f>
        <v>12.49</v>
      </c>
      <c r="E972" s="47">
        <f t="shared" si="448"/>
        <v>4.99</v>
      </c>
      <c r="F972" s="47">
        <f t="shared" si="448"/>
        <v>7.5</v>
      </c>
      <c r="G972" s="43">
        <f t="shared" si="448"/>
        <v>15</v>
      </c>
      <c r="H972" s="47">
        <f t="shared" ref="H972:H973" si="449">E972/G972</f>
        <v>0.3326666667</v>
      </c>
    </row>
    <row r="973">
      <c r="A973" s="72" t="s">
        <v>1508</v>
      </c>
      <c r="B973" s="1"/>
      <c r="C973" s="1"/>
      <c r="D973" s="71">
        <v>12.49</v>
      </c>
      <c r="E973" s="71">
        <v>4.99</v>
      </c>
      <c r="F973" s="71">
        <f>D973-E973</f>
        <v>7.5</v>
      </c>
      <c r="G973" s="39">
        <v>15.0</v>
      </c>
      <c r="H973" s="71">
        <f t="shared" si="449"/>
        <v>0.3326666667</v>
      </c>
    </row>
    <row r="974">
      <c r="A974" s="39"/>
      <c r="B974" s="1"/>
      <c r="C974" s="1"/>
      <c r="D974" s="42"/>
      <c r="E974" s="42"/>
      <c r="F974" s="71"/>
      <c r="G974" s="39"/>
      <c r="H974" s="71"/>
    </row>
    <row r="975">
      <c r="A975" s="43" t="s">
        <v>247</v>
      </c>
      <c r="B975" s="43" t="s">
        <v>25</v>
      </c>
      <c r="C975" s="44">
        <f>COUNTA(A976:A977)</f>
        <v>2</v>
      </c>
      <c r="D975" s="47">
        <f t="shared" ref="D975:G975" si="450">SUM(D976:D977)</f>
        <v>5</v>
      </c>
      <c r="E975" s="47">
        <f t="shared" si="450"/>
        <v>5</v>
      </c>
      <c r="F975" s="47">
        <f t="shared" si="450"/>
        <v>0</v>
      </c>
      <c r="G975" s="43">
        <f t="shared" si="450"/>
        <v>15</v>
      </c>
      <c r="H975" s="47">
        <f t="shared" ref="H975:H977" si="451">E975/G975</f>
        <v>0.3333333333</v>
      </c>
    </row>
    <row r="976">
      <c r="A976" s="39" t="s">
        <v>826</v>
      </c>
      <c r="B976" s="1"/>
      <c r="C976" s="1"/>
      <c r="D976" s="71">
        <v>2.5</v>
      </c>
      <c r="E976" s="71">
        <v>2.5</v>
      </c>
      <c r="F976" s="71">
        <f t="shared" ref="F976:F977" si="452">D976-E976</f>
        <v>0</v>
      </c>
      <c r="G976" s="39">
        <v>10.0</v>
      </c>
      <c r="H976" s="71">
        <f t="shared" si="451"/>
        <v>0.25</v>
      </c>
    </row>
    <row r="977">
      <c r="A977" s="39" t="s">
        <v>847</v>
      </c>
      <c r="B977" s="1"/>
      <c r="C977" s="1"/>
      <c r="D977" s="71">
        <v>2.5</v>
      </c>
      <c r="E977" s="71">
        <v>2.5</v>
      </c>
      <c r="F977" s="71">
        <f t="shared" si="452"/>
        <v>0</v>
      </c>
      <c r="G977" s="39">
        <v>5.0</v>
      </c>
      <c r="H977" s="71">
        <f t="shared" si="451"/>
        <v>0.5</v>
      </c>
    </row>
    <row r="978">
      <c r="A978" s="39"/>
      <c r="B978" s="1"/>
      <c r="C978" s="1"/>
      <c r="D978" s="42"/>
      <c r="E978" s="42"/>
      <c r="F978" s="71"/>
      <c r="G978" s="39"/>
      <c r="H978" s="71"/>
    </row>
    <row r="979">
      <c r="A979" s="43" t="s">
        <v>248</v>
      </c>
      <c r="B979" s="43" t="s">
        <v>25</v>
      </c>
      <c r="C979" s="44">
        <f>COUNTA(A980:A981)</f>
        <v>2</v>
      </c>
      <c r="D979" s="47">
        <f t="shared" ref="D979:G979" si="453">SUM(D980:D981)</f>
        <v>7.48</v>
      </c>
      <c r="E979" s="47">
        <f t="shared" si="453"/>
        <v>5.48</v>
      </c>
      <c r="F979" s="47">
        <f t="shared" si="453"/>
        <v>2</v>
      </c>
      <c r="G979" s="43">
        <f t="shared" si="453"/>
        <v>15</v>
      </c>
      <c r="H979" s="47">
        <f t="shared" ref="H979:H981" si="454">E979/G979</f>
        <v>0.3653333333</v>
      </c>
    </row>
    <row r="980">
      <c r="A980" s="39" t="s">
        <v>799</v>
      </c>
      <c r="B980" s="1"/>
      <c r="C980" s="1"/>
      <c r="D980" s="71">
        <v>4.99</v>
      </c>
      <c r="E980" s="71">
        <v>2.99</v>
      </c>
      <c r="F980" s="71">
        <f t="shared" ref="F980:F981" si="455">D980-E980</f>
        <v>2</v>
      </c>
      <c r="G980" s="39">
        <v>10.0</v>
      </c>
      <c r="H980" s="71">
        <f t="shared" si="454"/>
        <v>0.299</v>
      </c>
    </row>
    <row r="981">
      <c r="A981" s="39" t="s">
        <v>809</v>
      </c>
      <c r="B981" s="1"/>
      <c r="C981" s="1"/>
      <c r="D981" s="71">
        <v>2.49</v>
      </c>
      <c r="E981" s="71">
        <v>2.49</v>
      </c>
      <c r="F981" s="71">
        <f t="shared" si="455"/>
        <v>0</v>
      </c>
      <c r="G981" s="39">
        <v>5.0</v>
      </c>
      <c r="H981" s="71">
        <f t="shared" si="454"/>
        <v>0.498</v>
      </c>
    </row>
    <row r="982">
      <c r="A982" s="39"/>
      <c r="B982" s="1"/>
      <c r="C982" s="1"/>
      <c r="D982" s="42"/>
      <c r="E982" s="42"/>
      <c r="F982" s="71"/>
      <c r="G982" s="39"/>
      <c r="H982" s="71"/>
    </row>
    <row r="983">
      <c r="A983" s="43" t="s">
        <v>553</v>
      </c>
      <c r="B983" s="43" t="s">
        <v>29</v>
      </c>
      <c r="C983" s="44">
        <f>COUNTA(A984:A985)</f>
        <v>2</v>
      </c>
      <c r="D983" s="47">
        <f t="shared" ref="D983:G983" si="456">SUM(D984:D985)</f>
        <v>5.49</v>
      </c>
      <c r="E983" s="47">
        <f t="shared" si="456"/>
        <v>5.49</v>
      </c>
      <c r="F983" s="47">
        <f t="shared" si="456"/>
        <v>0</v>
      </c>
      <c r="G983" s="43">
        <f t="shared" si="456"/>
        <v>15</v>
      </c>
      <c r="H983" s="47">
        <f t="shared" ref="H983:H985" si="457">E983/G983</f>
        <v>0.366</v>
      </c>
    </row>
    <row r="984">
      <c r="A984" s="39" t="s">
        <v>1538</v>
      </c>
      <c r="B984" s="1"/>
      <c r="C984" s="1"/>
      <c r="D984" s="71">
        <v>2.75</v>
      </c>
      <c r="E984" s="71">
        <v>2.75</v>
      </c>
      <c r="F984" s="71">
        <f t="shared" ref="F984:F985" si="458">D984-E984</f>
        <v>0</v>
      </c>
      <c r="G984" s="39">
        <v>10.0</v>
      </c>
      <c r="H984" s="71">
        <f t="shared" si="457"/>
        <v>0.275</v>
      </c>
    </row>
    <row r="985">
      <c r="A985" s="39" t="s">
        <v>1539</v>
      </c>
      <c r="B985" s="1"/>
      <c r="C985" s="1"/>
      <c r="D985" s="71">
        <v>2.74</v>
      </c>
      <c r="E985" s="71">
        <v>2.74</v>
      </c>
      <c r="F985" s="71">
        <f t="shared" si="458"/>
        <v>0</v>
      </c>
      <c r="G985" s="39">
        <v>5.0</v>
      </c>
      <c r="H985" s="71">
        <f t="shared" si="457"/>
        <v>0.548</v>
      </c>
    </row>
    <row r="986">
      <c r="A986" s="39"/>
      <c r="B986" s="1"/>
      <c r="C986" s="1"/>
      <c r="D986" s="42"/>
      <c r="E986" s="42"/>
      <c r="F986" s="71"/>
      <c r="G986" s="39"/>
      <c r="H986" s="71"/>
    </row>
    <row r="987">
      <c r="A987" s="43" t="s">
        <v>639</v>
      </c>
      <c r="B987" s="43" t="s">
        <v>29</v>
      </c>
      <c r="C987" s="44">
        <f>COUNTA(A988:A989)</f>
        <v>2</v>
      </c>
      <c r="D987" s="47">
        <f t="shared" ref="D987:G987" si="459">SUM(D988:D989)</f>
        <v>44.98</v>
      </c>
      <c r="E987" s="47">
        <f t="shared" si="459"/>
        <v>39.98</v>
      </c>
      <c r="F987" s="47">
        <f t="shared" si="459"/>
        <v>5</v>
      </c>
      <c r="G987" s="43">
        <f t="shared" si="459"/>
        <v>15</v>
      </c>
      <c r="H987" s="47">
        <f t="shared" ref="H987:H989" si="460">E987/G987</f>
        <v>2.665333333</v>
      </c>
    </row>
    <row r="988">
      <c r="A988" s="39" t="s">
        <v>1688</v>
      </c>
      <c r="B988" s="1"/>
      <c r="C988" s="1"/>
      <c r="D988" s="71">
        <v>19.99</v>
      </c>
      <c r="E988" s="71">
        <v>14.99</v>
      </c>
      <c r="F988" s="71">
        <f t="shared" ref="F988:F989" si="461">D988-E988</f>
        <v>5</v>
      </c>
      <c r="G988" s="39">
        <v>12.0</v>
      </c>
      <c r="H988" s="71">
        <f t="shared" si="460"/>
        <v>1.249166667</v>
      </c>
    </row>
    <row r="989">
      <c r="A989" s="39" t="s">
        <v>1564</v>
      </c>
      <c r="B989" s="1"/>
      <c r="C989" s="1"/>
      <c r="D989" s="71">
        <v>24.99</v>
      </c>
      <c r="E989" s="71">
        <v>24.99</v>
      </c>
      <c r="F989" s="71">
        <f t="shared" si="461"/>
        <v>0</v>
      </c>
      <c r="G989" s="39">
        <v>3.0</v>
      </c>
      <c r="H989" s="71">
        <f t="shared" si="460"/>
        <v>8.33</v>
      </c>
    </row>
    <row r="990">
      <c r="A990" s="39"/>
      <c r="B990" s="1"/>
      <c r="C990" s="1"/>
      <c r="D990" s="71"/>
      <c r="E990" s="71"/>
      <c r="F990" s="71"/>
      <c r="G990" s="39"/>
      <c r="H990" s="71"/>
    </row>
    <row r="991">
      <c r="A991" s="43" t="s">
        <v>339</v>
      </c>
      <c r="B991" s="43" t="s">
        <v>325</v>
      </c>
      <c r="C991" s="44">
        <f>COUNTA(A992)</f>
        <v>1</v>
      </c>
      <c r="D991" s="47">
        <f t="shared" ref="D991:G991" si="462">SUM(D992)</f>
        <v>12.99</v>
      </c>
      <c r="E991" s="47">
        <f t="shared" si="462"/>
        <v>3.49</v>
      </c>
      <c r="F991" s="47">
        <f t="shared" si="462"/>
        <v>9.5</v>
      </c>
      <c r="G991" s="43">
        <f t="shared" si="462"/>
        <v>14</v>
      </c>
      <c r="H991" s="47">
        <f t="shared" ref="H991:H992" si="463">E991/G991</f>
        <v>0.2492857143</v>
      </c>
    </row>
    <row r="992">
      <c r="A992" s="39" t="s">
        <v>1197</v>
      </c>
      <c r="B992" s="1"/>
      <c r="C992" s="1"/>
      <c r="D992" s="71">
        <v>12.99</v>
      </c>
      <c r="E992" s="71">
        <v>3.49</v>
      </c>
      <c r="F992" s="71">
        <f>D992-E992</f>
        <v>9.5</v>
      </c>
      <c r="G992" s="39">
        <v>14.0</v>
      </c>
      <c r="H992" s="71">
        <f t="shared" si="463"/>
        <v>0.2492857143</v>
      </c>
    </row>
    <row r="993">
      <c r="A993" s="179"/>
      <c r="B993" s="477"/>
      <c r="C993" s="477"/>
      <c r="D993" s="478"/>
      <c r="E993" s="478"/>
      <c r="F993" s="478"/>
      <c r="G993" s="179"/>
      <c r="H993" s="181"/>
    </row>
    <row r="994">
      <c r="A994" s="152" t="s">
        <v>459</v>
      </c>
      <c r="B994" s="152" t="s">
        <v>455</v>
      </c>
      <c r="C994" s="255">
        <f>COUNTA(A995)</f>
        <v>1</v>
      </c>
      <c r="D994" s="154">
        <f t="shared" ref="D994:G994" si="464">SUM(D995)</f>
        <v>13.99</v>
      </c>
      <c r="E994" s="154">
        <f t="shared" si="464"/>
        <v>6.29</v>
      </c>
      <c r="F994" s="154">
        <f t="shared" si="464"/>
        <v>7.7</v>
      </c>
      <c r="G994" s="152">
        <f t="shared" si="464"/>
        <v>14</v>
      </c>
      <c r="H994" s="154">
        <f t="shared" ref="H994:H995" si="465">E994/G994</f>
        <v>0.4492857143</v>
      </c>
    </row>
    <row r="995">
      <c r="A995" s="156" t="s">
        <v>1422</v>
      </c>
      <c r="B995" s="480"/>
      <c r="C995" s="480"/>
      <c r="D995" s="159">
        <v>13.99</v>
      </c>
      <c r="E995" s="159">
        <v>6.29</v>
      </c>
      <c r="F995" s="159">
        <f>D995-E995</f>
        <v>7.7</v>
      </c>
      <c r="G995" s="156">
        <v>14.0</v>
      </c>
      <c r="H995" s="159">
        <f t="shared" si="465"/>
        <v>0.4492857143</v>
      </c>
    </row>
    <row r="996">
      <c r="A996" s="179"/>
      <c r="B996" s="477"/>
      <c r="C996" s="477"/>
      <c r="D996" s="478"/>
      <c r="E996" s="478"/>
      <c r="F996" s="478"/>
      <c r="G996" s="179"/>
      <c r="H996" s="181"/>
    </row>
    <row r="997">
      <c r="A997" s="43" t="s">
        <v>525</v>
      </c>
      <c r="B997" s="69" t="s">
        <v>29</v>
      </c>
      <c r="C997" s="44">
        <f>COUNTA(A998)</f>
        <v>1</v>
      </c>
      <c r="D997" s="47">
        <f t="shared" ref="D997:G997" si="466">SUM(D998)</f>
        <v>19.99</v>
      </c>
      <c r="E997" s="47">
        <f t="shared" si="466"/>
        <v>7.99</v>
      </c>
      <c r="F997" s="47">
        <f t="shared" si="466"/>
        <v>12</v>
      </c>
      <c r="G997" s="43">
        <f t="shared" si="466"/>
        <v>14</v>
      </c>
      <c r="H997" s="47">
        <f t="shared" ref="H997:H998" si="467">E997/G997</f>
        <v>0.5707142857</v>
      </c>
    </row>
    <row r="998">
      <c r="A998" s="39" t="s">
        <v>1636</v>
      </c>
      <c r="B998" s="1"/>
      <c r="C998" s="1"/>
      <c r="D998" s="71">
        <v>19.99</v>
      </c>
      <c r="E998" s="71">
        <v>7.99</v>
      </c>
      <c r="F998" s="71">
        <f>D998-E998</f>
        <v>12</v>
      </c>
      <c r="G998" s="39">
        <v>14.0</v>
      </c>
      <c r="H998" s="71">
        <f t="shared" si="467"/>
        <v>0.5707142857</v>
      </c>
    </row>
    <row r="999">
      <c r="A999" s="179"/>
      <c r="B999" s="477"/>
      <c r="C999" s="477"/>
      <c r="D999" s="478"/>
      <c r="E999" s="478"/>
      <c r="F999" s="478"/>
      <c r="G999" s="179"/>
      <c r="H999" s="181"/>
    </row>
    <row r="1000">
      <c r="A1000" s="43" t="s">
        <v>624</v>
      </c>
      <c r="B1000" s="43" t="s">
        <v>29</v>
      </c>
      <c r="C1000" s="44">
        <f>COUNTA(A1001)</f>
        <v>1</v>
      </c>
      <c r="D1000" s="47">
        <f t="shared" ref="D1000:G1000" si="468">SUM(D1001)</f>
        <v>39.99</v>
      </c>
      <c r="E1000" s="47">
        <f t="shared" si="468"/>
        <v>19.99</v>
      </c>
      <c r="F1000" s="47">
        <f t="shared" si="468"/>
        <v>20</v>
      </c>
      <c r="G1000" s="43">
        <f t="shared" si="468"/>
        <v>14</v>
      </c>
      <c r="H1000" s="47">
        <f t="shared" ref="H1000:H1001" si="469">E1000/G1000</f>
        <v>1.427857143</v>
      </c>
    </row>
    <row r="1001">
      <c r="A1001" s="39" t="s">
        <v>1657</v>
      </c>
      <c r="B1001" s="1"/>
      <c r="C1001" s="1"/>
      <c r="D1001" s="71">
        <v>39.99</v>
      </c>
      <c r="E1001" s="71">
        <v>19.99</v>
      </c>
      <c r="F1001" s="71">
        <f>D1001-E1001</f>
        <v>20</v>
      </c>
      <c r="G1001" s="39">
        <v>14.0</v>
      </c>
      <c r="H1001" s="71">
        <f t="shared" si="469"/>
        <v>1.427857143</v>
      </c>
    </row>
    <row r="1002">
      <c r="A1002" s="39"/>
      <c r="B1002" s="1"/>
      <c r="C1002" s="1"/>
      <c r="D1002" s="71"/>
      <c r="E1002" s="71"/>
      <c r="F1002" s="71"/>
      <c r="G1002" s="39"/>
      <c r="H1002" s="71"/>
    </row>
    <row r="1003">
      <c r="A1003" s="43" t="s">
        <v>351</v>
      </c>
      <c r="B1003" s="43" t="s">
        <v>325</v>
      </c>
      <c r="C1003" s="44">
        <f>COUNTA(A1004:A1007)</f>
        <v>4</v>
      </c>
      <c r="D1003" s="145">
        <f t="shared" ref="D1003:G1003" si="470">SUM(D1004:D1007)</f>
        <v>34.96</v>
      </c>
      <c r="E1003" s="145">
        <f t="shared" si="470"/>
        <v>27.96</v>
      </c>
      <c r="F1003" s="145">
        <f t="shared" si="470"/>
        <v>7</v>
      </c>
      <c r="G1003" s="44">
        <f t="shared" si="470"/>
        <v>14</v>
      </c>
      <c r="H1003" s="145">
        <f t="shared" ref="H1003:H1007" si="471">E1003/G1003</f>
        <v>1.997142857</v>
      </c>
    </row>
    <row r="1004">
      <c r="A1004" s="39" t="s">
        <v>1105</v>
      </c>
      <c r="B1004" s="1"/>
      <c r="C1004" s="1"/>
      <c r="D1004" s="71">
        <v>9.99</v>
      </c>
      <c r="E1004" s="71">
        <v>5.99</v>
      </c>
      <c r="F1004" s="71">
        <f t="shared" ref="F1004:F1007" si="472">D1004-E1004</f>
        <v>4</v>
      </c>
      <c r="G1004" s="39">
        <v>8.0</v>
      </c>
      <c r="H1004" s="71">
        <f t="shared" si="471"/>
        <v>0.74875</v>
      </c>
    </row>
    <row r="1005">
      <c r="A1005" s="72" t="s">
        <v>1073</v>
      </c>
      <c r="B1005" s="1"/>
      <c r="C1005" s="1"/>
      <c r="D1005" s="71">
        <v>14.99</v>
      </c>
      <c r="E1005" s="71">
        <v>14.99</v>
      </c>
      <c r="F1005" s="71">
        <f t="shared" si="472"/>
        <v>0</v>
      </c>
      <c r="G1005" s="39">
        <v>4.0</v>
      </c>
      <c r="H1005" s="71">
        <f t="shared" si="471"/>
        <v>3.7475</v>
      </c>
    </row>
    <row r="1006">
      <c r="A1006" s="39" t="s">
        <v>1092</v>
      </c>
      <c r="B1006" s="1"/>
      <c r="C1006" s="1"/>
      <c r="D1006" s="71">
        <v>4.99</v>
      </c>
      <c r="E1006" s="71">
        <v>1.99</v>
      </c>
      <c r="F1006" s="71">
        <f t="shared" si="472"/>
        <v>3</v>
      </c>
      <c r="G1006" s="39">
        <v>1.0</v>
      </c>
      <c r="H1006" s="71">
        <f t="shared" si="471"/>
        <v>1.99</v>
      </c>
    </row>
    <row r="1007">
      <c r="A1007" s="72" t="s">
        <v>1086</v>
      </c>
      <c r="B1007" s="1"/>
      <c r="C1007" s="1"/>
      <c r="D1007" s="71">
        <v>4.99</v>
      </c>
      <c r="E1007" s="71">
        <v>4.99</v>
      </c>
      <c r="F1007" s="71">
        <f t="shared" si="472"/>
        <v>0</v>
      </c>
      <c r="G1007" s="39">
        <v>1.0</v>
      </c>
      <c r="H1007" s="71">
        <f t="shared" si="471"/>
        <v>4.99</v>
      </c>
    </row>
    <row r="1008">
      <c r="A1008" s="461"/>
      <c r="B1008" s="462"/>
      <c r="C1008" s="461"/>
      <c r="D1008" s="461"/>
      <c r="E1008" s="461"/>
      <c r="F1008" s="461"/>
      <c r="G1008" s="461"/>
      <c r="H1008" s="461"/>
    </row>
    <row r="1009">
      <c r="A1009" s="43" t="s">
        <v>538</v>
      </c>
      <c r="B1009" s="43" t="s">
        <v>29</v>
      </c>
      <c r="C1009" s="44">
        <f>COUNTA(A1010:A1011)</f>
        <v>2</v>
      </c>
      <c r="D1009" s="47">
        <f t="shared" ref="D1009:G1009" si="473">SUM(D1010:D1011)</f>
        <v>79.98</v>
      </c>
      <c r="E1009" s="47">
        <f t="shared" si="473"/>
        <v>39.98</v>
      </c>
      <c r="F1009" s="47">
        <f t="shared" si="473"/>
        <v>40</v>
      </c>
      <c r="G1009" s="43">
        <f t="shared" si="473"/>
        <v>14</v>
      </c>
      <c r="H1009" s="47">
        <f t="shared" ref="H1009:H1011" si="474">E1009/G1009</f>
        <v>2.855714286</v>
      </c>
    </row>
    <row r="1010">
      <c r="A1010" s="72" t="s">
        <v>1667</v>
      </c>
      <c r="B1010" s="1"/>
      <c r="C1010" s="1"/>
      <c r="D1010" s="71">
        <v>39.99</v>
      </c>
      <c r="E1010" s="71">
        <v>29.99</v>
      </c>
      <c r="F1010" s="71">
        <f t="shared" ref="F1010:F1011" si="475">D1010-E1010</f>
        <v>10</v>
      </c>
      <c r="G1010" s="39">
        <v>13.0</v>
      </c>
      <c r="H1010" s="71">
        <f t="shared" si="474"/>
        <v>2.306923077</v>
      </c>
    </row>
    <row r="1011">
      <c r="A1011" s="39" t="s">
        <v>1609</v>
      </c>
      <c r="B1011" s="1"/>
      <c r="C1011" s="1"/>
      <c r="D1011" s="71">
        <v>39.99</v>
      </c>
      <c r="E1011" s="71">
        <v>9.99</v>
      </c>
      <c r="F1011" s="71">
        <f t="shared" si="475"/>
        <v>30</v>
      </c>
      <c r="G1011" s="39">
        <v>1.0</v>
      </c>
      <c r="H1011" s="71">
        <f t="shared" si="474"/>
        <v>9.99</v>
      </c>
    </row>
    <row r="1012">
      <c r="A1012" s="461"/>
      <c r="B1012" s="462"/>
      <c r="C1012" s="461"/>
      <c r="D1012" s="461"/>
      <c r="E1012" s="461"/>
      <c r="F1012" s="461"/>
      <c r="G1012" s="461"/>
      <c r="H1012" s="461"/>
    </row>
    <row r="1013">
      <c r="A1013" s="43" t="s">
        <v>349</v>
      </c>
      <c r="B1013" s="43" t="s">
        <v>325</v>
      </c>
      <c r="C1013" s="44">
        <f>COUNTA(A1014)</f>
        <v>1</v>
      </c>
      <c r="D1013" s="47">
        <f t="shared" ref="D1013:G1013" si="476">SUM(D1014)</f>
        <v>39.99</v>
      </c>
      <c r="E1013" s="47">
        <f t="shared" si="476"/>
        <v>39.99</v>
      </c>
      <c r="F1013" s="47">
        <f t="shared" si="476"/>
        <v>0</v>
      </c>
      <c r="G1013" s="43">
        <f t="shared" si="476"/>
        <v>14</v>
      </c>
      <c r="H1013" s="47">
        <f t="shared" ref="H1013:H1014" si="477">E1013/G1013</f>
        <v>2.856428571</v>
      </c>
    </row>
    <row r="1014">
      <c r="A1014" s="72" t="s">
        <v>1251</v>
      </c>
      <c r="B1014" s="1"/>
      <c r="C1014" s="1"/>
      <c r="D1014" s="71">
        <v>39.99</v>
      </c>
      <c r="E1014" s="71">
        <v>39.99</v>
      </c>
      <c r="F1014" s="71">
        <f>D1014-E1014</f>
        <v>0</v>
      </c>
      <c r="G1014" s="39">
        <v>14.0</v>
      </c>
      <c r="H1014" s="71">
        <f t="shared" si="477"/>
        <v>2.856428571</v>
      </c>
    </row>
    <row r="1015">
      <c r="A1015" s="461"/>
      <c r="B1015" s="462"/>
      <c r="C1015" s="461"/>
      <c r="D1015" s="461"/>
      <c r="E1015" s="461"/>
      <c r="F1015" s="461"/>
      <c r="G1015" s="461"/>
      <c r="H1015" s="461"/>
    </row>
    <row r="1016">
      <c r="A1016" s="233" t="s">
        <v>433</v>
      </c>
      <c r="B1016" s="233" t="s">
        <v>430</v>
      </c>
      <c r="C1016" s="236">
        <f>COUNTA(A1017)</f>
        <v>1</v>
      </c>
      <c r="D1016" s="235">
        <f t="shared" ref="D1016:G1016" si="478">SUM(D1017)</f>
        <v>24.99</v>
      </c>
      <c r="E1016" s="235">
        <f t="shared" si="478"/>
        <v>0</v>
      </c>
      <c r="F1016" s="235">
        <f t="shared" si="478"/>
        <v>24.99</v>
      </c>
      <c r="G1016" s="233">
        <f t="shared" si="478"/>
        <v>13</v>
      </c>
      <c r="H1016" s="235">
        <f t="shared" ref="H1016:H1017" si="479">E1016/G1016</f>
        <v>0</v>
      </c>
    </row>
    <row r="1017">
      <c r="A1017" s="238" t="s">
        <v>1373</v>
      </c>
      <c r="B1017" s="1"/>
      <c r="C1017" s="1"/>
      <c r="D1017" s="240">
        <v>24.99</v>
      </c>
      <c r="E1017" s="240">
        <v>0.0</v>
      </c>
      <c r="F1017" s="242">
        <f>D1017-E1017</f>
        <v>24.99</v>
      </c>
      <c r="G1017" s="238">
        <v>13.0</v>
      </c>
      <c r="H1017" s="242">
        <f t="shared" si="479"/>
        <v>0</v>
      </c>
    </row>
    <row r="1018">
      <c r="A1018" s="461"/>
      <c r="B1018" s="462"/>
      <c r="C1018" s="461"/>
      <c r="D1018" s="461"/>
      <c r="E1018" s="461"/>
      <c r="F1018" s="461"/>
      <c r="G1018" s="461"/>
      <c r="H1018" s="461"/>
    </row>
    <row r="1019">
      <c r="A1019" s="53" t="s">
        <v>282</v>
      </c>
      <c r="B1019" s="53" t="s">
        <v>265</v>
      </c>
      <c r="C1019" s="75">
        <f>COUNTA(A1020)</f>
        <v>1</v>
      </c>
      <c r="D1019" s="76">
        <f t="shared" ref="D1019:G1019" si="480">SUM(D1020)</f>
        <v>19.99</v>
      </c>
      <c r="E1019" s="76">
        <f t="shared" si="480"/>
        <v>0</v>
      </c>
      <c r="F1019" s="76">
        <f t="shared" si="480"/>
        <v>19.99</v>
      </c>
      <c r="G1019" s="53">
        <f t="shared" si="480"/>
        <v>13</v>
      </c>
      <c r="H1019" s="76">
        <f t="shared" ref="H1019:H1020" si="481">E1019/G1019</f>
        <v>0</v>
      </c>
    </row>
    <row r="1020">
      <c r="A1020" s="79" t="s">
        <v>1025</v>
      </c>
      <c r="B1020" s="1"/>
      <c r="C1020" s="1"/>
      <c r="D1020" s="52">
        <v>19.99</v>
      </c>
      <c r="E1020" s="52">
        <v>0.0</v>
      </c>
      <c r="F1020" s="52">
        <f>D1020-E1020</f>
        <v>19.99</v>
      </c>
      <c r="G1020" s="79">
        <v>13.0</v>
      </c>
      <c r="H1020" s="52">
        <f t="shared" si="481"/>
        <v>0</v>
      </c>
    </row>
    <row r="1021">
      <c r="A1021" s="179"/>
      <c r="B1021" s="477"/>
      <c r="C1021" s="477"/>
      <c r="D1021" s="478"/>
      <c r="E1021" s="478"/>
      <c r="F1021" s="478"/>
      <c r="G1021" s="179"/>
      <c r="H1021" s="181"/>
    </row>
    <row r="1022">
      <c r="A1022" s="43" t="s">
        <v>548</v>
      </c>
      <c r="B1022" s="69" t="s">
        <v>29</v>
      </c>
      <c r="C1022" s="44">
        <f>COUNTA(A1023)</f>
        <v>1</v>
      </c>
      <c r="D1022" s="47">
        <f t="shared" ref="D1022:G1022" si="482">SUM(D1023)</f>
        <v>24.99</v>
      </c>
      <c r="E1022" s="47">
        <f t="shared" si="482"/>
        <v>12.49</v>
      </c>
      <c r="F1022" s="47">
        <f t="shared" si="482"/>
        <v>12.5</v>
      </c>
      <c r="G1022" s="43">
        <f t="shared" si="482"/>
        <v>13</v>
      </c>
      <c r="H1022" s="47">
        <f t="shared" ref="H1022:H1023" si="483">E1022/G1022</f>
        <v>0.9607692308</v>
      </c>
    </row>
    <row r="1023">
      <c r="A1023" s="72" t="s">
        <v>1654</v>
      </c>
      <c r="B1023" s="1"/>
      <c r="C1023" s="1"/>
      <c r="D1023" s="71">
        <v>24.99</v>
      </c>
      <c r="E1023" s="71">
        <v>12.49</v>
      </c>
      <c r="F1023" s="71">
        <f>D1023-E1023</f>
        <v>12.5</v>
      </c>
      <c r="G1023" s="39">
        <v>13.0</v>
      </c>
      <c r="H1023" s="71">
        <f t="shared" si="483"/>
        <v>0.9607692308</v>
      </c>
    </row>
    <row r="1024">
      <c r="A1024" s="179"/>
      <c r="B1024" s="477"/>
      <c r="C1024" s="477"/>
      <c r="D1024" s="478"/>
      <c r="E1024" s="478"/>
      <c r="F1024" s="478"/>
      <c r="G1024" s="179"/>
      <c r="H1024" s="181"/>
    </row>
    <row r="1025">
      <c r="A1025" s="43" t="s">
        <v>113</v>
      </c>
      <c r="B1025" s="43" t="s">
        <v>92</v>
      </c>
      <c r="C1025" s="44">
        <f>COUNTA(A1026)</f>
        <v>1</v>
      </c>
      <c r="D1025" s="47">
        <f t="shared" ref="D1025:G1025" si="484">SUM(D1026)</f>
        <v>39.99</v>
      </c>
      <c r="E1025" s="47">
        <f t="shared" si="484"/>
        <v>19.99</v>
      </c>
      <c r="F1025" s="47">
        <f t="shared" si="484"/>
        <v>20</v>
      </c>
      <c r="G1025" s="43">
        <f t="shared" si="484"/>
        <v>13</v>
      </c>
      <c r="H1025" s="47">
        <f t="shared" ref="H1025:H1026" si="485">E1025/G1025</f>
        <v>1.537692308</v>
      </c>
    </row>
    <row r="1026">
      <c r="A1026" s="39" t="s">
        <v>759</v>
      </c>
      <c r="B1026" s="1"/>
      <c r="C1026" s="1"/>
      <c r="D1026" s="71">
        <v>39.99</v>
      </c>
      <c r="E1026" s="71">
        <v>19.99</v>
      </c>
      <c r="F1026" s="71">
        <f>D1026-E1026</f>
        <v>20</v>
      </c>
      <c r="G1026" s="39">
        <v>13.0</v>
      </c>
      <c r="H1026" s="71">
        <f t="shared" si="485"/>
        <v>1.537692308</v>
      </c>
    </row>
    <row r="1027">
      <c r="A1027" s="461"/>
      <c r="B1027" s="462"/>
      <c r="C1027" s="461"/>
      <c r="D1027" s="461"/>
      <c r="E1027" s="461"/>
      <c r="F1027" s="461"/>
      <c r="G1027" s="461"/>
      <c r="H1027" s="461"/>
    </row>
    <row r="1028">
      <c r="A1028" s="104" t="s">
        <v>65</v>
      </c>
      <c r="B1028" s="104" t="s">
        <v>57</v>
      </c>
      <c r="C1028" s="243">
        <f>COUNTA(A1029:A1030)</f>
        <v>2</v>
      </c>
      <c r="D1028" s="106">
        <f t="shared" ref="D1028:G1028" si="486">SUM(D1029:D1030)</f>
        <v>22.57</v>
      </c>
      <c r="E1028" s="106">
        <f t="shared" si="486"/>
        <v>20.97</v>
      </c>
      <c r="F1028" s="106">
        <f t="shared" si="486"/>
        <v>1.6</v>
      </c>
      <c r="G1028" s="104">
        <f t="shared" si="486"/>
        <v>13</v>
      </c>
      <c r="H1028" s="106">
        <f t="shared" ref="H1028:H1030" si="487">E1028/G1028</f>
        <v>1.613076923</v>
      </c>
    </row>
    <row r="1029">
      <c r="A1029" s="109" t="s">
        <v>647</v>
      </c>
      <c r="B1029" s="109"/>
      <c r="C1029" s="109"/>
      <c r="D1029" s="111">
        <v>5.58</v>
      </c>
      <c r="E1029" s="111">
        <v>3.98</v>
      </c>
      <c r="F1029" s="111">
        <f t="shared" ref="F1029:F1030" si="488">D1029-E1029</f>
        <v>1.6</v>
      </c>
      <c r="G1029" s="109">
        <v>10.0</v>
      </c>
      <c r="H1029" s="111">
        <f t="shared" si="487"/>
        <v>0.398</v>
      </c>
    </row>
    <row r="1030">
      <c r="A1030" s="109" t="s">
        <v>665</v>
      </c>
      <c r="B1030" s="109"/>
      <c r="C1030" s="109"/>
      <c r="D1030" s="111">
        <v>16.99</v>
      </c>
      <c r="E1030" s="111">
        <v>16.99</v>
      </c>
      <c r="F1030" s="111">
        <f t="shared" si="488"/>
        <v>0</v>
      </c>
      <c r="G1030" s="108">
        <v>3.0</v>
      </c>
      <c r="H1030" s="111">
        <f t="shared" si="487"/>
        <v>5.663333333</v>
      </c>
    </row>
    <row r="1031">
      <c r="A1031" s="461"/>
      <c r="B1031" s="462"/>
      <c r="C1031" s="461"/>
      <c r="D1031" s="461"/>
      <c r="E1031" s="461"/>
      <c r="F1031" s="461"/>
      <c r="G1031" s="461"/>
      <c r="H1031" s="461"/>
    </row>
    <row r="1032">
      <c r="A1032" s="43" t="s">
        <v>577</v>
      </c>
      <c r="B1032" s="43" t="s">
        <v>29</v>
      </c>
      <c r="C1032" s="44">
        <f>COUNTA(A1033:A1034)</f>
        <v>2</v>
      </c>
      <c r="D1032" s="47">
        <f t="shared" ref="D1032:G1032" si="489">SUM(D1033:D1034)</f>
        <v>37.98</v>
      </c>
      <c r="E1032" s="47">
        <f t="shared" si="489"/>
        <v>25.98</v>
      </c>
      <c r="F1032" s="47">
        <f t="shared" si="489"/>
        <v>12</v>
      </c>
      <c r="G1032" s="43">
        <f t="shared" si="489"/>
        <v>13</v>
      </c>
      <c r="H1032" s="47">
        <f t="shared" ref="H1032:H1034" si="490">E1032/G1032</f>
        <v>1.998461538</v>
      </c>
    </row>
    <row r="1033">
      <c r="A1033" s="39" t="s">
        <v>1648</v>
      </c>
      <c r="B1033" s="1"/>
      <c r="C1033" s="1"/>
      <c r="D1033" s="71">
        <v>29.99</v>
      </c>
      <c r="E1033" s="71">
        <v>23.99</v>
      </c>
      <c r="F1033" s="71">
        <f t="shared" ref="F1033:F1034" si="491">D1033-E1033</f>
        <v>6</v>
      </c>
      <c r="G1033" s="39">
        <v>12.0</v>
      </c>
      <c r="H1033" s="71">
        <f t="shared" si="490"/>
        <v>1.999166667</v>
      </c>
    </row>
    <row r="1034">
      <c r="A1034" s="39" t="s">
        <v>1586</v>
      </c>
      <c r="B1034" s="1"/>
      <c r="C1034" s="1"/>
      <c r="D1034" s="71">
        <v>7.99</v>
      </c>
      <c r="E1034" s="71">
        <v>1.99</v>
      </c>
      <c r="F1034" s="71">
        <f t="shared" si="491"/>
        <v>6</v>
      </c>
      <c r="G1034" s="39">
        <v>1.0</v>
      </c>
      <c r="H1034" s="71">
        <f t="shared" si="490"/>
        <v>1.99</v>
      </c>
    </row>
    <row r="1035">
      <c r="A1035" s="461"/>
      <c r="B1035" s="462"/>
      <c r="C1035" s="461"/>
      <c r="D1035" s="461"/>
      <c r="E1035" s="461"/>
      <c r="F1035" s="461"/>
      <c r="G1035" s="461"/>
      <c r="H1035" s="461"/>
    </row>
    <row r="1036">
      <c r="A1036" s="43" t="s">
        <v>352</v>
      </c>
      <c r="B1036" s="43" t="s">
        <v>325</v>
      </c>
      <c r="C1036" s="44">
        <f>COUNTA(A1037:A1039)</f>
        <v>3</v>
      </c>
      <c r="D1036" s="47">
        <f t="shared" ref="D1036:G1036" si="492">SUM(D1037:D1039)</f>
        <v>59.97</v>
      </c>
      <c r="E1036" s="47">
        <f t="shared" si="492"/>
        <v>34.97</v>
      </c>
      <c r="F1036" s="47">
        <f t="shared" si="492"/>
        <v>25</v>
      </c>
      <c r="G1036" s="43">
        <f t="shared" si="492"/>
        <v>13</v>
      </c>
      <c r="H1036" s="47">
        <f t="shared" ref="H1036:H1039" si="493">E1036/G1036</f>
        <v>2.69</v>
      </c>
    </row>
    <row r="1037">
      <c r="A1037" s="39" t="s">
        <v>1190</v>
      </c>
      <c r="B1037" s="1"/>
      <c r="C1037" s="1"/>
      <c r="D1037" s="71">
        <v>19.99</v>
      </c>
      <c r="E1037" s="71">
        <v>9.99</v>
      </c>
      <c r="F1037" s="71">
        <f t="shared" ref="F1037:F1039" si="494">D1037-E1037</f>
        <v>10</v>
      </c>
      <c r="G1037" s="39">
        <v>10.0</v>
      </c>
      <c r="H1037" s="71">
        <f t="shared" si="493"/>
        <v>0.999</v>
      </c>
    </row>
    <row r="1038">
      <c r="A1038" s="39" t="s">
        <v>1192</v>
      </c>
      <c r="B1038" s="1"/>
      <c r="C1038" s="1"/>
      <c r="D1038" s="71">
        <v>29.99</v>
      </c>
      <c r="E1038" s="71">
        <v>14.99</v>
      </c>
      <c r="F1038" s="71">
        <f t="shared" si="494"/>
        <v>15</v>
      </c>
      <c r="G1038" s="72">
        <v>2.0</v>
      </c>
      <c r="H1038" s="71">
        <f t="shared" si="493"/>
        <v>7.495</v>
      </c>
    </row>
    <row r="1039">
      <c r="A1039" s="72" t="s">
        <v>1129</v>
      </c>
      <c r="B1039" s="1"/>
      <c r="C1039" s="1"/>
      <c r="D1039" s="71">
        <v>9.99</v>
      </c>
      <c r="E1039" s="71">
        <v>9.99</v>
      </c>
      <c r="F1039" s="71">
        <f t="shared" si="494"/>
        <v>0</v>
      </c>
      <c r="G1039" s="39">
        <v>1.0</v>
      </c>
      <c r="H1039" s="71">
        <f t="shared" si="493"/>
        <v>9.99</v>
      </c>
    </row>
    <row r="1040">
      <c r="A1040" s="461"/>
      <c r="B1040" s="462"/>
      <c r="C1040" s="461"/>
      <c r="D1040" s="461"/>
      <c r="E1040" s="461"/>
      <c r="F1040" s="461"/>
      <c r="G1040" s="461"/>
      <c r="H1040" s="461"/>
    </row>
    <row r="1041">
      <c r="A1041" s="43" t="s">
        <v>565</v>
      </c>
      <c r="B1041" s="69" t="s">
        <v>29</v>
      </c>
      <c r="C1041" s="44">
        <f>COUNTA(A1042)</f>
        <v>1</v>
      </c>
      <c r="D1041" s="47">
        <f t="shared" ref="D1041:G1041" si="495">SUM(D1042)</f>
        <v>14.99</v>
      </c>
      <c r="E1041" s="47">
        <f t="shared" si="495"/>
        <v>0</v>
      </c>
      <c r="F1041" s="47">
        <f t="shared" si="495"/>
        <v>14.99</v>
      </c>
      <c r="G1041" s="43">
        <f t="shared" si="495"/>
        <v>12</v>
      </c>
      <c r="H1041" s="47">
        <f t="shared" ref="H1041:H1042" si="496">E1041/G1041</f>
        <v>0</v>
      </c>
    </row>
    <row r="1042">
      <c r="A1042" s="39" t="s">
        <v>1570</v>
      </c>
      <c r="B1042" s="1"/>
      <c r="C1042" s="1"/>
      <c r="D1042" s="71">
        <v>14.99</v>
      </c>
      <c r="E1042" s="71">
        <v>0.0</v>
      </c>
      <c r="F1042" s="71">
        <f>D1042-E1042</f>
        <v>14.99</v>
      </c>
      <c r="G1042" s="39">
        <v>12.0</v>
      </c>
      <c r="H1042" s="71">
        <f t="shared" si="496"/>
        <v>0</v>
      </c>
    </row>
    <row r="1043">
      <c r="A1043" s="461"/>
      <c r="B1043" s="462"/>
      <c r="C1043" s="461"/>
      <c r="D1043" s="461"/>
      <c r="E1043" s="461"/>
      <c r="F1043" s="461"/>
      <c r="G1043" s="461"/>
      <c r="H1043" s="461"/>
    </row>
    <row r="1044">
      <c r="A1044" s="152" t="s">
        <v>471</v>
      </c>
      <c r="B1044" s="152" t="s">
        <v>455</v>
      </c>
      <c r="C1044" s="255">
        <f>COUNTA(A1045:A1047)</f>
        <v>3</v>
      </c>
      <c r="D1044" s="490">
        <f t="shared" ref="D1044:G1044" si="497">SUM(D1045:D1047)</f>
        <v>78.97</v>
      </c>
      <c r="E1044" s="490">
        <f t="shared" si="497"/>
        <v>8.46</v>
      </c>
      <c r="F1044" s="490">
        <f t="shared" si="497"/>
        <v>70.51</v>
      </c>
      <c r="G1044" s="255">
        <f t="shared" si="497"/>
        <v>12</v>
      </c>
      <c r="H1044" s="490">
        <f t="shared" ref="H1044:H1047" si="498">E1044/G1044</f>
        <v>0.705</v>
      </c>
    </row>
    <row r="1045">
      <c r="A1045" s="156" t="s">
        <v>1418</v>
      </c>
      <c r="B1045" s="486"/>
      <c r="C1045" s="486"/>
      <c r="D1045" s="159">
        <v>19.99</v>
      </c>
      <c r="E1045" s="159">
        <v>0.0</v>
      </c>
      <c r="F1045" s="159">
        <f t="shared" ref="F1045:F1047" si="499">D1045-E1045</f>
        <v>19.99</v>
      </c>
      <c r="G1045" s="156">
        <v>10.0</v>
      </c>
      <c r="H1045" s="159">
        <f t="shared" si="498"/>
        <v>0</v>
      </c>
    </row>
    <row r="1046">
      <c r="A1046" s="156" t="s">
        <v>1426</v>
      </c>
      <c r="B1046" s="486"/>
      <c r="C1046" s="486"/>
      <c r="D1046" s="159">
        <v>39.99</v>
      </c>
      <c r="E1046" s="159">
        <v>0.0</v>
      </c>
      <c r="F1046" s="159">
        <f t="shared" si="499"/>
        <v>39.99</v>
      </c>
      <c r="G1046" s="156">
        <v>1.0</v>
      </c>
      <c r="H1046" s="159">
        <f t="shared" si="498"/>
        <v>0</v>
      </c>
    </row>
    <row r="1047">
      <c r="A1047" s="156" t="s">
        <v>1400</v>
      </c>
      <c r="B1047" s="486"/>
      <c r="C1047" s="486"/>
      <c r="D1047" s="159">
        <v>18.99</v>
      </c>
      <c r="E1047" s="159">
        <v>8.46</v>
      </c>
      <c r="F1047" s="159">
        <f t="shared" si="499"/>
        <v>10.53</v>
      </c>
      <c r="G1047" s="156">
        <v>1.0</v>
      </c>
      <c r="H1047" s="159">
        <f t="shared" si="498"/>
        <v>8.46</v>
      </c>
    </row>
    <row r="1048">
      <c r="A1048" s="1"/>
      <c r="B1048" s="1"/>
      <c r="C1048" s="1"/>
      <c r="D1048" s="1"/>
      <c r="E1048" s="1"/>
      <c r="F1048" s="1"/>
      <c r="G1048" s="1"/>
      <c r="H1048" s="1"/>
    </row>
    <row r="1049">
      <c r="A1049" s="43" t="s">
        <v>588</v>
      </c>
      <c r="B1049" s="43" t="s">
        <v>29</v>
      </c>
      <c r="C1049" s="44">
        <f>COUNTA(A1050)</f>
        <v>1</v>
      </c>
      <c r="D1049" s="47">
        <f t="shared" ref="D1049:G1049" si="500">SUM(D1050)</f>
        <v>14.99</v>
      </c>
      <c r="E1049" s="47">
        <f t="shared" si="500"/>
        <v>9.99</v>
      </c>
      <c r="F1049" s="47">
        <f t="shared" si="500"/>
        <v>5</v>
      </c>
      <c r="G1049" s="43">
        <f t="shared" si="500"/>
        <v>12</v>
      </c>
      <c r="H1049" s="47">
        <f t="shared" ref="H1049:H1050" si="501">E1049/G1049</f>
        <v>0.8325</v>
      </c>
    </row>
    <row r="1050">
      <c r="A1050" s="39" t="s">
        <v>1783</v>
      </c>
      <c r="B1050" s="1"/>
      <c r="C1050" s="1"/>
      <c r="D1050" s="71">
        <v>14.99</v>
      </c>
      <c r="E1050" s="71">
        <v>9.99</v>
      </c>
      <c r="F1050" s="71">
        <f>D1050-E1050</f>
        <v>5</v>
      </c>
      <c r="G1050" s="39">
        <v>12.0</v>
      </c>
      <c r="H1050" s="71">
        <f t="shared" si="501"/>
        <v>0.8325</v>
      </c>
    </row>
    <row r="1051">
      <c r="A1051" s="39"/>
      <c r="B1051" s="1"/>
      <c r="C1051" s="1"/>
      <c r="D1051" s="71"/>
      <c r="E1051" s="71"/>
      <c r="F1051" s="71"/>
      <c r="G1051" s="39"/>
      <c r="H1051" s="71"/>
    </row>
    <row r="1052">
      <c r="A1052" s="103" t="s">
        <v>296</v>
      </c>
      <c r="B1052" s="103" t="s">
        <v>291</v>
      </c>
      <c r="C1052" s="103">
        <f>COUNTA(A1053)</f>
        <v>1</v>
      </c>
      <c r="D1052" s="495">
        <f t="shared" ref="D1052:G1052" si="502">SUM(D1053)</f>
        <v>19.99</v>
      </c>
      <c r="E1052" s="495">
        <f t="shared" si="502"/>
        <v>13.99</v>
      </c>
      <c r="F1052" s="495">
        <f t="shared" si="502"/>
        <v>6</v>
      </c>
      <c r="G1052" s="102">
        <f t="shared" si="502"/>
        <v>12</v>
      </c>
      <c r="H1052" s="495">
        <f t="shared" ref="H1052:H1053" si="503">E1052/G1052</f>
        <v>1.165833333</v>
      </c>
    </row>
    <row r="1053">
      <c r="A1053" s="101" t="s">
        <v>1049</v>
      </c>
      <c r="B1053" s="496"/>
      <c r="C1053" s="496"/>
      <c r="D1053" s="59">
        <v>19.99</v>
      </c>
      <c r="E1053" s="59">
        <v>13.99</v>
      </c>
      <c r="F1053" s="24">
        <f>D1053-E1053</f>
        <v>6</v>
      </c>
      <c r="G1053" s="35">
        <v>12.0</v>
      </c>
      <c r="H1053" s="24">
        <f t="shared" si="503"/>
        <v>1.165833333</v>
      </c>
    </row>
    <row r="1054">
      <c r="A1054" s="1"/>
      <c r="B1054" s="1"/>
      <c r="C1054" s="1"/>
      <c r="D1054" s="1"/>
      <c r="E1054" s="1"/>
      <c r="F1054" s="1"/>
      <c r="G1054" s="1"/>
      <c r="H1054" s="1"/>
    </row>
    <row r="1055">
      <c r="A1055" s="43" t="s">
        <v>198</v>
      </c>
      <c r="B1055" s="43" t="s">
        <v>25</v>
      </c>
      <c r="C1055" s="44">
        <f>COUNTA(A1056:A1057)</f>
        <v>2</v>
      </c>
      <c r="D1055" s="47">
        <f t="shared" ref="D1055:G1055" si="504">SUM(D1056:D1057)</f>
        <v>62.98</v>
      </c>
      <c r="E1055" s="47">
        <f t="shared" si="504"/>
        <v>37.98</v>
      </c>
      <c r="F1055" s="47">
        <f t="shared" si="504"/>
        <v>25</v>
      </c>
      <c r="G1055" s="43">
        <f t="shared" si="504"/>
        <v>12</v>
      </c>
      <c r="H1055" s="47">
        <f t="shared" ref="H1055:H1057" si="505">E1055/G1055</f>
        <v>3.165</v>
      </c>
    </row>
    <row r="1056">
      <c r="A1056" s="39" t="s">
        <v>858</v>
      </c>
      <c r="B1056" s="1"/>
      <c r="C1056" s="1"/>
      <c r="D1056" s="71">
        <v>12.99</v>
      </c>
      <c r="E1056" s="71">
        <v>12.99</v>
      </c>
      <c r="F1056" s="71">
        <f t="shared" ref="F1056:F1057" si="506">D1056-E1056</f>
        <v>0</v>
      </c>
      <c r="G1056" s="39">
        <v>7.0</v>
      </c>
      <c r="H1056" s="71">
        <f t="shared" si="505"/>
        <v>1.855714286</v>
      </c>
    </row>
    <row r="1057">
      <c r="A1057" s="39" t="s">
        <v>1784</v>
      </c>
      <c r="B1057" s="1"/>
      <c r="C1057" s="1"/>
      <c r="D1057" s="71">
        <v>49.99</v>
      </c>
      <c r="E1057" s="71">
        <v>24.99</v>
      </c>
      <c r="F1057" s="71">
        <f t="shared" si="506"/>
        <v>25</v>
      </c>
      <c r="G1057" s="39">
        <v>5.0</v>
      </c>
      <c r="H1057" s="71">
        <f t="shared" si="505"/>
        <v>4.998</v>
      </c>
    </row>
    <row r="1058">
      <c r="A1058" s="1"/>
      <c r="B1058" s="1"/>
      <c r="C1058" s="1"/>
      <c r="D1058" s="1"/>
      <c r="E1058" s="1"/>
      <c r="F1058" s="1"/>
      <c r="G1058" s="1"/>
      <c r="H1058" s="1"/>
    </row>
    <row r="1059">
      <c r="A1059" s="43" t="s">
        <v>362</v>
      </c>
      <c r="B1059" s="43" t="s">
        <v>325</v>
      </c>
      <c r="C1059" s="44">
        <f>COUNTA(A1060:A1062)</f>
        <v>3</v>
      </c>
      <c r="D1059" s="145">
        <f t="shared" ref="D1059:G1059" si="507">SUM(D1060:D1062)</f>
        <v>0</v>
      </c>
      <c r="E1059" s="145">
        <f t="shared" si="507"/>
        <v>0</v>
      </c>
      <c r="F1059" s="145">
        <f t="shared" si="507"/>
        <v>0</v>
      </c>
      <c r="G1059" s="44">
        <f t="shared" si="507"/>
        <v>11</v>
      </c>
      <c r="H1059" s="145">
        <f t="shared" ref="H1059:H1062" si="508">E1059/G1059</f>
        <v>0</v>
      </c>
    </row>
    <row r="1060">
      <c r="A1060" s="39" t="s">
        <v>1186</v>
      </c>
      <c r="B1060" s="1"/>
      <c r="C1060" s="1"/>
      <c r="D1060" s="71">
        <v>0.0</v>
      </c>
      <c r="E1060" s="71">
        <v>0.0</v>
      </c>
      <c r="F1060" s="71">
        <f t="shared" ref="F1060:F1062" si="509">D1060-E1060</f>
        <v>0</v>
      </c>
      <c r="G1060" s="39">
        <v>5.0</v>
      </c>
      <c r="H1060" s="71">
        <f t="shared" si="508"/>
        <v>0</v>
      </c>
    </row>
    <row r="1061">
      <c r="A1061" s="39" t="s">
        <v>1181</v>
      </c>
      <c r="B1061" s="1"/>
      <c r="C1061" s="1"/>
      <c r="D1061" s="71">
        <v>0.0</v>
      </c>
      <c r="E1061" s="71">
        <v>0.0</v>
      </c>
      <c r="F1061" s="71">
        <f t="shared" si="509"/>
        <v>0</v>
      </c>
      <c r="G1061" s="39">
        <v>5.0</v>
      </c>
      <c r="H1061" s="71">
        <f t="shared" si="508"/>
        <v>0</v>
      </c>
    </row>
    <row r="1062">
      <c r="A1062" s="72" t="s">
        <v>1182</v>
      </c>
      <c r="B1062" s="1"/>
      <c r="C1062" s="1"/>
      <c r="D1062" s="71">
        <v>0.0</v>
      </c>
      <c r="E1062" s="71">
        <v>0.0</v>
      </c>
      <c r="F1062" s="71">
        <f t="shared" si="509"/>
        <v>0</v>
      </c>
      <c r="G1062" s="39">
        <v>1.0</v>
      </c>
      <c r="H1062" s="71">
        <f t="shared" si="508"/>
        <v>0</v>
      </c>
    </row>
    <row r="1063">
      <c r="A1063" s="1"/>
      <c r="B1063" s="1"/>
      <c r="C1063" s="1"/>
      <c r="D1063" s="1"/>
      <c r="E1063" s="1"/>
      <c r="F1063" s="1"/>
      <c r="G1063" s="1"/>
      <c r="H1063" s="1"/>
    </row>
    <row r="1064">
      <c r="A1064" s="152" t="s">
        <v>461</v>
      </c>
      <c r="B1064" s="152" t="s">
        <v>455</v>
      </c>
      <c r="C1064" s="255">
        <f>COUNTA(A1065)</f>
        <v>1</v>
      </c>
      <c r="D1064" s="154">
        <f t="shared" ref="D1064:G1064" si="510">SUM(D1065)</f>
        <v>69.99</v>
      </c>
      <c r="E1064" s="154">
        <f t="shared" si="510"/>
        <v>0</v>
      </c>
      <c r="F1064" s="154">
        <f t="shared" si="510"/>
        <v>69.99</v>
      </c>
      <c r="G1064" s="152">
        <f t="shared" si="510"/>
        <v>11</v>
      </c>
      <c r="H1064" s="154">
        <f t="shared" ref="H1064:H1065" si="511">E1064/G1064</f>
        <v>0</v>
      </c>
    </row>
    <row r="1065">
      <c r="A1065" s="156" t="s">
        <v>1417</v>
      </c>
      <c r="B1065" s="480"/>
      <c r="C1065" s="480"/>
      <c r="D1065" s="159">
        <v>69.99</v>
      </c>
      <c r="E1065" s="159">
        <v>0.0</v>
      </c>
      <c r="F1065" s="159">
        <f>D1065-E1065</f>
        <v>69.99</v>
      </c>
      <c r="G1065" s="156">
        <v>11.0</v>
      </c>
      <c r="H1065" s="159">
        <f t="shared" si="511"/>
        <v>0</v>
      </c>
    </row>
    <row r="1066">
      <c r="A1066" s="179"/>
      <c r="B1066" s="477"/>
      <c r="C1066" s="477"/>
      <c r="D1066" s="478"/>
      <c r="E1066" s="478"/>
      <c r="F1066" s="478"/>
      <c r="G1066" s="179"/>
      <c r="H1066" s="181"/>
    </row>
    <row r="1067">
      <c r="A1067" s="152" t="s">
        <v>469</v>
      </c>
      <c r="B1067" s="152" t="s">
        <v>455</v>
      </c>
      <c r="C1067" s="255">
        <f>COUNTA(A1068)</f>
        <v>1</v>
      </c>
      <c r="D1067" s="154">
        <f t="shared" ref="D1067:G1067" si="512">SUM(D1068)</f>
        <v>49.99</v>
      </c>
      <c r="E1067" s="154">
        <f t="shared" si="512"/>
        <v>0</v>
      </c>
      <c r="F1067" s="154">
        <f t="shared" si="512"/>
        <v>49.99</v>
      </c>
      <c r="G1067" s="152">
        <f t="shared" si="512"/>
        <v>11</v>
      </c>
      <c r="H1067" s="154">
        <f t="shared" ref="H1067:H1068" si="513">E1067/G1067</f>
        <v>0</v>
      </c>
    </row>
    <row r="1068">
      <c r="A1068" s="156" t="s">
        <v>1424</v>
      </c>
      <c r="B1068" s="480"/>
      <c r="C1068" s="480"/>
      <c r="D1068" s="159">
        <v>49.99</v>
      </c>
      <c r="E1068" s="159">
        <v>0.0</v>
      </c>
      <c r="F1068" s="159">
        <f>D1068-E1068</f>
        <v>49.99</v>
      </c>
      <c r="G1068" s="156">
        <v>11.0</v>
      </c>
      <c r="H1068" s="159">
        <f t="shared" si="513"/>
        <v>0</v>
      </c>
    </row>
    <row r="1069">
      <c r="A1069" s="179"/>
      <c r="B1069" s="477"/>
      <c r="C1069" s="477"/>
      <c r="D1069" s="478"/>
      <c r="E1069" s="478"/>
      <c r="F1069" s="478"/>
      <c r="G1069" s="179"/>
      <c r="H1069" s="181"/>
    </row>
    <row r="1070">
      <c r="A1070" s="43" t="s">
        <v>209</v>
      </c>
      <c r="B1070" s="43" t="s">
        <v>25</v>
      </c>
      <c r="C1070" s="44">
        <f>COUNTA(A1071)</f>
        <v>1</v>
      </c>
      <c r="D1070" s="47">
        <f t="shared" ref="D1070:G1070" si="514">SUM(D1071)</f>
        <v>29.99</v>
      </c>
      <c r="E1070" s="47">
        <f t="shared" si="514"/>
        <v>0</v>
      </c>
      <c r="F1070" s="47">
        <f t="shared" si="514"/>
        <v>29.99</v>
      </c>
      <c r="G1070" s="43">
        <f t="shared" si="514"/>
        <v>11</v>
      </c>
      <c r="H1070" s="47">
        <f t="shared" ref="H1070:H1071" si="515">E1070/G1070</f>
        <v>0</v>
      </c>
    </row>
    <row r="1071">
      <c r="A1071" s="39" t="s">
        <v>960</v>
      </c>
      <c r="B1071" s="1"/>
      <c r="C1071" s="1"/>
      <c r="D1071" s="71">
        <v>29.99</v>
      </c>
      <c r="E1071" s="71">
        <v>0.0</v>
      </c>
      <c r="F1071" s="71">
        <f>D1071-E1071</f>
        <v>29.99</v>
      </c>
      <c r="G1071" s="39">
        <v>11.0</v>
      </c>
      <c r="H1071" s="71">
        <f t="shared" si="515"/>
        <v>0</v>
      </c>
    </row>
    <row r="1072">
      <c r="A1072" s="179"/>
      <c r="B1072" s="477"/>
      <c r="C1072" s="477"/>
      <c r="D1072" s="478"/>
      <c r="E1072" s="478"/>
      <c r="F1072" s="478"/>
      <c r="G1072" s="179"/>
      <c r="H1072" s="181"/>
    </row>
    <row r="1073">
      <c r="A1073" s="44" t="s">
        <v>191</v>
      </c>
      <c r="B1073" s="44" t="s">
        <v>25</v>
      </c>
      <c r="C1073" s="44">
        <f>COUNTA(A1074:A1075)</f>
        <v>2</v>
      </c>
      <c r="D1073" s="46">
        <f t="shared" ref="D1073:G1073" si="516">SUM(D1074:D1075)</f>
        <v>9.99</v>
      </c>
      <c r="E1073" s="46">
        <f t="shared" si="516"/>
        <v>0</v>
      </c>
      <c r="F1073" s="46">
        <f t="shared" si="516"/>
        <v>9.99</v>
      </c>
      <c r="G1073" s="43">
        <f t="shared" si="516"/>
        <v>11</v>
      </c>
      <c r="H1073" s="46">
        <f>E1073/G1073</f>
        <v>0</v>
      </c>
    </row>
    <row r="1074">
      <c r="A1074" s="39" t="s">
        <v>942</v>
      </c>
      <c r="B1074" s="1"/>
      <c r="C1074" s="37"/>
      <c r="D1074" s="42">
        <v>5.0</v>
      </c>
      <c r="E1074" s="42">
        <v>0.0</v>
      </c>
      <c r="F1074" s="42">
        <v>5.0</v>
      </c>
      <c r="G1074" s="39">
        <v>6.0</v>
      </c>
      <c r="H1074" s="42">
        <v>0.0</v>
      </c>
    </row>
    <row r="1075">
      <c r="A1075" s="39" t="s">
        <v>943</v>
      </c>
      <c r="B1075" s="1"/>
      <c r="C1075" s="1"/>
      <c r="D1075" s="42">
        <v>4.99</v>
      </c>
      <c r="E1075" s="42">
        <v>0.0</v>
      </c>
      <c r="F1075" s="42">
        <v>4.99</v>
      </c>
      <c r="G1075" s="39">
        <v>5.0</v>
      </c>
      <c r="H1075" s="42">
        <v>0.0</v>
      </c>
    </row>
    <row r="1076">
      <c r="A1076" s="179"/>
      <c r="B1076" s="477"/>
      <c r="C1076" s="477"/>
      <c r="D1076" s="478"/>
      <c r="E1076" s="478"/>
      <c r="F1076" s="478"/>
      <c r="G1076" s="179"/>
      <c r="H1076" s="181"/>
    </row>
    <row r="1077">
      <c r="A1077" s="43" t="s">
        <v>407</v>
      </c>
      <c r="B1077" s="43" t="s">
        <v>400</v>
      </c>
      <c r="C1077" s="44">
        <f>COUNTA(A1078)</f>
        <v>1</v>
      </c>
      <c r="D1077" s="47">
        <f t="shared" ref="D1077:G1077" si="517">SUM(D1078)</f>
        <v>19.99</v>
      </c>
      <c r="E1077" s="47">
        <f t="shared" si="517"/>
        <v>4.99</v>
      </c>
      <c r="F1077" s="47">
        <f t="shared" si="517"/>
        <v>15</v>
      </c>
      <c r="G1077" s="43">
        <f t="shared" si="517"/>
        <v>11</v>
      </c>
      <c r="H1077" s="47">
        <f t="shared" ref="H1077:H1078" si="518">E1077/G1077</f>
        <v>0.4536363636</v>
      </c>
    </row>
    <row r="1078">
      <c r="A1078" s="39" t="s">
        <v>1342</v>
      </c>
      <c r="B1078" s="1"/>
      <c r="C1078" s="1"/>
      <c r="D1078" s="71">
        <v>19.99</v>
      </c>
      <c r="E1078" s="71">
        <v>4.99</v>
      </c>
      <c r="F1078" s="71">
        <f>D1078-E1078</f>
        <v>15</v>
      </c>
      <c r="G1078" s="39">
        <v>11.0</v>
      </c>
      <c r="H1078" s="71">
        <f t="shared" si="518"/>
        <v>0.4536363636</v>
      </c>
    </row>
    <row r="1079">
      <c r="A1079" s="179"/>
      <c r="B1079" s="477"/>
      <c r="C1079" s="477"/>
      <c r="D1079" s="478"/>
      <c r="E1079" s="478"/>
      <c r="F1079" s="478"/>
      <c r="G1079" s="179"/>
      <c r="H1079" s="181"/>
    </row>
    <row r="1080">
      <c r="A1080" s="43" t="s">
        <v>176</v>
      </c>
      <c r="B1080" s="44" t="s">
        <v>25</v>
      </c>
      <c r="C1080" s="44">
        <f>COUNTA(A1081)</f>
        <v>1</v>
      </c>
      <c r="D1080" s="47">
        <f t="shared" ref="D1080:G1080" si="519">SUM(D1081)</f>
        <v>17.99</v>
      </c>
      <c r="E1080" s="47">
        <f t="shared" si="519"/>
        <v>8.99</v>
      </c>
      <c r="F1080" s="47">
        <f t="shared" si="519"/>
        <v>9</v>
      </c>
      <c r="G1080" s="43">
        <f t="shared" si="519"/>
        <v>11</v>
      </c>
      <c r="H1080" s="47">
        <f t="shared" ref="H1080:H1081" si="520">E1080/G1080</f>
        <v>0.8172727273</v>
      </c>
    </row>
    <row r="1081">
      <c r="A1081" s="39" t="s">
        <v>932</v>
      </c>
      <c r="B1081" s="1"/>
      <c r="C1081" s="1"/>
      <c r="D1081" s="71">
        <v>17.99</v>
      </c>
      <c r="E1081" s="71">
        <v>8.99</v>
      </c>
      <c r="F1081" s="71">
        <f>D1081-E1081</f>
        <v>9</v>
      </c>
      <c r="G1081" s="39">
        <v>11.0</v>
      </c>
      <c r="H1081" s="71">
        <f t="shared" si="520"/>
        <v>0.8172727273</v>
      </c>
    </row>
    <row r="1082">
      <c r="A1082" s="179"/>
      <c r="B1082" s="477"/>
      <c r="C1082" s="477"/>
      <c r="D1082" s="478"/>
      <c r="E1082" s="478"/>
      <c r="F1082" s="478"/>
      <c r="G1082" s="179"/>
      <c r="H1082" s="181"/>
    </row>
    <row r="1083">
      <c r="A1083" s="43" t="s">
        <v>343</v>
      </c>
      <c r="B1083" s="43" t="s">
        <v>325</v>
      </c>
      <c r="C1083" s="44">
        <f>COUNTA(A1084)</f>
        <v>1</v>
      </c>
      <c r="D1083" s="47">
        <f t="shared" ref="D1083:G1083" si="521">SUM(D1084)</f>
        <v>39.99</v>
      </c>
      <c r="E1083" s="47">
        <f t="shared" si="521"/>
        <v>14.79</v>
      </c>
      <c r="F1083" s="47">
        <f t="shared" si="521"/>
        <v>25.2</v>
      </c>
      <c r="G1083" s="43">
        <f t="shared" si="521"/>
        <v>11</v>
      </c>
      <c r="H1083" s="47">
        <f t="shared" ref="H1083:H1084" si="522">E1083/G1083</f>
        <v>1.344545455</v>
      </c>
    </row>
    <row r="1084">
      <c r="A1084" s="39" t="s">
        <v>1264</v>
      </c>
      <c r="B1084" s="1"/>
      <c r="C1084" s="1"/>
      <c r="D1084" s="71">
        <v>39.99</v>
      </c>
      <c r="E1084" s="71">
        <v>14.79</v>
      </c>
      <c r="F1084" s="71">
        <f>D1084-E1084</f>
        <v>25.2</v>
      </c>
      <c r="G1084" s="39">
        <v>11.0</v>
      </c>
      <c r="H1084" s="71">
        <f t="shared" si="522"/>
        <v>1.344545455</v>
      </c>
    </row>
    <row r="1085">
      <c r="A1085" s="179"/>
      <c r="B1085" s="477"/>
      <c r="C1085" s="477"/>
      <c r="D1085" s="478"/>
      <c r="E1085" s="478"/>
      <c r="F1085" s="478"/>
      <c r="G1085" s="179"/>
      <c r="H1085" s="181"/>
    </row>
    <row r="1086">
      <c r="A1086" s="53" t="s">
        <v>270</v>
      </c>
      <c r="B1086" s="53" t="s">
        <v>265</v>
      </c>
      <c r="C1086" s="75">
        <f>COUNTA(A1087)</f>
        <v>1</v>
      </c>
      <c r="D1086" s="76">
        <f t="shared" ref="D1086:G1086" si="523">SUM(D1087)</f>
        <v>29.99</v>
      </c>
      <c r="E1086" s="76">
        <f t="shared" si="523"/>
        <v>18.99</v>
      </c>
      <c r="F1086" s="76">
        <f t="shared" si="523"/>
        <v>11</v>
      </c>
      <c r="G1086" s="53">
        <f t="shared" si="523"/>
        <v>11</v>
      </c>
      <c r="H1086" s="76">
        <f t="shared" ref="H1086:H1087" si="524">E1086/G1086</f>
        <v>1.726363636</v>
      </c>
    </row>
    <row r="1087">
      <c r="A1087" s="79" t="s">
        <v>1028</v>
      </c>
      <c r="B1087" s="1"/>
      <c r="C1087" s="1"/>
      <c r="D1087" s="52">
        <v>29.99</v>
      </c>
      <c r="E1087" s="52">
        <v>18.99</v>
      </c>
      <c r="F1087" s="52">
        <f>D1087-E1087</f>
        <v>11</v>
      </c>
      <c r="G1087" s="79">
        <v>11.0</v>
      </c>
      <c r="H1087" s="52">
        <f t="shared" si="524"/>
        <v>1.726363636</v>
      </c>
    </row>
    <row r="1088">
      <c r="A1088" s="1"/>
      <c r="B1088" s="1"/>
      <c r="C1088" s="1"/>
      <c r="D1088" s="1"/>
      <c r="E1088" s="1"/>
      <c r="F1088" s="1"/>
      <c r="G1088" s="1"/>
      <c r="H1088" s="1"/>
    </row>
    <row r="1089">
      <c r="A1089" s="43" t="s">
        <v>612</v>
      </c>
      <c r="B1089" s="43" t="s">
        <v>29</v>
      </c>
      <c r="C1089" s="44">
        <f>COUNTA(A1090:A1091)</f>
        <v>2</v>
      </c>
      <c r="D1089" s="47">
        <f t="shared" ref="D1089:G1089" si="525">SUM(D1090:D1091)</f>
        <v>39.98</v>
      </c>
      <c r="E1089" s="47">
        <f t="shared" si="525"/>
        <v>27.98</v>
      </c>
      <c r="F1089" s="47">
        <f t="shared" si="525"/>
        <v>12</v>
      </c>
      <c r="G1089" s="43">
        <f t="shared" si="525"/>
        <v>11</v>
      </c>
      <c r="H1089" s="47">
        <f t="shared" ref="H1089:H1091" si="526">E1089/G1089</f>
        <v>2.543636364</v>
      </c>
    </row>
    <row r="1090">
      <c r="A1090" s="72" t="s">
        <v>1468</v>
      </c>
      <c r="B1090" s="1"/>
      <c r="C1090" s="1"/>
      <c r="D1090" s="71">
        <v>19.99</v>
      </c>
      <c r="E1090" s="71">
        <v>13.99</v>
      </c>
      <c r="F1090" s="71">
        <f t="shared" ref="F1090:F1091" si="527">D1090-E1090</f>
        <v>6</v>
      </c>
      <c r="G1090" s="39">
        <v>9.0</v>
      </c>
      <c r="H1090" s="71">
        <f t="shared" si="526"/>
        <v>1.554444444</v>
      </c>
    </row>
    <row r="1091">
      <c r="A1091" s="72" t="s">
        <v>1482</v>
      </c>
      <c r="B1091" s="1"/>
      <c r="C1091" s="1"/>
      <c r="D1091" s="71">
        <v>19.99</v>
      </c>
      <c r="E1091" s="71">
        <v>13.99</v>
      </c>
      <c r="F1091" s="71">
        <f t="shared" si="527"/>
        <v>6</v>
      </c>
      <c r="G1091" s="39">
        <v>2.0</v>
      </c>
      <c r="H1091" s="71">
        <f t="shared" si="526"/>
        <v>6.995</v>
      </c>
    </row>
    <row r="1092">
      <c r="A1092" s="497"/>
      <c r="B1092" s="497"/>
      <c r="C1092" s="497"/>
      <c r="D1092" s="498"/>
      <c r="E1092" s="498"/>
      <c r="F1092" s="498"/>
      <c r="G1092" s="497"/>
      <c r="H1092" s="498"/>
    </row>
    <row r="1093">
      <c r="A1093" s="43" t="s">
        <v>196</v>
      </c>
      <c r="B1093" s="43" t="s">
        <v>25</v>
      </c>
      <c r="C1093" s="44">
        <f>COUNTA(A1094:A1095)</f>
        <v>2</v>
      </c>
      <c r="D1093" s="47">
        <f t="shared" ref="D1093:G1093" si="528">SUM(D1094:D1095)</f>
        <v>128.44</v>
      </c>
      <c r="E1093" s="47">
        <f t="shared" si="528"/>
        <v>94.85</v>
      </c>
      <c r="F1093" s="47">
        <f t="shared" si="528"/>
        <v>33.59</v>
      </c>
      <c r="G1093" s="43">
        <f t="shared" si="528"/>
        <v>11</v>
      </c>
      <c r="H1093" s="47">
        <f t="shared" ref="H1093:H1095" si="529">E1093/G1093</f>
        <v>8.622727273</v>
      </c>
    </row>
    <row r="1094">
      <c r="A1094" s="39" t="s">
        <v>911</v>
      </c>
      <c r="B1094" s="1"/>
      <c r="C1094" s="1"/>
      <c r="D1094" s="71">
        <v>64.22</v>
      </c>
      <c r="E1094" s="71">
        <v>47.43</v>
      </c>
      <c r="F1094" s="71">
        <f t="shared" ref="F1094:F1095" si="530">D1094-E1094</f>
        <v>16.79</v>
      </c>
      <c r="G1094" s="39">
        <v>7.0</v>
      </c>
      <c r="H1094" s="71">
        <f t="shared" si="529"/>
        <v>6.775714286</v>
      </c>
    </row>
    <row r="1095">
      <c r="A1095" s="39" t="s">
        <v>925</v>
      </c>
      <c r="B1095" s="1"/>
      <c r="C1095" s="1"/>
      <c r="D1095" s="71">
        <v>64.22</v>
      </c>
      <c r="E1095" s="71">
        <v>47.42</v>
      </c>
      <c r="F1095" s="71">
        <f t="shared" si="530"/>
        <v>16.8</v>
      </c>
      <c r="G1095" s="39">
        <v>4.0</v>
      </c>
      <c r="H1095" s="71">
        <f t="shared" si="529"/>
        <v>11.855</v>
      </c>
    </row>
    <row r="1096">
      <c r="A1096" s="1"/>
      <c r="B1096" s="1"/>
      <c r="C1096" s="1"/>
      <c r="D1096" s="1"/>
      <c r="E1096" s="1"/>
      <c r="F1096" s="1"/>
      <c r="G1096" s="1"/>
      <c r="H1096" s="1"/>
    </row>
    <row r="1097">
      <c r="A1097" s="43" t="s">
        <v>571</v>
      </c>
      <c r="B1097" s="43" t="s">
        <v>29</v>
      </c>
      <c r="C1097" s="44">
        <f>COUNTA(A1098)</f>
        <v>1</v>
      </c>
      <c r="D1097" s="47">
        <f t="shared" ref="D1097:G1097" si="531">SUM(D1098)</f>
        <v>0</v>
      </c>
      <c r="E1097" s="47">
        <f t="shared" si="531"/>
        <v>0</v>
      </c>
      <c r="F1097" s="47">
        <f t="shared" si="531"/>
        <v>0</v>
      </c>
      <c r="G1097" s="43">
        <f t="shared" si="531"/>
        <v>10</v>
      </c>
      <c r="H1097" s="47">
        <f t="shared" ref="H1097:H1098" si="532">E1097/G1097</f>
        <v>0</v>
      </c>
    </row>
    <row r="1098">
      <c r="A1098" s="39" t="s">
        <v>1571</v>
      </c>
      <c r="B1098" s="1"/>
      <c r="C1098" s="1"/>
      <c r="D1098" s="71">
        <v>0.0</v>
      </c>
      <c r="E1098" s="71">
        <v>0.0</v>
      </c>
      <c r="F1098" s="71">
        <f>D1098-E1098</f>
        <v>0</v>
      </c>
      <c r="G1098" s="39">
        <v>10.0</v>
      </c>
      <c r="H1098" s="71">
        <f t="shared" si="532"/>
        <v>0</v>
      </c>
    </row>
    <row r="1099">
      <c r="A1099" s="179"/>
      <c r="B1099" s="477"/>
      <c r="C1099" s="477"/>
      <c r="D1099" s="478"/>
      <c r="E1099" s="478"/>
      <c r="F1099" s="478"/>
      <c r="G1099" s="179"/>
      <c r="H1099" s="181"/>
    </row>
    <row r="1100">
      <c r="A1100" s="43" t="s">
        <v>103</v>
      </c>
      <c r="B1100" s="43" t="s">
        <v>92</v>
      </c>
      <c r="C1100" s="44">
        <f>COUNTA(A1101)</f>
        <v>1</v>
      </c>
      <c r="D1100" s="47">
        <f t="shared" ref="D1100:G1100" si="533">SUM(D1101)</f>
        <v>0</v>
      </c>
      <c r="E1100" s="47">
        <f t="shared" si="533"/>
        <v>0</v>
      </c>
      <c r="F1100" s="47">
        <f t="shared" si="533"/>
        <v>0</v>
      </c>
      <c r="G1100" s="43">
        <f t="shared" si="533"/>
        <v>10</v>
      </c>
      <c r="H1100" s="47">
        <f t="shared" ref="H1100:H1101" si="534">E1100/G1100</f>
        <v>0</v>
      </c>
    </row>
    <row r="1101">
      <c r="A1101" s="39" t="s">
        <v>726</v>
      </c>
      <c r="B1101" s="1"/>
      <c r="C1101" s="1"/>
      <c r="D1101" s="71">
        <v>0.0</v>
      </c>
      <c r="E1101" s="71">
        <v>0.0</v>
      </c>
      <c r="F1101" s="71">
        <f>D1101-E1101</f>
        <v>0</v>
      </c>
      <c r="G1101" s="39">
        <v>10.0</v>
      </c>
      <c r="H1101" s="71">
        <f t="shared" si="534"/>
        <v>0</v>
      </c>
    </row>
    <row r="1102">
      <c r="A1102" s="179"/>
      <c r="B1102" s="477"/>
      <c r="C1102" s="477"/>
      <c r="D1102" s="478"/>
      <c r="E1102" s="478"/>
      <c r="F1102" s="478"/>
      <c r="G1102" s="179"/>
      <c r="H1102" s="181"/>
    </row>
    <row r="1103">
      <c r="A1103" s="43" t="s">
        <v>169</v>
      </c>
      <c r="B1103" s="43" t="s">
        <v>25</v>
      </c>
      <c r="C1103" s="44">
        <f>COUNTA(A1104)</f>
        <v>1</v>
      </c>
      <c r="D1103" s="46">
        <f t="shared" ref="D1103:G1103" si="535">SUM(D1104)</f>
        <v>29.99</v>
      </c>
      <c r="E1103" s="46">
        <f t="shared" si="535"/>
        <v>0</v>
      </c>
      <c r="F1103" s="46">
        <f t="shared" si="535"/>
        <v>29.99</v>
      </c>
      <c r="G1103" s="43">
        <f t="shared" si="535"/>
        <v>10</v>
      </c>
      <c r="H1103" s="46">
        <f t="shared" ref="H1103:H1104" si="536">E1103/G1103</f>
        <v>0</v>
      </c>
    </row>
    <row r="1104">
      <c r="A1104" s="72" t="s">
        <v>975</v>
      </c>
      <c r="B1104" s="1"/>
      <c r="C1104" s="1"/>
      <c r="D1104" s="42">
        <v>29.99</v>
      </c>
      <c r="E1104" s="42">
        <v>0.0</v>
      </c>
      <c r="F1104" s="42">
        <f>D1104-E1104</f>
        <v>29.99</v>
      </c>
      <c r="G1104" s="72">
        <v>10.0</v>
      </c>
      <c r="H1104" s="71">
        <f t="shared" si="536"/>
        <v>0</v>
      </c>
    </row>
    <row r="1105">
      <c r="A1105" s="179"/>
      <c r="B1105" s="477"/>
      <c r="C1105" s="477"/>
      <c r="D1105" s="478"/>
      <c r="E1105" s="478"/>
      <c r="F1105" s="478"/>
      <c r="G1105" s="179"/>
      <c r="H1105" s="181"/>
    </row>
    <row r="1106">
      <c r="A1106" s="152" t="s">
        <v>475</v>
      </c>
      <c r="B1106" s="255" t="s">
        <v>455</v>
      </c>
      <c r="C1106" s="255">
        <f>COUNTA(A1107)</f>
        <v>1</v>
      </c>
      <c r="D1106" s="254">
        <f t="shared" ref="D1106:G1106" si="537">SUM(D1107)</f>
        <v>19.99</v>
      </c>
      <c r="E1106" s="254">
        <f t="shared" si="537"/>
        <v>0</v>
      </c>
      <c r="F1106" s="154">
        <f t="shared" si="537"/>
        <v>19.99</v>
      </c>
      <c r="G1106" s="152">
        <f t="shared" si="537"/>
        <v>10</v>
      </c>
      <c r="H1106" s="254">
        <f t="shared" ref="H1106:H1107" si="538">E1106/G1106</f>
        <v>0</v>
      </c>
    </row>
    <row r="1107">
      <c r="A1107" s="155" t="s">
        <v>1431</v>
      </c>
      <c r="B1107" s="486"/>
      <c r="C1107" s="486"/>
      <c r="D1107" s="157">
        <v>19.99</v>
      </c>
      <c r="E1107" s="157">
        <v>0.0</v>
      </c>
      <c r="F1107" s="159">
        <f>D1107-E1107</f>
        <v>19.99</v>
      </c>
      <c r="G1107" s="156">
        <v>10.0</v>
      </c>
      <c r="H1107" s="159">
        <f t="shared" si="538"/>
        <v>0</v>
      </c>
    </row>
    <row r="1108">
      <c r="A1108" s="179"/>
      <c r="B1108" s="477"/>
      <c r="C1108" s="477"/>
      <c r="D1108" s="478"/>
      <c r="E1108" s="478"/>
      <c r="F1108" s="478"/>
      <c r="G1108" s="179"/>
      <c r="H1108" s="181"/>
    </row>
    <row r="1109">
      <c r="A1109" s="104" t="s">
        <v>75</v>
      </c>
      <c r="B1109" s="106" t="s">
        <v>57</v>
      </c>
      <c r="C1109" s="243">
        <f>COUNTA(A1110)</f>
        <v>1</v>
      </c>
      <c r="D1109" s="106">
        <f t="shared" ref="D1109:G1109" si="539">SUM(D1110)</f>
        <v>14.49</v>
      </c>
      <c r="E1109" s="106">
        <f t="shared" si="539"/>
        <v>0</v>
      </c>
      <c r="F1109" s="106">
        <f t="shared" si="539"/>
        <v>14.49</v>
      </c>
      <c r="G1109" s="104">
        <f t="shared" si="539"/>
        <v>10</v>
      </c>
      <c r="H1109" s="106">
        <f t="shared" ref="H1109:H1110" si="540">E1109/G1109</f>
        <v>0</v>
      </c>
    </row>
    <row r="1110">
      <c r="A1110" s="109" t="s">
        <v>657</v>
      </c>
      <c r="B1110" s="475"/>
      <c r="C1110" s="475"/>
      <c r="D1110" s="111">
        <v>14.49</v>
      </c>
      <c r="E1110" s="111">
        <v>0.0</v>
      </c>
      <c r="F1110" s="111">
        <f>D1110-E1110</f>
        <v>14.49</v>
      </c>
      <c r="G1110" s="109">
        <v>10.0</v>
      </c>
      <c r="H1110" s="111">
        <f t="shared" si="540"/>
        <v>0</v>
      </c>
    </row>
    <row r="1111">
      <c r="A1111" s="179"/>
      <c r="B1111" s="477"/>
      <c r="C1111" s="477"/>
      <c r="D1111" s="478"/>
      <c r="E1111" s="478"/>
      <c r="F1111" s="478"/>
      <c r="G1111" s="179"/>
      <c r="H1111" s="181"/>
    </row>
    <row r="1112">
      <c r="A1112" s="43" t="s">
        <v>585</v>
      </c>
      <c r="B1112" s="43" t="s">
        <v>29</v>
      </c>
      <c r="C1112" s="44">
        <f>COUNTA(A1113)</f>
        <v>1</v>
      </c>
      <c r="D1112" s="47">
        <f t="shared" ref="D1112:G1112" si="541">SUM(D1113)</f>
        <v>7.99</v>
      </c>
      <c r="E1112" s="47">
        <f t="shared" si="541"/>
        <v>2.99</v>
      </c>
      <c r="F1112" s="47">
        <f t="shared" si="541"/>
        <v>5</v>
      </c>
      <c r="G1112" s="43">
        <f t="shared" si="541"/>
        <v>10</v>
      </c>
      <c r="H1112" s="47">
        <f t="shared" ref="H1112:H1113" si="542">E1112/G1112</f>
        <v>0.299</v>
      </c>
    </row>
    <row r="1113">
      <c r="A1113" s="39" t="s">
        <v>1489</v>
      </c>
      <c r="B1113" s="1"/>
      <c r="C1113" s="1"/>
      <c r="D1113" s="71">
        <v>7.99</v>
      </c>
      <c r="E1113" s="71">
        <v>2.99</v>
      </c>
      <c r="F1113" s="71">
        <f>D1113-E1113</f>
        <v>5</v>
      </c>
      <c r="G1113" s="39">
        <v>10.0</v>
      </c>
      <c r="H1113" s="71">
        <f t="shared" si="542"/>
        <v>0.299</v>
      </c>
    </row>
    <row r="1114">
      <c r="A1114" s="179"/>
      <c r="B1114" s="477"/>
      <c r="C1114" s="477"/>
      <c r="D1114" s="478"/>
      <c r="E1114" s="478"/>
      <c r="F1114" s="478"/>
      <c r="G1114" s="179"/>
      <c r="H1114" s="181"/>
    </row>
    <row r="1115">
      <c r="A1115" s="43" t="s">
        <v>1785</v>
      </c>
      <c r="B1115" s="43" t="s">
        <v>29</v>
      </c>
      <c r="C1115" s="44">
        <f>COUNTA(A1116:A1117)</f>
        <v>2</v>
      </c>
      <c r="D1115" s="47">
        <f t="shared" ref="D1115:G1115" si="543">SUM(D1116:D1117)</f>
        <v>54.98</v>
      </c>
      <c r="E1115" s="47">
        <f t="shared" si="543"/>
        <v>3.49</v>
      </c>
      <c r="F1115" s="47">
        <f t="shared" si="543"/>
        <v>51.49</v>
      </c>
      <c r="G1115" s="43">
        <f t="shared" si="543"/>
        <v>10</v>
      </c>
      <c r="H1115" s="47">
        <f t="shared" ref="H1115:H1117" si="544">E1115/G1115</f>
        <v>0.349</v>
      </c>
    </row>
    <row r="1116">
      <c r="A1116" s="39" t="s">
        <v>1677</v>
      </c>
      <c r="B1116" s="1"/>
      <c r="C1116" s="1"/>
      <c r="D1116" s="71">
        <v>9.99</v>
      </c>
      <c r="E1116" s="71">
        <v>3.49</v>
      </c>
      <c r="F1116" s="71">
        <f t="shared" ref="F1116:F1117" si="545">D1116-E1116</f>
        <v>6.5</v>
      </c>
      <c r="G1116" s="39">
        <v>8.0</v>
      </c>
      <c r="H1116" s="71">
        <f t="shared" si="544"/>
        <v>0.43625</v>
      </c>
    </row>
    <row r="1117">
      <c r="A1117" s="39" t="s">
        <v>1696</v>
      </c>
      <c r="B1117" s="1"/>
      <c r="C1117" s="1"/>
      <c r="D1117" s="71">
        <v>44.99</v>
      </c>
      <c r="E1117" s="71">
        <v>0.0</v>
      </c>
      <c r="F1117" s="71">
        <f t="shared" si="545"/>
        <v>44.99</v>
      </c>
      <c r="G1117" s="72">
        <v>2.0</v>
      </c>
      <c r="H1117" s="71">
        <f t="shared" si="544"/>
        <v>0</v>
      </c>
    </row>
    <row r="1118">
      <c r="A1118" s="179"/>
      <c r="B1118" s="477"/>
      <c r="C1118" s="477"/>
      <c r="D1118" s="478"/>
      <c r="E1118" s="478"/>
      <c r="F1118" s="478"/>
      <c r="G1118" s="179"/>
      <c r="H1118" s="181"/>
    </row>
    <row r="1119">
      <c r="A1119" s="43" t="s">
        <v>188</v>
      </c>
      <c r="B1119" s="43" t="s">
        <v>25</v>
      </c>
      <c r="C1119" s="44">
        <f>COUNTA(A1120)</f>
        <v>1</v>
      </c>
      <c r="D1119" s="47">
        <f t="shared" ref="D1119:G1119" si="546">SUM(D1120)</f>
        <v>14.99</v>
      </c>
      <c r="E1119" s="47">
        <f t="shared" si="546"/>
        <v>4.99</v>
      </c>
      <c r="F1119" s="47">
        <f t="shared" si="546"/>
        <v>10</v>
      </c>
      <c r="G1119" s="43">
        <f t="shared" si="546"/>
        <v>10</v>
      </c>
      <c r="H1119" s="47">
        <f t="shared" ref="H1119:H1120" si="547">E1119/G1119</f>
        <v>0.499</v>
      </c>
    </row>
    <row r="1120">
      <c r="A1120" s="39" t="s">
        <v>914</v>
      </c>
      <c r="B1120" s="1"/>
      <c r="C1120" s="1"/>
      <c r="D1120" s="71">
        <v>14.99</v>
      </c>
      <c r="E1120" s="71">
        <v>4.99</v>
      </c>
      <c r="F1120" s="71">
        <f>D1120-E1120</f>
        <v>10</v>
      </c>
      <c r="G1120" s="39">
        <v>10.0</v>
      </c>
      <c r="H1120" s="71">
        <f t="shared" si="547"/>
        <v>0.499</v>
      </c>
    </row>
    <row r="1121">
      <c r="A1121" s="179"/>
      <c r="B1121" s="477"/>
      <c r="C1121" s="477"/>
      <c r="D1121" s="478"/>
      <c r="E1121" s="478"/>
      <c r="F1121" s="478"/>
      <c r="G1121" s="179"/>
      <c r="H1121" s="181"/>
    </row>
    <row r="1122">
      <c r="A1122" s="43" t="s">
        <v>214</v>
      </c>
      <c r="B1122" s="43" t="s">
        <v>25</v>
      </c>
      <c r="C1122" s="44">
        <f>COUNTA(A1123:A1124)</f>
        <v>2</v>
      </c>
      <c r="D1122" s="47">
        <f t="shared" ref="D1122:G1122" si="548">SUM(D1123:D1124)</f>
        <v>44.47</v>
      </c>
      <c r="E1122" s="47">
        <f t="shared" si="548"/>
        <v>6.99</v>
      </c>
      <c r="F1122" s="47">
        <f t="shared" si="548"/>
        <v>37.48</v>
      </c>
      <c r="G1122" s="43">
        <f t="shared" si="548"/>
        <v>10</v>
      </c>
      <c r="H1122" s="47">
        <f t="shared" ref="H1122:H1124" si="549">E1122/G1122</f>
        <v>0.699</v>
      </c>
    </row>
    <row r="1123">
      <c r="A1123" s="39" t="s">
        <v>900</v>
      </c>
      <c r="B1123" s="1"/>
      <c r="C1123" s="1"/>
      <c r="D1123" s="71">
        <v>17.99</v>
      </c>
      <c r="E1123" s="71">
        <v>6.99</v>
      </c>
      <c r="F1123" s="71">
        <f t="shared" ref="F1123:F1124" si="550">D1123-E1123</f>
        <v>11</v>
      </c>
      <c r="G1123" s="39">
        <v>9.0</v>
      </c>
      <c r="H1123" s="71">
        <f t="shared" si="549"/>
        <v>0.7766666667</v>
      </c>
    </row>
    <row r="1124">
      <c r="A1124" s="72" t="s">
        <v>940</v>
      </c>
      <c r="B1124" s="1"/>
      <c r="C1124" s="1"/>
      <c r="D1124" s="71">
        <v>26.48</v>
      </c>
      <c r="E1124" s="71">
        <v>0.0</v>
      </c>
      <c r="F1124" s="71">
        <f t="shared" si="550"/>
        <v>26.48</v>
      </c>
      <c r="G1124" s="39">
        <v>1.0</v>
      </c>
      <c r="H1124" s="71">
        <f t="shared" si="549"/>
        <v>0</v>
      </c>
    </row>
    <row r="1125">
      <c r="A1125" s="179"/>
      <c r="B1125" s="477"/>
      <c r="C1125" s="477"/>
      <c r="D1125" s="478"/>
      <c r="E1125" s="478"/>
      <c r="F1125" s="478"/>
      <c r="G1125" s="179"/>
      <c r="H1125" s="181"/>
    </row>
    <row r="1126">
      <c r="A1126" s="43" t="s">
        <v>583</v>
      </c>
      <c r="B1126" s="43" t="s">
        <v>29</v>
      </c>
      <c r="C1126" s="44">
        <f>COUNTA(A1127)</f>
        <v>1</v>
      </c>
      <c r="D1126" s="47">
        <f t="shared" ref="D1126:G1126" si="551">SUM(D1127)</f>
        <v>7.99</v>
      </c>
      <c r="E1126" s="47">
        <f t="shared" si="551"/>
        <v>7.99</v>
      </c>
      <c r="F1126" s="47">
        <f t="shared" si="551"/>
        <v>0</v>
      </c>
      <c r="G1126" s="43">
        <f t="shared" si="551"/>
        <v>10</v>
      </c>
      <c r="H1126" s="47">
        <f t="shared" ref="H1126:H1127" si="552">E1126/G1126</f>
        <v>0.799</v>
      </c>
    </row>
    <row r="1127">
      <c r="A1127" s="39" t="s">
        <v>1523</v>
      </c>
      <c r="B1127" s="1"/>
      <c r="C1127" s="1"/>
      <c r="D1127" s="71">
        <v>7.99</v>
      </c>
      <c r="E1127" s="71">
        <v>7.99</v>
      </c>
      <c r="F1127" s="71">
        <f>D1127-E1127</f>
        <v>0</v>
      </c>
      <c r="G1127" s="39">
        <v>10.0</v>
      </c>
      <c r="H1127" s="71">
        <f t="shared" si="552"/>
        <v>0.799</v>
      </c>
    </row>
    <row r="1128">
      <c r="A1128" s="179"/>
      <c r="B1128" s="477"/>
      <c r="C1128" s="477"/>
      <c r="D1128" s="478"/>
      <c r="E1128" s="478"/>
      <c r="F1128" s="478"/>
      <c r="G1128" s="179"/>
      <c r="H1128" s="181"/>
    </row>
    <row r="1129">
      <c r="A1129" s="43" t="s">
        <v>125</v>
      </c>
      <c r="B1129" s="43" t="s">
        <v>92</v>
      </c>
      <c r="C1129" s="44">
        <f>COUNTA(A1130)</f>
        <v>1</v>
      </c>
      <c r="D1129" s="47">
        <f t="shared" ref="D1129:G1129" si="553">SUM(D1130)</f>
        <v>13.98</v>
      </c>
      <c r="E1129" s="47">
        <f t="shared" si="553"/>
        <v>7.98</v>
      </c>
      <c r="F1129" s="47">
        <f t="shared" si="553"/>
        <v>6</v>
      </c>
      <c r="G1129" s="43">
        <f t="shared" si="553"/>
        <v>10</v>
      </c>
      <c r="H1129" s="47">
        <f t="shared" ref="H1129:H1130" si="554">E1129/G1129</f>
        <v>0.798</v>
      </c>
    </row>
    <row r="1130">
      <c r="A1130" s="72" t="s">
        <v>683</v>
      </c>
      <c r="B1130" s="1"/>
      <c r="C1130" s="1"/>
      <c r="D1130" s="71">
        <v>13.98</v>
      </c>
      <c r="E1130" s="71">
        <v>7.98</v>
      </c>
      <c r="F1130" s="71">
        <f>D1130-E1130</f>
        <v>6</v>
      </c>
      <c r="G1130" s="72">
        <v>10.0</v>
      </c>
      <c r="H1130" s="71">
        <f t="shared" si="554"/>
        <v>0.798</v>
      </c>
    </row>
    <row r="1131">
      <c r="A1131" s="179"/>
      <c r="B1131" s="477"/>
      <c r="C1131" s="477"/>
      <c r="D1131" s="478"/>
      <c r="E1131" s="478"/>
      <c r="F1131" s="478"/>
      <c r="G1131" s="179"/>
      <c r="H1131" s="181"/>
    </row>
    <row r="1132">
      <c r="A1132" s="152" t="s">
        <v>489</v>
      </c>
      <c r="B1132" s="152" t="s">
        <v>487</v>
      </c>
      <c r="C1132" s="255">
        <f>COUNTA(A1133:A1134)</f>
        <v>2</v>
      </c>
      <c r="D1132" s="154">
        <f t="shared" ref="D1132:G1132" si="555">SUM(D1133:D1134)</f>
        <v>32.98</v>
      </c>
      <c r="E1132" s="154">
        <f t="shared" si="555"/>
        <v>9.98</v>
      </c>
      <c r="F1132" s="154">
        <f t="shared" si="555"/>
        <v>23</v>
      </c>
      <c r="G1132" s="152">
        <f t="shared" si="555"/>
        <v>10</v>
      </c>
      <c r="H1132" s="154">
        <f t="shared" ref="H1132:H1134" si="556">E1132/G1132</f>
        <v>0.998</v>
      </c>
    </row>
    <row r="1133">
      <c r="A1133" s="156" t="s">
        <v>1438</v>
      </c>
      <c r="B1133" s="156"/>
      <c r="C1133" s="156"/>
      <c r="D1133" s="159">
        <v>12.99</v>
      </c>
      <c r="E1133" s="159">
        <v>4.99</v>
      </c>
      <c r="F1133" s="159">
        <f t="shared" ref="F1133:F1134" si="557">D1133-E1133</f>
        <v>8</v>
      </c>
      <c r="G1133" s="156">
        <v>9.0</v>
      </c>
      <c r="H1133" s="159">
        <f t="shared" si="556"/>
        <v>0.5544444444</v>
      </c>
    </row>
    <row r="1134">
      <c r="A1134" s="156" t="s">
        <v>1441</v>
      </c>
      <c r="B1134" s="156"/>
      <c r="C1134" s="156"/>
      <c r="D1134" s="159">
        <v>19.99</v>
      </c>
      <c r="E1134" s="159">
        <v>4.99</v>
      </c>
      <c r="F1134" s="159">
        <f t="shared" si="557"/>
        <v>15</v>
      </c>
      <c r="G1134" s="156">
        <v>1.0</v>
      </c>
      <c r="H1134" s="159">
        <f t="shared" si="556"/>
        <v>4.99</v>
      </c>
    </row>
    <row r="1135">
      <c r="A1135" s="179"/>
      <c r="B1135" s="477"/>
      <c r="C1135" s="477"/>
      <c r="D1135" s="478"/>
      <c r="E1135" s="478"/>
      <c r="F1135" s="478"/>
      <c r="G1135" s="179"/>
      <c r="H1135" s="181"/>
    </row>
    <row r="1136">
      <c r="A1136" s="43" t="s">
        <v>620</v>
      </c>
      <c r="B1136" s="43" t="s">
        <v>29</v>
      </c>
      <c r="C1136" s="44">
        <f>COUNTA(A1137)</f>
        <v>1</v>
      </c>
      <c r="D1136" s="47">
        <f t="shared" ref="D1136:G1136" si="558">SUM(D1137)</f>
        <v>9.99</v>
      </c>
      <c r="E1136" s="47">
        <f t="shared" si="558"/>
        <v>9.99</v>
      </c>
      <c r="F1136" s="47">
        <f t="shared" si="558"/>
        <v>0</v>
      </c>
      <c r="G1136" s="43">
        <f t="shared" si="558"/>
        <v>10</v>
      </c>
      <c r="H1136" s="47">
        <f t="shared" ref="H1136:H1137" si="559">E1136/G1136</f>
        <v>0.999</v>
      </c>
    </row>
    <row r="1137">
      <c r="A1137" s="39" t="s">
        <v>1503</v>
      </c>
      <c r="B1137" s="1"/>
      <c r="C1137" s="1"/>
      <c r="D1137" s="71">
        <v>9.99</v>
      </c>
      <c r="E1137" s="71">
        <v>9.99</v>
      </c>
      <c r="F1137" s="71">
        <f>D1137-E1137</f>
        <v>0</v>
      </c>
      <c r="G1137" s="39">
        <v>10.0</v>
      </c>
      <c r="H1137" s="71">
        <f t="shared" si="559"/>
        <v>0.999</v>
      </c>
    </row>
    <row r="1138">
      <c r="A1138" s="179"/>
      <c r="B1138" s="477"/>
      <c r="C1138" s="477"/>
      <c r="D1138" s="478"/>
      <c r="E1138" s="478"/>
      <c r="F1138" s="478"/>
      <c r="G1138" s="179"/>
      <c r="H1138" s="181"/>
    </row>
    <row r="1139">
      <c r="A1139" s="43" t="s">
        <v>513</v>
      </c>
      <c r="B1139" s="43" t="s">
        <v>29</v>
      </c>
      <c r="C1139" s="44">
        <f>COUNTA(A1140)</f>
        <v>1</v>
      </c>
      <c r="D1139" s="47">
        <f t="shared" ref="D1139:G1139" si="560">SUM(D1140)</f>
        <v>10.99</v>
      </c>
      <c r="E1139" s="47">
        <f t="shared" si="560"/>
        <v>10.99</v>
      </c>
      <c r="F1139" s="47">
        <f t="shared" si="560"/>
        <v>0</v>
      </c>
      <c r="G1139" s="43">
        <f t="shared" si="560"/>
        <v>10</v>
      </c>
      <c r="H1139" s="47">
        <f t="shared" ref="H1139:H1140" si="561">E1139/G1139</f>
        <v>1.099</v>
      </c>
    </row>
    <row r="1140">
      <c r="A1140" s="39" t="s">
        <v>1574</v>
      </c>
      <c r="B1140" s="1"/>
      <c r="C1140" s="1"/>
      <c r="D1140" s="71">
        <v>10.99</v>
      </c>
      <c r="E1140" s="71">
        <v>10.99</v>
      </c>
      <c r="F1140" s="71">
        <f>D1140-E1140</f>
        <v>0</v>
      </c>
      <c r="G1140" s="39">
        <v>10.0</v>
      </c>
      <c r="H1140" s="71">
        <f t="shared" si="561"/>
        <v>1.099</v>
      </c>
    </row>
    <row r="1141">
      <c r="A1141" s="179"/>
      <c r="B1141" s="477"/>
      <c r="C1141" s="477"/>
      <c r="D1141" s="478"/>
      <c r="E1141" s="478"/>
      <c r="F1141" s="478"/>
      <c r="G1141" s="179"/>
      <c r="H1141" s="181"/>
    </row>
    <row r="1142">
      <c r="A1142" s="152" t="s">
        <v>458</v>
      </c>
      <c r="B1142" s="152" t="s">
        <v>455</v>
      </c>
      <c r="C1142" s="255">
        <f>COUNTA(A1143:A1144)</f>
        <v>2</v>
      </c>
      <c r="D1142" s="154">
        <f t="shared" ref="D1142:G1142" si="562">SUM(D1143:D1144)</f>
        <v>24.98</v>
      </c>
      <c r="E1142" s="154">
        <f t="shared" si="562"/>
        <v>13.58</v>
      </c>
      <c r="F1142" s="154">
        <f t="shared" si="562"/>
        <v>11.4</v>
      </c>
      <c r="G1142" s="152">
        <f t="shared" si="562"/>
        <v>10</v>
      </c>
      <c r="H1142" s="154">
        <f t="shared" ref="H1142:H1144" si="563">E1142/G1142</f>
        <v>1.358</v>
      </c>
    </row>
    <row r="1143">
      <c r="A1143" s="156" t="s">
        <v>1398</v>
      </c>
      <c r="B1143" s="486"/>
      <c r="C1143" s="486"/>
      <c r="D1143" s="159">
        <v>9.99</v>
      </c>
      <c r="E1143" s="159">
        <v>9.99</v>
      </c>
      <c r="F1143" s="159">
        <f t="shared" ref="F1143:F1144" si="564">D1143-E1143</f>
        <v>0</v>
      </c>
      <c r="G1143" s="156">
        <v>8.0</v>
      </c>
      <c r="H1143" s="159">
        <f t="shared" si="563"/>
        <v>1.24875</v>
      </c>
    </row>
    <row r="1144">
      <c r="A1144" s="156" t="s">
        <v>1402</v>
      </c>
      <c r="B1144" s="486"/>
      <c r="C1144" s="486"/>
      <c r="D1144" s="159">
        <v>14.99</v>
      </c>
      <c r="E1144" s="159">
        <v>3.59</v>
      </c>
      <c r="F1144" s="159">
        <f t="shared" si="564"/>
        <v>11.4</v>
      </c>
      <c r="G1144" s="156">
        <v>2.0</v>
      </c>
      <c r="H1144" s="159">
        <f t="shared" si="563"/>
        <v>1.795</v>
      </c>
    </row>
    <row r="1145">
      <c r="A1145" s="179"/>
      <c r="B1145" s="477"/>
      <c r="C1145" s="477"/>
      <c r="D1145" s="478"/>
      <c r="E1145" s="478"/>
      <c r="F1145" s="478"/>
      <c r="G1145" s="179"/>
      <c r="H1145" s="181"/>
    </row>
    <row r="1146">
      <c r="A1146" s="43" t="s">
        <v>364</v>
      </c>
      <c r="B1146" s="43" t="s">
        <v>325</v>
      </c>
      <c r="C1146" s="44">
        <f>COUNTA(A1147)</f>
        <v>1</v>
      </c>
      <c r="D1146" s="47">
        <f t="shared" ref="D1146:G1146" si="565">SUM(D1147)</f>
        <v>19.99</v>
      </c>
      <c r="E1146" s="47">
        <f t="shared" si="565"/>
        <v>19.99</v>
      </c>
      <c r="F1146" s="47">
        <f t="shared" si="565"/>
        <v>0</v>
      </c>
      <c r="G1146" s="43">
        <f t="shared" si="565"/>
        <v>10</v>
      </c>
      <c r="H1146" s="47">
        <f t="shared" ref="H1146:H1147" si="566">E1146/G1146</f>
        <v>1.999</v>
      </c>
    </row>
    <row r="1147">
      <c r="A1147" s="39" t="s">
        <v>1786</v>
      </c>
      <c r="B1147" s="1"/>
      <c r="C1147" s="1"/>
      <c r="D1147" s="71">
        <v>19.99</v>
      </c>
      <c r="E1147" s="71">
        <v>19.99</v>
      </c>
      <c r="F1147" s="71">
        <f>D1147-E1147</f>
        <v>0</v>
      </c>
      <c r="G1147" s="39">
        <v>10.0</v>
      </c>
      <c r="H1147" s="71">
        <f t="shared" si="566"/>
        <v>1.999</v>
      </c>
    </row>
    <row r="1148">
      <c r="A1148" s="39"/>
      <c r="B1148" s="1"/>
      <c r="C1148" s="1"/>
      <c r="D1148" s="42"/>
      <c r="E1148" s="42"/>
      <c r="F1148" s="71"/>
      <c r="G1148" s="39"/>
      <c r="H1148" s="71"/>
    </row>
    <row r="1149">
      <c r="A1149" s="43" t="s">
        <v>633</v>
      </c>
      <c r="B1149" s="43" t="s">
        <v>29</v>
      </c>
      <c r="C1149" s="44">
        <f>COUNTA(A1150:A1151)</f>
        <v>2</v>
      </c>
      <c r="D1149" s="47">
        <f t="shared" ref="D1149:G1149" si="567">SUM(D1150:D1151)</f>
        <v>47.99</v>
      </c>
      <c r="E1149" s="47">
        <f t="shared" si="567"/>
        <v>32</v>
      </c>
      <c r="F1149" s="47">
        <f t="shared" si="567"/>
        <v>15.99</v>
      </c>
      <c r="G1149" s="43">
        <f t="shared" si="567"/>
        <v>10</v>
      </c>
      <c r="H1149" s="47">
        <f t="shared" ref="H1149:H1151" si="568">E1149/G1149</f>
        <v>3.2</v>
      </c>
    </row>
    <row r="1150">
      <c r="A1150" s="39" t="s">
        <v>1499</v>
      </c>
      <c r="B1150" s="1"/>
      <c r="C1150" s="1"/>
      <c r="D1150" s="71">
        <v>19.99</v>
      </c>
      <c r="E1150" s="71">
        <v>4.0</v>
      </c>
      <c r="F1150" s="71">
        <f t="shared" ref="F1150:F1151" si="569">D1150-E1150</f>
        <v>15.99</v>
      </c>
      <c r="G1150" s="72">
        <v>5.0</v>
      </c>
      <c r="H1150" s="71">
        <f t="shared" si="568"/>
        <v>0.8</v>
      </c>
    </row>
    <row r="1151">
      <c r="A1151" s="39" t="s">
        <v>1488</v>
      </c>
      <c r="B1151" s="1"/>
      <c r="C1151" s="1"/>
      <c r="D1151" s="71">
        <v>28.0</v>
      </c>
      <c r="E1151" s="71">
        <v>28.0</v>
      </c>
      <c r="F1151" s="71">
        <f t="shared" si="569"/>
        <v>0</v>
      </c>
      <c r="G1151" s="39">
        <v>5.0</v>
      </c>
      <c r="H1151" s="71">
        <f t="shared" si="568"/>
        <v>5.6</v>
      </c>
    </row>
    <row r="1152">
      <c r="A1152" s="1"/>
      <c r="B1152" s="1"/>
      <c r="C1152" s="1"/>
      <c r="D1152" s="1"/>
      <c r="E1152" s="1"/>
      <c r="F1152" s="1"/>
      <c r="G1152" s="1"/>
      <c r="H1152" s="1"/>
    </row>
    <row r="1153">
      <c r="A1153" s="53" t="s">
        <v>260</v>
      </c>
      <c r="B1153" s="53" t="s">
        <v>255</v>
      </c>
      <c r="C1153" s="75">
        <f>COUNTA(A1154:A1156)</f>
        <v>3</v>
      </c>
      <c r="D1153" s="76">
        <f t="shared" ref="D1153:G1153" si="570">SUM(D1154:D1156)</f>
        <v>125.96</v>
      </c>
      <c r="E1153" s="76">
        <f t="shared" si="570"/>
        <v>61.96</v>
      </c>
      <c r="F1153" s="76">
        <f t="shared" si="570"/>
        <v>64</v>
      </c>
      <c r="G1153" s="53">
        <f t="shared" si="570"/>
        <v>10</v>
      </c>
      <c r="H1153" s="76">
        <f t="shared" ref="H1153:H1156" si="571">E1153/G1153</f>
        <v>6.196</v>
      </c>
    </row>
    <row r="1154">
      <c r="A1154" s="79" t="s">
        <v>987</v>
      </c>
      <c r="B1154" s="1"/>
      <c r="C1154" s="1"/>
      <c r="D1154" s="52">
        <v>12.99</v>
      </c>
      <c r="E1154" s="52">
        <v>3.99</v>
      </c>
      <c r="F1154" s="52">
        <f t="shared" ref="F1154:F1156" si="572">D1154-E1154</f>
        <v>9</v>
      </c>
      <c r="G1154" s="79">
        <v>7.0</v>
      </c>
      <c r="H1154" s="52">
        <f t="shared" si="571"/>
        <v>0.57</v>
      </c>
    </row>
    <row r="1155">
      <c r="A1155" s="79" t="s">
        <v>993</v>
      </c>
      <c r="B1155" s="1"/>
      <c r="C1155" s="1"/>
      <c r="D1155" s="166">
        <v>79.99</v>
      </c>
      <c r="E1155" s="166">
        <v>39.99</v>
      </c>
      <c r="F1155" s="166">
        <f t="shared" si="572"/>
        <v>40</v>
      </c>
      <c r="G1155" s="49">
        <v>2.0</v>
      </c>
      <c r="H1155" s="52">
        <f t="shared" si="571"/>
        <v>19.995</v>
      </c>
    </row>
    <row r="1156">
      <c r="A1156" s="49" t="s">
        <v>977</v>
      </c>
      <c r="B1156" s="1"/>
      <c r="C1156" s="1"/>
      <c r="D1156" s="52">
        <v>32.98</v>
      </c>
      <c r="E1156" s="52">
        <v>17.98</v>
      </c>
      <c r="F1156" s="52">
        <f t="shared" si="572"/>
        <v>15</v>
      </c>
      <c r="G1156" s="79">
        <v>1.0</v>
      </c>
      <c r="H1156" s="52">
        <f t="shared" si="571"/>
        <v>17.98</v>
      </c>
    </row>
    <row r="1157">
      <c r="A1157" s="461"/>
      <c r="B1157" s="462"/>
      <c r="C1157" s="461"/>
      <c r="D1157" s="461"/>
      <c r="E1157" s="461"/>
      <c r="F1157" s="461"/>
      <c r="G1157" s="461"/>
      <c r="H1157" s="461"/>
    </row>
    <row r="1158">
      <c r="A1158" s="43" t="s">
        <v>616</v>
      </c>
      <c r="B1158" s="43" t="s">
        <v>29</v>
      </c>
      <c r="C1158" s="44">
        <f>COUNTA(A1159)</f>
        <v>1</v>
      </c>
      <c r="D1158" s="47">
        <f t="shared" ref="D1158:G1158" si="573">SUM(D1159)</f>
        <v>14.99</v>
      </c>
      <c r="E1158" s="47">
        <f t="shared" si="573"/>
        <v>4.49</v>
      </c>
      <c r="F1158" s="47">
        <f t="shared" si="573"/>
        <v>10.5</v>
      </c>
      <c r="G1158" s="43">
        <f t="shared" si="573"/>
        <v>9</v>
      </c>
      <c r="H1158" s="47">
        <f t="shared" ref="H1158:H1159" si="574">E1158/G1158</f>
        <v>0.4988888889</v>
      </c>
    </row>
    <row r="1159">
      <c r="A1159" s="72" t="s">
        <v>1613</v>
      </c>
      <c r="B1159" s="1"/>
      <c r="C1159" s="1"/>
      <c r="D1159" s="71">
        <v>14.99</v>
      </c>
      <c r="E1159" s="71">
        <v>4.49</v>
      </c>
      <c r="F1159" s="71">
        <f>D1159-E1159</f>
        <v>10.5</v>
      </c>
      <c r="G1159" s="39">
        <v>9.0</v>
      </c>
      <c r="H1159" s="71">
        <f t="shared" si="574"/>
        <v>0.4988888889</v>
      </c>
    </row>
    <row r="1160">
      <c r="A1160" s="179"/>
      <c r="B1160" s="477"/>
      <c r="C1160" s="477"/>
      <c r="D1160" s="478"/>
      <c r="E1160" s="478"/>
      <c r="F1160" s="478"/>
      <c r="G1160" s="179"/>
      <c r="H1160" s="181"/>
    </row>
    <row r="1161">
      <c r="A1161" s="43" t="s">
        <v>239</v>
      </c>
      <c r="B1161" s="43" t="s">
        <v>25</v>
      </c>
      <c r="C1161" s="44">
        <f>COUNTA(A1162)</f>
        <v>1</v>
      </c>
      <c r="D1161" s="47">
        <f t="shared" ref="D1161:G1161" si="575">SUM(D1162)</f>
        <v>24.99</v>
      </c>
      <c r="E1161" s="47">
        <f t="shared" si="575"/>
        <v>6.99</v>
      </c>
      <c r="F1161" s="47">
        <f t="shared" si="575"/>
        <v>18</v>
      </c>
      <c r="G1161" s="43">
        <f t="shared" si="575"/>
        <v>9</v>
      </c>
      <c r="H1161" s="47">
        <f t="shared" ref="H1161:H1162" si="576">E1161/G1161</f>
        <v>0.7766666667</v>
      </c>
    </row>
    <row r="1162">
      <c r="A1162" s="39" t="s">
        <v>870</v>
      </c>
      <c r="B1162" s="1"/>
      <c r="C1162" s="1"/>
      <c r="D1162" s="71">
        <v>24.99</v>
      </c>
      <c r="E1162" s="71">
        <v>6.99</v>
      </c>
      <c r="F1162" s="71">
        <f>D1162-E1162</f>
        <v>18</v>
      </c>
      <c r="G1162" s="39">
        <v>9.0</v>
      </c>
      <c r="H1162" s="71">
        <f t="shared" si="576"/>
        <v>0.7766666667</v>
      </c>
    </row>
    <row r="1163">
      <c r="A1163" s="179"/>
      <c r="B1163" s="477"/>
      <c r="C1163" s="477"/>
      <c r="D1163" s="478"/>
      <c r="E1163" s="478"/>
      <c r="F1163" s="478"/>
      <c r="G1163" s="179"/>
      <c r="H1163" s="181"/>
    </row>
    <row r="1164">
      <c r="A1164" s="174" t="s">
        <v>317</v>
      </c>
      <c r="B1164" s="174" t="s">
        <v>318</v>
      </c>
      <c r="C1164" s="476">
        <f>COUNTA(A1165)</f>
        <v>1</v>
      </c>
      <c r="D1164" s="176">
        <f t="shared" ref="D1164:G1164" si="577">SUM(D1165)</f>
        <v>9.99</v>
      </c>
      <c r="E1164" s="176">
        <f t="shared" si="577"/>
        <v>6.99</v>
      </c>
      <c r="F1164" s="176">
        <f t="shared" si="577"/>
        <v>3</v>
      </c>
      <c r="G1164" s="174">
        <f t="shared" si="577"/>
        <v>9</v>
      </c>
      <c r="H1164" s="176">
        <f t="shared" ref="H1164:H1165" si="578">E1164/G1164</f>
        <v>0.7766666667</v>
      </c>
    </row>
    <row r="1165">
      <c r="A1165" s="178" t="s">
        <v>1064</v>
      </c>
      <c r="B1165" s="1"/>
      <c r="C1165" s="1"/>
      <c r="D1165" s="181">
        <v>9.99</v>
      </c>
      <c r="E1165" s="181">
        <v>6.99</v>
      </c>
      <c r="F1165" s="181">
        <f>D1165-E1165</f>
        <v>3</v>
      </c>
      <c r="G1165" s="179">
        <v>9.0</v>
      </c>
      <c r="H1165" s="181">
        <f t="shared" si="578"/>
        <v>0.7766666667</v>
      </c>
    </row>
    <row r="1166">
      <c r="A1166" s="179"/>
      <c r="B1166" s="477"/>
      <c r="C1166" s="477"/>
      <c r="D1166" s="478"/>
      <c r="E1166" s="478"/>
      <c r="F1166" s="478"/>
      <c r="G1166" s="179"/>
      <c r="H1166" s="181"/>
    </row>
    <row r="1167">
      <c r="A1167" s="43" t="s">
        <v>527</v>
      </c>
      <c r="B1167" s="69" t="s">
        <v>29</v>
      </c>
      <c r="C1167" s="44">
        <f>COUNTA(A1168)</f>
        <v>1</v>
      </c>
      <c r="D1167" s="47">
        <f t="shared" ref="D1167:G1167" si="579">SUM(D1168)</f>
        <v>29.99</v>
      </c>
      <c r="E1167" s="47">
        <f t="shared" si="579"/>
        <v>7.99</v>
      </c>
      <c r="F1167" s="47">
        <f t="shared" si="579"/>
        <v>22</v>
      </c>
      <c r="G1167" s="43">
        <f t="shared" si="579"/>
        <v>9</v>
      </c>
      <c r="H1167" s="47">
        <f t="shared" ref="H1167:H1168" si="580">E1167/G1167</f>
        <v>0.8877777778</v>
      </c>
    </row>
    <row r="1168">
      <c r="A1168" s="39" t="s">
        <v>1602</v>
      </c>
      <c r="B1168" s="1"/>
      <c r="C1168" s="1"/>
      <c r="D1168" s="71">
        <v>29.99</v>
      </c>
      <c r="E1168" s="71">
        <v>7.99</v>
      </c>
      <c r="F1168" s="71">
        <f>D1168-E1168</f>
        <v>22</v>
      </c>
      <c r="G1168" s="39">
        <v>9.0</v>
      </c>
      <c r="H1168" s="71">
        <f t="shared" si="580"/>
        <v>0.8877777778</v>
      </c>
    </row>
    <row r="1169">
      <c r="A1169" s="179"/>
      <c r="B1169" s="477"/>
      <c r="C1169" s="477"/>
      <c r="D1169" s="478"/>
      <c r="E1169" s="478"/>
      <c r="F1169" s="478"/>
      <c r="G1169" s="179"/>
      <c r="H1169" s="181"/>
    </row>
    <row r="1170">
      <c r="A1170" s="43" t="s">
        <v>164</v>
      </c>
      <c r="B1170" s="43" t="s">
        <v>159</v>
      </c>
      <c r="C1170" s="44">
        <f>COUNTA(A1171:A1174)</f>
        <v>4</v>
      </c>
      <c r="D1170" s="145">
        <f t="shared" ref="D1170:G1170" si="581">SUM(D1171:D1174)</f>
        <v>131.96</v>
      </c>
      <c r="E1170" s="145">
        <f t="shared" si="581"/>
        <v>9</v>
      </c>
      <c r="F1170" s="145">
        <f t="shared" si="581"/>
        <v>122.96</v>
      </c>
      <c r="G1170" s="44">
        <f t="shared" si="581"/>
        <v>9</v>
      </c>
      <c r="H1170" s="145">
        <f t="shared" ref="H1170:H1171" si="582">E1170/G1170</f>
        <v>1</v>
      </c>
    </row>
    <row r="1171">
      <c r="A1171" s="39" t="s">
        <v>790</v>
      </c>
      <c r="B1171" s="1"/>
      <c r="C1171" s="1"/>
      <c r="D1171" s="71">
        <v>19.99</v>
      </c>
      <c r="E1171" s="71">
        <v>5.0</v>
      </c>
      <c r="F1171" s="71">
        <f>D1171-E1171</f>
        <v>14.99</v>
      </c>
      <c r="G1171" s="39">
        <v>5.0</v>
      </c>
      <c r="H1171" s="71">
        <f t="shared" si="582"/>
        <v>1</v>
      </c>
    </row>
    <row r="1172">
      <c r="A1172" s="39" t="s">
        <v>792</v>
      </c>
      <c r="B1172" s="1"/>
      <c r="C1172" s="1"/>
      <c r="D1172" s="71">
        <v>69.99</v>
      </c>
      <c r="E1172" s="71">
        <v>0.0</v>
      </c>
      <c r="F1172" s="71">
        <v>69.99</v>
      </c>
      <c r="G1172" s="39">
        <v>2.0</v>
      </c>
      <c r="H1172" s="71">
        <v>0.0</v>
      </c>
    </row>
    <row r="1173">
      <c r="A1173" s="39" t="s">
        <v>789</v>
      </c>
      <c r="B1173" s="1"/>
      <c r="C1173" s="1"/>
      <c r="D1173" s="71">
        <v>21.99</v>
      </c>
      <c r="E1173" s="71">
        <v>2.0</v>
      </c>
      <c r="F1173" s="71">
        <f t="shared" ref="F1173:F1174" si="583">D1173-E1173</f>
        <v>19.99</v>
      </c>
      <c r="G1173" s="39">
        <v>1.0</v>
      </c>
      <c r="H1173" s="71">
        <f t="shared" ref="H1173:H1174" si="584">E1173/G1173</f>
        <v>2</v>
      </c>
    </row>
    <row r="1174">
      <c r="A1174" s="39" t="s">
        <v>788</v>
      </c>
      <c r="B1174" s="1"/>
      <c r="C1174" s="1"/>
      <c r="D1174" s="71">
        <v>19.99</v>
      </c>
      <c r="E1174" s="71">
        <v>2.0</v>
      </c>
      <c r="F1174" s="71">
        <f t="shared" si="583"/>
        <v>17.99</v>
      </c>
      <c r="G1174" s="39">
        <v>1.0</v>
      </c>
      <c r="H1174" s="71">
        <f t="shared" si="584"/>
        <v>2</v>
      </c>
    </row>
    <row r="1175">
      <c r="A1175" s="179"/>
      <c r="B1175" s="477"/>
      <c r="C1175" s="477"/>
      <c r="D1175" s="478"/>
      <c r="E1175" s="478"/>
      <c r="F1175" s="478"/>
      <c r="G1175" s="179"/>
      <c r="H1175" s="181"/>
    </row>
    <row r="1176">
      <c r="A1176" s="53" t="s">
        <v>276</v>
      </c>
      <c r="B1176" s="53" t="s">
        <v>265</v>
      </c>
      <c r="C1176" s="75">
        <f>COUNTA(A1177)</f>
        <v>1</v>
      </c>
      <c r="D1176" s="76">
        <f t="shared" ref="D1176:G1176" si="585">SUM(D1177)</f>
        <v>19.99</v>
      </c>
      <c r="E1176" s="76">
        <f t="shared" si="585"/>
        <v>12.99</v>
      </c>
      <c r="F1176" s="76">
        <f t="shared" si="585"/>
        <v>7</v>
      </c>
      <c r="G1176" s="53">
        <f t="shared" si="585"/>
        <v>9</v>
      </c>
      <c r="H1176" s="76">
        <f t="shared" ref="H1176:H1177" si="586">E1176/G1176</f>
        <v>1.443333333</v>
      </c>
    </row>
    <row r="1177">
      <c r="A1177" s="79" t="s">
        <v>1018</v>
      </c>
      <c r="B1177" s="1"/>
      <c r="C1177" s="1"/>
      <c r="D1177" s="52">
        <v>19.99</v>
      </c>
      <c r="E1177" s="52">
        <v>12.99</v>
      </c>
      <c r="F1177" s="52">
        <f>D1177-E1177</f>
        <v>7</v>
      </c>
      <c r="G1177" s="49">
        <v>9.0</v>
      </c>
      <c r="H1177" s="52">
        <f t="shared" si="586"/>
        <v>1.443333333</v>
      </c>
    </row>
    <row r="1178">
      <c r="A1178" s="179"/>
      <c r="B1178" s="477"/>
      <c r="C1178" s="477"/>
      <c r="D1178" s="478"/>
      <c r="E1178" s="478"/>
      <c r="F1178" s="478"/>
      <c r="G1178" s="179"/>
      <c r="H1178" s="181"/>
    </row>
    <row r="1179">
      <c r="A1179" s="43" t="s">
        <v>582</v>
      </c>
      <c r="B1179" s="43" t="s">
        <v>29</v>
      </c>
      <c r="C1179" s="44">
        <f>COUNTA(A1180)</f>
        <v>1</v>
      </c>
      <c r="D1179" s="46">
        <f t="shared" ref="D1179:G1179" si="587">SUM(D1180)</f>
        <v>29.99</v>
      </c>
      <c r="E1179" s="46">
        <f t="shared" si="587"/>
        <v>19.49</v>
      </c>
      <c r="F1179" s="46">
        <f t="shared" si="587"/>
        <v>10.5</v>
      </c>
      <c r="G1179" s="43">
        <f t="shared" si="587"/>
        <v>9</v>
      </c>
      <c r="H1179" s="46">
        <f t="shared" ref="H1179:H1180" si="588">E1179/G1179</f>
        <v>2.165555556</v>
      </c>
    </row>
    <row r="1180">
      <c r="A1180" s="39" t="s">
        <v>1740</v>
      </c>
      <c r="B1180" s="1"/>
      <c r="C1180" s="1"/>
      <c r="D1180" s="42">
        <v>29.99</v>
      </c>
      <c r="E1180" s="42">
        <v>19.49</v>
      </c>
      <c r="F1180" s="42">
        <f>D1180-E1180</f>
        <v>10.5</v>
      </c>
      <c r="G1180" s="72">
        <v>9.0</v>
      </c>
      <c r="H1180" s="71">
        <f t="shared" si="588"/>
        <v>2.165555556</v>
      </c>
    </row>
    <row r="1181">
      <c r="A1181" s="461"/>
      <c r="B1181" s="462"/>
      <c r="C1181" s="461"/>
      <c r="D1181" s="461"/>
      <c r="E1181" s="461"/>
      <c r="F1181" s="461"/>
      <c r="G1181" s="461"/>
      <c r="H1181" s="461"/>
    </row>
    <row r="1182">
      <c r="A1182" s="43" t="s">
        <v>561</v>
      </c>
      <c r="B1182" s="69" t="s">
        <v>29</v>
      </c>
      <c r="C1182" s="44">
        <f>COUNTA(A1183)</f>
        <v>1</v>
      </c>
      <c r="D1182" s="47">
        <f t="shared" ref="D1182:G1182" si="589">SUM(D1183)</f>
        <v>14.99</v>
      </c>
      <c r="E1182" s="47">
        <f t="shared" si="589"/>
        <v>0</v>
      </c>
      <c r="F1182" s="47">
        <f t="shared" si="589"/>
        <v>14.99</v>
      </c>
      <c r="G1182" s="43">
        <f t="shared" si="589"/>
        <v>8</v>
      </c>
      <c r="H1182" s="47">
        <f t="shared" ref="H1182:H1183" si="590">E1182/G1182</f>
        <v>0</v>
      </c>
    </row>
    <row r="1183">
      <c r="A1183" s="39" t="s">
        <v>1554</v>
      </c>
      <c r="B1183" s="1"/>
      <c r="C1183" s="1"/>
      <c r="D1183" s="71">
        <v>14.99</v>
      </c>
      <c r="E1183" s="71">
        <v>0.0</v>
      </c>
      <c r="F1183" s="71">
        <f>D1183-E1183</f>
        <v>14.99</v>
      </c>
      <c r="G1183" s="39">
        <v>8.0</v>
      </c>
      <c r="H1183" s="71">
        <f t="shared" si="590"/>
        <v>0</v>
      </c>
    </row>
    <row r="1184">
      <c r="A1184" s="179"/>
      <c r="B1184" s="477"/>
      <c r="C1184" s="477"/>
      <c r="D1184" s="478"/>
      <c r="E1184" s="478"/>
      <c r="F1184" s="478"/>
      <c r="G1184" s="179"/>
      <c r="H1184" s="181"/>
    </row>
    <row r="1185">
      <c r="A1185" s="174" t="s">
        <v>323</v>
      </c>
      <c r="B1185" s="174" t="s">
        <v>318</v>
      </c>
      <c r="C1185" s="476">
        <f>COUNTA(A1186)</f>
        <v>1</v>
      </c>
      <c r="D1185" s="176">
        <f t="shared" ref="D1185:G1185" si="591">SUM(D1186)</f>
        <v>19.99</v>
      </c>
      <c r="E1185" s="176">
        <f t="shared" si="591"/>
        <v>3.99</v>
      </c>
      <c r="F1185" s="176">
        <f t="shared" si="591"/>
        <v>16</v>
      </c>
      <c r="G1185" s="174">
        <f t="shared" si="591"/>
        <v>8</v>
      </c>
      <c r="H1185" s="176">
        <f t="shared" ref="H1185:H1186" si="592">E1185/G1185</f>
        <v>0.49875</v>
      </c>
    </row>
    <row r="1186">
      <c r="A1186" s="179" t="s">
        <v>1060</v>
      </c>
      <c r="B1186" s="1"/>
      <c r="C1186" s="1"/>
      <c r="D1186" s="181">
        <v>19.99</v>
      </c>
      <c r="E1186" s="181">
        <v>3.99</v>
      </c>
      <c r="F1186" s="181">
        <f>D1186-E1186</f>
        <v>16</v>
      </c>
      <c r="G1186" s="179">
        <v>8.0</v>
      </c>
      <c r="H1186" s="181">
        <f t="shared" si="592"/>
        <v>0.49875</v>
      </c>
    </row>
    <row r="1187">
      <c r="A1187" s="179"/>
      <c r="B1187" s="477"/>
      <c r="C1187" s="477"/>
      <c r="D1187" s="478"/>
      <c r="E1187" s="478"/>
      <c r="F1187" s="478"/>
      <c r="G1187" s="179"/>
      <c r="H1187" s="181"/>
    </row>
    <row r="1188">
      <c r="A1188" s="53" t="s">
        <v>277</v>
      </c>
      <c r="B1188" s="53" t="s">
        <v>265</v>
      </c>
      <c r="C1188" s="75">
        <f>COUNTA(A1189)</f>
        <v>1</v>
      </c>
      <c r="D1188" s="76">
        <f t="shared" ref="D1188:G1188" si="593">SUM(D1189)</f>
        <v>12.99</v>
      </c>
      <c r="E1188" s="76">
        <f t="shared" si="593"/>
        <v>4.49</v>
      </c>
      <c r="F1188" s="76">
        <f t="shared" si="593"/>
        <v>8.5</v>
      </c>
      <c r="G1188" s="53">
        <f t="shared" si="593"/>
        <v>8</v>
      </c>
      <c r="H1188" s="76">
        <f t="shared" ref="H1188:H1189" si="594">E1188/G1188</f>
        <v>0.56125</v>
      </c>
    </row>
    <row r="1189">
      <c r="A1189" s="79" t="s">
        <v>1019</v>
      </c>
      <c r="B1189" s="1"/>
      <c r="C1189" s="1"/>
      <c r="D1189" s="52">
        <v>12.99</v>
      </c>
      <c r="E1189" s="52">
        <v>4.49</v>
      </c>
      <c r="F1189" s="52">
        <f>D1189-E1189</f>
        <v>8.5</v>
      </c>
      <c r="G1189" s="79">
        <v>8.0</v>
      </c>
      <c r="H1189" s="52">
        <f t="shared" si="594"/>
        <v>0.56125</v>
      </c>
    </row>
    <row r="1190">
      <c r="A1190" s="179"/>
      <c r="B1190" s="477"/>
      <c r="C1190" s="477"/>
      <c r="D1190" s="478"/>
      <c r="E1190" s="478"/>
      <c r="F1190" s="478"/>
      <c r="G1190" s="179"/>
      <c r="H1190" s="181"/>
    </row>
    <row r="1191">
      <c r="A1191" s="134" t="s">
        <v>377</v>
      </c>
      <c r="B1191" s="134" t="s">
        <v>378</v>
      </c>
      <c r="C1191" s="499">
        <f>COUNTA(A1192)</f>
        <v>1</v>
      </c>
      <c r="D1191" s="136">
        <f t="shared" ref="D1191:G1191" si="595">SUM(D1192)</f>
        <v>14.99</v>
      </c>
      <c r="E1191" s="136">
        <f t="shared" si="595"/>
        <v>9.99</v>
      </c>
      <c r="F1191" s="136">
        <f t="shared" si="595"/>
        <v>5</v>
      </c>
      <c r="G1191" s="134">
        <f t="shared" si="595"/>
        <v>8</v>
      </c>
      <c r="H1191" s="136">
        <f t="shared" ref="H1191:H1192" si="596">E1191/G1191</f>
        <v>1.24875</v>
      </c>
    </row>
    <row r="1192">
      <c r="A1192" s="137" t="s">
        <v>1314</v>
      </c>
      <c r="B1192" s="474"/>
      <c r="C1192" s="474"/>
      <c r="D1192" s="140">
        <v>14.99</v>
      </c>
      <c r="E1192" s="140">
        <v>9.99</v>
      </c>
      <c r="F1192" s="140">
        <f>D1192-E1192</f>
        <v>5</v>
      </c>
      <c r="G1192" s="141">
        <v>8.0</v>
      </c>
      <c r="H1192" s="140">
        <f t="shared" si="596"/>
        <v>1.24875</v>
      </c>
    </row>
    <row r="1193">
      <c r="A1193" s="179"/>
      <c r="B1193" s="477"/>
      <c r="C1193" s="477"/>
      <c r="D1193" s="478"/>
      <c r="E1193" s="478"/>
      <c r="F1193" s="478"/>
      <c r="G1193" s="179"/>
      <c r="H1193" s="181"/>
    </row>
    <row r="1194">
      <c r="A1194" s="43" t="s">
        <v>511</v>
      </c>
      <c r="B1194" s="43" t="s">
        <v>29</v>
      </c>
      <c r="C1194" s="44">
        <f>COUNTA(A1195)</f>
        <v>1</v>
      </c>
      <c r="D1194" s="46">
        <f t="shared" ref="D1194:G1194" si="597">SUM(D1195)</f>
        <v>19.99</v>
      </c>
      <c r="E1194" s="46">
        <f t="shared" si="597"/>
        <v>13.99</v>
      </c>
      <c r="F1194" s="46">
        <f t="shared" si="597"/>
        <v>6</v>
      </c>
      <c r="G1194" s="43">
        <f t="shared" si="597"/>
        <v>8</v>
      </c>
      <c r="H1194" s="46">
        <f t="shared" ref="H1194:H1195" si="598">E1194/G1194</f>
        <v>1.74875</v>
      </c>
    </row>
    <row r="1195">
      <c r="A1195" s="39" t="s">
        <v>1742</v>
      </c>
      <c r="B1195" s="1"/>
      <c r="C1195" s="1"/>
      <c r="D1195" s="42">
        <v>19.99</v>
      </c>
      <c r="E1195" s="42">
        <v>13.99</v>
      </c>
      <c r="F1195" s="42">
        <f>D1195-E1195</f>
        <v>6</v>
      </c>
      <c r="G1195" s="72">
        <v>8.0</v>
      </c>
      <c r="H1195" s="71">
        <f t="shared" si="598"/>
        <v>1.74875</v>
      </c>
    </row>
    <row r="1196">
      <c r="A1196" s="179"/>
      <c r="B1196" s="477"/>
      <c r="C1196" s="477"/>
      <c r="D1196" s="478"/>
      <c r="E1196" s="478"/>
      <c r="F1196" s="478"/>
      <c r="G1196" s="179"/>
      <c r="H1196" s="181"/>
    </row>
    <row r="1197">
      <c r="A1197" s="43" t="s">
        <v>530</v>
      </c>
      <c r="B1197" s="69" t="s">
        <v>29</v>
      </c>
      <c r="C1197" s="44">
        <f>COUNTA(A1198)</f>
        <v>1</v>
      </c>
      <c r="D1197" s="47">
        <f t="shared" ref="D1197:G1197" si="599">SUM(D1198)</f>
        <v>28.98</v>
      </c>
      <c r="E1197" s="47">
        <f t="shared" si="599"/>
        <v>14.98</v>
      </c>
      <c r="F1197" s="47">
        <f t="shared" si="599"/>
        <v>14</v>
      </c>
      <c r="G1197" s="43">
        <f t="shared" si="599"/>
        <v>8</v>
      </c>
      <c r="H1197" s="47">
        <f t="shared" ref="H1197:H1198" si="600">E1197/G1197</f>
        <v>1.8725</v>
      </c>
    </row>
    <row r="1198">
      <c r="A1198" s="39" t="s">
        <v>1711</v>
      </c>
      <c r="B1198" s="1"/>
      <c r="C1198" s="1"/>
      <c r="D1198" s="71">
        <v>28.98</v>
      </c>
      <c r="E1198" s="71">
        <v>14.98</v>
      </c>
      <c r="F1198" s="71">
        <f>D1198-E1198</f>
        <v>14</v>
      </c>
      <c r="G1198" s="39">
        <v>8.0</v>
      </c>
      <c r="H1198" s="71">
        <f t="shared" si="600"/>
        <v>1.8725</v>
      </c>
    </row>
    <row r="1199">
      <c r="A1199" s="179"/>
      <c r="B1199" s="477"/>
      <c r="C1199" s="477"/>
      <c r="D1199" s="478"/>
      <c r="E1199" s="478"/>
      <c r="F1199" s="478"/>
      <c r="G1199" s="179"/>
      <c r="H1199" s="181"/>
    </row>
    <row r="1200">
      <c r="A1200" s="43" t="s">
        <v>220</v>
      </c>
      <c r="B1200" s="43" t="s">
        <v>25</v>
      </c>
      <c r="C1200" s="44">
        <f>COUNTA(A1201:A1202)</f>
        <v>2</v>
      </c>
      <c r="D1200" s="47">
        <f t="shared" ref="D1200:G1200" si="601">SUM(D1201:D1202)</f>
        <v>19.98</v>
      </c>
      <c r="E1200" s="47">
        <f t="shared" si="601"/>
        <v>19.98</v>
      </c>
      <c r="F1200" s="47">
        <f t="shared" si="601"/>
        <v>0</v>
      </c>
      <c r="G1200" s="43">
        <f t="shared" si="601"/>
        <v>8</v>
      </c>
      <c r="H1200" s="47">
        <f t="shared" ref="H1200:H1202" si="602">E1200/G1200</f>
        <v>2.4975</v>
      </c>
    </row>
    <row r="1201">
      <c r="A1201" s="39" t="s">
        <v>864</v>
      </c>
      <c r="B1201" s="1"/>
      <c r="C1201" s="1"/>
      <c r="D1201" s="71">
        <v>9.99</v>
      </c>
      <c r="E1201" s="71">
        <v>9.99</v>
      </c>
      <c r="F1201" s="71">
        <f t="shared" ref="F1201:F1202" si="603">D1201-E1201</f>
        <v>0</v>
      </c>
      <c r="G1201" s="39">
        <v>5.0</v>
      </c>
      <c r="H1201" s="71">
        <f t="shared" si="602"/>
        <v>1.998</v>
      </c>
    </row>
    <row r="1202">
      <c r="A1202" s="39" t="s">
        <v>835</v>
      </c>
      <c r="B1202" s="1"/>
      <c r="C1202" s="1"/>
      <c r="D1202" s="71">
        <v>9.99</v>
      </c>
      <c r="E1202" s="71">
        <v>9.99</v>
      </c>
      <c r="F1202" s="71">
        <f t="shared" si="603"/>
        <v>0</v>
      </c>
      <c r="G1202" s="39">
        <v>3.0</v>
      </c>
      <c r="H1202" s="71">
        <f t="shared" si="602"/>
        <v>3.33</v>
      </c>
    </row>
    <row r="1203">
      <c r="A1203" s="461"/>
      <c r="B1203" s="462"/>
      <c r="C1203" s="461"/>
      <c r="D1203" s="461"/>
      <c r="E1203" s="461"/>
      <c r="F1203" s="461"/>
      <c r="G1203" s="461"/>
      <c r="H1203" s="461"/>
    </row>
    <row r="1204">
      <c r="A1204" s="53" t="s">
        <v>263</v>
      </c>
      <c r="B1204" s="53" t="s">
        <v>255</v>
      </c>
      <c r="C1204" s="75">
        <f>COUNTA(A1205:A1207)</f>
        <v>3</v>
      </c>
      <c r="D1204" s="163">
        <f t="shared" ref="D1204:G1204" si="604">SUM(D1205:D1207)</f>
        <v>29.99</v>
      </c>
      <c r="E1204" s="163">
        <f t="shared" si="604"/>
        <v>29.99</v>
      </c>
      <c r="F1204" s="163">
        <f t="shared" si="604"/>
        <v>0</v>
      </c>
      <c r="G1204" s="75">
        <f t="shared" si="604"/>
        <v>8</v>
      </c>
      <c r="H1204" s="163">
        <f t="shared" ref="H1204:H1207" si="605">E1204/G1204</f>
        <v>3.74875</v>
      </c>
    </row>
    <row r="1205">
      <c r="A1205" s="49" t="s">
        <v>980</v>
      </c>
      <c r="B1205" s="1"/>
      <c r="C1205" s="1"/>
      <c r="D1205" s="52">
        <v>10.0</v>
      </c>
      <c r="E1205" s="52">
        <v>10.0</v>
      </c>
      <c r="F1205" s="52">
        <f t="shared" ref="F1205:F1207" si="606">D1205-E1205</f>
        <v>0</v>
      </c>
      <c r="G1205" s="79">
        <v>5.0</v>
      </c>
      <c r="H1205" s="52">
        <f t="shared" si="605"/>
        <v>2</v>
      </c>
    </row>
    <row r="1206">
      <c r="A1206" s="49" t="s">
        <v>981</v>
      </c>
      <c r="B1206" s="1"/>
      <c r="C1206" s="1"/>
      <c r="D1206" s="52">
        <v>10.0</v>
      </c>
      <c r="E1206" s="52">
        <v>10.0</v>
      </c>
      <c r="F1206" s="52">
        <f t="shared" si="606"/>
        <v>0</v>
      </c>
      <c r="G1206" s="79">
        <v>2.0</v>
      </c>
      <c r="H1206" s="52">
        <f t="shared" si="605"/>
        <v>5</v>
      </c>
    </row>
    <row r="1207">
      <c r="A1207" s="49" t="s">
        <v>982</v>
      </c>
      <c r="B1207" s="1"/>
      <c r="C1207" s="1"/>
      <c r="D1207" s="52">
        <v>9.99</v>
      </c>
      <c r="E1207" s="52">
        <v>9.99</v>
      </c>
      <c r="F1207" s="52">
        <f t="shared" si="606"/>
        <v>0</v>
      </c>
      <c r="G1207" s="79">
        <v>1.0</v>
      </c>
      <c r="H1207" s="52">
        <f t="shared" si="605"/>
        <v>9.99</v>
      </c>
    </row>
    <row r="1208">
      <c r="A1208" s="179"/>
      <c r="B1208" s="477"/>
      <c r="C1208" s="477"/>
      <c r="D1208" s="478"/>
      <c r="E1208" s="478"/>
      <c r="F1208" s="478"/>
      <c r="G1208" s="179"/>
      <c r="H1208" s="181"/>
    </row>
    <row r="1209">
      <c r="A1209" s="43" t="s">
        <v>232</v>
      </c>
      <c r="B1209" s="43" t="s">
        <v>25</v>
      </c>
      <c r="C1209" s="44">
        <f>COUNTA(A1210)</f>
        <v>1</v>
      </c>
      <c r="D1209" s="47">
        <f t="shared" ref="D1209:G1209" si="607">SUM(D1210)</f>
        <v>19.99</v>
      </c>
      <c r="E1209" s="47">
        <f t="shared" si="607"/>
        <v>0.5</v>
      </c>
      <c r="F1209" s="47">
        <f t="shared" si="607"/>
        <v>19.49</v>
      </c>
      <c r="G1209" s="43">
        <f t="shared" si="607"/>
        <v>7</v>
      </c>
      <c r="H1209" s="47">
        <f t="shared" ref="H1209:H1210" si="608">E1209/G1209</f>
        <v>0.07142857143</v>
      </c>
    </row>
    <row r="1210">
      <c r="A1210" s="39" t="s">
        <v>851</v>
      </c>
      <c r="B1210" s="1"/>
      <c r="C1210" s="1"/>
      <c r="D1210" s="71">
        <v>19.99</v>
      </c>
      <c r="E1210" s="71">
        <v>0.5</v>
      </c>
      <c r="F1210" s="71">
        <f>D1210-E1210</f>
        <v>19.49</v>
      </c>
      <c r="G1210" s="39">
        <v>7.0</v>
      </c>
      <c r="H1210" s="71">
        <f t="shared" si="608"/>
        <v>0.07142857143</v>
      </c>
    </row>
    <row r="1211">
      <c r="A1211" s="179"/>
      <c r="B1211" s="477"/>
      <c r="C1211" s="477"/>
      <c r="D1211" s="478"/>
      <c r="E1211" s="478"/>
      <c r="F1211" s="478"/>
      <c r="G1211" s="179"/>
      <c r="H1211" s="181"/>
    </row>
    <row r="1212">
      <c r="A1212" s="43" t="s">
        <v>350</v>
      </c>
      <c r="B1212" s="43" t="s">
        <v>325</v>
      </c>
      <c r="C1212" s="44">
        <f>COUNTA(A1213)</f>
        <v>1</v>
      </c>
      <c r="D1212" s="47">
        <f t="shared" ref="D1212:G1212" si="609">SUM(D1213)</f>
        <v>4.99</v>
      </c>
      <c r="E1212" s="47">
        <f t="shared" si="609"/>
        <v>1.99</v>
      </c>
      <c r="F1212" s="47">
        <f t="shared" si="609"/>
        <v>3</v>
      </c>
      <c r="G1212" s="43">
        <f t="shared" si="609"/>
        <v>7</v>
      </c>
      <c r="H1212" s="47">
        <f t="shared" ref="H1212:H1213" si="610">E1212/G1212</f>
        <v>0.2842857143</v>
      </c>
    </row>
    <row r="1213">
      <c r="A1213" s="39" t="s">
        <v>1188</v>
      </c>
      <c r="B1213" s="1"/>
      <c r="C1213" s="1"/>
      <c r="D1213" s="71">
        <v>4.99</v>
      </c>
      <c r="E1213" s="71">
        <v>1.99</v>
      </c>
      <c r="F1213" s="71">
        <f>D1213-E1213</f>
        <v>3</v>
      </c>
      <c r="G1213" s="39">
        <v>7.0</v>
      </c>
      <c r="H1213" s="71">
        <f t="shared" si="610"/>
        <v>0.2842857143</v>
      </c>
    </row>
    <row r="1214">
      <c r="A1214" s="461"/>
      <c r="B1214" s="462"/>
      <c r="C1214" s="461"/>
      <c r="D1214" s="461"/>
      <c r="E1214" s="461"/>
      <c r="F1214" s="461"/>
      <c r="G1214" s="461"/>
      <c r="H1214" s="461"/>
    </row>
    <row r="1215">
      <c r="A1215" s="43" t="s">
        <v>173</v>
      </c>
      <c r="B1215" s="43" t="s">
        <v>25</v>
      </c>
      <c r="C1215" s="44">
        <f>COUNTA(A1216:A1217)</f>
        <v>2</v>
      </c>
      <c r="D1215" s="47">
        <f t="shared" ref="D1215:G1215" si="611">SUM(D1216:D1217)</f>
        <v>25.98</v>
      </c>
      <c r="E1215" s="47">
        <f t="shared" si="611"/>
        <v>4.99</v>
      </c>
      <c r="F1215" s="47">
        <f t="shared" si="611"/>
        <v>20.99</v>
      </c>
      <c r="G1215" s="43">
        <f t="shared" si="611"/>
        <v>7</v>
      </c>
      <c r="H1215" s="47">
        <f t="shared" ref="H1215:H1217" si="612">E1215/G1215</f>
        <v>0.7128571429</v>
      </c>
    </row>
    <row r="1216">
      <c r="A1216" s="39" t="s">
        <v>902</v>
      </c>
      <c r="B1216" s="1"/>
      <c r="C1216" s="1"/>
      <c r="D1216" s="71">
        <v>17.99</v>
      </c>
      <c r="E1216" s="71">
        <v>4.99</v>
      </c>
      <c r="F1216" s="71">
        <f t="shared" ref="F1216:F1217" si="613">D1216-E1216</f>
        <v>13</v>
      </c>
      <c r="G1216" s="39">
        <v>5.0</v>
      </c>
      <c r="H1216" s="71">
        <f t="shared" si="612"/>
        <v>0.998</v>
      </c>
    </row>
    <row r="1217">
      <c r="A1217" s="39" t="s">
        <v>865</v>
      </c>
      <c r="B1217" s="1"/>
      <c r="C1217" s="1"/>
      <c r="D1217" s="71">
        <v>7.99</v>
      </c>
      <c r="E1217" s="71">
        <v>0.0</v>
      </c>
      <c r="F1217" s="71">
        <f t="shared" si="613"/>
        <v>7.99</v>
      </c>
      <c r="G1217" s="39">
        <v>2.0</v>
      </c>
      <c r="H1217" s="71">
        <f t="shared" si="612"/>
        <v>0</v>
      </c>
    </row>
    <row r="1218">
      <c r="A1218" s="461"/>
      <c r="B1218" s="462"/>
      <c r="C1218" s="461"/>
      <c r="D1218" s="461"/>
      <c r="E1218" s="461"/>
      <c r="F1218" s="461"/>
      <c r="G1218" s="461"/>
      <c r="H1218" s="461"/>
    </row>
    <row r="1219">
      <c r="A1219" s="43" t="s">
        <v>494</v>
      </c>
      <c r="B1219" s="43" t="s">
        <v>29</v>
      </c>
      <c r="C1219" s="44">
        <f>COUNTA(A1220)</f>
        <v>1</v>
      </c>
      <c r="D1219" s="47">
        <f t="shared" ref="D1219:G1219" si="614">SUM(D1220)</f>
        <v>10.99</v>
      </c>
      <c r="E1219" s="47">
        <f t="shared" si="614"/>
        <v>10.99</v>
      </c>
      <c r="F1219" s="47">
        <f t="shared" si="614"/>
        <v>0</v>
      </c>
      <c r="G1219" s="43">
        <f t="shared" si="614"/>
        <v>7</v>
      </c>
      <c r="H1219" s="47">
        <f t="shared" ref="H1219:H1220" si="615">E1219/G1219</f>
        <v>1.57</v>
      </c>
    </row>
    <row r="1220">
      <c r="A1220" s="39" t="s">
        <v>1533</v>
      </c>
      <c r="B1220" s="1"/>
      <c r="C1220" s="1"/>
      <c r="D1220" s="71">
        <v>10.99</v>
      </c>
      <c r="E1220" s="71">
        <v>10.99</v>
      </c>
      <c r="F1220" s="71">
        <f>D1220-E1220</f>
        <v>0</v>
      </c>
      <c r="G1220" s="39">
        <v>7.0</v>
      </c>
      <c r="H1220" s="71">
        <f t="shared" si="615"/>
        <v>1.57</v>
      </c>
    </row>
    <row r="1221">
      <c r="A1221" s="461"/>
      <c r="B1221" s="462"/>
      <c r="C1221" s="461"/>
      <c r="D1221" s="461"/>
      <c r="E1221" s="461"/>
      <c r="F1221" s="461"/>
      <c r="G1221" s="461"/>
      <c r="H1221" s="461"/>
    </row>
    <row r="1222">
      <c r="A1222" s="44" t="s">
        <v>171</v>
      </c>
      <c r="B1222" s="44" t="s">
        <v>25</v>
      </c>
      <c r="C1222" s="44">
        <f>COUNTA(A1223)</f>
        <v>1</v>
      </c>
      <c r="D1222" s="47">
        <f t="shared" ref="D1222:G1222" si="616">SUM(D1223)</f>
        <v>29.99</v>
      </c>
      <c r="E1222" s="47">
        <f t="shared" si="616"/>
        <v>0</v>
      </c>
      <c r="F1222" s="47">
        <f t="shared" si="616"/>
        <v>29.99</v>
      </c>
      <c r="G1222" s="43">
        <f t="shared" si="616"/>
        <v>6</v>
      </c>
      <c r="H1222" s="47">
        <f t="shared" ref="H1222:H1223" si="617">E1222/G1222</f>
        <v>0</v>
      </c>
    </row>
    <row r="1223">
      <c r="A1223" s="39" t="s">
        <v>801</v>
      </c>
      <c r="B1223" s="37"/>
      <c r="C1223" s="37"/>
      <c r="D1223" s="165">
        <v>29.99</v>
      </c>
      <c r="E1223" s="71">
        <v>0.0</v>
      </c>
      <c r="F1223" s="71">
        <f>D1223-E1223</f>
        <v>29.99</v>
      </c>
      <c r="G1223" s="72">
        <v>6.0</v>
      </c>
      <c r="H1223" s="71">
        <f t="shared" si="617"/>
        <v>0</v>
      </c>
    </row>
    <row r="1224">
      <c r="A1224" s="461"/>
      <c r="B1224" s="462"/>
      <c r="C1224" s="461"/>
      <c r="D1224" s="461"/>
      <c r="E1224" s="461"/>
      <c r="F1224" s="461"/>
      <c r="G1224" s="461"/>
      <c r="H1224" s="461"/>
    </row>
    <row r="1225">
      <c r="A1225" s="43" t="s">
        <v>578</v>
      </c>
      <c r="B1225" s="43" t="s">
        <v>29</v>
      </c>
      <c r="C1225" s="44">
        <f>COUNTA(A1226)</f>
        <v>1</v>
      </c>
      <c r="D1225" s="47">
        <f t="shared" ref="D1225:G1225" si="618">SUM(D1226)</f>
        <v>16.99</v>
      </c>
      <c r="E1225" s="47">
        <f t="shared" si="618"/>
        <v>0</v>
      </c>
      <c r="F1225" s="47">
        <f t="shared" si="618"/>
        <v>16.99</v>
      </c>
      <c r="G1225" s="43">
        <f t="shared" si="618"/>
        <v>6</v>
      </c>
      <c r="H1225" s="47">
        <f t="shared" ref="H1225:H1226" si="619">E1225/G1225</f>
        <v>0</v>
      </c>
    </row>
    <row r="1226">
      <c r="A1226" s="39" t="s">
        <v>1670</v>
      </c>
      <c r="B1226" s="1"/>
      <c r="C1226" s="1"/>
      <c r="D1226" s="71">
        <v>16.99</v>
      </c>
      <c r="E1226" s="71">
        <v>0.0</v>
      </c>
      <c r="F1226" s="71">
        <f>D1226-E1226</f>
        <v>16.99</v>
      </c>
      <c r="G1226" s="39">
        <v>6.0</v>
      </c>
      <c r="H1226" s="71">
        <f t="shared" si="619"/>
        <v>0</v>
      </c>
    </row>
    <row r="1227">
      <c r="A1227" s="179"/>
      <c r="B1227" s="477"/>
      <c r="C1227" s="477"/>
      <c r="D1227" s="478"/>
      <c r="E1227" s="478"/>
      <c r="F1227" s="478"/>
      <c r="G1227" s="179"/>
      <c r="H1227" s="181"/>
    </row>
    <row r="1228">
      <c r="A1228" s="43" t="s">
        <v>213</v>
      </c>
      <c r="B1228" s="43" t="s">
        <v>25</v>
      </c>
      <c r="C1228" s="44">
        <f>COUNTA(A1229)</f>
        <v>1</v>
      </c>
      <c r="D1228" s="47">
        <f t="shared" ref="D1228:G1228" si="620">SUM(D1229)</f>
        <v>13.99</v>
      </c>
      <c r="E1228" s="47">
        <f t="shared" si="620"/>
        <v>2.99</v>
      </c>
      <c r="F1228" s="47">
        <f t="shared" si="620"/>
        <v>11</v>
      </c>
      <c r="G1228" s="43">
        <f t="shared" si="620"/>
        <v>6</v>
      </c>
      <c r="H1228" s="47">
        <f t="shared" ref="H1228:H1229" si="621">E1228/G1228</f>
        <v>0.4983333333</v>
      </c>
    </row>
    <row r="1229">
      <c r="A1229" s="39" t="s">
        <v>899</v>
      </c>
      <c r="B1229" s="1"/>
      <c r="C1229" s="1"/>
      <c r="D1229" s="71">
        <v>13.99</v>
      </c>
      <c r="E1229" s="71">
        <v>2.99</v>
      </c>
      <c r="F1229" s="71">
        <f>D1229-E1229</f>
        <v>11</v>
      </c>
      <c r="G1229" s="39">
        <v>6.0</v>
      </c>
      <c r="H1229" s="71">
        <f t="shared" si="621"/>
        <v>0.4983333333</v>
      </c>
    </row>
    <row r="1230">
      <c r="A1230" s="179"/>
      <c r="B1230" s="477"/>
      <c r="C1230" s="477"/>
      <c r="D1230" s="478"/>
      <c r="E1230" s="478"/>
      <c r="F1230" s="478"/>
      <c r="G1230" s="179"/>
      <c r="H1230" s="181"/>
    </row>
    <row r="1231">
      <c r="A1231" s="152" t="s">
        <v>147</v>
      </c>
      <c r="B1231" s="152" t="s">
        <v>148</v>
      </c>
      <c r="C1231" s="255">
        <f>COUNTA(A1232)</f>
        <v>1</v>
      </c>
      <c r="D1231" s="154">
        <f t="shared" ref="D1231:G1231" si="622">SUM(D1232)</f>
        <v>7.99</v>
      </c>
      <c r="E1231" s="154">
        <f t="shared" si="622"/>
        <v>2.99</v>
      </c>
      <c r="F1231" s="154">
        <f t="shared" si="622"/>
        <v>5</v>
      </c>
      <c r="G1231" s="152">
        <f t="shared" si="622"/>
        <v>6</v>
      </c>
      <c r="H1231" s="154">
        <f t="shared" ref="H1231:H1232" si="623">E1231/G1231</f>
        <v>0.4983333333</v>
      </c>
    </row>
    <row r="1232">
      <c r="A1232" s="156" t="s">
        <v>776</v>
      </c>
      <c r="B1232" s="480"/>
      <c r="C1232" s="480"/>
      <c r="D1232" s="159">
        <v>7.99</v>
      </c>
      <c r="E1232" s="159">
        <v>2.99</v>
      </c>
      <c r="F1232" s="159">
        <f>D1232-E1232</f>
        <v>5</v>
      </c>
      <c r="G1232" s="156">
        <v>6.0</v>
      </c>
      <c r="H1232" s="159">
        <f t="shared" si="623"/>
        <v>0.4983333333</v>
      </c>
    </row>
    <row r="1233">
      <c r="A1233" s="179"/>
      <c r="B1233" s="477"/>
      <c r="C1233" s="477"/>
      <c r="D1233" s="478"/>
      <c r="E1233" s="478"/>
      <c r="F1233" s="478"/>
      <c r="G1233" s="179"/>
      <c r="H1233" s="181"/>
    </row>
    <row r="1234">
      <c r="A1234" s="74" t="s">
        <v>202</v>
      </c>
      <c r="B1234" s="74" t="s">
        <v>25</v>
      </c>
      <c r="C1234" s="43">
        <v>1.0</v>
      </c>
      <c r="D1234" s="148">
        <v>19.99</v>
      </c>
      <c r="E1234" s="148">
        <v>3.99</v>
      </c>
      <c r="F1234" s="148">
        <v>15.999999999999998</v>
      </c>
      <c r="G1234" s="43">
        <f>SUM(G1235)</f>
        <v>6</v>
      </c>
      <c r="H1234" s="46">
        <f t="shared" ref="H1234:H1235" si="624">E1234/G1234</f>
        <v>0.665</v>
      </c>
    </row>
    <row r="1235">
      <c r="A1235" s="39" t="s">
        <v>958</v>
      </c>
      <c r="B1235" s="73"/>
      <c r="C1235" s="73"/>
      <c r="D1235" s="363">
        <v>19.99</v>
      </c>
      <c r="E1235" s="363">
        <v>3.99</v>
      </c>
      <c r="F1235" s="363">
        <f>D1235-E1235</f>
        <v>16</v>
      </c>
      <c r="G1235" s="40">
        <v>6.0</v>
      </c>
      <c r="H1235" s="363">
        <f t="shared" si="624"/>
        <v>0.665</v>
      </c>
    </row>
    <row r="1236">
      <c r="A1236" s="179"/>
      <c r="B1236" s="477"/>
      <c r="C1236" s="477"/>
      <c r="D1236" s="478"/>
      <c r="E1236" s="478"/>
      <c r="F1236" s="478"/>
      <c r="G1236" s="179"/>
      <c r="H1236" s="181"/>
    </row>
    <row r="1237">
      <c r="A1237" s="43" t="s">
        <v>183</v>
      </c>
      <c r="B1237" s="43" t="s">
        <v>25</v>
      </c>
      <c r="C1237" s="44">
        <f>COUNTA(A1238:A1239)</f>
        <v>2</v>
      </c>
      <c r="D1237" s="47">
        <f t="shared" ref="D1237:G1237" si="625">SUM(D1238:D1239)</f>
        <v>16.98</v>
      </c>
      <c r="E1237" s="47">
        <f t="shared" si="625"/>
        <v>4.98</v>
      </c>
      <c r="F1237" s="47">
        <f t="shared" si="625"/>
        <v>12</v>
      </c>
      <c r="G1237" s="43">
        <f t="shared" si="625"/>
        <v>6</v>
      </c>
      <c r="H1237" s="47">
        <f t="shared" ref="H1237:H1239" si="626">E1237/G1237</f>
        <v>0.83</v>
      </c>
    </row>
    <row r="1238">
      <c r="A1238" s="72" t="s">
        <v>866</v>
      </c>
      <c r="B1238" s="1"/>
      <c r="C1238" s="1"/>
      <c r="D1238" s="71">
        <v>8.49</v>
      </c>
      <c r="E1238" s="71">
        <v>2.49</v>
      </c>
      <c r="F1238" s="71">
        <f t="shared" ref="F1238:F1239" si="627">D1238-E1238</f>
        <v>6</v>
      </c>
      <c r="G1238" s="39">
        <v>5.0</v>
      </c>
      <c r="H1238" s="71">
        <f t="shared" si="626"/>
        <v>0.498</v>
      </c>
    </row>
    <row r="1239">
      <c r="A1239" s="72" t="s">
        <v>874</v>
      </c>
      <c r="B1239" s="1"/>
      <c r="C1239" s="1"/>
      <c r="D1239" s="71">
        <v>8.49</v>
      </c>
      <c r="E1239" s="71">
        <v>2.49</v>
      </c>
      <c r="F1239" s="71">
        <f t="shared" si="627"/>
        <v>6</v>
      </c>
      <c r="G1239" s="39">
        <v>1.0</v>
      </c>
      <c r="H1239" s="71">
        <f t="shared" si="626"/>
        <v>2.49</v>
      </c>
    </row>
    <row r="1240">
      <c r="A1240" s="179"/>
      <c r="B1240" s="477"/>
      <c r="C1240" s="477"/>
      <c r="D1240" s="478"/>
      <c r="E1240" s="478"/>
      <c r="F1240" s="478"/>
      <c r="G1240" s="179"/>
      <c r="H1240" s="181"/>
    </row>
    <row r="1241">
      <c r="A1241" s="43" t="s">
        <v>496</v>
      </c>
      <c r="B1241" s="43" t="s">
        <v>29</v>
      </c>
      <c r="C1241" s="44">
        <f>COUNTA(A1242)</f>
        <v>1</v>
      </c>
      <c r="D1241" s="47">
        <f t="shared" ref="D1241:G1241" si="628">SUM(D1242)</f>
        <v>12.99</v>
      </c>
      <c r="E1241" s="47">
        <f t="shared" si="628"/>
        <v>6.49</v>
      </c>
      <c r="F1241" s="47">
        <f t="shared" si="628"/>
        <v>6.5</v>
      </c>
      <c r="G1241" s="43">
        <f t="shared" si="628"/>
        <v>6</v>
      </c>
      <c r="H1241" s="47">
        <f t="shared" ref="H1241:H1242" si="629">E1241/G1241</f>
        <v>1.081666667</v>
      </c>
    </row>
    <row r="1242">
      <c r="A1242" s="39" t="s">
        <v>1630</v>
      </c>
      <c r="B1242" s="1"/>
      <c r="C1242" s="1"/>
      <c r="D1242" s="71">
        <v>12.99</v>
      </c>
      <c r="E1242" s="71">
        <v>6.49</v>
      </c>
      <c r="F1242" s="71">
        <f>D1242-E1242</f>
        <v>6.5</v>
      </c>
      <c r="G1242" s="39">
        <v>6.0</v>
      </c>
      <c r="H1242" s="71">
        <f t="shared" si="629"/>
        <v>1.081666667</v>
      </c>
    </row>
    <row r="1243">
      <c r="A1243" s="179"/>
      <c r="B1243" s="477"/>
      <c r="C1243" s="477"/>
      <c r="D1243" s="478"/>
      <c r="E1243" s="478"/>
      <c r="F1243" s="478"/>
      <c r="G1243" s="179"/>
      <c r="H1243" s="181"/>
    </row>
    <row r="1244">
      <c r="A1244" s="104" t="s">
        <v>73</v>
      </c>
      <c r="B1244" s="106" t="s">
        <v>57</v>
      </c>
      <c r="C1244" s="243">
        <f>COUNTA(A1245)</f>
        <v>1</v>
      </c>
      <c r="D1244" s="106">
        <f t="shared" ref="D1244:G1244" si="630">SUM(D1245)</f>
        <v>13.99</v>
      </c>
      <c r="E1244" s="106">
        <f t="shared" si="630"/>
        <v>6.99</v>
      </c>
      <c r="F1244" s="106">
        <f t="shared" si="630"/>
        <v>7</v>
      </c>
      <c r="G1244" s="104">
        <f t="shared" si="630"/>
        <v>6</v>
      </c>
      <c r="H1244" s="106">
        <f t="shared" ref="H1244:H1245" si="631">E1244/G1244</f>
        <v>1.165</v>
      </c>
    </row>
    <row r="1245">
      <c r="A1245" s="109" t="s">
        <v>654</v>
      </c>
      <c r="B1245" s="475"/>
      <c r="C1245" s="475"/>
      <c r="D1245" s="111">
        <v>13.99</v>
      </c>
      <c r="E1245" s="111">
        <v>6.99</v>
      </c>
      <c r="F1245" s="111">
        <f>D1245-E1245</f>
        <v>7</v>
      </c>
      <c r="G1245" s="109">
        <v>6.0</v>
      </c>
      <c r="H1245" s="111">
        <f t="shared" si="631"/>
        <v>1.165</v>
      </c>
    </row>
    <row r="1246">
      <c r="A1246" s="179"/>
      <c r="B1246" s="477"/>
      <c r="C1246" s="477"/>
      <c r="D1246" s="478"/>
      <c r="E1246" s="478"/>
      <c r="F1246" s="478"/>
      <c r="G1246" s="179"/>
      <c r="H1246" s="181"/>
    </row>
    <row r="1247">
      <c r="A1247" s="53" t="s">
        <v>271</v>
      </c>
      <c r="B1247" s="53" t="s">
        <v>265</v>
      </c>
      <c r="C1247" s="75">
        <f>COUNTA(A1248)</f>
        <v>1</v>
      </c>
      <c r="D1247" s="76">
        <f t="shared" ref="D1247:G1247" si="632">SUM(D1248)</f>
        <v>19.99</v>
      </c>
      <c r="E1247" s="76">
        <f t="shared" si="632"/>
        <v>7.49</v>
      </c>
      <c r="F1247" s="76">
        <f t="shared" si="632"/>
        <v>12.5</v>
      </c>
      <c r="G1247" s="53">
        <f t="shared" si="632"/>
        <v>6</v>
      </c>
      <c r="H1247" s="76">
        <f t="shared" ref="H1247:H1248" si="633">E1247/G1247</f>
        <v>1.248333333</v>
      </c>
    </row>
    <row r="1248">
      <c r="A1248" s="79" t="s">
        <v>1016</v>
      </c>
      <c r="B1248" s="1"/>
      <c r="C1248" s="1"/>
      <c r="D1248" s="52">
        <v>19.99</v>
      </c>
      <c r="E1248" s="52">
        <v>7.49</v>
      </c>
      <c r="F1248" s="52">
        <f>D1248-E1248</f>
        <v>12.5</v>
      </c>
      <c r="G1248" s="79">
        <v>6.0</v>
      </c>
      <c r="H1248" s="52">
        <f t="shared" si="633"/>
        <v>1.248333333</v>
      </c>
    </row>
    <row r="1249">
      <c r="A1249" s="7"/>
      <c r="B1249" s="7"/>
      <c r="C1249" s="7"/>
      <c r="D1249" s="7"/>
      <c r="E1249" s="7"/>
      <c r="F1249" s="7"/>
      <c r="G1249" s="7"/>
      <c r="H1249" s="7"/>
    </row>
    <row r="1250">
      <c r="A1250" s="43" t="s">
        <v>609</v>
      </c>
      <c r="B1250" s="43" t="s">
        <v>29</v>
      </c>
      <c r="C1250" s="44">
        <f>COUNTA(A1251:A1252)</f>
        <v>2</v>
      </c>
      <c r="D1250" s="47">
        <f t="shared" ref="D1250:G1250" si="634">SUM(D1251:D1252)</f>
        <v>25.98</v>
      </c>
      <c r="E1250" s="47">
        <f t="shared" si="634"/>
        <v>7.58</v>
      </c>
      <c r="F1250" s="47">
        <f t="shared" si="634"/>
        <v>18.4</v>
      </c>
      <c r="G1250" s="43">
        <f t="shared" si="634"/>
        <v>6</v>
      </c>
      <c r="H1250" s="47">
        <f t="shared" ref="H1250:H1251" si="635">E1250/G1250</f>
        <v>1.263333333</v>
      </c>
    </row>
    <row r="1251">
      <c r="A1251" s="39" t="s">
        <v>1575</v>
      </c>
      <c r="B1251" s="1"/>
      <c r="C1251" s="1"/>
      <c r="D1251" s="71">
        <v>15.99</v>
      </c>
      <c r="E1251" s="71">
        <v>5.59</v>
      </c>
      <c r="F1251" s="71">
        <f>D1251-E1251</f>
        <v>10.4</v>
      </c>
      <c r="G1251" s="39">
        <v>5.0</v>
      </c>
      <c r="H1251" s="71">
        <f t="shared" si="635"/>
        <v>1.118</v>
      </c>
    </row>
    <row r="1252">
      <c r="A1252" s="39" t="s">
        <v>1787</v>
      </c>
      <c r="B1252" s="1"/>
      <c r="C1252" s="1"/>
      <c r="D1252" s="42">
        <v>9.99</v>
      </c>
      <c r="E1252" s="42">
        <v>1.99</v>
      </c>
      <c r="F1252" s="42">
        <v>8.0</v>
      </c>
      <c r="G1252" s="39">
        <v>1.0</v>
      </c>
      <c r="H1252" s="42">
        <v>1.99</v>
      </c>
    </row>
    <row r="1253">
      <c r="A1253" s="39"/>
      <c r="B1253" s="1"/>
      <c r="C1253" s="1"/>
      <c r="D1253" s="42"/>
      <c r="E1253" s="42"/>
      <c r="F1253" s="71"/>
      <c r="G1253" s="39"/>
      <c r="H1253" s="71"/>
    </row>
    <row r="1254">
      <c r="A1254" s="43" t="s">
        <v>355</v>
      </c>
      <c r="B1254" s="43" t="s">
        <v>325</v>
      </c>
      <c r="C1254" s="44">
        <f>COUNTA(A1255)</f>
        <v>1</v>
      </c>
      <c r="D1254" s="47">
        <f t="shared" ref="D1254:G1254" si="636">SUM(D1255)</f>
        <v>25</v>
      </c>
      <c r="E1254" s="47">
        <f t="shared" si="636"/>
        <v>15</v>
      </c>
      <c r="F1254" s="47">
        <f t="shared" si="636"/>
        <v>10</v>
      </c>
      <c r="G1254" s="43">
        <f t="shared" si="636"/>
        <v>6</v>
      </c>
      <c r="H1254" s="47">
        <f t="shared" ref="H1254:H1255" si="637">E1254/G1254</f>
        <v>2.5</v>
      </c>
    </row>
    <row r="1255">
      <c r="A1255" s="72" t="s">
        <v>1193</v>
      </c>
      <c r="B1255" s="1"/>
      <c r="C1255" s="1"/>
      <c r="D1255" s="71">
        <v>25.0</v>
      </c>
      <c r="E1255" s="71">
        <v>15.0</v>
      </c>
      <c r="F1255" s="71">
        <f>D1255-E1255</f>
        <v>10</v>
      </c>
      <c r="G1255" s="39">
        <v>6.0</v>
      </c>
      <c r="H1255" s="71">
        <f t="shared" si="637"/>
        <v>2.5</v>
      </c>
    </row>
    <row r="1256">
      <c r="A1256" s="1"/>
      <c r="B1256" s="1"/>
      <c r="C1256" s="1"/>
      <c r="D1256" s="1"/>
      <c r="E1256" s="1"/>
      <c r="F1256" s="1"/>
      <c r="G1256" s="1"/>
      <c r="H1256" s="1"/>
    </row>
    <row r="1257">
      <c r="A1257" s="43" t="s">
        <v>643</v>
      </c>
      <c r="B1257" s="43" t="s">
        <v>642</v>
      </c>
      <c r="C1257" s="44">
        <f>COUNTA(A1258:A1260)</f>
        <v>3</v>
      </c>
      <c r="D1257" s="47">
        <f t="shared" ref="D1257:G1257" si="638">SUM(D1258:D1260)</f>
        <v>34.99</v>
      </c>
      <c r="E1257" s="47">
        <f t="shared" si="638"/>
        <v>17.49</v>
      </c>
      <c r="F1257" s="47">
        <f t="shared" si="638"/>
        <v>17.5</v>
      </c>
      <c r="G1257" s="43">
        <f t="shared" si="638"/>
        <v>6</v>
      </c>
      <c r="H1257" s="47">
        <f t="shared" ref="H1257:H1260" si="639">E1257/G1257</f>
        <v>2.915</v>
      </c>
    </row>
    <row r="1258">
      <c r="A1258" s="221" t="s">
        <v>1746</v>
      </c>
      <c r="B1258" s="224"/>
      <c r="C1258" s="224"/>
      <c r="D1258" s="223">
        <v>11.67</v>
      </c>
      <c r="E1258" s="223">
        <v>5.83</v>
      </c>
      <c r="F1258" s="223">
        <f t="shared" ref="F1258:F1260" si="640">D1258-E1258</f>
        <v>5.84</v>
      </c>
      <c r="G1258" s="221">
        <v>4.0</v>
      </c>
      <c r="H1258" s="223">
        <f t="shared" si="639"/>
        <v>1.4575</v>
      </c>
    </row>
    <row r="1259">
      <c r="A1259" s="221" t="s">
        <v>1745</v>
      </c>
      <c r="B1259" s="224"/>
      <c r="C1259" s="224"/>
      <c r="D1259" s="223">
        <v>11.66</v>
      </c>
      <c r="E1259" s="223">
        <v>5.83</v>
      </c>
      <c r="F1259" s="223">
        <f t="shared" si="640"/>
        <v>5.83</v>
      </c>
      <c r="G1259" s="224">
        <v>1.0</v>
      </c>
      <c r="H1259" s="223">
        <f t="shared" si="639"/>
        <v>5.83</v>
      </c>
    </row>
    <row r="1260">
      <c r="A1260" s="221" t="s">
        <v>1744</v>
      </c>
      <c r="B1260" s="224"/>
      <c r="C1260" s="224"/>
      <c r="D1260" s="223">
        <v>11.66</v>
      </c>
      <c r="E1260" s="223">
        <v>5.83</v>
      </c>
      <c r="F1260" s="223">
        <f t="shared" si="640"/>
        <v>5.83</v>
      </c>
      <c r="G1260" s="224">
        <v>1.0</v>
      </c>
      <c r="H1260" s="223">
        <f t="shared" si="639"/>
        <v>5.83</v>
      </c>
    </row>
    <row r="1261">
      <c r="A1261" s="461"/>
      <c r="B1261" s="462"/>
      <c r="C1261" s="461"/>
      <c r="D1261" s="461"/>
      <c r="E1261" s="461"/>
      <c r="F1261" s="461"/>
      <c r="G1261" s="461"/>
      <c r="H1261" s="461"/>
    </row>
    <row r="1262">
      <c r="A1262" s="43" t="s">
        <v>221</v>
      </c>
      <c r="B1262" s="43" t="s">
        <v>25</v>
      </c>
      <c r="C1262" s="43">
        <f>COUNTA(A1263:A1268)</f>
        <v>6</v>
      </c>
      <c r="D1262" s="145">
        <f t="shared" ref="D1262:G1262" si="641">SUM(D1263:D1268)</f>
        <v>94.93</v>
      </c>
      <c r="E1262" s="145">
        <f t="shared" si="641"/>
        <v>19.43</v>
      </c>
      <c r="F1262" s="145">
        <f t="shared" si="641"/>
        <v>75.5</v>
      </c>
      <c r="G1262" s="44">
        <f t="shared" si="641"/>
        <v>6</v>
      </c>
      <c r="H1262" s="145">
        <f t="shared" ref="H1262:H1268" si="642">E1262/G1262</f>
        <v>3.238333333</v>
      </c>
    </row>
    <row r="1263">
      <c r="A1263" s="182" t="s">
        <v>811</v>
      </c>
      <c r="B1263" s="460"/>
      <c r="C1263" s="460"/>
      <c r="D1263" s="257">
        <v>5.99</v>
      </c>
      <c r="E1263" s="257">
        <v>1.99</v>
      </c>
      <c r="F1263" s="257">
        <f t="shared" ref="F1263:F1268" si="643">D1263-E1263</f>
        <v>4</v>
      </c>
      <c r="G1263" s="182">
        <v>1.0</v>
      </c>
      <c r="H1263" s="257">
        <f t="shared" si="642"/>
        <v>1.99</v>
      </c>
    </row>
    <row r="1264">
      <c r="A1264" s="182" t="s">
        <v>815</v>
      </c>
      <c r="B1264" s="460"/>
      <c r="C1264" s="460"/>
      <c r="D1264" s="257">
        <v>5.99</v>
      </c>
      <c r="E1264" s="257">
        <v>1.99</v>
      </c>
      <c r="F1264" s="257">
        <f t="shared" si="643"/>
        <v>4</v>
      </c>
      <c r="G1264" s="182">
        <v>1.0</v>
      </c>
      <c r="H1264" s="257">
        <f t="shared" si="642"/>
        <v>1.99</v>
      </c>
    </row>
    <row r="1265">
      <c r="A1265" s="182" t="s">
        <v>856</v>
      </c>
      <c r="B1265" s="460"/>
      <c r="C1265" s="460"/>
      <c r="D1265" s="257">
        <v>34.99</v>
      </c>
      <c r="E1265" s="257">
        <v>3.49</v>
      </c>
      <c r="F1265" s="257">
        <f t="shared" si="643"/>
        <v>31.5</v>
      </c>
      <c r="G1265" s="258">
        <v>1.0</v>
      </c>
      <c r="H1265" s="257">
        <f t="shared" si="642"/>
        <v>3.49</v>
      </c>
    </row>
    <row r="1266">
      <c r="A1266" s="258" t="s">
        <v>800</v>
      </c>
      <c r="B1266" s="460"/>
      <c r="C1266" s="460"/>
      <c r="D1266" s="500">
        <v>15.99</v>
      </c>
      <c r="E1266" s="185">
        <v>3.99</v>
      </c>
      <c r="F1266" s="185">
        <f t="shared" si="643"/>
        <v>12</v>
      </c>
      <c r="G1266" s="186">
        <v>1.0</v>
      </c>
      <c r="H1266" s="501">
        <f t="shared" si="642"/>
        <v>3.99</v>
      </c>
    </row>
    <row r="1267">
      <c r="A1267" s="258" t="s">
        <v>803</v>
      </c>
      <c r="B1267" s="460"/>
      <c r="C1267" s="460"/>
      <c r="D1267" s="502">
        <v>15.99</v>
      </c>
      <c r="E1267" s="190">
        <v>3.99</v>
      </c>
      <c r="F1267" s="190">
        <f t="shared" si="643"/>
        <v>12</v>
      </c>
      <c r="G1267" s="191">
        <v>1.0</v>
      </c>
      <c r="H1267" s="503">
        <f t="shared" si="642"/>
        <v>3.99</v>
      </c>
    </row>
    <row r="1268">
      <c r="A1268" s="258" t="s">
        <v>807</v>
      </c>
      <c r="B1268" s="460"/>
      <c r="C1268" s="460"/>
      <c r="D1268" s="502">
        <v>15.98</v>
      </c>
      <c r="E1268" s="190">
        <v>3.98</v>
      </c>
      <c r="F1268" s="190">
        <f t="shared" si="643"/>
        <v>12</v>
      </c>
      <c r="G1268" s="191">
        <v>1.0</v>
      </c>
      <c r="H1268" s="503">
        <f t="shared" si="642"/>
        <v>3.98</v>
      </c>
    </row>
    <row r="1269">
      <c r="A1269" s="461"/>
      <c r="B1269" s="462"/>
      <c r="C1269" s="461"/>
      <c r="D1269" s="461"/>
      <c r="E1269" s="461"/>
      <c r="F1269" s="461"/>
      <c r="G1269" s="461"/>
      <c r="H1269" s="461"/>
    </row>
    <row r="1270">
      <c r="A1270" s="43" t="s">
        <v>175</v>
      </c>
      <c r="B1270" s="43" t="s">
        <v>25</v>
      </c>
      <c r="C1270" s="44">
        <f>COUNTA(A1271:A1272)</f>
        <v>2</v>
      </c>
      <c r="D1270" s="47">
        <f t="shared" ref="D1270:G1270" si="644">SUM(D1271:D1272)</f>
        <v>43.97</v>
      </c>
      <c r="E1270" s="47">
        <f t="shared" si="644"/>
        <v>27.57</v>
      </c>
      <c r="F1270" s="47">
        <f t="shared" si="644"/>
        <v>16.4</v>
      </c>
      <c r="G1270" s="43">
        <f t="shared" si="644"/>
        <v>6</v>
      </c>
      <c r="H1270" s="47">
        <f t="shared" ref="H1270:H1272" si="645">E1270/G1270</f>
        <v>4.595</v>
      </c>
    </row>
    <row r="1271">
      <c r="A1271" s="39" t="s">
        <v>897</v>
      </c>
      <c r="B1271" s="1"/>
      <c r="C1271" s="1"/>
      <c r="D1271" s="71">
        <v>30.98</v>
      </c>
      <c r="E1271" s="71">
        <v>24.98</v>
      </c>
      <c r="F1271" s="71">
        <f t="shared" ref="F1271:F1272" si="646">D1271-E1271</f>
        <v>6</v>
      </c>
      <c r="G1271" s="39">
        <v>5.0</v>
      </c>
      <c r="H1271" s="71">
        <f t="shared" si="645"/>
        <v>4.996</v>
      </c>
    </row>
    <row r="1272">
      <c r="A1272" s="39" t="s">
        <v>903</v>
      </c>
      <c r="B1272" s="1"/>
      <c r="C1272" s="1"/>
      <c r="D1272" s="71">
        <v>12.99</v>
      </c>
      <c r="E1272" s="71">
        <v>2.59</v>
      </c>
      <c r="F1272" s="71">
        <f t="shared" si="646"/>
        <v>10.4</v>
      </c>
      <c r="G1272" s="39">
        <v>1.0</v>
      </c>
      <c r="H1272" s="71">
        <f t="shared" si="645"/>
        <v>2.59</v>
      </c>
    </row>
    <row r="1273">
      <c r="A1273" s="461"/>
      <c r="B1273" s="462"/>
      <c r="C1273" s="461"/>
      <c r="D1273" s="461"/>
      <c r="E1273" s="461"/>
      <c r="F1273" s="461"/>
      <c r="G1273" s="461"/>
      <c r="H1273" s="461"/>
    </row>
    <row r="1274">
      <c r="A1274" s="246" t="s">
        <v>444</v>
      </c>
      <c r="B1274" s="246" t="s">
        <v>443</v>
      </c>
      <c r="C1274" s="493">
        <f>COUNTA(A1275)</f>
        <v>1</v>
      </c>
      <c r="D1274" s="248">
        <f t="shared" ref="D1274:G1274" si="647">SUM(D1275)</f>
        <v>15.99</v>
      </c>
      <c r="E1274" s="248">
        <f t="shared" si="647"/>
        <v>0</v>
      </c>
      <c r="F1274" s="248">
        <f t="shared" si="647"/>
        <v>15.99</v>
      </c>
      <c r="G1274" s="246">
        <f t="shared" si="647"/>
        <v>5</v>
      </c>
      <c r="H1274" s="248">
        <f t="shared" ref="H1274:H1275" si="648">E1274/G1274</f>
        <v>0</v>
      </c>
    </row>
    <row r="1275">
      <c r="A1275" s="250" t="s">
        <v>1388</v>
      </c>
      <c r="B1275" s="494"/>
      <c r="C1275" s="494"/>
      <c r="D1275" s="253">
        <v>15.99</v>
      </c>
      <c r="E1275" s="253">
        <v>0.0</v>
      </c>
      <c r="F1275" s="253">
        <f>D1275-E1275</f>
        <v>15.99</v>
      </c>
      <c r="G1275" s="250">
        <v>5.0</v>
      </c>
      <c r="H1275" s="253">
        <f t="shared" si="648"/>
        <v>0</v>
      </c>
    </row>
    <row r="1276">
      <c r="A1276" s="179"/>
      <c r="B1276" s="477"/>
      <c r="C1276" s="477"/>
      <c r="D1276" s="478"/>
      <c r="E1276" s="478"/>
      <c r="F1276" s="478"/>
      <c r="G1276" s="179"/>
      <c r="H1276" s="181"/>
    </row>
    <row r="1277">
      <c r="A1277" s="201" t="s">
        <v>383</v>
      </c>
      <c r="B1277" s="201" t="s">
        <v>384</v>
      </c>
      <c r="C1277" s="204">
        <f>COUNTA(A1278)</f>
        <v>1</v>
      </c>
      <c r="D1277" s="203">
        <f t="shared" ref="D1277:G1277" si="649">SUM(D1278)</f>
        <v>2.49</v>
      </c>
      <c r="E1277" s="203">
        <f t="shared" si="649"/>
        <v>2.49</v>
      </c>
      <c r="F1277" s="203">
        <f t="shared" si="649"/>
        <v>0</v>
      </c>
      <c r="G1277" s="201">
        <f t="shared" si="649"/>
        <v>5</v>
      </c>
      <c r="H1277" s="203">
        <f t="shared" ref="H1277:H1278" si="650">E1277/G1277</f>
        <v>0.498</v>
      </c>
    </row>
    <row r="1278">
      <c r="A1278" s="471" t="s">
        <v>1319</v>
      </c>
      <c r="B1278" s="504"/>
      <c r="C1278" s="504"/>
      <c r="D1278" s="473">
        <v>2.49</v>
      </c>
      <c r="E1278" s="473">
        <v>2.49</v>
      </c>
      <c r="F1278" s="473">
        <f>D1278-E1278</f>
        <v>0</v>
      </c>
      <c r="G1278" s="471">
        <v>5.0</v>
      </c>
      <c r="H1278" s="473">
        <f t="shared" si="650"/>
        <v>0.498</v>
      </c>
    </row>
    <row r="1279">
      <c r="A1279" s="179"/>
      <c r="B1279" s="477"/>
      <c r="C1279" s="477"/>
      <c r="D1279" s="478"/>
      <c r="E1279" s="478"/>
      <c r="F1279" s="478"/>
      <c r="G1279" s="179"/>
      <c r="H1279" s="181"/>
    </row>
    <row r="1280">
      <c r="A1280" s="53" t="s">
        <v>264</v>
      </c>
      <c r="B1280" s="75" t="s">
        <v>265</v>
      </c>
      <c r="C1280" s="75">
        <f>COUNTA(A1281)</f>
        <v>1</v>
      </c>
      <c r="D1280" s="76">
        <f t="shared" ref="D1280:G1280" si="651">SUM(D1281)</f>
        <v>24.99</v>
      </c>
      <c r="E1280" s="76">
        <f t="shared" si="651"/>
        <v>3</v>
      </c>
      <c r="F1280" s="76">
        <f t="shared" si="651"/>
        <v>21.99</v>
      </c>
      <c r="G1280" s="53">
        <f t="shared" si="651"/>
        <v>5</v>
      </c>
      <c r="H1280" s="76">
        <f t="shared" ref="H1280:H1281" si="652">E1280/G1280</f>
        <v>0.6</v>
      </c>
    </row>
    <row r="1281">
      <c r="A1281" s="79" t="s">
        <v>1002</v>
      </c>
      <c r="B1281" s="1"/>
      <c r="C1281" s="1"/>
      <c r="D1281" s="52">
        <v>24.99</v>
      </c>
      <c r="E1281" s="52">
        <v>3.0</v>
      </c>
      <c r="F1281" s="52">
        <f>D1281-E1281</f>
        <v>21.99</v>
      </c>
      <c r="G1281" s="79">
        <v>5.0</v>
      </c>
      <c r="H1281" s="52">
        <f t="shared" si="652"/>
        <v>0.6</v>
      </c>
    </row>
    <row r="1282">
      <c r="A1282" s="179"/>
      <c r="B1282" s="477"/>
      <c r="C1282" s="477"/>
      <c r="D1282" s="478"/>
      <c r="E1282" s="478"/>
      <c r="F1282" s="478"/>
      <c r="G1282" s="179"/>
      <c r="H1282" s="181"/>
    </row>
    <row r="1283">
      <c r="A1283" s="43" t="s">
        <v>99</v>
      </c>
      <c r="B1283" s="44" t="s">
        <v>92</v>
      </c>
      <c r="C1283" s="44">
        <f>COUNTA(A1284)</f>
        <v>1</v>
      </c>
      <c r="D1283" s="47">
        <f t="shared" ref="D1283:G1283" si="653">SUM(D1284)</f>
        <v>14.99</v>
      </c>
      <c r="E1283" s="47">
        <f t="shared" si="653"/>
        <v>3.5</v>
      </c>
      <c r="F1283" s="47">
        <f t="shared" si="653"/>
        <v>11.49</v>
      </c>
      <c r="G1283" s="43">
        <f t="shared" si="653"/>
        <v>5</v>
      </c>
      <c r="H1283" s="47">
        <f t="shared" ref="H1283:H1284" si="654">E1283/G1283</f>
        <v>0.7</v>
      </c>
    </row>
    <row r="1284">
      <c r="A1284" s="39" t="s">
        <v>696</v>
      </c>
      <c r="B1284" s="1"/>
      <c r="C1284" s="1"/>
      <c r="D1284" s="71">
        <v>14.99</v>
      </c>
      <c r="E1284" s="71">
        <v>3.5</v>
      </c>
      <c r="F1284" s="71">
        <f>D1284-E1284</f>
        <v>11.49</v>
      </c>
      <c r="G1284" s="39">
        <v>5.0</v>
      </c>
      <c r="H1284" s="71">
        <f t="shared" si="654"/>
        <v>0.7</v>
      </c>
    </row>
    <row r="1285">
      <c r="A1285" s="179"/>
      <c r="B1285" s="477"/>
      <c r="C1285" s="477"/>
      <c r="D1285" s="478"/>
      <c r="E1285" s="478"/>
      <c r="F1285" s="478"/>
      <c r="G1285" s="179"/>
      <c r="H1285" s="181"/>
    </row>
    <row r="1286">
      <c r="A1286" s="43" t="s">
        <v>187</v>
      </c>
      <c r="B1286" s="43" t="s">
        <v>25</v>
      </c>
      <c r="C1286" s="44">
        <f>COUNTA(A1287)</f>
        <v>1</v>
      </c>
      <c r="D1286" s="47">
        <f t="shared" ref="D1286:G1286" si="655">SUM(D1287)</f>
        <v>3.59</v>
      </c>
      <c r="E1286" s="47">
        <f t="shared" si="655"/>
        <v>3.59</v>
      </c>
      <c r="F1286" s="47">
        <f t="shared" si="655"/>
        <v>0</v>
      </c>
      <c r="G1286" s="43">
        <f t="shared" si="655"/>
        <v>5</v>
      </c>
      <c r="H1286" s="47">
        <f t="shared" ref="H1286:H1287" si="656">E1286/G1286</f>
        <v>0.718</v>
      </c>
    </row>
    <row r="1287">
      <c r="A1287" s="39" t="s">
        <v>878</v>
      </c>
      <c r="B1287" s="1"/>
      <c r="C1287" s="1"/>
      <c r="D1287" s="71">
        <v>3.59</v>
      </c>
      <c r="E1287" s="71">
        <v>3.59</v>
      </c>
      <c r="F1287" s="71">
        <f>D1287-E1287</f>
        <v>0</v>
      </c>
      <c r="G1287" s="39">
        <v>5.0</v>
      </c>
      <c r="H1287" s="71">
        <f t="shared" si="656"/>
        <v>0.718</v>
      </c>
    </row>
    <row r="1288">
      <c r="A1288" s="179"/>
      <c r="B1288" s="477"/>
      <c r="C1288" s="477"/>
      <c r="D1288" s="478"/>
      <c r="E1288" s="478"/>
      <c r="F1288" s="478"/>
      <c r="G1288" s="179"/>
      <c r="H1288" s="181"/>
    </row>
    <row r="1289">
      <c r="A1289" s="43" t="s">
        <v>210</v>
      </c>
      <c r="B1289" s="43" t="s">
        <v>25</v>
      </c>
      <c r="C1289" s="44">
        <f>COUNTA(A1290)</f>
        <v>1</v>
      </c>
      <c r="D1289" s="47">
        <f t="shared" ref="D1289:G1289" si="657">SUM(D1290)</f>
        <v>14.99</v>
      </c>
      <c r="E1289" s="47">
        <f t="shared" si="657"/>
        <v>3.99</v>
      </c>
      <c r="F1289" s="47">
        <f t="shared" si="657"/>
        <v>11</v>
      </c>
      <c r="G1289" s="43">
        <f t="shared" si="657"/>
        <v>5</v>
      </c>
      <c r="H1289" s="47">
        <f t="shared" ref="H1289:H1290" si="658">E1289/G1289</f>
        <v>0.798</v>
      </c>
    </row>
    <row r="1290">
      <c r="A1290" s="72" t="s">
        <v>872</v>
      </c>
      <c r="B1290" s="1"/>
      <c r="C1290" s="1"/>
      <c r="D1290" s="71">
        <v>14.99</v>
      </c>
      <c r="E1290" s="71">
        <v>3.99</v>
      </c>
      <c r="F1290" s="71">
        <f>D1290-E1290</f>
        <v>11</v>
      </c>
      <c r="G1290" s="39">
        <v>5.0</v>
      </c>
      <c r="H1290" s="71">
        <f t="shared" si="658"/>
        <v>0.798</v>
      </c>
    </row>
    <row r="1291">
      <c r="A1291" s="179"/>
      <c r="B1291" s="477"/>
      <c r="C1291" s="477"/>
      <c r="D1291" s="478"/>
      <c r="E1291" s="478"/>
      <c r="F1291" s="478"/>
      <c r="G1291" s="179"/>
      <c r="H1291" s="181"/>
    </row>
    <row r="1292">
      <c r="A1292" s="43" t="s">
        <v>126</v>
      </c>
      <c r="B1292" s="43" t="s">
        <v>92</v>
      </c>
      <c r="C1292" s="44">
        <f>COUNTA(A1293)</f>
        <v>1</v>
      </c>
      <c r="D1292" s="47">
        <f t="shared" ref="D1292:G1292" si="659">SUM(D1293)</f>
        <v>14.99</v>
      </c>
      <c r="E1292" s="47">
        <f t="shared" si="659"/>
        <v>3.99</v>
      </c>
      <c r="F1292" s="47">
        <f t="shared" si="659"/>
        <v>11</v>
      </c>
      <c r="G1292" s="43">
        <f t="shared" si="659"/>
        <v>5</v>
      </c>
      <c r="H1292" s="47">
        <f t="shared" ref="H1292:H1293" si="660">E1292/G1292</f>
        <v>0.798</v>
      </c>
    </row>
    <row r="1293">
      <c r="A1293" s="39" t="s">
        <v>707</v>
      </c>
      <c r="B1293" s="1"/>
      <c r="C1293" s="1"/>
      <c r="D1293" s="71">
        <v>14.99</v>
      </c>
      <c r="E1293" s="71">
        <v>3.99</v>
      </c>
      <c r="F1293" s="71">
        <f>D1293-E1293</f>
        <v>11</v>
      </c>
      <c r="G1293" s="39">
        <v>5.0</v>
      </c>
      <c r="H1293" s="71">
        <f t="shared" si="660"/>
        <v>0.798</v>
      </c>
    </row>
    <row r="1294">
      <c r="A1294" s="179"/>
      <c r="B1294" s="477"/>
      <c r="C1294" s="477"/>
      <c r="D1294" s="478"/>
      <c r="E1294" s="478"/>
      <c r="F1294" s="478"/>
      <c r="G1294" s="179"/>
      <c r="H1294" s="181"/>
    </row>
    <row r="1295">
      <c r="A1295" s="43" t="s">
        <v>356</v>
      </c>
      <c r="B1295" s="43" t="s">
        <v>325</v>
      </c>
      <c r="C1295" s="44">
        <f>COUNTA(A1296)</f>
        <v>1</v>
      </c>
      <c r="D1295" s="47">
        <f t="shared" ref="D1295:G1295" si="661">SUM(D1296)</f>
        <v>14.99</v>
      </c>
      <c r="E1295" s="47">
        <f t="shared" si="661"/>
        <v>4</v>
      </c>
      <c r="F1295" s="47">
        <f t="shared" si="661"/>
        <v>10.99</v>
      </c>
      <c r="G1295" s="43">
        <f t="shared" si="661"/>
        <v>5</v>
      </c>
      <c r="H1295" s="47">
        <f t="shared" ref="H1295:H1296" si="662">E1295/G1295</f>
        <v>0.8</v>
      </c>
    </row>
    <row r="1296">
      <c r="A1296" s="39" t="s">
        <v>1143</v>
      </c>
      <c r="B1296" s="1"/>
      <c r="C1296" s="1"/>
      <c r="D1296" s="71">
        <v>14.99</v>
      </c>
      <c r="E1296" s="71">
        <v>4.0</v>
      </c>
      <c r="F1296" s="71">
        <f>D1296-E1296</f>
        <v>10.99</v>
      </c>
      <c r="G1296" s="39">
        <v>5.0</v>
      </c>
      <c r="H1296" s="71">
        <f t="shared" si="662"/>
        <v>0.8</v>
      </c>
    </row>
    <row r="1297">
      <c r="A1297" s="179"/>
      <c r="B1297" s="477"/>
      <c r="C1297" s="477"/>
      <c r="D1297" s="478"/>
      <c r="E1297" s="478"/>
      <c r="F1297" s="478"/>
      <c r="G1297" s="179"/>
      <c r="H1297" s="181"/>
    </row>
    <row r="1298">
      <c r="A1298" s="43" t="s">
        <v>518</v>
      </c>
      <c r="B1298" s="43" t="s">
        <v>29</v>
      </c>
      <c r="C1298" s="44">
        <f>COUNTA(A1299)</f>
        <v>1</v>
      </c>
      <c r="D1298" s="47">
        <f t="shared" ref="D1298:G1298" si="663">SUM(D1299)</f>
        <v>12.99</v>
      </c>
      <c r="E1298" s="47">
        <f t="shared" si="663"/>
        <v>3.99</v>
      </c>
      <c r="F1298" s="47">
        <f t="shared" si="663"/>
        <v>9</v>
      </c>
      <c r="G1298" s="43">
        <f t="shared" si="663"/>
        <v>5</v>
      </c>
      <c r="H1298" s="47">
        <f t="shared" ref="H1298:H1299" si="664">E1298/G1298</f>
        <v>0.798</v>
      </c>
    </row>
    <row r="1299">
      <c r="A1299" s="39" t="s">
        <v>1561</v>
      </c>
      <c r="B1299" s="1"/>
      <c r="C1299" s="1"/>
      <c r="D1299" s="71">
        <v>12.99</v>
      </c>
      <c r="E1299" s="71">
        <v>3.99</v>
      </c>
      <c r="F1299" s="71">
        <f>D1299-E1299</f>
        <v>9</v>
      </c>
      <c r="G1299" s="39">
        <v>5.0</v>
      </c>
      <c r="H1299" s="71">
        <f t="shared" si="664"/>
        <v>0.798</v>
      </c>
    </row>
    <row r="1300">
      <c r="A1300" s="179"/>
      <c r="B1300" s="477"/>
      <c r="C1300" s="477"/>
      <c r="D1300" s="478"/>
      <c r="E1300" s="478"/>
      <c r="F1300" s="478"/>
      <c r="G1300" s="179"/>
      <c r="H1300" s="181"/>
    </row>
    <row r="1301">
      <c r="A1301" s="43" t="s">
        <v>178</v>
      </c>
      <c r="B1301" s="44" t="s">
        <v>25</v>
      </c>
      <c r="C1301" s="44">
        <f>COUNTA(A1302)</f>
        <v>1</v>
      </c>
      <c r="D1301" s="47">
        <f t="shared" ref="D1301:G1301" si="665">SUM(D1302)</f>
        <v>5.99</v>
      </c>
      <c r="E1301" s="47">
        <f t="shared" si="665"/>
        <v>4.19</v>
      </c>
      <c r="F1301" s="47">
        <f t="shared" si="665"/>
        <v>1.8</v>
      </c>
      <c r="G1301" s="43">
        <f t="shared" si="665"/>
        <v>5</v>
      </c>
      <c r="H1301" s="47">
        <f t="shared" ref="H1301:H1302" si="666">E1301/G1301</f>
        <v>0.838</v>
      </c>
    </row>
    <row r="1302">
      <c r="A1302" s="39" t="s">
        <v>941</v>
      </c>
      <c r="B1302" s="1"/>
      <c r="C1302" s="1"/>
      <c r="D1302" s="71">
        <v>5.99</v>
      </c>
      <c r="E1302" s="71">
        <v>4.19</v>
      </c>
      <c r="F1302" s="71">
        <f>D1302-E1302</f>
        <v>1.8</v>
      </c>
      <c r="G1302" s="39">
        <v>5.0</v>
      </c>
      <c r="H1302" s="71">
        <f t="shared" si="666"/>
        <v>0.838</v>
      </c>
    </row>
    <row r="1303">
      <c r="A1303" s="179"/>
      <c r="B1303" s="477"/>
      <c r="C1303" s="477"/>
      <c r="D1303" s="478"/>
      <c r="E1303" s="478"/>
      <c r="F1303" s="478"/>
      <c r="G1303" s="179"/>
      <c r="H1303" s="181"/>
    </row>
    <row r="1304">
      <c r="A1304" s="43" t="s">
        <v>177</v>
      </c>
      <c r="B1304" s="44" t="s">
        <v>25</v>
      </c>
      <c r="C1304" s="44">
        <f>COUNTA(A1305)</f>
        <v>1</v>
      </c>
      <c r="D1304" s="47">
        <f t="shared" ref="D1304:G1304" si="667">SUM(D1305)</f>
        <v>4.99</v>
      </c>
      <c r="E1304" s="47">
        <f t="shared" si="667"/>
        <v>4.99</v>
      </c>
      <c r="F1304" s="47">
        <f t="shared" si="667"/>
        <v>0</v>
      </c>
      <c r="G1304" s="43">
        <f t="shared" si="667"/>
        <v>5</v>
      </c>
      <c r="H1304" s="47">
        <f t="shared" ref="H1304:H1305" si="668">E1304/G1304</f>
        <v>0.998</v>
      </c>
    </row>
    <row r="1305">
      <c r="A1305" s="39" t="s">
        <v>861</v>
      </c>
      <c r="B1305" s="1"/>
      <c r="C1305" s="1"/>
      <c r="D1305" s="71">
        <v>4.99</v>
      </c>
      <c r="E1305" s="71">
        <v>4.99</v>
      </c>
      <c r="F1305" s="71">
        <f>D1305-E1305</f>
        <v>0</v>
      </c>
      <c r="G1305" s="39">
        <v>5.0</v>
      </c>
      <c r="H1305" s="71">
        <f t="shared" si="668"/>
        <v>0.998</v>
      </c>
    </row>
    <row r="1306">
      <c r="A1306" s="179"/>
      <c r="B1306" s="477"/>
      <c r="C1306" s="477"/>
      <c r="D1306" s="478"/>
      <c r="E1306" s="478"/>
      <c r="F1306" s="478"/>
      <c r="G1306" s="179"/>
      <c r="H1306" s="181"/>
    </row>
    <row r="1307">
      <c r="A1307" s="102" t="s">
        <v>297</v>
      </c>
      <c r="B1307" s="102" t="s">
        <v>291</v>
      </c>
      <c r="C1307" s="103">
        <f>COUNTA(A1308)</f>
        <v>1</v>
      </c>
      <c r="D1307" s="170">
        <f t="shared" ref="D1307:G1307" si="669">SUM(D1308)</f>
        <v>4.99</v>
      </c>
      <c r="E1307" s="170">
        <f t="shared" si="669"/>
        <v>4.99</v>
      </c>
      <c r="F1307" s="170">
        <f t="shared" si="669"/>
        <v>0</v>
      </c>
      <c r="G1307" s="102">
        <f t="shared" si="669"/>
        <v>5</v>
      </c>
      <c r="H1307" s="170">
        <f t="shared" ref="H1307:H1308" si="670">E1307/G1307</f>
        <v>0.998</v>
      </c>
    </row>
    <row r="1308">
      <c r="A1308" s="25" t="s">
        <v>1032</v>
      </c>
      <c r="B1308" s="1"/>
      <c r="C1308" s="1"/>
      <c r="D1308" s="26">
        <v>4.99</v>
      </c>
      <c r="E1308" s="26">
        <v>4.99</v>
      </c>
      <c r="F1308" s="26">
        <f>D1308-E1308</f>
        <v>0</v>
      </c>
      <c r="G1308" s="25">
        <v>5.0</v>
      </c>
      <c r="H1308" s="26">
        <f t="shared" si="670"/>
        <v>0.998</v>
      </c>
    </row>
    <row r="1309">
      <c r="A1309" s="179"/>
      <c r="B1309" s="477"/>
      <c r="C1309" s="477"/>
      <c r="D1309" s="478"/>
      <c r="E1309" s="478"/>
      <c r="F1309" s="478"/>
      <c r="G1309" s="179"/>
      <c r="H1309" s="181"/>
    </row>
    <row r="1310">
      <c r="A1310" s="233" t="s">
        <v>431</v>
      </c>
      <c r="B1310" s="233" t="s">
        <v>430</v>
      </c>
      <c r="C1310" s="236">
        <f>COUNTA(A1311)</f>
        <v>1</v>
      </c>
      <c r="D1310" s="235">
        <f t="shared" ref="D1310:G1310" si="671">SUM(D1311)</f>
        <v>8.99</v>
      </c>
      <c r="E1310" s="235">
        <f t="shared" si="671"/>
        <v>5.49</v>
      </c>
      <c r="F1310" s="235">
        <f t="shared" si="671"/>
        <v>3.5</v>
      </c>
      <c r="G1310" s="233">
        <f t="shared" si="671"/>
        <v>5</v>
      </c>
      <c r="H1310" s="235">
        <f t="shared" ref="H1310:H1311" si="672">E1310/G1310</f>
        <v>1.098</v>
      </c>
    </row>
    <row r="1311">
      <c r="A1311" s="238" t="s">
        <v>1370</v>
      </c>
      <c r="B1311" s="1"/>
      <c r="C1311" s="1"/>
      <c r="D1311" s="242">
        <v>8.99</v>
      </c>
      <c r="E1311" s="242">
        <v>5.49</v>
      </c>
      <c r="F1311" s="242">
        <f>D1311-E1311</f>
        <v>3.5</v>
      </c>
      <c r="G1311" s="239">
        <v>5.0</v>
      </c>
      <c r="H1311" s="242">
        <f t="shared" si="672"/>
        <v>1.098</v>
      </c>
    </row>
    <row r="1312">
      <c r="A1312" s="179"/>
      <c r="B1312" s="477"/>
      <c r="C1312" s="477"/>
      <c r="D1312" s="478"/>
      <c r="E1312" s="478"/>
      <c r="F1312" s="478"/>
      <c r="G1312" s="179"/>
      <c r="H1312" s="181"/>
    </row>
    <row r="1313">
      <c r="A1313" s="53" t="s">
        <v>427</v>
      </c>
      <c r="B1313" s="53" t="s">
        <v>422</v>
      </c>
      <c r="C1313" s="75">
        <f>COUNTA(A1314)</f>
        <v>1</v>
      </c>
      <c r="D1313" s="76">
        <f t="shared" ref="D1313:G1313" si="673">SUM(D1314)</f>
        <v>7.99</v>
      </c>
      <c r="E1313" s="76">
        <f t="shared" si="673"/>
        <v>5.59</v>
      </c>
      <c r="F1313" s="76">
        <f t="shared" si="673"/>
        <v>2.4</v>
      </c>
      <c r="G1313" s="53">
        <f t="shared" si="673"/>
        <v>5</v>
      </c>
      <c r="H1313" s="76">
        <f t="shared" ref="H1313:H1314" si="674">E1313/G1313</f>
        <v>1.118</v>
      </c>
    </row>
    <row r="1314">
      <c r="A1314" s="79" t="s">
        <v>1360</v>
      </c>
      <c r="B1314" s="1"/>
      <c r="C1314" s="1"/>
      <c r="D1314" s="52">
        <v>7.99</v>
      </c>
      <c r="E1314" s="52">
        <v>5.59</v>
      </c>
      <c r="F1314" s="52">
        <f>D1314-E1314</f>
        <v>2.4</v>
      </c>
      <c r="G1314" s="79">
        <v>5.0</v>
      </c>
      <c r="H1314" s="52">
        <f t="shared" si="674"/>
        <v>1.118</v>
      </c>
    </row>
    <row r="1315">
      <c r="A1315" s="179"/>
      <c r="B1315" s="477"/>
      <c r="C1315" s="477"/>
      <c r="D1315" s="478"/>
      <c r="E1315" s="478"/>
      <c r="F1315" s="478"/>
      <c r="G1315" s="179"/>
      <c r="H1315" s="181"/>
    </row>
    <row r="1316">
      <c r="A1316" s="43" t="s">
        <v>406</v>
      </c>
      <c r="B1316" s="43" t="s">
        <v>400</v>
      </c>
      <c r="C1316" s="44">
        <f>COUNTA(A1317)</f>
        <v>1</v>
      </c>
      <c r="D1316" s="47">
        <f t="shared" ref="D1316:G1316" si="675">SUM(D1317)</f>
        <v>9.99</v>
      </c>
      <c r="E1316" s="47">
        <f t="shared" si="675"/>
        <v>5.99</v>
      </c>
      <c r="F1316" s="47">
        <f t="shared" si="675"/>
        <v>4</v>
      </c>
      <c r="G1316" s="43">
        <f t="shared" si="675"/>
        <v>5</v>
      </c>
      <c r="H1316" s="47">
        <f t="shared" ref="H1316:H1317" si="676">E1316/G1316</f>
        <v>1.198</v>
      </c>
    </row>
    <row r="1317">
      <c r="A1317" s="39" t="s">
        <v>1338</v>
      </c>
      <c r="B1317" s="1"/>
      <c r="C1317" s="1"/>
      <c r="D1317" s="71">
        <v>9.99</v>
      </c>
      <c r="E1317" s="71">
        <v>5.99</v>
      </c>
      <c r="F1317" s="71">
        <f>D1317-E1317</f>
        <v>4</v>
      </c>
      <c r="G1317" s="39">
        <v>5.0</v>
      </c>
      <c r="H1317" s="71">
        <f t="shared" si="676"/>
        <v>1.198</v>
      </c>
    </row>
    <row r="1318">
      <c r="A1318" s="179"/>
      <c r="B1318" s="477"/>
      <c r="C1318" s="477"/>
      <c r="D1318" s="478"/>
      <c r="E1318" s="478"/>
      <c r="F1318" s="478"/>
      <c r="G1318" s="179"/>
      <c r="H1318" s="181"/>
    </row>
    <row r="1319">
      <c r="A1319" s="246" t="s">
        <v>448</v>
      </c>
      <c r="B1319" s="246" t="s">
        <v>443</v>
      </c>
      <c r="C1319" s="493">
        <f>COUNTA(A1320)</f>
        <v>1</v>
      </c>
      <c r="D1319" s="248">
        <f t="shared" ref="D1319:G1319" si="677">SUM(D1320)</f>
        <v>5.99</v>
      </c>
      <c r="E1319" s="248">
        <f t="shared" si="677"/>
        <v>5.99</v>
      </c>
      <c r="F1319" s="248">
        <f t="shared" si="677"/>
        <v>0</v>
      </c>
      <c r="G1319" s="246">
        <f t="shared" si="677"/>
        <v>5</v>
      </c>
      <c r="H1319" s="248">
        <f t="shared" ref="H1319:H1320" si="678">E1319/G1319</f>
        <v>1.198</v>
      </c>
    </row>
    <row r="1320">
      <c r="A1320" s="250" t="s">
        <v>1385</v>
      </c>
      <c r="B1320" s="494"/>
      <c r="C1320" s="494"/>
      <c r="D1320" s="253">
        <v>5.99</v>
      </c>
      <c r="E1320" s="253">
        <v>5.99</v>
      </c>
      <c r="F1320" s="253">
        <f>D1320-E1320</f>
        <v>0</v>
      </c>
      <c r="G1320" s="250">
        <v>5.0</v>
      </c>
      <c r="H1320" s="253">
        <f t="shared" si="678"/>
        <v>1.198</v>
      </c>
    </row>
    <row r="1321">
      <c r="A1321" s="179"/>
      <c r="B1321" s="477"/>
      <c r="C1321" s="477"/>
      <c r="D1321" s="478"/>
      <c r="E1321" s="478"/>
      <c r="F1321" s="478"/>
      <c r="G1321" s="179"/>
      <c r="H1321" s="181"/>
    </row>
    <row r="1322">
      <c r="A1322" s="43" t="s">
        <v>110</v>
      </c>
      <c r="B1322" s="43" t="s">
        <v>92</v>
      </c>
      <c r="C1322" s="44">
        <f>COUNTA(A1323)</f>
        <v>1</v>
      </c>
      <c r="D1322" s="47">
        <f t="shared" ref="D1322:G1322" si="679">SUM(D1323)</f>
        <v>6.19</v>
      </c>
      <c r="E1322" s="47">
        <f t="shared" si="679"/>
        <v>6.19</v>
      </c>
      <c r="F1322" s="47">
        <f t="shared" si="679"/>
        <v>0</v>
      </c>
      <c r="G1322" s="43">
        <f t="shared" si="679"/>
        <v>5</v>
      </c>
      <c r="H1322" s="47">
        <f t="shared" ref="H1322:H1323" si="680">E1322/G1322</f>
        <v>1.238</v>
      </c>
    </row>
    <row r="1323">
      <c r="A1323" s="39" t="s">
        <v>1788</v>
      </c>
      <c r="B1323" s="1"/>
      <c r="C1323" s="1"/>
      <c r="D1323" s="71">
        <v>6.19</v>
      </c>
      <c r="E1323" s="71">
        <v>6.19</v>
      </c>
      <c r="F1323" s="71">
        <f>D1323-E1323</f>
        <v>0</v>
      </c>
      <c r="G1323" s="39">
        <v>5.0</v>
      </c>
      <c r="H1323" s="71">
        <f t="shared" si="680"/>
        <v>1.238</v>
      </c>
    </row>
    <row r="1324">
      <c r="A1324" s="179"/>
      <c r="B1324" s="477"/>
      <c r="C1324" s="477"/>
      <c r="D1324" s="478"/>
      <c r="E1324" s="478"/>
      <c r="F1324" s="478"/>
      <c r="G1324" s="179"/>
      <c r="H1324" s="181"/>
    </row>
    <row r="1325">
      <c r="A1325" s="43" t="s">
        <v>555</v>
      </c>
      <c r="B1325" s="69" t="s">
        <v>29</v>
      </c>
      <c r="C1325" s="44">
        <f>COUNTA(A1326)</f>
        <v>1</v>
      </c>
      <c r="D1325" s="47">
        <f t="shared" ref="D1325:G1325" si="681">SUM(D1326)</f>
        <v>7.99</v>
      </c>
      <c r="E1325" s="47">
        <f t="shared" si="681"/>
        <v>7.99</v>
      </c>
      <c r="F1325" s="47">
        <f t="shared" si="681"/>
        <v>0</v>
      </c>
      <c r="G1325" s="43">
        <f t="shared" si="681"/>
        <v>5</v>
      </c>
      <c r="H1325" s="47">
        <f t="shared" ref="H1325:H1326" si="682">E1325/G1325</f>
        <v>1.598</v>
      </c>
    </row>
    <row r="1326">
      <c r="A1326" s="39" t="s">
        <v>1555</v>
      </c>
      <c r="B1326" s="1"/>
      <c r="C1326" s="1"/>
      <c r="D1326" s="71">
        <v>7.99</v>
      </c>
      <c r="E1326" s="71">
        <v>7.99</v>
      </c>
      <c r="F1326" s="71">
        <f>D1326-E1326</f>
        <v>0</v>
      </c>
      <c r="G1326" s="39">
        <v>5.0</v>
      </c>
      <c r="H1326" s="71">
        <f t="shared" si="682"/>
        <v>1.598</v>
      </c>
    </row>
    <row r="1327">
      <c r="A1327" s="179"/>
      <c r="B1327" s="477"/>
      <c r="C1327" s="477"/>
      <c r="D1327" s="478"/>
      <c r="E1327" s="478"/>
      <c r="F1327" s="478"/>
      <c r="G1327" s="179"/>
      <c r="H1327" s="181"/>
    </row>
    <row r="1328">
      <c r="A1328" s="43" t="s">
        <v>510</v>
      </c>
      <c r="B1328" s="43" t="s">
        <v>29</v>
      </c>
      <c r="C1328" s="44">
        <f>COUNTA(A1329)</f>
        <v>1</v>
      </c>
      <c r="D1328" s="47">
        <f t="shared" ref="D1328:G1328" si="683">SUM(D1329)</f>
        <v>14.99</v>
      </c>
      <c r="E1328" s="47">
        <f t="shared" si="683"/>
        <v>8.24</v>
      </c>
      <c r="F1328" s="47">
        <f t="shared" si="683"/>
        <v>6.75</v>
      </c>
      <c r="G1328" s="43">
        <f t="shared" si="683"/>
        <v>5</v>
      </c>
      <c r="H1328" s="47">
        <f t="shared" ref="H1328:H1329" si="684">E1328/G1328</f>
        <v>1.648</v>
      </c>
    </row>
    <row r="1329">
      <c r="A1329" s="39" t="s">
        <v>1664</v>
      </c>
      <c r="B1329" s="1"/>
      <c r="C1329" s="1"/>
      <c r="D1329" s="71">
        <v>14.99</v>
      </c>
      <c r="E1329" s="71">
        <v>8.24</v>
      </c>
      <c r="F1329" s="71">
        <f>D1329-E1329</f>
        <v>6.75</v>
      </c>
      <c r="G1329" s="39">
        <v>5.0</v>
      </c>
      <c r="H1329" s="71">
        <f t="shared" si="684"/>
        <v>1.648</v>
      </c>
    </row>
    <row r="1330">
      <c r="A1330" s="179"/>
      <c r="B1330" s="477"/>
      <c r="C1330" s="477"/>
      <c r="D1330" s="478"/>
      <c r="E1330" s="478"/>
      <c r="F1330" s="478"/>
      <c r="G1330" s="179"/>
      <c r="H1330" s="181"/>
    </row>
    <row r="1331">
      <c r="A1331" s="53" t="s">
        <v>149</v>
      </c>
      <c r="B1331" s="53" t="s">
        <v>150</v>
      </c>
      <c r="C1331" s="75">
        <f>COUNTA(A1332:A1335)</f>
        <v>4</v>
      </c>
      <c r="D1331" s="163">
        <f t="shared" ref="D1331:G1331" si="685">SUM(D1332:D1335)</f>
        <v>59.98</v>
      </c>
      <c r="E1331" s="163">
        <f t="shared" si="685"/>
        <v>8.98</v>
      </c>
      <c r="F1331" s="163">
        <f t="shared" si="685"/>
        <v>51</v>
      </c>
      <c r="G1331" s="75">
        <f t="shared" si="685"/>
        <v>5</v>
      </c>
      <c r="H1331" s="163">
        <f t="shared" ref="H1331:H1335" si="686">E1331/G1331</f>
        <v>1.796</v>
      </c>
    </row>
    <row r="1332">
      <c r="A1332" s="79" t="s">
        <v>780</v>
      </c>
      <c r="B1332" s="79"/>
      <c r="C1332" s="79"/>
      <c r="D1332" s="166">
        <v>10.0</v>
      </c>
      <c r="E1332" s="166">
        <v>1.5</v>
      </c>
      <c r="F1332" s="166">
        <f t="shared" ref="F1332:F1335" si="687">D1332-E1332</f>
        <v>8.5</v>
      </c>
      <c r="G1332" s="49">
        <v>2.0</v>
      </c>
      <c r="H1332" s="166">
        <f t="shared" si="686"/>
        <v>0.75</v>
      </c>
    </row>
    <row r="1333">
      <c r="A1333" s="79" t="s">
        <v>777</v>
      </c>
      <c r="B1333" s="79"/>
      <c r="C1333" s="79"/>
      <c r="D1333" s="166">
        <v>9.99</v>
      </c>
      <c r="E1333" s="166">
        <v>1.49</v>
      </c>
      <c r="F1333" s="166">
        <f t="shared" si="687"/>
        <v>8.5</v>
      </c>
      <c r="G1333" s="79">
        <v>1.0</v>
      </c>
      <c r="H1333" s="166">
        <f t="shared" si="686"/>
        <v>1.49</v>
      </c>
    </row>
    <row r="1334">
      <c r="A1334" s="79" t="s">
        <v>781</v>
      </c>
      <c r="B1334" s="79"/>
      <c r="C1334" s="79"/>
      <c r="D1334" s="166">
        <v>10.0</v>
      </c>
      <c r="E1334" s="166">
        <v>1.5</v>
      </c>
      <c r="F1334" s="166">
        <f t="shared" si="687"/>
        <v>8.5</v>
      </c>
      <c r="G1334" s="79">
        <v>1.0</v>
      </c>
      <c r="H1334" s="166">
        <f t="shared" si="686"/>
        <v>1.5</v>
      </c>
    </row>
    <row r="1335">
      <c r="A1335" s="49" t="s">
        <v>778</v>
      </c>
      <c r="B1335" s="79"/>
      <c r="C1335" s="79"/>
      <c r="D1335" s="161">
        <v>29.99</v>
      </c>
      <c r="E1335" s="161">
        <v>4.49</v>
      </c>
      <c r="F1335" s="166">
        <f t="shared" si="687"/>
        <v>25.5</v>
      </c>
      <c r="G1335" s="79">
        <v>1.0</v>
      </c>
      <c r="H1335" s="166">
        <f t="shared" si="686"/>
        <v>4.49</v>
      </c>
    </row>
    <row r="1336">
      <c r="A1336" s="179"/>
      <c r="B1336" s="477"/>
      <c r="C1336" s="477"/>
      <c r="D1336" s="478"/>
      <c r="E1336" s="478"/>
      <c r="F1336" s="478"/>
      <c r="G1336" s="179"/>
      <c r="H1336" s="181"/>
    </row>
    <row r="1337">
      <c r="A1337" s="104" t="s">
        <v>63</v>
      </c>
      <c r="B1337" s="104" t="s">
        <v>57</v>
      </c>
      <c r="C1337" s="243">
        <f>COUNTA(A1338)</f>
        <v>1</v>
      </c>
      <c r="D1337" s="106">
        <f t="shared" ref="D1337:G1337" si="688">SUM(D1338)</f>
        <v>17.99</v>
      </c>
      <c r="E1337" s="106">
        <f t="shared" si="688"/>
        <v>8.99</v>
      </c>
      <c r="F1337" s="106">
        <f t="shared" si="688"/>
        <v>9</v>
      </c>
      <c r="G1337" s="104">
        <f t="shared" si="688"/>
        <v>5</v>
      </c>
      <c r="H1337" s="106">
        <f t="shared" ref="H1337:H1338" si="689">E1337/G1337</f>
        <v>1.798</v>
      </c>
    </row>
    <row r="1338">
      <c r="A1338" s="108" t="s">
        <v>659</v>
      </c>
      <c r="B1338" s="474"/>
      <c r="C1338" s="474"/>
      <c r="D1338" s="111">
        <v>17.99</v>
      </c>
      <c r="E1338" s="111">
        <v>8.99</v>
      </c>
      <c r="F1338" s="111">
        <f>D1338-E1338</f>
        <v>9</v>
      </c>
      <c r="G1338" s="109">
        <v>5.0</v>
      </c>
      <c r="H1338" s="111">
        <f t="shared" si="689"/>
        <v>1.798</v>
      </c>
    </row>
    <row r="1339">
      <c r="A1339" s="179"/>
      <c r="B1339" s="477"/>
      <c r="C1339" s="477"/>
      <c r="D1339" s="478"/>
      <c r="E1339" s="478"/>
      <c r="F1339" s="478"/>
      <c r="G1339" s="179"/>
      <c r="H1339" s="181"/>
    </row>
    <row r="1340">
      <c r="A1340" s="43" t="s">
        <v>545</v>
      </c>
      <c r="B1340" s="43" t="s">
        <v>29</v>
      </c>
      <c r="C1340" s="44">
        <f>COUNTA(A1341:A1344)</f>
        <v>4</v>
      </c>
      <c r="D1340" s="145">
        <f t="shared" ref="D1340:G1340" si="690">SUM(D1341:D1344)</f>
        <v>49.96</v>
      </c>
      <c r="E1340" s="145">
        <f t="shared" si="690"/>
        <v>9.97</v>
      </c>
      <c r="F1340" s="145">
        <f t="shared" si="690"/>
        <v>39.99</v>
      </c>
      <c r="G1340" s="44">
        <f t="shared" si="690"/>
        <v>5</v>
      </c>
      <c r="H1340" s="145">
        <f t="shared" ref="H1340:H1344" si="691">E1340/G1340</f>
        <v>1.994</v>
      </c>
    </row>
    <row r="1341">
      <c r="A1341" s="72" t="s">
        <v>1718</v>
      </c>
      <c r="B1341" s="1"/>
      <c r="C1341" s="1"/>
      <c r="D1341" s="71">
        <v>29.99</v>
      </c>
      <c r="E1341" s="71">
        <v>0.0</v>
      </c>
      <c r="F1341" s="71">
        <f t="shared" ref="F1341:F1344" si="692">D1341-E1341</f>
        <v>29.99</v>
      </c>
      <c r="G1341" s="39">
        <v>2.0</v>
      </c>
      <c r="H1341" s="71">
        <f t="shared" si="691"/>
        <v>0</v>
      </c>
    </row>
    <row r="1342">
      <c r="A1342" s="39" t="s">
        <v>1443</v>
      </c>
      <c r="B1342" s="1"/>
      <c r="C1342" s="1"/>
      <c r="D1342" s="71">
        <v>4.99</v>
      </c>
      <c r="E1342" s="71">
        <v>2.49</v>
      </c>
      <c r="F1342" s="71">
        <f t="shared" si="692"/>
        <v>2.5</v>
      </c>
      <c r="G1342" s="39">
        <v>1.0</v>
      </c>
      <c r="H1342" s="71">
        <f t="shared" si="691"/>
        <v>2.49</v>
      </c>
    </row>
    <row r="1343">
      <c r="A1343" s="39" t="s">
        <v>1442</v>
      </c>
      <c r="B1343" s="1"/>
      <c r="C1343" s="1"/>
      <c r="D1343" s="71">
        <v>4.99</v>
      </c>
      <c r="E1343" s="71">
        <v>2.49</v>
      </c>
      <c r="F1343" s="71">
        <f t="shared" si="692"/>
        <v>2.5</v>
      </c>
      <c r="G1343" s="39">
        <v>1.0</v>
      </c>
      <c r="H1343" s="71">
        <f t="shared" si="691"/>
        <v>2.49</v>
      </c>
    </row>
    <row r="1344">
      <c r="A1344" s="39" t="s">
        <v>1684</v>
      </c>
      <c r="B1344" s="1"/>
      <c r="C1344" s="1"/>
      <c r="D1344" s="71">
        <v>9.99</v>
      </c>
      <c r="E1344" s="71">
        <v>4.99</v>
      </c>
      <c r="F1344" s="71">
        <f t="shared" si="692"/>
        <v>5</v>
      </c>
      <c r="G1344" s="39">
        <v>1.0</v>
      </c>
      <c r="H1344" s="71">
        <f t="shared" si="691"/>
        <v>4.99</v>
      </c>
    </row>
    <row r="1345">
      <c r="A1345" s="39"/>
      <c r="B1345" s="1"/>
      <c r="C1345" s="1"/>
      <c r="D1345" s="71"/>
      <c r="E1345" s="71"/>
      <c r="F1345" s="71"/>
      <c r="G1345" s="39"/>
      <c r="H1345" s="71"/>
    </row>
    <row r="1346">
      <c r="A1346" s="43" t="s">
        <v>372</v>
      </c>
      <c r="B1346" s="43" t="s">
        <v>325</v>
      </c>
      <c r="C1346" s="44">
        <f>COUNTA(A1347)</f>
        <v>1</v>
      </c>
      <c r="D1346" s="47">
        <f t="shared" ref="D1346:G1346" si="693">SUM(D1347)</f>
        <v>9.99</v>
      </c>
      <c r="E1346" s="47">
        <f t="shared" si="693"/>
        <v>9.99</v>
      </c>
      <c r="F1346" s="47">
        <f t="shared" si="693"/>
        <v>0</v>
      </c>
      <c r="G1346" s="43">
        <f t="shared" si="693"/>
        <v>5</v>
      </c>
      <c r="H1346" s="47">
        <f t="shared" ref="H1346:H1347" si="694">E1346/G1346</f>
        <v>1.998</v>
      </c>
    </row>
    <row r="1347">
      <c r="A1347" s="39" t="s">
        <v>1189</v>
      </c>
      <c r="B1347" s="1"/>
      <c r="C1347" s="1"/>
      <c r="D1347" s="71">
        <v>9.99</v>
      </c>
      <c r="E1347" s="71">
        <v>9.99</v>
      </c>
      <c r="F1347" s="71">
        <f>D1347-E1347</f>
        <v>0</v>
      </c>
      <c r="G1347" s="39">
        <v>5.0</v>
      </c>
      <c r="H1347" s="71">
        <f t="shared" si="694"/>
        <v>1.998</v>
      </c>
    </row>
    <row r="1348">
      <c r="A1348" s="179"/>
      <c r="B1348" s="477"/>
      <c r="C1348" s="477"/>
      <c r="D1348" s="478"/>
      <c r="E1348" s="478"/>
      <c r="F1348" s="478"/>
      <c r="G1348" s="179"/>
      <c r="H1348" s="181"/>
    </row>
    <row r="1349">
      <c r="A1349" s="43" t="s">
        <v>307</v>
      </c>
      <c r="B1349" s="44" t="s">
        <v>308</v>
      </c>
      <c r="C1349" s="44">
        <f>COUNTA(A1350)</f>
        <v>1</v>
      </c>
      <c r="D1349" s="47">
        <f t="shared" ref="D1349:G1349" si="695">SUM(D1350)</f>
        <v>9.99</v>
      </c>
      <c r="E1349" s="47">
        <f t="shared" si="695"/>
        <v>9.99</v>
      </c>
      <c r="F1349" s="47">
        <f t="shared" si="695"/>
        <v>0</v>
      </c>
      <c r="G1349" s="43">
        <f t="shared" si="695"/>
        <v>5</v>
      </c>
      <c r="H1349" s="47">
        <f t="shared" ref="H1349:H1350" si="696">E1349/G1349</f>
        <v>1.998</v>
      </c>
    </row>
    <row r="1350">
      <c r="A1350" s="39" t="s">
        <v>1050</v>
      </c>
      <c r="B1350" s="1"/>
      <c r="C1350" s="1"/>
      <c r="D1350" s="71">
        <v>9.99</v>
      </c>
      <c r="E1350" s="71">
        <v>9.99</v>
      </c>
      <c r="F1350" s="71">
        <f>D1350-E1350</f>
        <v>0</v>
      </c>
      <c r="G1350" s="72">
        <v>5.0</v>
      </c>
      <c r="H1350" s="71">
        <f t="shared" si="696"/>
        <v>1.998</v>
      </c>
    </row>
    <row r="1351">
      <c r="A1351" s="179"/>
      <c r="B1351" s="477"/>
      <c r="C1351" s="477"/>
      <c r="D1351" s="478"/>
      <c r="E1351" s="478"/>
      <c r="F1351" s="478"/>
      <c r="G1351" s="179"/>
      <c r="H1351" s="181"/>
    </row>
    <row r="1352">
      <c r="A1352" s="43" t="s">
        <v>536</v>
      </c>
      <c r="B1352" s="69" t="s">
        <v>29</v>
      </c>
      <c r="C1352" s="44">
        <f>COUNTA(A1353)</f>
        <v>1</v>
      </c>
      <c r="D1352" s="47">
        <f t="shared" ref="D1352:G1352" si="697">SUM(D1353)</f>
        <v>17.99</v>
      </c>
      <c r="E1352" s="47">
        <f t="shared" si="697"/>
        <v>14.39</v>
      </c>
      <c r="F1352" s="47">
        <f t="shared" si="697"/>
        <v>3.6</v>
      </c>
      <c r="G1352" s="43">
        <f t="shared" si="697"/>
        <v>5</v>
      </c>
      <c r="H1352" s="47">
        <f t="shared" ref="H1352:H1353" si="698">E1352/G1352</f>
        <v>2.878</v>
      </c>
    </row>
    <row r="1353">
      <c r="A1353" s="39" t="s">
        <v>1676</v>
      </c>
      <c r="B1353" s="1"/>
      <c r="C1353" s="1"/>
      <c r="D1353" s="71">
        <v>17.99</v>
      </c>
      <c r="E1353" s="71">
        <v>14.39</v>
      </c>
      <c r="F1353" s="71">
        <f>D1353-E1353</f>
        <v>3.6</v>
      </c>
      <c r="G1353" s="39">
        <v>5.0</v>
      </c>
      <c r="H1353" s="71">
        <f t="shared" si="698"/>
        <v>2.878</v>
      </c>
    </row>
    <row r="1354">
      <c r="A1354" s="39"/>
      <c r="B1354" s="1"/>
      <c r="C1354" s="1"/>
      <c r="D1354" s="71"/>
      <c r="E1354" s="71"/>
      <c r="F1354" s="71"/>
      <c r="G1354" s="39"/>
      <c r="H1354" s="71"/>
    </row>
    <row r="1355">
      <c r="A1355" s="43" t="s">
        <v>225</v>
      </c>
      <c r="B1355" s="43" t="s">
        <v>25</v>
      </c>
      <c r="C1355" s="44">
        <f>COUNTA(A1356:A1358)</f>
        <v>3</v>
      </c>
      <c r="D1355" s="145">
        <f t="shared" ref="D1355:G1355" si="699">SUM(D1356:D1358)</f>
        <v>34.98</v>
      </c>
      <c r="E1355" s="145">
        <f t="shared" si="699"/>
        <v>14.99</v>
      </c>
      <c r="F1355" s="145">
        <f t="shared" si="699"/>
        <v>19.99</v>
      </c>
      <c r="G1355" s="44">
        <f t="shared" si="699"/>
        <v>5</v>
      </c>
      <c r="H1355" s="145">
        <f t="shared" ref="H1355:H1358" si="700">E1355/G1355</f>
        <v>2.998</v>
      </c>
    </row>
    <row r="1356">
      <c r="A1356" s="39" t="s">
        <v>830</v>
      </c>
      <c r="B1356" s="1"/>
      <c r="C1356" s="1"/>
      <c r="D1356" s="71">
        <v>11.66</v>
      </c>
      <c r="E1356" s="71">
        <v>5.0</v>
      </c>
      <c r="F1356" s="71">
        <f t="shared" ref="F1356:F1358" si="701">D1356-E1356</f>
        <v>6.66</v>
      </c>
      <c r="G1356" s="72">
        <v>3.0</v>
      </c>
      <c r="H1356" s="71">
        <f t="shared" si="700"/>
        <v>1.666666667</v>
      </c>
    </row>
    <row r="1357">
      <c r="A1357" s="39" t="s">
        <v>828</v>
      </c>
      <c r="B1357" s="1"/>
      <c r="C1357" s="1"/>
      <c r="D1357" s="71">
        <v>11.66</v>
      </c>
      <c r="E1357" s="71">
        <v>4.99</v>
      </c>
      <c r="F1357" s="71">
        <f t="shared" si="701"/>
        <v>6.67</v>
      </c>
      <c r="G1357" s="39">
        <v>1.0</v>
      </c>
      <c r="H1357" s="71">
        <f t="shared" si="700"/>
        <v>4.99</v>
      </c>
    </row>
    <row r="1358">
      <c r="A1358" s="39" t="s">
        <v>832</v>
      </c>
      <c r="B1358" s="1"/>
      <c r="C1358" s="1"/>
      <c r="D1358" s="71">
        <v>11.66</v>
      </c>
      <c r="E1358" s="71">
        <v>5.0</v>
      </c>
      <c r="F1358" s="71">
        <f t="shared" si="701"/>
        <v>6.66</v>
      </c>
      <c r="G1358" s="39">
        <v>1.0</v>
      </c>
      <c r="H1358" s="71">
        <f t="shared" si="700"/>
        <v>5</v>
      </c>
    </row>
    <row r="1359">
      <c r="A1359" s="39"/>
      <c r="B1359" s="1"/>
      <c r="C1359" s="1"/>
      <c r="D1359" s="71"/>
      <c r="E1359" s="71"/>
      <c r="F1359" s="71"/>
      <c r="G1359" s="39"/>
      <c r="H1359" s="71"/>
    </row>
    <row r="1360">
      <c r="A1360" s="43" t="s">
        <v>242</v>
      </c>
      <c r="B1360" s="43" t="s">
        <v>25</v>
      </c>
      <c r="C1360" s="44">
        <f>COUNTA(A1361:A1364)</f>
        <v>4</v>
      </c>
      <c r="D1360" s="145">
        <f t="shared" ref="D1360:G1360" si="702">SUM(D1361:D1364)</f>
        <v>68.96</v>
      </c>
      <c r="E1360" s="145">
        <f t="shared" si="702"/>
        <v>21.46</v>
      </c>
      <c r="F1360" s="145">
        <f t="shared" si="702"/>
        <v>47.5</v>
      </c>
      <c r="G1360" s="44">
        <f t="shared" si="702"/>
        <v>5</v>
      </c>
      <c r="H1360" s="145">
        <f t="shared" ref="H1360:H1364" si="703">E1360/G1360</f>
        <v>4.292</v>
      </c>
    </row>
    <row r="1361">
      <c r="A1361" s="39" t="s">
        <v>966</v>
      </c>
      <c r="B1361" s="1"/>
      <c r="C1361" s="1"/>
      <c r="D1361" s="71">
        <v>19.99</v>
      </c>
      <c r="E1361" s="71">
        <v>7.99</v>
      </c>
      <c r="F1361" s="71">
        <f t="shared" ref="F1361:F1364" si="704">D1361-E1361</f>
        <v>12</v>
      </c>
      <c r="G1361" s="39">
        <v>2.0</v>
      </c>
      <c r="H1361" s="71">
        <f t="shared" si="703"/>
        <v>3.995</v>
      </c>
    </row>
    <row r="1362">
      <c r="A1362" s="39" t="s">
        <v>921</v>
      </c>
      <c r="B1362" s="1"/>
      <c r="C1362" s="1"/>
      <c r="D1362" s="71">
        <v>10.99</v>
      </c>
      <c r="E1362" s="71">
        <v>2.99</v>
      </c>
      <c r="F1362" s="71">
        <f t="shared" si="704"/>
        <v>8</v>
      </c>
      <c r="G1362" s="39">
        <v>1.0</v>
      </c>
      <c r="H1362" s="71">
        <f t="shared" si="703"/>
        <v>2.99</v>
      </c>
    </row>
    <row r="1363">
      <c r="A1363" s="39" t="s">
        <v>910</v>
      </c>
      <c r="B1363" s="1"/>
      <c r="C1363" s="1"/>
      <c r="D1363" s="71">
        <v>7.99</v>
      </c>
      <c r="E1363" s="71">
        <v>2.99</v>
      </c>
      <c r="F1363" s="71">
        <f t="shared" si="704"/>
        <v>5</v>
      </c>
      <c r="G1363" s="39">
        <v>1.0</v>
      </c>
      <c r="H1363" s="71">
        <f t="shared" si="703"/>
        <v>2.99</v>
      </c>
    </row>
    <row r="1364">
      <c r="A1364" s="39" t="s">
        <v>927</v>
      </c>
      <c r="B1364" s="1"/>
      <c r="C1364" s="1"/>
      <c r="D1364" s="71">
        <v>29.99</v>
      </c>
      <c r="E1364" s="71">
        <v>7.49</v>
      </c>
      <c r="F1364" s="71">
        <f t="shared" si="704"/>
        <v>22.5</v>
      </c>
      <c r="G1364" s="39">
        <v>1.0</v>
      </c>
      <c r="H1364" s="71">
        <f t="shared" si="703"/>
        <v>7.49</v>
      </c>
    </row>
    <row r="1365">
      <c r="A1365" s="39"/>
      <c r="B1365" s="1"/>
      <c r="C1365" s="1"/>
      <c r="D1365" s="71"/>
      <c r="E1365" s="71"/>
      <c r="F1365" s="71"/>
      <c r="G1365" s="39"/>
      <c r="H1365" s="71"/>
    </row>
    <row r="1366">
      <c r="A1366" s="43" t="s">
        <v>227</v>
      </c>
      <c r="B1366" s="43" t="s">
        <v>25</v>
      </c>
      <c r="C1366" s="44">
        <f>COUNTA(A1367:A1370)</f>
        <v>4</v>
      </c>
      <c r="D1366" s="145">
        <f t="shared" ref="D1366:G1366" si="705">SUM(D1367:D1370)</f>
        <v>97.96</v>
      </c>
      <c r="E1366" s="145">
        <f t="shared" si="705"/>
        <v>26.37</v>
      </c>
      <c r="F1366" s="145">
        <f t="shared" si="705"/>
        <v>71.59</v>
      </c>
      <c r="G1366" s="44">
        <f t="shared" si="705"/>
        <v>5</v>
      </c>
      <c r="H1366" s="145">
        <f t="shared" ref="H1366:H1370" si="706">E1366/G1366</f>
        <v>5.274</v>
      </c>
    </row>
    <row r="1367">
      <c r="A1367" s="39" t="s">
        <v>948</v>
      </c>
      <c r="B1367" s="1"/>
      <c r="C1367" s="1"/>
      <c r="D1367" s="71">
        <v>29.99</v>
      </c>
      <c r="E1367" s="71">
        <v>9.89</v>
      </c>
      <c r="F1367" s="71">
        <f t="shared" ref="F1367:F1370" si="707">D1367-E1367</f>
        <v>20.1</v>
      </c>
      <c r="G1367" s="72">
        <v>2.0</v>
      </c>
      <c r="H1367" s="71">
        <f t="shared" si="706"/>
        <v>4.945</v>
      </c>
    </row>
    <row r="1368">
      <c r="A1368" s="39" t="s">
        <v>952</v>
      </c>
      <c r="B1368" s="1"/>
      <c r="C1368" s="1"/>
      <c r="D1368" s="71">
        <v>29.99</v>
      </c>
      <c r="E1368" s="71">
        <v>0.0</v>
      </c>
      <c r="F1368" s="71">
        <f t="shared" si="707"/>
        <v>29.99</v>
      </c>
      <c r="G1368" s="39">
        <v>1.0</v>
      </c>
      <c r="H1368" s="71">
        <f t="shared" si="706"/>
        <v>0</v>
      </c>
    </row>
    <row r="1369">
      <c r="A1369" s="72" t="s">
        <v>891</v>
      </c>
      <c r="B1369" s="1"/>
      <c r="C1369" s="1"/>
      <c r="D1369" s="71">
        <v>12.99</v>
      </c>
      <c r="E1369" s="71">
        <v>6.49</v>
      </c>
      <c r="F1369" s="71">
        <f t="shared" si="707"/>
        <v>6.5</v>
      </c>
      <c r="G1369" s="39">
        <v>1.0</v>
      </c>
      <c r="H1369" s="71">
        <f t="shared" si="706"/>
        <v>6.49</v>
      </c>
    </row>
    <row r="1370">
      <c r="A1370" s="72" t="s">
        <v>880</v>
      </c>
      <c r="B1370" s="1"/>
      <c r="C1370" s="1"/>
      <c r="D1370" s="71">
        <v>24.99</v>
      </c>
      <c r="E1370" s="71">
        <v>9.99</v>
      </c>
      <c r="F1370" s="71">
        <f t="shared" si="707"/>
        <v>15</v>
      </c>
      <c r="G1370" s="39">
        <v>1.0</v>
      </c>
      <c r="H1370" s="71">
        <f t="shared" si="706"/>
        <v>9.99</v>
      </c>
    </row>
    <row r="1371">
      <c r="A1371" s="39"/>
      <c r="B1371" s="1"/>
      <c r="C1371" s="1"/>
      <c r="D1371" s="71"/>
      <c r="E1371" s="71"/>
      <c r="F1371" s="71"/>
      <c r="G1371" s="39"/>
      <c r="H1371" s="71"/>
    </row>
    <row r="1372">
      <c r="A1372" s="43" t="s">
        <v>119</v>
      </c>
      <c r="B1372" s="43" t="s">
        <v>92</v>
      </c>
      <c r="C1372" s="44">
        <f>COUNTA(A1373)</f>
        <v>1</v>
      </c>
      <c r="D1372" s="46">
        <f t="shared" ref="D1372:G1372" si="708">SUM(D1373)</f>
        <v>79.99</v>
      </c>
      <c r="E1372" s="46">
        <f t="shared" si="708"/>
        <v>27.99</v>
      </c>
      <c r="F1372" s="46">
        <f t="shared" si="708"/>
        <v>52</v>
      </c>
      <c r="G1372" s="43">
        <f t="shared" si="708"/>
        <v>5</v>
      </c>
      <c r="H1372" s="46">
        <f t="shared" ref="H1372:H1373" si="709">E1372/G1372</f>
        <v>5.598</v>
      </c>
    </row>
    <row r="1373">
      <c r="A1373" s="72" t="s">
        <v>769</v>
      </c>
      <c r="B1373" s="1"/>
      <c r="C1373" s="1"/>
      <c r="D1373" s="42">
        <v>79.99</v>
      </c>
      <c r="E1373" s="42">
        <v>27.99</v>
      </c>
      <c r="F1373" s="42">
        <f>D1373-E1373</f>
        <v>52</v>
      </c>
      <c r="G1373" s="72">
        <v>5.0</v>
      </c>
      <c r="H1373" s="71">
        <f t="shared" si="709"/>
        <v>5.598</v>
      </c>
    </row>
    <row r="1374">
      <c r="A1374" s="39"/>
      <c r="B1374" s="1"/>
      <c r="C1374" s="1"/>
      <c r="D1374" s="71"/>
      <c r="E1374" s="71"/>
      <c r="F1374" s="71"/>
      <c r="G1374" s="39"/>
      <c r="H1374" s="71"/>
    </row>
    <row r="1375">
      <c r="A1375" s="43" t="s">
        <v>564</v>
      </c>
      <c r="B1375" s="43" t="s">
        <v>29</v>
      </c>
      <c r="C1375" s="44">
        <f>COUNTA(A1376:A1379)</f>
        <v>4</v>
      </c>
      <c r="D1375" s="145">
        <f t="shared" ref="D1375:G1375" si="710">SUM(D1376:D1379)</f>
        <v>119.96</v>
      </c>
      <c r="E1375" s="145">
        <f t="shared" si="710"/>
        <v>29.58</v>
      </c>
      <c r="F1375" s="145">
        <f t="shared" si="710"/>
        <v>90.38</v>
      </c>
      <c r="G1375" s="44">
        <f t="shared" si="710"/>
        <v>5</v>
      </c>
      <c r="H1375" s="145">
        <f t="shared" ref="H1375:H1379" si="711">E1375/G1375</f>
        <v>5.916</v>
      </c>
    </row>
    <row r="1376">
      <c r="A1376" s="39" t="s">
        <v>1549</v>
      </c>
      <c r="B1376" s="1"/>
      <c r="C1376" s="1"/>
      <c r="D1376" s="71">
        <v>59.99</v>
      </c>
      <c r="E1376" s="71">
        <v>9.59</v>
      </c>
      <c r="F1376" s="71">
        <f t="shared" ref="F1376:F1379" si="712">D1376-E1376</f>
        <v>50.4</v>
      </c>
      <c r="G1376" s="72">
        <v>2.0</v>
      </c>
      <c r="H1376" s="71">
        <f t="shared" si="711"/>
        <v>4.795</v>
      </c>
    </row>
    <row r="1377">
      <c r="A1377" s="39" t="s">
        <v>1615</v>
      </c>
      <c r="B1377" s="1"/>
      <c r="C1377" s="1"/>
      <c r="D1377" s="71">
        <v>19.99</v>
      </c>
      <c r="E1377" s="71">
        <v>0.0</v>
      </c>
      <c r="F1377" s="71">
        <f t="shared" si="712"/>
        <v>19.99</v>
      </c>
      <c r="G1377" s="39">
        <v>1.0</v>
      </c>
      <c r="H1377" s="71">
        <f t="shared" si="711"/>
        <v>0</v>
      </c>
    </row>
    <row r="1378">
      <c r="A1378" s="39" t="s">
        <v>1590</v>
      </c>
      <c r="B1378" s="1"/>
      <c r="C1378" s="1"/>
      <c r="D1378" s="71">
        <v>19.99</v>
      </c>
      <c r="E1378" s="71">
        <v>0.0</v>
      </c>
      <c r="F1378" s="71">
        <f t="shared" si="712"/>
        <v>19.99</v>
      </c>
      <c r="G1378" s="39">
        <v>1.0</v>
      </c>
      <c r="H1378" s="71">
        <f t="shared" si="711"/>
        <v>0</v>
      </c>
    </row>
    <row r="1379">
      <c r="A1379" s="72" t="s">
        <v>1517</v>
      </c>
      <c r="B1379" s="1"/>
      <c r="C1379" s="1"/>
      <c r="D1379" s="71">
        <v>19.99</v>
      </c>
      <c r="E1379" s="71">
        <v>19.99</v>
      </c>
      <c r="F1379" s="71">
        <f t="shared" si="712"/>
        <v>0</v>
      </c>
      <c r="G1379" s="39">
        <v>1.0</v>
      </c>
      <c r="H1379" s="71">
        <f t="shared" si="711"/>
        <v>19.99</v>
      </c>
    </row>
    <row r="1380">
      <c r="A1380" s="39"/>
      <c r="B1380" s="1"/>
      <c r="C1380" s="1"/>
      <c r="D1380" s="71"/>
      <c r="E1380" s="71"/>
      <c r="F1380" s="71"/>
      <c r="G1380" s="39"/>
      <c r="H1380" s="71"/>
    </row>
    <row r="1381">
      <c r="A1381" s="43" t="s">
        <v>223</v>
      </c>
      <c r="B1381" s="43" t="s">
        <v>25</v>
      </c>
      <c r="C1381" s="44">
        <f>COUNTA(A1382)</f>
        <v>1</v>
      </c>
      <c r="D1381" s="47">
        <f t="shared" ref="D1381:G1381" si="713">SUM(D1382)</f>
        <v>29.99</v>
      </c>
      <c r="E1381" s="47">
        <f t="shared" si="713"/>
        <v>29.99</v>
      </c>
      <c r="F1381" s="47">
        <f t="shared" si="713"/>
        <v>0</v>
      </c>
      <c r="G1381" s="43">
        <f t="shared" si="713"/>
        <v>5</v>
      </c>
      <c r="H1381" s="47">
        <f t="shared" ref="H1381:H1382" si="714">E1381/G1381</f>
        <v>5.998</v>
      </c>
    </row>
    <row r="1382">
      <c r="A1382" s="72" t="s">
        <v>843</v>
      </c>
      <c r="B1382" s="1"/>
      <c r="C1382" s="1"/>
      <c r="D1382" s="71">
        <v>29.99</v>
      </c>
      <c r="E1382" s="71">
        <v>29.99</v>
      </c>
      <c r="F1382" s="71">
        <f>D1382-E1382</f>
        <v>0</v>
      </c>
      <c r="G1382" s="39">
        <v>5.0</v>
      </c>
      <c r="H1382" s="71">
        <f t="shared" si="714"/>
        <v>5.998</v>
      </c>
    </row>
    <row r="1383">
      <c r="A1383" s="39"/>
      <c r="B1383" s="1"/>
      <c r="C1383" s="1"/>
      <c r="D1383" s="71"/>
      <c r="E1383" s="71"/>
      <c r="F1383" s="71"/>
      <c r="G1383" s="39"/>
      <c r="H1383" s="71"/>
    </row>
    <row r="1384">
      <c r="A1384" s="43" t="s">
        <v>370</v>
      </c>
      <c r="B1384" s="47" t="s">
        <v>325</v>
      </c>
      <c r="C1384" s="44">
        <f>COUNTA(A1385:A1387)</f>
        <v>3</v>
      </c>
      <c r="D1384" s="145">
        <f t="shared" ref="D1384:G1384" si="715">SUM(D1385:D1387)</f>
        <v>134.96</v>
      </c>
      <c r="E1384" s="145">
        <f t="shared" si="715"/>
        <v>48.97</v>
      </c>
      <c r="F1384" s="145">
        <f t="shared" si="715"/>
        <v>85.99</v>
      </c>
      <c r="G1384" s="44">
        <f t="shared" si="715"/>
        <v>5</v>
      </c>
      <c r="H1384" s="145">
        <f t="shared" ref="H1384:H1387" si="716">E1384/G1384</f>
        <v>9.794</v>
      </c>
    </row>
    <row r="1385">
      <c r="A1385" s="39" t="s">
        <v>1163</v>
      </c>
      <c r="B1385" s="1"/>
      <c r="C1385" s="1"/>
      <c r="D1385" s="71">
        <v>59.98</v>
      </c>
      <c r="E1385" s="71">
        <v>33.98</v>
      </c>
      <c r="F1385" s="71">
        <f t="shared" ref="F1385:F1387" si="717">D1385-E1385</f>
        <v>26</v>
      </c>
      <c r="G1385" s="39">
        <v>3.0</v>
      </c>
      <c r="H1385" s="71">
        <f t="shared" si="716"/>
        <v>11.32666667</v>
      </c>
    </row>
    <row r="1386">
      <c r="A1386" s="39" t="s">
        <v>1259</v>
      </c>
      <c r="B1386" s="1"/>
      <c r="C1386" s="1"/>
      <c r="D1386" s="71">
        <v>59.99</v>
      </c>
      <c r="E1386" s="71">
        <v>0.0</v>
      </c>
      <c r="F1386" s="71">
        <f t="shared" si="717"/>
        <v>59.99</v>
      </c>
      <c r="G1386" s="39">
        <v>1.0</v>
      </c>
      <c r="H1386" s="71">
        <f t="shared" si="716"/>
        <v>0</v>
      </c>
    </row>
    <row r="1387">
      <c r="A1387" s="72" t="s">
        <v>1130</v>
      </c>
      <c r="B1387" s="1"/>
      <c r="C1387" s="1"/>
      <c r="D1387" s="71">
        <v>14.99</v>
      </c>
      <c r="E1387" s="71">
        <v>14.99</v>
      </c>
      <c r="F1387" s="71">
        <f t="shared" si="717"/>
        <v>0</v>
      </c>
      <c r="G1387" s="39">
        <v>1.0</v>
      </c>
      <c r="H1387" s="71">
        <f t="shared" si="716"/>
        <v>14.99</v>
      </c>
    </row>
    <row r="1388">
      <c r="A1388" s="39"/>
      <c r="B1388" s="1"/>
      <c r="C1388" s="1"/>
      <c r="D1388" s="71"/>
      <c r="E1388" s="71"/>
      <c r="F1388" s="71"/>
      <c r="G1388" s="39"/>
      <c r="H1388" s="71"/>
    </row>
    <row r="1389">
      <c r="A1389" s="43" t="s">
        <v>573</v>
      </c>
      <c r="B1389" s="43" t="s">
        <v>29</v>
      </c>
      <c r="C1389" s="44">
        <f>COUNTA(A1390:A1391)</f>
        <v>2</v>
      </c>
      <c r="D1389" s="47">
        <f t="shared" ref="D1389:G1389" si="718">SUM(D1390:D1391)</f>
        <v>49.98</v>
      </c>
      <c r="E1389" s="47">
        <f t="shared" si="718"/>
        <v>49.98</v>
      </c>
      <c r="F1389" s="47">
        <f t="shared" si="718"/>
        <v>0</v>
      </c>
      <c r="G1389" s="43">
        <f t="shared" si="718"/>
        <v>5</v>
      </c>
      <c r="H1389" s="47">
        <f t="shared" ref="H1389:H1391" si="719">E1389/G1389</f>
        <v>9.996</v>
      </c>
    </row>
    <row r="1390">
      <c r="A1390" s="72" t="s">
        <v>1712</v>
      </c>
      <c r="B1390" s="1"/>
      <c r="C1390" s="1"/>
      <c r="D1390" s="71">
        <v>19.99</v>
      </c>
      <c r="E1390" s="71">
        <v>19.99</v>
      </c>
      <c r="F1390" s="71">
        <f t="shared" ref="F1390:F1391" si="720">D1390-E1390</f>
        <v>0</v>
      </c>
      <c r="G1390" s="39">
        <v>4.0</v>
      </c>
      <c r="H1390" s="71">
        <f t="shared" si="719"/>
        <v>4.9975</v>
      </c>
    </row>
    <row r="1391">
      <c r="A1391" s="39" t="s">
        <v>1725</v>
      </c>
      <c r="B1391" s="1"/>
      <c r="C1391" s="1"/>
      <c r="D1391" s="71">
        <v>29.99</v>
      </c>
      <c r="E1391" s="71">
        <v>29.99</v>
      </c>
      <c r="F1391" s="71">
        <f t="shared" si="720"/>
        <v>0</v>
      </c>
      <c r="G1391" s="39">
        <v>1.0</v>
      </c>
      <c r="H1391" s="71">
        <f t="shared" si="719"/>
        <v>29.99</v>
      </c>
    </row>
    <row r="1392">
      <c r="A1392" s="39"/>
      <c r="B1392" s="1"/>
      <c r="C1392" s="1"/>
      <c r="D1392" s="71"/>
      <c r="E1392" s="71"/>
      <c r="F1392" s="71"/>
      <c r="G1392" s="39"/>
      <c r="H1392" s="71"/>
    </row>
    <row r="1393">
      <c r="A1393" s="43" t="s">
        <v>193</v>
      </c>
      <c r="B1393" s="43" t="s">
        <v>25</v>
      </c>
      <c r="C1393" s="44">
        <f>COUNTA(A1394:A1397)</f>
        <v>4</v>
      </c>
      <c r="D1393" s="145">
        <f t="shared" ref="D1393:G1393" si="721">SUM(D1394:D1397)</f>
        <v>234.95</v>
      </c>
      <c r="E1393" s="145">
        <f t="shared" si="721"/>
        <v>65.48</v>
      </c>
      <c r="F1393" s="145">
        <f t="shared" si="721"/>
        <v>169.47</v>
      </c>
      <c r="G1393" s="44">
        <f t="shared" si="721"/>
        <v>5</v>
      </c>
      <c r="H1393" s="145">
        <f t="shared" ref="H1393:H1397" si="722">E1393/G1393</f>
        <v>13.096</v>
      </c>
    </row>
    <row r="1394">
      <c r="A1394" s="39" t="s">
        <v>953</v>
      </c>
      <c r="B1394" s="1"/>
      <c r="C1394" s="1"/>
      <c r="D1394" s="71">
        <v>54.99</v>
      </c>
      <c r="E1394" s="71">
        <v>0.0</v>
      </c>
      <c r="F1394" s="71">
        <f t="shared" ref="F1394:F1397" si="723">D1394-E1394</f>
        <v>54.99</v>
      </c>
      <c r="G1394" s="72">
        <v>2.0</v>
      </c>
      <c r="H1394" s="71">
        <f t="shared" si="722"/>
        <v>0</v>
      </c>
    </row>
    <row r="1395">
      <c r="A1395" s="39" t="s">
        <v>946</v>
      </c>
      <c r="B1395" s="1"/>
      <c r="C1395" s="1"/>
      <c r="D1395" s="71">
        <v>59.99</v>
      </c>
      <c r="E1395" s="71">
        <v>0.0</v>
      </c>
      <c r="F1395" s="71">
        <f t="shared" si="723"/>
        <v>59.99</v>
      </c>
      <c r="G1395" s="39">
        <v>1.0</v>
      </c>
      <c r="H1395" s="71">
        <f t="shared" si="722"/>
        <v>0</v>
      </c>
    </row>
    <row r="1396">
      <c r="A1396" s="39" t="s">
        <v>936</v>
      </c>
      <c r="B1396" s="1"/>
      <c r="C1396" s="1"/>
      <c r="D1396" s="71">
        <v>44.99</v>
      </c>
      <c r="E1396" s="71">
        <v>0.0</v>
      </c>
      <c r="F1396" s="71">
        <f t="shared" si="723"/>
        <v>44.99</v>
      </c>
      <c r="G1396" s="39">
        <v>1.0</v>
      </c>
      <c r="H1396" s="71">
        <f t="shared" si="722"/>
        <v>0</v>
      </c>
    </row>
    <row r="1397">
      <c r="A1397" s="39" t="s">
        <v>974</v>
      </c>
      <c r="B1397" s="1"/>
      <c r="C1397" s="1"/>
      <c r="D1397" s="42">
        <f>59.99+14.99</f>
        <v>74.98</v>
      </c>
      <c r="E1397" s="42">
        <f>59.99+5.49</f>
        <v>65.48</v>
      </c>
      <c r="F1397" s="42">
        <f t="shared" si="723"/>
        <v>9.5</v>
      </c>
      <c r="G1397" s="39">
        <v>1.0</v>
      </c>
      <c r="H1397" s="71">
        <f t="shared" si="722"/>
        <v>65.48</v>
      </c>
    </row>
    <row r="1398">
      <c r="A1398" s="461"/>
      <c r="B1398" s="462"/>
      <c r="C1398" s="461"/>
      <c r="D1398" s="461"/>
      <c r="E1398" s="461"/>
      <c r="F1398" s="461"/>
      <c r="G1398" s="461"/>
      <c r="H1398" s="461"/>
    </row>
    <row r="1399">
      <c r="A1399" s="43" t="s">
        <v>551</v>
      </c>
      <c r="B1399" s="69" t="s">
        <v>29</v>
      </c>
      <c r="C1399" s="44">
        <f>COUNTA(A1400:A1401)</f>
        <v>2</v>
      </c>
      <c r="D1399" s="47">
        <f t="shared" ref="D1399:G1399" si="724">SUM(D1400:D1401)</f>
        <v>49.99</v>
      </c>
      <c r="E1399" s="47">
        <f t="shared" si="724"/>
        <v>0</v>
      </c>
      <c r="F1399" s="47">
        <f t="shared" si="724"/>
        <v>49.99</v>
      </c>
      <c r="G1399" s="43">
        <f t="shared" si="724"/>
        <v>4</v>
      </c>
      <c r="H1399" s="47">
        <f t="shared" ref="H1399:H1401" si="725">E1399/G1399</f>
        <v>0</v>
      </c>
    </row>
    <row r="1400">
      <c r="A1400" s="39" t="s">
        <v>1708</v>
      </c>
      <c r="B1400" s="1"/>
      <c r="C1400" s="1"/>
      <c r="D1400" s="71">
        <v>25.0</v>
      </c>
      <c r="E1400" s="71">
        <v>0.0</v>
      </c>
      <c r="F1400" s="71">
        <f t="shared" ref="F1400:F1401" si="726">D1400-E1400</f>
        <v>25</v>
      </c>
      <c r="G1400" s="39">
        <v>2.0</v>
      </c>
      <c r="H1400" s="71">
        <f t="shared" si="725"/>
        <v>0</v>
      </c>
    </row>
    <row r="1401">
      <c r="A1401" s="39" t="s">
        <v>1709</v>
      </c>
      <c r="B1401" s="1"/>
      <c r="C1401" s="1"/>
      <c r="D1401" s="71">
        <v>24.99</v>
      </c>
      <c r="E1401" s="71">
        <v>0.0</v>
      </c>
      <c r="F1401" s="71">
        <f t="shared" si="726"/>
        <v>24.99</v>
      </c>
      <c r="G1401" s="39">
        <v>2.0</v>
      </c>
      <c r="H1401" s="71">
        <f t="shared" si="725"/>
        <v>0</v>
      </c>
    </row>
    <row r="1402">
      <c r="A1402" s="39"/>
      <c r="B1402" s="1"/>
      <c r="C1402" s="1"/>
      <c r="D1402" s="71"/>
      <c r="E1402" s="71"/>
      <c r="F1402" s="71"/>
      <c r="G1402" s="39"/>
      <c r="H1402" s="71"/>
    </row>
    <row r="1403">
      <c r="A1403" s="236" t="s">
        <v>484</v>
      </c>
      <c r="B1403" s="463" t="s">
        <v>485</v>
      </c>
      <c r="C1403" s="236">
        <f>COUNTA(A1404)</f>
        <v>1</v>
      </c>
      <c r="D1403" s="235">
        <f t="shared" ref="D1403:G1403" si="727">SUM(D1404)</f>
        <v>19.99</v>
      </c>
      <c r="E1403" s="235">
        <f t="shared" si="727"/>
        <v>0</v>
      </c>
      <c r="F1403" s="235">
        <f t="shared" si="727"/>
        <v>19.99</v>
      </c>
      <c r="G1403" s="233">
        <f t="shared" si="727"/>
        <v>4</v>
      </c>
      <c r="H1403" s="235">
        <f t="shared" ref="H1403:H1404" si="728">E1403/G1403</f>
        <v>0</v>
      </c>
    </row>
    <row r="1404">
      <c r="A1404" s="505" t="s">
        <v>1435</v>
      </c>
      <c r="B1404" s="506"/>
      <c r="C1404" s="506"/>
      <c r="D1404" s="507">
        <v>19.99</v>
      </c>
      <c r="E1404" s="508">
        <v>0.0</v>
      </c>
      <c r="F1404" s="508">
        <f>D1404-E1404</f>
        <v>19.99</v>
      </c>
      <c r="G1404" s="505">
        <v>4.0</v>
      </c>
      <c r="H1404" s="508">
        <f t="shared" si="728"/>
        <v>0</v>
      </c>
    </row>
    <row r="1405">
      <c r="A1405" s="461"/>
      <c r="B1405" s="462"/>
      <c r="C1405" s="461"/>
      <c r="D1405" s="461"/>
      <c r="E1405" s="461"/>
      <c r="F1405" s="461"/>
      <c r="G1405" s="461"/>
      <c r="H1405" s="461"/>
    </row>
    <row r="1406">
      <c r="A1406" s="152" t="s">
        <v>474</v>
      </c>
      <c r="B1406" s="255" t="s">
        <v>455</v>
      </c>
      <c r="C1406" s="255">
        <f>COUNTA(A1407)</f>
        <v>1</v>
      </c>
      <c r="D1406" s="154">
        <f t="shared" ref="D1406:G1406" si="729">SUM(D1407)</f>
        <v>9.99</v>
      </c>
      <c r="E1406" s="154">
        <f t="shared" si="729"/>
        <v>0</v>
      </c>
      <c r="F1406" s="154">
        <f t="shared" si="729"/>
        <v>9.99</v>
      </c>
      <c r="G1406" s="152">
        <f t="shared" si="729"/>
        <v>4</v>
      </c>
      <c r="H1406" s="154">
        <f t="shared" ref="H1406:H1407" si="730">E1406/G1406</f>
        <v>0</v>
      </c>
    </row>
    <row r="1407">
      <c r="A1407" s="156" t="s">
        <v>1419</v>
      </c>
      <c r="B1407" s="486"/>
      <c r="C1407" s="486"/>
      <c r="D1407" s="159">
        <v>9.99</v>
      </c>
      <c r="E1407" s="159">
        <v>0.0</v>
      </c>
      <c r="F1407" s="159">
        <f>D1407-E1407</f>
        <v>9.99</v>
      </c>
      <c r="G1407" s="155">
        <v>4.0</v>
      </c>
      <c r="H1407" s="159">
        <f t="shared" si="730"/>
        <v>0</v>
      </c>
    </row>
    <row r="1408">
      <c r="A1408" s="461"/>
      <c r="B1408" s="462"/>
      <c r="C1408" s="461"/>
      <c r="D1408" s="461"/>
      <c r="E1408" s="461"/>
      <c r="F1408" s="461"/>
      <c r="G1408" s="461"/>
      <c r="H1408" s="461"/>
    </row>
    <row r="1409">
      <c r="A1409" s="246" t="s">
        <v>442</v>
      </c>
      <c r="B1409" s="246" t="s">
        <v>443</v>
      </c>
      <c r="C1409" s="493">
        <f>COUNTA(A1410)</f>
        <v>1</v>
      </c>
      <c r="D1409" s="248">
        <f t="shared" ref="D1409:G1409" si="731">SUM(D1410)</f>
        <v>19.99</v>
      </c>
      <c r="E1409" s="248">
        <f t="shared" si="731"/>
        <v>3.99</v>
      </c>
      <c r="F1409" s="248">
        <f t="shared" si="731"/>
        <v>16</v>
      </c>
      <c r="G1409" s="246">
        <f t="shared" si="731"/>
        <v>4</v>
      </c>
      <c r="H1409" s="248">
        <f t="shared" ref="H1409:H1410" si="732">E1409/G1409</f>
        <v>0.9975</v>
      </c>
    </row>
    <row r="1410">
      <c r="A1410" s="250" t="s">
        <v>1383</v>
      </c>
      <c r="B1410" s="494"/>
      <c r="C1410" s="494"/>
      <c r="D1410" s="253">
        <v>19.99</v>
      </c>
      <c r="E1410" s="253">
        <v>3.99</v>
      </c>
      <c r="F1410" s="253">
        <f>D1410-E1410</f>
        <v>16</v>
      </c>
      <c r="G1410" s="250">
        <v>4.0</v>
      </c>
      <c r="H1410" s="253">
        <f t="shared" si="732"/>
        <v>0.9975</v>
      </c>
    </row>
    <row r="1411">
      <c r="A1411" s="179"/>
      <c r="B1411" s="477"/>
      <c r="C1411" s="477"/>
      <c r="D1411" s="478"/>
      <c r="E1411" s="478"/>
      <c r="F1411" s="478"/>
      <c r="G1411" s="179"/>
      <c r="H1411" s="181"/>
    </row>
    <row r="1412">
      <c r="A1412" s="53" t="s">
        <v>258</v>
      </c>
      <c r="B1412" s="53" t="s">
        <v>255</v>
      </c>
      <c r="C1412" s="75">
        <f>COUNTA(A1413)</f>
        <v>1</v>
      </c>
      <c r="D1412" s="76">
        <f t="shared" ref="D1412:G1412" si="733">SUM(D1413)</f>
        <v>14.99</v>
      </c>
      <c r="E1412" s="76">
        <f t="shared" si="733"/>
        <v>3.99</v>
      </c>
      <c r="F1412" s="76">
        <f t="shared" si="733"/>
        <v>11</v>
      </c>
      <c r="G1412" s="53">
        <f t="shared" si="733"/>
        <v>4</v>
      </c>
      <c r="H1412" s="76">
        <f t="shared" ref="H1412:H1413" si="734">E1412/G1412</f>
        <v>0.9975</v>
      </c>
    </row>
    <row r="1413">
      <c r="A1413" s="79" t="s">
        <v>983</v>
      </c>
      <c r="B1413" s="1"/>
      <c r="C1413" s="1"/>
      <c r="D1413" s="52">
        <v>14.99</v>
      </c>
      <c r="E1413" s="52">
        <v>3.99</v>
      </c>
      <c r="F1413" s="52">
        <f>D1413-E1413</f>
        <v>11</v>
      </c>
      <c r="G1413" s="79">
        <v>4.0</v>
      </c>
      <c r="H1413" s="52">
        <f t="shared" si="734"/>
        <v>0.9975</v>
      </c>
    </row>
    <row r="1414">
      <c r="A1414" s="179"/>
      <c r="B1414" s="477"/>
      <c r="C1414" s="477"/>
      <c r="D1414" s="478"/>
      <c r="E1414" s="478"/>
      <c r="F1414" s="478"/>
      <c r="G1414" s="179"/>
      <c r="H1414" s="181"/>
    </row>
    <row r="1415">
      <c r="A1415" s="104" t="s">
        <v>77</v>
      </c>
      <c r="B1415" s="106" t="s">
        <v>57</v>
      </c>
      <c r="C1415" s="243">
        <f>COUNTA(A1416)</f>
        <v>1</v>
      </c>
      <c r="D1415" s="106">
        <f t="shared" ref="D1415:G1415" si="735">SUM(D1416)</f>
        <v>14.49</v>
      </c>
      <c r="E1415" s="106">
        <f t="shared" si="735"/>
        <v>3.99</v>
      </c>
      <c r="F1415" s="106">
        <f t="shared" si="735"/>
        <v>10.5</v>
      </c>
      <c r="G1415" s="104">
        <f t="shared" si="735"/>
        <v>4</v>
      </c>
      <c r="H1415" s="106">
        <f t="shared" ref="H1415:H1416" si="736">E1415/G1415</f>
        <v>0.9975</v>
      </c>
    </row>
    <row r="1416">
      <c r="A1416" s="109" t="s">
        <v>652</v>
      </c>
      <c r="B1416" s="474"/>
      <c r="C1416" s="474"/>
      <c r="D1416" s="111">
        <v>14.49</v>
      </c>
      <c r="E1416" s="111">
        <v>3.99</v>
      </c>
      <c r="F1416" s="111">
        <f>D1416-E1416</f>
        <v>10.5</v>
      </c>
      <c r="G1416" s="109">
        <v>4.0</v>
      </c>
      <c r="H1416" s="111">
        <f t="shared" si="736"/>
        <v>0.9975</v>
      </c>
    </row>
    <row r="1417">
      <c r="A1417" s="179"/>
      <c r="B1417" s="477"/>
      <c r="C1417" s="477"/>
      <c r="D1417" s="478"/>
      <c r="E1417" s="478"/>
      <c r="F1417" s="478"/>
      <c r="G1417" s="179"/>
      <c r="H1417" s="181"/>
    </row>
    <row r="1418">
      <c r="A1418" s="102" t="s">
        <v>299</v>
      </c>
      <c r="B1418" s="102" t="s">
        <v>291</v>
      </c>
      <c r="C1418" s="103">
        <f>COUNTA(A1419)</f>
        <v>1</v>
      </c>
      <c r="D1418" s="170">
        <f t="shared" ref="D1418:G1418" si="737">SUM(D1419)</f>
        <v>8.99</v>
      </c>
      <c r="E1418" s="170">
        <f t="shared" si="737"/>
        <v>3.99</v>
      </c>
      <c r="F1418" s="170">
        <f t="shared" si="737"/>
        <v>5</v>
      </c>
      <c r="G1418" s="102">
        <f t="shared" si="737"/>
        <v>4</v>
      </c>
      <c r="H1418" s="170">
        <f t="shared" ref="H1418:H1419" si="738">E1418/G1418</f>
        <v>0.9975</v>
      </c>
    </row>
    <row r="1419">
      <c r="A1419" s="25" t="s">
        <v>1038</v>
      </c>
      <c r="B1419" s="1"/>
      <c r="C1419" s="1"/>
      <c r="D1419" s="26">
        <v>8.99</v>
      </c>
      <c r="E1419" s="26">
        <v>3.99</v>
      </c>
      <c r="F1419" s="26">
        <f>D1419-E1419</f>
        <v>5</v>
      </c>
      <c r="G1419" s="25">
        <v>4.0</v>
      </c>
      <c r="H1419" s="26">
        <f t="shared" si="738"/>
        <v>0.9975</v>
      </c>
    </row>
    <row r="1420">
      <c r="A1420" s="179"/>
      <c r="B1420" s="477"/>
      <c r="C1420" s="477"/>
      <c r="D1420" s="478"/>
      <c r="E1420" s="478"/>
      <c r="F1420" s="478"/>
      <c r="G1420" s="179"/>
      <c r="H1420" s="181"/>
    </row>
    <row r="1421">
      <c r="A1421" s="43" t="s">
        <v>328</v>
      </c>
      <c r="B1421" s="43" t="s">
        <v>325</v>
      </c>
      <c r="C1421" s="44">
        <f>COUNTA(A1422)</f>
        <v>1</v>
      </c>
      <c r="D1421" s="47">
        <f t="shared" ref="D1421:G1421" si="739">SUM(D1422)</f>
        <v>19.99</v>
      </c>
      <c r="E1421" s="47">
        <f t="shared" si="739"/>
        <v>4.99</v>
      </c>
      <c r="F1421" s="47">
        <f t="shared" si="739"/>
        <v>15</v>
      </c>
      <c r="G1421" s="43">
        <f t="shared" si="739"/>
        <v>4</v>
      </c>
      <c r="H1421" s="47">
        <f t="shared" ref="H1421:H1422" si="740">E1421/G1421</f>
        <v>1.2475</v>
      </c>
    </row>
    <row r="1422">
      <c r="A1422" s="39" t="s">
        <v>1191</v>
      </c>
      <c r="B1422" s="1"/>
      <c r="C1422" s="1"/>
      <c r="D1422" s="71">
        <v>19.99</v>
      </c>
      <c r="E1422" s="71">
        <v>4.99</v>
      </c>
      <c r="F1422" s="71">
        <f>D1422-E1422</f>
        <v>15</v>
      </c>
      <c r="G1422" s="39">
        <v>4.0</v>
      </c>
      <c r="H1422" s="71">
        <f t="shared" si="740"/>
        <v>1.2475</v>
      </c>
    </row>
    <row r="1423">
      <c r="A1423" s="179"/>
      <c r="B1423" s="477"/>
      <c r="C1423" s="477"/>
      <c r="D1423" s="478"/>
      <c r="E1423" s="478"/>
      <c r="F1423" s="478"/>
      <c r="G1423" s="179"/>
      <c r="H1423" s="181"/>
    </row>
    <row r="1424">
      <c r="A1424" s="43" t="s">
        <v>120</v>
      </c>
      <c r="B1424" s="43" t="s">
        <v>92</v>
      </c>
      <c r="C1424" s="44">
        <f>COUNTA(A1425)</f>
        <v>1</v>
      </c>
      <c r="D1424" s="47">
        <f t="shared" ref="D1424:G1424" si="741">SUM(D1425)</f>
        <v>17.99</v>
      </c>
      <c r="E1424" s="47">
        <f t="shared" si="741"/>
        <v>4.99</v>
      </c>
      <c r="F1424" s="47">
        <f t="shared" si="741"/>
        <v>13</v>
      </c>
      <c r="G1424" s="43">
        <f t="shared" si="741"/>
        <v>4</v>
      </c>
      <c r="H1424" s="47">
        <f t="shared" ref="H1424:H1425" si="742">E1424/G1424</f>
        <v>1.2475</v>
      </c>
    </row>
    <row r="1425">
      <c r="A1425" s="72" t="s">
        <v>1789</v>
      </c>
      <c r="B1425" s="1"/>
      <c r="C1425" s="1"/>
      <c r="D1425" s="71">
        <v>17.99</v>
      </c>
      <c r="E1425" s="71">
        <v>4.99</v>
      </c>
      <c r="F1425" s="71">
        <f>D1425-E1425</f>
        <v>13</v>
      </c>
      <c r="G1425" s="39">
        <v>4.0</v>
      </c>
      <c r="H1425" s="71">
        <f t="shared" si="742"/>
        <v>1.2475</v>
      </c>
    </row>
    <row r="1426">
      <c r="A1426" s="179"/>
      <c r="B1426" s="477"/>
      <c r="C1426" s="477"/>
      <c r="D1426" s="478"/>
      <c r="E1426" s="478"/>
      <c r="F1426" s="478"/>
      <c r="G1426" s="179"/>
      <c r="H1426" s="181"/>
    </row>
    <row r="1427">
      <c r="A1427" s="102" t="s">
        <v>302</v>
      </c>
      <c r="B1427" s="102" t="s">
        <v>291</v>
      </c>
      <c r="C1427" s="103">
        <f>COUNTA(A1428)</f>
        <v>1</v>
      </c>
      <c r="D1427" s="170">
        <f t="shared" ref="D1427:G1427" si="743">SUM(D1428)</f>
        <v>11.99</v>
      </c>
      <c r="E1427" s="170">
        <f t="shared" si="743"/>
        <v>4.99</v>
      </c>
      <c r="F1427" s="170">
        <f t="shared" si="743"/>
        <v>7</v>
      </c>
      <c r="G1427" s="102">
        <f t="shared" si="743"/>
        <v>4</v>
      </c>
      <c r="H1427" s="170">
        <f t="shared" ref="H1427:H1428" si="744">E1427/G1427</f>
        <v>1.2475</v>
      </c>
    </row>
    <row r="1428">
      <c r="A1428" s="25" t="s">
        <v>1039</v>
      </c>
      <c r="B1428" s="1"/>
      <c r="C1428" s="1"/>
      <c r="D1428" s="26">
        <v>11.99</v>
      </c>
      <c r="E1428" s="26">
        <v>4.99</v>
      </c>
      <c r="F1428" s="26">
        <f>D1428-E1428</f>
        <v>7</v>
      </c>
      <c r="G1428" s="25">
        <v>4.0</v>
      </c>
      <c r="H1428" s="26">
        <f t="shared" si="744"/>
        <v>1.2475</v>
      </c>
    </row>
    <row r="1429">
      <c r="A1429" s="179"/>
      <c r="B1429" s="477"/>
      <c r="C1429" s="477"/>
      <c r="D1429" s="478"/>
      <c r="E1429" s="478"/>
      <c r="F1429" s="478"/>
      <c r="G1429" s="179"/>
      <c r="H1429" s="181"/>
    </row>
    <row r="1430">
      <c r="A1430" s="43" t="s">
        <v>243</v>
      </c>
      <c r="B1430" s="43" t="s">
        <v>25</v>
      </c>
      <c r="C1430" s="44">
        <f>COUNTA(A1431)</f>
        <v>1</v>
      </c>
      <c r="D1430" s="47">
        <f t="shared" ref="D1430:G1430" si="745">SUM(D1431)</f>
        <v>5.49</v>
      </c>
      <c r="E1430" s="47">
        <f t="shared" si="745"/>
        <v>5.49</v>
      </c>
      <c r="F1430" s="47">
        <f t="shared" si="745"/>
        <v>0</v>
      </c>
      <c r="G1430" s="43">
        <f t="shared" si="745"/>
        <v>4</v>
      </c>
      <c r="H1430" s="47">
        <f t="shared" ref="H1430:H1431" si="746">E1430/G1430</f>
        <v>1.3725</v>
      </c>
    </row>
    <row r="1431">
      <c r="A1431" s="39" t="s">
        <v>1790</v>
      </c>
      <c r="B1431" s="1"/>
      <c r="C1431" s="1"/>
      <c r="D1431" s="71">
        <v>5.49</v>
      </c>
      <c r="E1431" s="71">
        <v>5.49</v>
      </c>
      <c r="F1431" s="71">
        <f>D1431-E1431</f>
        <v>0</v>
      </c>
      <c r="G1431" s="39">
        <v>4.0</v>
      </c>
      <c r="H1431" s="71">
        <f t="shared" si="746"/>
        <v>1.3725</v>
      </c>
    </row>
    <row r="1432">
      <c r="A1432" s="179"/>
      <c r="B1432" s="477"/>
      <c r="C1432" s="477"/>
      <c r="D1432" s="478"/>
      <c r="E1432" s="478"/>
      <c r="F1432" s="478"/>
      <c r="G1432" s="179"/>
      <c r="H1432" s="181"/>
    </row>
    <row r="1433">
      <c r="A1433" s="53" t="s">
        <v>259</v>
      </c>
      <c r="B1433" s="53" t="s">
        <v>255</v>
      </c>
      <c r="C1433" s="75">
        <f>COUNTA(A1434:A1436)</f>
        <v>3</v>
      </c>
      <c r="D1433" s="76">
        <f t="shared" ref="D1433:G1433" si="747">SUM(D1434:D1436)</f>
        <v>29.97</v>
      </c>
      <c r="E1433" s="76">
        <f t="shared" si="747"/>
        <v>7.97</v>
      </c>
      <c r="F1433" s="76">
        <f t="shared" si="747"/>
        <v>22</v>
      </c>
      <c r="G1433" s="53">
        <f t="shared" si="747"/>
        <v>4</v>
      </c>
      <c r="H1433" s="76">
        <f t="shared" ref="H1433:H1436" si="748">E1433/G1433</f>
        <v>1.9925</v>
      </c>
    </row>
    <row r="1434">
      <c r="A1434" s="79" t="s">
        <v>978</v>
      </c>
      <c r="B1434" s="1"/>
      <c r="C1434" s="1"/>
      <c r="D1434" s="52">
        <v>9.99</v>
      </c>
      <c r="E1434" s="52">
        <v>2.99</v>
      </c>
      <c r="F1434" s="52">
        <f t="shared" ref="F1434:F1436" si="749">D1434-E1434</f>
        <v>7</v>
      </c>
      <c r="G1434" s="79">
        <v>2.0</v>
      </c>
      <c r="H1434" s="52">
        <f t="shared" si="748"/>
        <v>1.495</v>
      </c>
    </row>
    <row r="1435">
      <c r="A1435" s="79" t="s">
        <v>988</v>
      </c>
      <c r="B1435" s="1"/>
      <c r="C1435" s="1"/>
      <c r="D1435" s="52">
        <v>9.99</v>
      </c>
      <c r="E1435" s="52">
        <v>1.99</v>
      </c>
      <c r="F1435" s="52">
        <f t="shared" si="749"/>
        <v>8</v>
      </c>
      <c r="G1435" s="79">
        <v>1.0</v>
      </c>
      <c r="H1435" s="52">
        <f t="shared" si="748"/>
        <v>1.99</v>
      </c>
    </row>
    <row r="1436">
      <c r="A1436" s="79" t="s">
        <v>979</v>
      </c>
      <c r="B1436" s="1"/>
      <c r="C1436" s="1"/>
      <c r="D1436" s="52">
        <v>9.99</v>
      </c>
      <c r="E1436" s="52">
        <v>2.99</v>
      </c>
      <c r="F1436" s="52">
        <f t="shared" si="749"/>
        <v>7</v>
      </c>
      <c r="G1436" s="79">
        <v>1.0</v>
      </c>
      <c r="H1436" s="52">
        <f t="shared" si="748"/>
        <v>2.99</v>
      </c>
    </row>
    <row r="1437">
      <c r="A1437" s="461"/>
      <c r="B1437" s="462"/>
      <c r="C1437" s="461"/>
      <c r="D1437" s="461"/>
      <c r="E1437" s="461"/>
      <c r="F1437" s="461"/>
      <c r="G1437" s="461"/>
      <c r="H1437" s="461"/>
    </row>
    <row r="1438">
      <c r="A1438" s="104" t="s">
        <v>72</v>
      </c>
      <c r="B1438" s="106" t="s">
        <v>57</v>
      </c>
      <c r="C1438" s="243">
        <f>COUNTA(A1439)</f>
        <v>1</v>
      </c>
      <c r="D1438" s="106">
        <f t="shared" ref="D1438:G1438" si="750">SUM(D1439)</f>
        <v>19.99</v>
      </c>
      <c r="E1438" s="106">
        <f t="shared" si="750"/>
        <v>7.99</v>
      </c>
      <c r="F1438" s="106">
        <f t="shared" si="750"/>
        <v>12</v>
      </c>
      <c r="G1438" s="104">
        <f t="shared" si="750"/>
        <v>4</v>
      </c>
      <c r="H1438" s="106">
        <f t="shared" ref="H1438:H1439" si="751">E1438/G1438</f>
        <v>1.9975</v>
      </c>
    </row>
    <row r="1439">
      <c r="A1439" s="109" t="s">
        <v>667</v>
      </c>
      <c r="B1439" s="474"/>
      <c r="C1439" s="474"/>
      <c r="D1439" s="111">
        <v>19.99</v>
      </c>
      <c r="E1439" s="111">
        <v>7.99</v>
      </c>
      <c r="F1439" s="111">
        <f>D1439-E1439</f>
        <v>12</v>
      </c>
      <c r="G1439" s="109">
        <v>4.0</v>
      </c>
      <c r="H1439" s="111">
        <f t="shared" si="751"/>
        <v>1.9975</v>
      </c>
    </row>
    <row r="1440">
      <c r="A1440" s="39"/>
      <c r="B1440" s="1"/>
      <c r="C1440" s="1"/>
      <c r="D1440" s="71"/>
      <c r="E1440" s="71"/>
      <c r="F1440" s="71"/>
      <c r="G1440" s="39"/>
      <c r="H1440" s="71"/>
    </row>
    <row r="1441">
      <c r="A1441" s="43" t="s">
        <v>598</v>
      </c>
      <c r="B1441" s="43" t="s">
        <v>29</v>
      </c>
      <c r="C1441" s="44">
        <f>COUNTA(A1442)</f>
        <v>1</v>
      </c>
      <c r="D1441" s="47">
        <f t="shared" ref="D1441:G1441" si="752">SUM(D1442)</f>
        <v>15.99</v>
      </c>
      <c r="E1441" s="47">
        <f t="shared" si="752"/>
        <v>10.39</v>
      </c>
      <c r="F1441" s="47">
        <f t="shared" si="752"/>
        <v>5.6</v>
      </c>
      <c r="G1441" s="43">
        <f t="shared" si="752"/>
        <v>4</v>
      </c>
      <c r="H1441" s="47">
        <f t="shared" ref="H1441:H1442" si="753">E1441/G1441</f>
        <v>2.5975</v>
      </c>
    </row>
    <row r="1442">
      <c r="A1442" s="39" t="s">
        <v>1675</v>
      </c>
      <c r="B1442" s="1"/>
      <c r="C1442" s="1"/>
      <c r="D1442" s="71">
        <v>15.99</v>
      </c>
      <c r="E1442" s="71">
        <v>10.39</v>
      </c>
      <c r="F1442" s="71">
        <f>D1442-E1442</f>
        <v>5.6</v>
      </c>
      <c r="G1442" s="39">
        <v>4.0</v>
      </c>
      <c r="H1442" s="71">
        <f t="shared" si="753"/>
        <v>2.5975</v>
      </c>
    </row>
    <row r="1443">
      <c r="A1443" s="179"/>
      <c r="B1443" s="477"/>
      <c r="C1443" s="477"/>
      <c r="D1443" s="478"/>
      <c r="E1443" s="478"/>
      <c r="F1443" s="478"/>
      <c r="G1443" s="179"/>
      <c r="H1443" s="181"/>
    </row>
    <row r="1444">
      <c r="A1444" s="43" t="s">
        <v>600</v>
      </c>
      <c r="B1444" s="43" t="s">
        <v>29</v>
      </c>
      <c r="C1444" s="44">
        <f>COUNTA(A1445)</f>
        <v>1</v>
      </c>
      <c r="D1444" s="47">
        <f t="shared" ref="D1444:G1444" si="754">SUM(D1445)</f>
        <v>14.99</v>
      </c>
      <c r="E1444" s="47">
        <f t="shared" si="754"/>
        <v>11.24</v>
      </c>
      <c r="F1444" s="47">
        <f t="shared" si="754"/>
        <v>3.75</v>
      </c>
      <c r="G1444" s="43">
        <f t="shared" si="754"/>
        <v>4</v>
      </c>
      <c r="H1444" s="47">
        <f t="shared" ref="H1444:H1445" si="755">E1444/G1444</f>
        <v>2.81</v>
      </c>
    </row>
    <row r="1445">
      <c r="A1445" s="39" t="s">
        <v>1695</v>
      </c>
      <c r="B1445" s="1"/>
      <c r="C1445" s="1"/>
      <c r="D1445" s="71">
        <v>14.99</v>
      </c>
      <c r="E1445" s="71">
        <v>11.24</v>
      </c>
      <c r="F1445" s="71">
        <f>D1445-E1445</f>
        <v>3.75</v>
      </c>
      <c r="G1445" s="39">
        <v>4.0</v>
      </c>
      <c r="H1445" s="71">
        <f t="shared" si="755"/>
        <v>2.81</v>
      </c>
    </row>
    <row r="1446">
      <c r="A1446" s="39"/>
      <c r="B1446" s="1"/>
      <c r="C1446" s="1"/>
      <c r="D1446" s="71"/>
      <c r="E1446" s="71"/>
      <c r="F1446" s="71"/>
      <c r="G1446" s="39"/>
      <c r="H1446" s="71"/>
    </row>
    <row r="1447">
      <c r="A1447" s="43" t="s">
        <v>559</v>
      </c>
      <c r="B1447" s="43" t="s">
        <v>29</v>
      </c>
      <c r="C1447" s="44">
        <f>COUNTA(A1448:A1451)</f>
        <v>4</v>
      </c>
      <c r="D1447" s="145">
        <f t="shared" ref="D1447:G1447" si="756">SUM(D1448:D1451)</f>
        <v>14.98</v>
      </c>
      <c r="E1447" s="145">
        <f t="shared" si="756"/>
        <v>12.48</v>
      </c>
      <c r="F1447" s="145">
        <f t="shared" si="756"/>
        <v>2.5</v>
      </c>
      <c r="G1447" s="44">
        <f t="shared" si="756"/>
        <v>4</v>
      </c>
      <c r="H1447" s="145">
        <f t="shared" ref="H1447:H1451" si="757">E1447/G1447</f>
        <v>3.12</v>
      </c>
    </row>
    <row r="1448">
      <c r="A1448" s="72" t="s">
        <v>1656</v>
      </c>
      <c r="B1448" s="1"/>
      <c r="C1448" s="1"/>
      <c r="D1448" s="71">
        <v>4.99</v>
      </c>
      <c r="E1448" s="71">
        <v>2.49</v>
      </c>
      <c r="F1448" s="71">
        <f t="shared" ref="F1448:F1451" si="758">D1448-E1448</f>
        <v>2.5</v>
      </c>
      <c r="G1448" s="39">
        <v>1.0</v>
      </c>
      <c r="H1448" s="71">
        <f t="shared" si="757"/>
        <v>2.49</v>
      </c>
    </row>
    <row r="1449">
      <c r="A1449" s="72" t="s">
        <v>1444</v>
      </c>
      <c r="B1449" s="1"/>
      <c r="C1449" s="1"/>
      <c r="D1449" s="42">
        <v>3.33</v>
      </c>
      <c r="E1449" s="42">
        <v>3.33</v>
      </c>
      <c r="F1449" s="71">
        <f t="shared" si="758"/>
        <v>0</v>
      </c>
      <c r="G1449" s="39">
        <v>1.0</v>
      </c>
      <c r="H1449" s="71">
        <f t="shared" si="757"/>
        <v>3.33</v>
      </c>
    </row>
    <row r="1450">
      <c r="A1450" s="72" t="s">
        <v>1520</v>
      </c>
      <c r="B1450" s="1"/>
      <c r="C1450" s="1"/>
      <c r="D1450" s="71">
        <v>3.33</v>
      </c>
      <c r="E1450" s="71">
        <v>3.33</v>
      </c>
      <c r="F1450" s="71">
        <f t="shared" si="758"/>
        <v>0</v>
      </c>
      <c r="G1450" s="39">
        <v>1.0</v>
      </c>
      <c r="H1450" s="71">
        <f t="shared" si="757"/>
        <v>3.33</v>
      </c>
    </row>
    <row r="1451">
      <c r="A1451" s="72" t="s">
        <v>1521</v>
      </c>
      <c r="B1451" s="1"/>
      <c r="C1451" s="1"/>
      <c r="D1451" s="71">
        <v>3.33</v>
      </c>
      <c r="E1451" s="71">
        <v>3.33</v>
      </c>
      <c r="F1451" s="71">
        <f t="shared" si="758"/>
        <v>0</v>
      </c>
      <c r="G1451" s="39">
        <v>1.0</v>
      </c>
      <c r="H1451" s="71">
        <f t="shared" si="757"/>
        <v>3.33</v>
      </c>
    </row>
    <row r="1452">
      <c r="A1452" s="39"/>
      <c r="B1452" s="1"/>
      <c r="C1452" s="1"/>
      <c r="D1452" s="71"/>
      <c r="E1452" s="71"/>
      <c r="F1452" s="71"/>
      <c r="G1452" s="39"/>
      <c r="H1452" s="71"/>
    </row>
    <row r="1453">
      <c r="A1453" s="152" t="s">
        <v>470</v>
      </c>
      <c r="B1453" s="152" t="s">
        <v>455</v>
      </c>
      <c r="C1453" s="255">
        <f>COUNTA(A1454:A1457)</f>
        <v>4</v>
      </c>
      <c r="D1453" s="490">
        <f t="shared" ref="D1453:G1453" si="759">SUM(D1454:D1457)</f>
        <v>99.96</v>
      </c>
      <c r="E1453" s="490">
        <f t="shared" si="759"/>
        <v>13.99</v>
      </c>
      <c r="F1453" s="490">
        <f t="shared" si="759"/>
        <v>85.97</v>
      </c>
      <c r="G1453" s="255">
        <f t="shared" si="759"/>
        <v>4</v>
      </c>
      <c r="H1453" s="490">
        <f t="shared" ref="H1453:H1457" si="760">E1453/G1453</f>
        <v>3.4975</v>
      </c>
    </row>
    <row r="1454">
      <c r="A1454" s="156" t="s">
        <v>1416</v>
      </c>
      <c r="B1454" s="486"/>
      <c r="C1454" s="486"/>
      <c r="D1454" s="159">
        <v>19.99</v>
      </c>
      <c r="E1454" s="159">
        <v>3.49</v>
      </c>
      <c r="F1454" s="159">
        <f t="shared" ref="F1454:F1457" si="761">D1454-E1454</f>
        <v>16.5</v>
      </c>
      <c r="G1454" s="156">
        <v>1.0</v>
      </c>
      <c r="H1454" s="159">
        <f t="shared" si="760"/>
        <v>3.49</v>
      </c>
    </row>
    <row r="1455">
      <c r="A1455" s="156" t="s">
        <v>1401</v>
      </c>
      <c r="B1455" s="486"/>
      <c r="C1455" s="486"/>
      <c r="D1455" s="159">
        <v>19.99</v>
      </c>
      <c r="E1455" s="159">
        <v>3.5</v>
      </c>
      <c r="F1455" s="159">
        <f t="shared" si="761"/>
        <v>16.49</v>
      </c>
      <c r="G1455" s="156">
        <v>1.0</v>
      </c>
      <c r="H1455" s="159">
        <f t="shared" si="760"/>
        <v>3.5</v>
      </c>
    </row>
    <row r="1456">
      <c r="A1456" s="156" t="s">
        <v>1408</v>
      </c>
      <c r="B1456" s="486"/>
      <c r="C1456" s="486"/>
      <c r="D1456" s="159">
        <v>19.99</v>
      </c>
      <c r="E1456" s="159">
        <v>3.5</v>
      </c>
      <c r="F1456" s="159">
        <f t="shared" si="761"/>
        <v>16.49</v>
      </c>
      <c r="G1456" s="156">
        <v>1.0</v>
      </c>
      <c r="H1456" s="159">
        <f t="shared" si="760"/>
        <v>3.5</v>
      </c>
    </row>
    <row r="1457">
      <c r="A1457" s="156" t="s">
        <v>1414</v>
      </c>
      <c r="B1457" s="486"/>
      <c r="C1457" s="486"/>
      <c r="D1457" s="159">
        <v>39.99</v>
      </c>
      <c r="E1457" s="159">
        <v>3.5</v>
      </c>
      <c r="F1457" s="159">
        <f t="shared" si="761"/>
        <v>36.49</v>
      </c>
      <c r="G1457" s="156">
        <v>1.0</v>
      </c>
      <c r="H1457" s="159">
        <f t="shared" si="760"/>
        <v>3.5</v>
      </c>
    </row>
    <row r="1458">
      <c r="A1458" s="1"/>
      <c r="B1458" s="1"/>
      <c r="C1458" s="1"/>
      <c r="D1458" s="1"/>
      <c r="E1458" s="1"/>
      <c r="F1458" s="1"/>
      <c r="G1458" s="1"/>
      <c r="H1458" s="1"/>
    </row>
    <row r="1459">
      <c r="A1459" s="43" t="s">
        <v>368</v>
      </c>
      <c r="B1459" s="43" t="s">
        <v>325</v>
      </c>
      <c r="C1459" s="44">
        <f>COUNTA(A1460)</f>
        <v>1</v>
      </c>
      <c r="D1459" s="47">
        <f t="shared" ref="D1459:G1459" si="762">SUM(D1460)</f>
        <v>19.99</v>
      </c>
      <c r="E1459" s="47">
        <f t="shared" si="762"/>
        <v>14.99</v>
      </c>
      <c r="F1459" s="47">
        <f t="shared" si="762"/>
        <v>5</v>
      </c>
      <c r="G1459" s="43">
        <f t="shared" si="762"/>
        <v>4</v>
      </c>
      <c r="H1459" s="47">
        <f t="shared" ref="H1459:H1460" si="763">E1459/G1459</f>
        <v>3.7475</v>
      </c>
    </row>
    <row r="1460">
      <c r="A1460" s="72" t="s">
        <v>1179</v>
      </c>
      <c r="B1460" s="1"/>
      <c r="C1460" s="1"/>
      <c r="D1460" s="71">
        <v>19.99</v>
      </c>
      <c r="E1460" s="71">
        <v>14.99</v>
      </c>
      <c r="F1460" s="71">
        <f>D1460-E1460</f>
        <v>5</v>
      </c>
      <c r="G1460" s="39">
        <v>4.0</v>
      </c>
      <c r="H1460" s="71">
        <f t="shared" si="763"/>
        <v>3.7475</v>
      </c>
    </row>
    <row r="1461">
      <c r="A1461" s="1"/>
      <c r="B1461" s="1"/>
      <c r="C1461" s="1"/>
      <c r="D1461" s="1"/>
      <c r="E1461" s="1"/>
      <c r="F1461" s="1"/>
      <c r="G1461" s="1"/>
      <c r="H1461" s="1"/>
    </row>
    <row r="1462">
      <c r="A1462" s="43" t="s">
        <v>608</v>
      </c>
      <c r="B1462" s="43" t="s">
        <v>29</v>
      </c>
      <c r="C1462" s="44">
        <f>COUNTA(A1463:A1464)</f>
        <v>2</v>
      </c>
      <c r="D1462" s="47">
        <f t="shared" ref="D1462:G1462" si="764">SUM(D1463:D1464)</f>
        <v>49.98</v>
      </c>
      <c r="E1462" s="47">
        <f t="shared" si="764"/>
        <v>19.98</v>
      </c>
      <c r="F1462" s="47">
        <f t="shared" si="764"/>
        <v>30</v>
      </c>
      <c r="G1462" s="43">
        <f t="shared" si="764"/>
        <v>4</v>
      </c>
      <c r="H1462" s="47">
        <f t="shared" ref="H1462:H1464" si="765">E1462/G1462</f>
        <v>4.995</v>
      </c>
    </row>
    <row r="1463">
      <c r="A1463" s="39" t="s">
        <v>1727</v>
      </c>
      <c r="B1463" s="1"/>
      <c r="C1463" s="1"/>
      <c r="D1463" s="71">
        <v>24.99</v>
      </c>
      <c r="E1463" s="71">
        <v>11.99</v>
      </c>
      <c r="F1463" s="71">
        <f t="shared" ref="F1463:F1464" si="766">D1463-E1463</f>
        <v>13</v>
      </c>
      <c r="G1463" s="72">
        <v>3.0</v>
      </c>
      <c r="H1463" s="71">
        <f t="shared" si="765"/>
        <v>3.996666667</v>
      </c>
    </row>
    <row r="1464">
      <c r="A1464" s="39" t="s">
        <v>1721</v>
      </c>
      <c r="B1464" s="1"/>
      <c r="C1464" s="1"/>
      <c r="D1464" s="71">
        <v>24.99</v>
      </c>
      <c r="E1464" s="71">
        <v>7.99</v>
      </c>
      <c r="F1464" s="71">
        <f t="shared" si="766"/>
        <v>17</v>
      </c>
      <c r="G1464" s="39">
        <v>1.0</v>
      </c>
      <c r="H1464" s="71">
        <f t="shared" si="765"/>
        <v>7.99</v>
      </c>
    </row>
    <row r="1465">
      <c r="A1465" s="7"/>
      <c r="B1465" s="7"/>
      <c r="C1465" s="7"/>
      <c r="D1465" s="7"/>
      <c r="E1465" s="7"/>
      <c r="F1465" s="7"/>
      <c r="G1465" s="7"/>
      <c r="H1465" s="7"/>
    </row>
    <row r="1466">
      <c r="A1466" s="43" t="s">
        <v>615</v>
      </c>
      <c r="B1466" s="43" t="s">
        <v>29</v>
      </c>
      <c r="C1466" s="44">
        <f>COUNTA(A1467)</f>
        <v>1</v>
      </c>
      <c r="D1466" s="47">
        <f t="shared" ref="D1466:G1466" si="767">SUM(D1467)</f>
        <v>30.98</v>
      </c>
      <c r="E1466" s="47">
        <f t="shared" si="767"/>
        <v>30.98</v>
      </c>
      <c r="F1466" s="47">
        <f t="shared" si="767"/>
        <v>0</v>
      </c>
      <c r="G1466" s="43">
        <f t="shared" si="767"/>
        <v>4</v>
      </c>
      <c r="H1466" s="47">
        <f t="shared" ref="H1466:H1467" si="768">E1466/G1466</f>
        <v>7.745</v>
      </c>
    </row>
    <row r="1467">
      <c r="A1467" s="39" t="s">
        <v>1514</v>
      </c>
      <c r="B1467" s="1"/>
      <c r="C1467" s="1"/>
      <c r="D1467" s="71">
        <v>30.98</v>
      </c>
      <c r="E1467" s="71">
        <v>30.98</v>
      </c>
      <c r="F1467" s="71">
        <f>D1467-E1467</f>
        <v>0</v>
      </c>
      <c r="G1467" s="39">
        <v>4.0</v>
      </c>
      <c r="H1467" s="71">
        <f t="shared" si="768"/>
        <v>7.745</v>
      </c>
    </row>
    <row r="1468">
      <c r="A1468" s="7"/>
      <c r="B1468" s="7"/>
      <c r="C1468" s="7"/>
      <c r="D1468" s="7"/>
      <c r="E1468" s="7"/>
      <c r="F1468" s="7"/>
      <c r="G1468" s="7"/>
      <c r="H1468" s="7"/>
    </row>
    <row r="1469">
      <c r="A1469" s="43" t="s">
        <v>366</v>
      </c>
      <c r="B1469" s="47" t="s">
        <v>325</v>
      </c>
      <c r="C1469" s="44">
        <f>COUNTA(A1470:A1472)</f>
        <v>3</v>
      </c>
      <c r="D1469" s="47">
        <f t="shared" ref="D1469:G1469" si="769">SUM(D1470:D1472)</f>
        <v>109.98</v>
      </c>
      <c r="E1469" s="47">
        <f t="shared" si="769"/>
        <v>42.28</v>
      </c>
      <c r="F1469" s="47">
        <f t="shared" si="769"/>
        <v>67.7</v>
      </c>
      <c r="G1469" s="43">
        <f t="shared" si="769"/>
        <v>4</v>
      </c>
      <c r="H1469" s="145">
        <f t="shared" ref="H1469:H1472" si="770">E1469/G1469</f>
        <v>10.57</v>
      </c>
    </row>
    <row r="1470">
      <c r="A1470" s="39" t="s">
        <v>1265</v>
      </c>
      <c r="B1470" s="1"/>
      <c r="C1470" s="1"/>
      <c r="D1470" s="71">
        <v>59.99</v>
      </c>
      <c r="E1470" s="71">
        <v>19.79</v>
      </c>
      <c r="F1470" s="71">
        <f t="shared" ref="F1470:F1472" si="771">D1470-E1470</f>
        <v>40.2</v>
      </c>
      <c r="G1470" s="72">
        <v>2.0</v>
      </c>
      <c r="H1470" s="71">
        <f t="shared" si="770"/>
        <v>9.895</v>
      </c>
    </row>
    <row r="1471">
      <c r="A1471" s="39" t="s">
        <v>1268</v>
      </c>
      <c r="B1471" s="1"/>
      <c r="C1471" s="1"/>
      <c r="D1471" s="71">
        <v>24.99</v>
      </c>
      <c r="E1471" s="71">
        <v>11.24</v>
      </c>
      <c r="F1471" s="71">
        <f t="shared" si="771"/>
        <v>13.75</v>
      </c>
      <c r="G1471" s="39">
        <v>1.0</v>
      </c>
      <c r="H1471" s="71">
        <f t="shared" si="770"/>
        <v>11.24</v>
      </c>
    </row>
    <row r="1472">
      <c r="A1472" s="39" t="s">
        <v>1267</v>
      </c>
      <c r="B1472" s="1"/>
      <c r="C1472" s="1"/>
      <c r="D1472" s="71">
        <v>25.0</v>
      </c>
      <c r="E1472" s="71">
        <v>11.25</v>
      </c>
      <c r="F1472" s="71">
        <f t="shared" si="771"/>
        <v>13.75</v>
      </c>
      <c r="G1472" s="39">
        <v>1.0</v>
      </c>
      <c r="H1472" s="71">
        <f t="shared" si="770"/>
        <v>11.25</v>
      </c>
    </row>
    <row r="1473">
      <c r="A1473" s="7"/>
      <c r="B1473" s="7"/>
      <c r="C1473" s="7"/>
      <c r="D1473" s="7"/>
      <c r="E1473" s="7"/>
      <c r="F1473" s="7"/>
      <c r="G1473" s="7"/>
      <c r="H1473" s="7"/>
    </row>
    <row r="1474">
      <c r="A1474" s="152" t="s">
        <v>488</v>
      </c>
      <c r="B1474" s="152" t="s">
        <v>487</v>
      </c>
      <c r="C1474" s="255">
        <f>COUNTA(A1475)</f>
        <v>1</v>
      </c>
      <c r="D1474" s="490">
        <v>64.99</v>
      </c>
      <c r="E1474" s="490">
        <v>45.49</v>
      </c>
      <c r="F1474" s="490">
        <f t="shared" ref="F1474:F1475" si="772">D1474-E1474</f>
        <v>19.5</v>
      </c>
      <c r="G1474" s="255">
        <f>SUM(G1475)</f>
        <v>4</v>
      </c>
      <c r="H1474" s="490">
        <f t="shared" ref="H1474:H1475" si="773">E1474/G1474</f>
        <v>11.3725</v>
      </c>
    </row>
    <row r="1475">
      <c r="A1475" s="156" t="s">
        <v>1440</v>
      </c>
      <c r="B1475" s="486"/>
      <c r="C1475" s="486"/>
      <c r="D1475" s="159">
        <v>64.99</v>
      </c>
      <c r="E1475" s="159">
        <v>45.49</v>
      </c>
      <c r="F1475" s="159">
        <f t="shared" si="772"/>
        <v>19.5</v>
      </c>
      <c r="G1475" s="156">
        <v>4.0</v>
      </c>
      <c r="H1475" s="159">
        <f t="shared" si="773"/>
        <v>11.3725</v>
      </c>
    </row>
    <row r="1476">
      <c r="A1476" s="1"/>
      <c r="B1476" s="1"/>
      <c r="C1476" s="1"/>
      <c r="D1476" s="1"/>
      <c r="E1476" s="1"/>
      <c r="F1476" s="1"/>
      <c r="G1476" s="1"/>
      <c r="H1476" s="1"/>
    </row>
    <row r="1477">
      <c r="A1477" s="43" t="s">
        <v>634</v>
      </c>
      <c r="B1477" s="43" t="s">
        <v>29</v>
      </c>
      <c r="C1477" s="44">
        <f>COUNTA(A1478:A1480)</f>
        <v>3</v>
      </c>
      <c r="D1477" s="46">
        <f t="shared" ref="D1477:G1477" si="774">SUM(D1478:D1480)</f>
        <v>184.97</v>
      </c>
      <c r="E1477" s="46">
        <f t="shared" si="774"/>
        <v>0</v>
      </c>
      <c r="F1477" s="47">
        <f t="shared" si="774"/>
        <v>184.97</v>
      </c>
      <c r="G1477" s="43">
        <f t="shared" si="774"/>
        <v>3</v>
      </c>
      <c r="H1477" s="46">
        <f t="shared" ref="H1477:H1480" si="775">E1477/G1477</f>
        <v>0</v>
      </c>
    </row>
    <row r="1478">
      <c r="A1478" s="39" t="s">
        <v>1704</v>
      </c>
      <c r="B1478" s="1"/>
      <c r="C1478" s="1"/>
      <c r="D1478" s="42">
        <v>74.99</v>
      </c>
      <c r="E1478" s="42">
        <v>0.0</v>
      </c>
      <c r="F1478" s="71">
        <f t="shared" ref="F1478:F1480" si="776">D1478-E1478</f>
        <v>74.99</v>
      </c>
      <c r="G1478" s="39">
        <v>1.0</v>
      </c>
      <c r="H1478" s="71">
        <f t="shared" si="775"/>
        <v>0</v>
      </c>
    </row>
    <row r="1479">
      <c r="A1479" s="39" t="s">
        <v>1697</v>
      </c>
      <c r="B1479" s="1"/>
      <c r="C1479" s="1"/>
      <c r="D1479" s="71">
        <v>69.99</v>
      </c>
      <c r="E1479" s="71">
        <v>0.0</v>
      </c>
      <c r="F1479" s="71">
        <f t="shared" si="776"/>
        <v>69.99</v>
      </c>
      <c r="G1479" s="39">
        <v>1.0</v>
      </c>
      <c r="H1479" s="71">
        <f t="shared" si="775"/>
        <v>0</v>
      </c>
    </row>
    <row r="1480">
      <c r="A1480" s="39" t="s">
        <v>1691</v>
      </c>
      <c r="B1480" s="1"/>
      <c r="C1480" s="1"/>
      <c r="D1480" s="71">
        <v>39.99</v>
      </c>
      <c r="E1480" s="71">
        <v>0.0</v>
      </c>
      <c r="F1480" s="71">
        <f t="shared" si="776"/>
        <v>39.99</v>
      </c>
      <c r="G1480" s="39">
        <v>1.0</v>
      </c>
      <c r="H1480" s="71">
        <f t="shared" si="775"/>
        <v>0</v>
      </c>
    </row>
    <row r="1481">
      <c r="A1481" s="1"/>
      <c r="B1481" s="1"/>
      <c r="C1481" s="1"/>
      <c r="D1481" s="1"/>
      <c r="E1481" s="1"/>
      <c r="F1481" s="1"/>
      <c r="G1481" s="1"/>
      <c r="H1481" s="1"/>
    </row>
    <row r="1482">
      <c r="A1482" s="152" t="s">
        <v>460</v>
      </c>
      <c r="B1482" s="152" t="s">
        <v>455</v>
      </c>
      <c r="C1482" s="255">
        <f>COUNTA(A1483:A1485)</f>
        <v>3</v>
      </c>
      <c r="D1482" s="154">
        <f t="shared" ref="D1482:G1482" si="777">SUM(D1483:D1485)</f>
        <v>119.97</v>
      </c>
      <c r="E1482" s="154">
        <f t="shared" si="777"/>
        <v>0</v>
      </c>
      <c r="F1482" s="154">
        <f t="shared" si="777"/>
        <v>119.97</v>
      </c>
      <c r="G1482" s="152">
        <f t="shared" si="777"/>
        <v>3</v>
      </c>
      <c r="H1482" s="490">
        <f t="shared" ref="H1482:H1485" si="778">E1482/G1482</f>
        <v>0</v>
      </c>
    </row>
    <row r="1483">
      <c r="A1483" s="155" t="s">
        <v>1425</v>
      </c>
      <c r="B1483" s="486"/>
      <c r="C1483" s="486"/>
      <c r="D1483" s="159">
        <v>79.99</v>
      </c>
      <c r="E1483" s="159">
        <v>0.0</v>
      </c>
      <c r="F1483" s="159">
        <f t="shared" ref="F1483:F1485" si="779">D1483-E1483</f>
        <v>79.99</v>
      </c>
      <c r="G1483" s="156">
        <v>1.0</v>
      </c>
      <c r="H1483" s="159">
        <f t="shared" si="778"/>
        <v>0</v>
      </c>
    </row>
    <row r="1484">
      <c r="A1484" s="156" t="s">
        <v>1395</v>
      </c>
      <c r="B1484" s="486"/>
      <c r="C1484" s="486"/>
      <c r="D1484" s="159">
        <v>19.99</v>
      </c>
      <c r="E1484" s="159">
        <v>0.0</v>
      </c>
      <c r="F1484" s="159">
        <f t="shared" si="779"/>
        <v>19.99</v>
      </c>
      <c r="G1484" s="156">
        <v>1.0</v>
      </c>
      <c r="H1484" s="159">
        <f t="shared" si="778"/>
        <v>0</v>
      </c>
    </row>
    <row r="1485">
      <c r="A1485" s="155" t="s">
        <v>1411</v>
      </c>
      <c r="B1485" s="486"/>
      <c r="C1485" s="486"/>
      <c r="D1485" s="159">
        <v>19.99</v>
      </c>
      <c r="E1485" s="159">
        <v>0.0</v>
      </c>
      <c r="F1485" s="159">
        <f t="shared" si="779"/>
        <v>19.99</v>
      </c>
      <c r="G1485" s="156">
        <v>1.0</v>
      </c>
      <c r="H1485" s="159">
        <f t="shared" si="778"/>
        <v>0</v>
      </c>
    </row>
    <row r="1486">
      <c r="A1486" s="1"/>
      <c r="B1486" s="1"/>
      <c r="C1486" s="1"/>
      <c r="D1486" s="1"/>
      <c r="E1486" s="1"/>
      <c r="F1486" s="1"/>
      <c r="G1486" s="1"/>
      <c r="H1486" s="1"/>
    </row>
    <row r="1487">
      <c r="A1487" s="43" t="s">
        <v>502</v>
      </c>
      <c r="B1487" s="43" t="s">
        <v>29</v>
      </c>
      <c r="C1487" s="44">
        <f>COUNTA(A1488)</f>
        <v>1</v>
      </c>
      <c r="D1487" s="47">
        <f t="shared" ref="D1487:G1487" si="780">SUM(D1488)</f>
        <v>39.99</v>
      </c>
      <c r="E1487" s="47">
        <f t="shared" si="780"/>
        <v>0</v>
      </c>
      <c r="F1487" s="47">
        <f t="shared" si="780"/>
        <v>39.99</v>
      </c>
      <c r="G1487" s="43">
        <f t="shared" si="780"/>
        <v>3</v>
      </c>
      <c r="H1487" s="47">
        <f t="shared" ref="H1487:H1488" si="781">E1487/G1487</f>
        <v>0</v>
      </c>
    </row>
    <row r="1488">
      <c r="A1488" s="39" t="s">
        <v>1791</v>
      </c>
      <c r="B1488" s="1"/>
      <c r="C1488" s="1"/>
      <c r="D1488" s="71">
        <v>39.99</v>
      </c>
      <c r="E1488" s="71">
        <v>0.0</v>
      </c>
      <c r="F1488" s="71">
        <f>D1488-E1488</f>
        <v>39.99</v>
      </c>
      <c r="G1488" s="39">
        <v>3.0</v>
      </c>
      <c r="H1488" s="71">
        <f t="shared" si="781"/>
        <v>0</v>
      </c>
    </row>
    <row r="1489">
      <c r="A1489" s="179"/>
      <c r="B1489" s="477"/>
      <c r="C1489" s="477"/>
      <c r="D1489" s="478"/>
      <c r="E1489" s="478"/>
      <c r="F1489" s="478"/>
      <c r="G1489" s="179"/>
      <c r="H1489" s="181"/>
    </row>
    <row r="1490">
      <c r="A1490" s="43" t="s">
        <v>591</v>
      </c>
      <c r="B1490" s="43" t="s">
        <v>29</v>
      </c>
      <c r="C1490" s="44">
        <f>COUNTA(A1491)</f>
        <v>1</v>
      </c>
      <c r="D1490" s="47">
        <f t="shared" ref="D1490:G1490" si="782">SUM(D1491)</f>
        <v>39.99</v>
      </c>
      <c r="E1490" s="47">
        <f t="shared" si="782"/>
        <v>0</v>
      </c>
      <c r="F1490" s="47">
        <f t="shared" si="782"/>
        <v>39.99</v>
      </c>
      <c r="G1490" s="43">
        <f t="shared" si="782"/>
        <v>3</v>
      </c>
      <c r="H1490" s="47">
        <f t="shared" ref="H1490:H1491" si="783">E1490/G1490</f>
        <v>0</v>
      </c>
    </row>
    <row r="1491">
      <c r="A1491" s="39" t="s">
        <v>1665</v>
      </c>
      <c r="B1491" s="1"/>
      <c r="C1491" s="1"/>
      <c r="D1491" s="71">
        <v>39.99</v>
      </c>
      <c r="E1491" s="71">
        <v>0.0</v>
      </c>
      <c r="F1491" s="71">
        <f>D1491-E1491</f>
        <v>39.99</v>
      </c>
      <c r="G1491" s="39">
        <v>3.0</v>
      </c>
      <c r="H1491" s="71">
        <f t="shared" si="783"/>
        <v>0</v>
      </c>
    </row>
    <row r="1492">
      <c r="A1492" s="179"/>
      <c r="B1492" s="477"/>
      <c r="C1492" s="477"/>
      <c r="D1492" s="478"/>
      <c r="E1492" s="478"/>
      <c r="F1492" s="478"/>
      <c r="G1492" s="179"/>
      <c r="H1492" s="181"/>
    </row>
    <row r="1493">
      <c r="A1493" s="43" t="s">
        <v>409</v>
      </c>
      <c r="B1493" s="43" t="s">
        <v>400</v>
      </c>
      <c r="C1493" s="44">
        <f>COUNTA(A1494)</f>
        <v>1</v>
      </c>
      <c r="D1493" s="47">
        <f t="shared" ref="D1493:G1493" si="784">SUM(D1494)</f>
        <v>9.99</v>
      </c>
      <c r="E1493" s="47">
        <f t="shared" si="784"/>
        <v>0</v>
      </c>
      <c r="F1493" s="47">
        <f t="shared" si="784"/>
        <v>9.99</v>
      </c>
      <c r="G1493" s="43">
        <f t="shared" si="784"/>
        <v>3</v>
      </c>
      <c r="H1493" s="47">
        <f t="shared" ref="H1493:H1494" si="785">E1493/G1493</f>
        <v>0</v>
      </c>
    </row>
    <row r="1494">
      <c r="A1494" s="39" t="s">
        <v>1341</v>
      </c>
      <c r="B1494" s="1"/>
      <c r="C1494" s="1"/>
      <c r="D1494" s="71">
        <v>9.99</v>
      </c>
      <c r="E1494" s="71">
        <v>0.0</v>
      </c>
      <c r="F1494" s="71">
        <f>D1494-E1494</f>
        <v>9.99</v>
      </c>
      <c r="G1494" s="39">
        <v>3.0</v>
      </c>
      <c r="H1494" s="71">
        <f t="shared" si="785"/>
        <v>0</v>
      </c>
    </row>
    <row r="1495">
      <c r="A1495" s="179"/>
      <c r="B1495" s="477"/>
      <c r="C1495" s="477"/>
      <c r="D1495" s="478"/>
      <c r="E1495" s="478"/>
      <c r="F1495" s="478"/>
      <c r="G1495" s="179"/>
      <c r="H1495" s="181"/>
    </row>
    <row r="1496">
      <c r="A1496" s="53" t="s">
        <v>315</v>
      </c>
      <c r="B1496" s="53" t="s">
        <v>316</v>
      </c>
      <c r="C1496" s="75">
        <f>COUNTA(A1497)</f>
        <v>1</v>
      </c>
      <c r="D1496" s="76">
        <f t="shared" ref="D1496:G1496" si="786">SUM(D1497)</f>
        <v>4.99</v>
      </c>
      <c r="E1496" s="76">
        <f t="shared" si="786"/>
        <v>0</v>
      </c>
      <c r="F1496" s="76">
        <f t="shared" si="786"/>
        <v>4.99</v>
      </c>
      <c r="G1496" s="53">
        <f t="shared" si="786"/>
        <v>3</v>
      </c>
      <c r="H1496" s="76">
        <f t="shared" ref="H1496:H1497" si="787">E1496/G1496</f>
        <v>0</v>
      </c>
    </row>
    <row r="1497">
      <c r="A1497" s="79" t="s">
        <v>1056</v>
      </c>
      <c r="B1497" s="1"/>
      <c r="C1497" s="1"/>
      <c r="D1497" s="52">
        <v>4.99</v>
      </c>
      <c r="E1497" s="52">
        <v>0.0</v>
      </c>
      <c r="F1497" s="52">
        <f>D1497-E1497</f>
        <v>4.99</v>
      </c>
      <c r="G1497" s="79">
        <v>3.0</v>
      </c>
      <c r="H1497" s="52">
        <f t="shared" si="787"/>
        <v>0</v>
      </c>
    </row>
    <row r="1498">
      <c r="A1498" s="179"/>
      <c r="B1498" s="477"/>
      <c r="C1498" s="477"/>
      <c r="D1498" s="478"/>
      <c r="E1498" s="478"/>
      <c r="F1498" s="478"/>
      <c r="G1498" s="179"/>
      <c r="H1498" s="181"/>
    </row>
    <row r="1499">
      <c r="A1499" s="53" t="s">
        <v>272</v>
      </c>
      <c r="B1499" s="53" t="s">
        <v>265</v>
      </c>
      <c r="C1499" s="75">
        <f>COUNTA(A1500:A1501)</f>
        <v>2</v>
      </c>
      <c r="D1499" s="76">
        <f t="shared" ref="D1499:G1499" si="788">SUM(D1500:D1501)</f>
        <v>27.98</v>
      </c>
      <c r="E1499" s="76">
        <f t="shared" si="788"/>
        <v>3.98</v>
      </c>
      <c r="F1499" s="76">
        <f t="shared" si="788"/>
        <v>24</v>
      </c>
      <c r="G1499" s="53">
        <f t="shared" si="788"/>
        <v>3</v>
      </c>
      <c r="H1499" s="76">
        <f t="shared" ref="H1499:H1501" si="789">E1499/G1499</f>
        <v>1.326666667</v>
      </c>
    </row>
    <row r="1500">
      <c r="A1500" s="49" t="s">
        <v>1006</v>
      </c>
      <c r="B1500" s="1"/>
      <c r="C1500" s="1"/>
      <c r="D1500" s="52">
        <v>7.99</v>
      </c>
      <c r="E1500" s="52">
        <v>2.99</v>
      </c>
      <c r="F1500" s="52">
        <f t="shared" ref="F1500:F1501" si="790">D1500-E1500</f>
        <v>5</v>
      </c>
      <c r="G1500" s="49">
        <v>2.0</v>
      </c>
      <c r="H1500" s="52">
        <f t="shared" si="789"/>
        <v>1.495</v>
      </c>
    </row>
    <row r="1501">
      <c r="A1501" s="49" t="s">
        <v>1022</v>
      </c>
      <c r="B1501" s="1"/>
      <c r="C1501" s="1"/>
      <c r="D1501" s="52">
        <v>19.99</v>
      </c>
      <c r="E1501" s="52">
        <v>0.99</v>
      </c>
      <c r="F1501" s="52">
        <f t="shared" si="790"/>
        <v>19</v>
      </c>
      <c r="G1501" s="79">
        <v>1.0</v>
      </c>
      <c r="H1501" s="52">
        <f t="shared" si="789"/>
        <v>0.99</v>
      </c>
    </row>
    <row r="1502">
      <c r="A1502" s="179"/>
      <c r="B1502" s="477"/>
      <c r="C1502" s="477"/>
      <c r="D1502" s="478"/>
      <c r="E1502" s="478"/>
      <c r="F1502" s="478"/>
      <c r="G1502" s="179"/>
      <c r="H1502" s="181"/>
    </row>
    <row r="1503">
      <c r="A1503" s="213" t="s">
        <v>417</v>
      </c>
      <c r="B1503" s="213" t="s">
        <v>416</v>
      </c>
      <c r="C1503" s="485">
        <f>COUNTA(A1504)</f>
        <v>1</v>
      </c>
      <c r="D1503" s="215">
        <f t="shared" ref="D1503:G1503" si="791">SUM(D1504)</f>
        <v>8.99</v>
      </c>
      <c r="E1503" s="215">
        <f t="shared" si="791"/>
        <v>3.99</v>
      </c>
      <c r="F1503" s="215">
        <f t="shared" si="791"/>
        <v>5</v>
      </c>
      <c r="G1503" s="213">
        <f t="shared" si="791"/>
        <v>3</v>
      </c>
      <c r="H1503" s="215">
        <f t="shared" ref="H1503:H1504" si="792">E1503/G1503</f>
        <v>1.33</v>
      </c>
    </row>
    <row r="1504">
      <c r="A1504" s="218" t="s">
        <v>1352</v>
      </c>
      <c r="B1504" s="1"/>
      <c r="C1504" s="1"/>
      <c r="D1504" s="220">
        <v>8.99</v>
      </c>
      <c r="E1504" s="220">
        <v>3.99</v>
      </c>
      <c r="F1504" s="220">
        <f>D1504-E1504</f>
        <v>5</v>
      </c>
      <c r="G1504" s="217">
        <v>3.0</v>
      </c>
      <c r="H1504" s="220">
        <f t="shared" si="792"/>
        <v>1.33</v>
      </c>
    </row>
    <row r="1505">
      <c r="A1505" s="179"/>
      <c r="B1505" s="477"/>
      <c r="C1505" s="477"/>
      <c r="D1505" s="478"/>
      <c r="E1505" s="478"/>
      <c r="F1505" s="478"/>
      <c r="G1505" s="179"/>
      <c r="H1505" s="181"/>
    </row>
    <row r="1506">
      <c r="A1506" s="43" t="s">
        <v>638</v>
      </c>
      <c r="B1506" s="43" t="s">
        <v>29</v>
      </c>
      <c r="C1506" s="44">
        <f>COUNTA(A1507)</f>
        <v>1</v>
      </c>
      <c r="D1506" s="47">
        <f t="shared" ref="D1506:G1506" si="793">SUM(D1507)</f>
        <v>14.99</v>
      </c>
      <c r="E1506" s="47">
        <f t="shared" si="793"/>
        <v>4.99</v>
      </c>
      <c r="F1506" s="47">
        <f t="shared" si="793"/>
        <v>10</v>
      </c>
      <c r="G1506" s="43">
        <f t="shared" si="793"/>
        <v>3</v>
      </c>
      <c r="H1506" s="47">
        <f t="shared" ref="H1506:H1507" si="794">E1506/G1506</f>
        <v>1.663333333</v>
      </c>
    </row>
    <row r="1507">
      <c r="A1507" s="39" t="s">
        <v>1580</v>
      </c>
      <c r="B1507" s="1"/>
      <c r="C1507" s="1"/>
      <c r="D1507" s="71">
        <v>14.99</v>
      </c>
      <c r="E1507" s="71">
        <v>4.99</v>
      </c>
      <c r="F1507" s="71">
        <f>D1507-E1507</f>
        <v>10</v>
      </c>
      <c r="G1507" s="39">
        <v>3.0</v>
      </c>
      <c r="H1507" s="71">
        <f t="shared" si="794"/>
        <v>1.663333333</v>
      </c>
    </row>
    <row r="1508">
      <c r="A1508" s="179"/>
      <c r="B1508" s="477"/>
      <c r="C1508" s="477"/>
      <c r="D1508" s="478"/>
      <c r="E1508" s="478"/>
      <c r="F1508" s="478"/>
      <c r="G1508" s="179"/>
      <c r="H1508" s="181"/>
    </row>
    <row r="1509">
      <c r="A1509" s="43" t="s">
        <v>363</v>
      </c>
      <c r="B1509" s="43" t="s">
        <v>325</v>
      </c>
      <c r="C1509" s="44">
        <f>COUNTA(A1510)</f>
        <v>1</v>
      </c>
      <c r="D1509" s="47">
        <f t="shared" ref="D1509:G1509" si="795">SUM(D1510)</f>
        <v>13.99</v>
      </c>
      <c r="E1509" s="47">
        <f t="shared" si="795"/>
        <v>4.99</v>
      </c>
      <c r="F1509" s="47">
        <f t="shared" si="795"/>
        <v>9</v>
      </c>
      <c r="G1509" s="43">
        <f t="shared" si="795"/>
        <v>3</v>
      </c>
      <c r="H1509" s="47">
        <f t="shared" ref="H1509:H1510" si="796">E1509/G1509</f>
        <v>1.663333333</v>
      </c>
    </row>
    <row r="1510">
      <c r="A1510" s="39" t="s">
        <v>1204</v>
      </c>
      <c r="B1510" s="1"/>
      <c r="C1510" s="1"/>
      <c r="D1510" s="71">
        <v>13.99</v>
      </c>
      <c r="E1510" s="71">
        <v>4.99</v>
      </c>
      <c r="F1510" s="71">
        <f>D1510-E1510</f>
        <v>9</v>
      </c>
      <c r="G1510" s="72">
        <v>3.0</v>
      </c>
      <c r="H1510" s="71">
        <f t="shared" si="796"/>
        <v>1.663333333</v>
      </c>
    </row>
    <row r="1511">
      <c r="A1511" s="179"/>
      <c r="B1511" s="477"/>
      <c r="C1511" s="477"/>
      <c r="D1511" s="478"/>
      <c r="E1511" s="478"/>
      <c r="F1511" s="478"/>
      <c r="G1511" s="179"/>
      <c r="H1511" s="181"/>
    </row>
    <row r="1512">
      <c r="A1512" s="43" t="s">
        <v>138</v>
      </c>
      <c r="B1512" s="43" t="s">
        <v>92</v>
      </c>
      <c r="C1512" s="44">
        <f>COUNTA(A1513)</f>
        <v>1</v>
      </c>
      <c r="D1512" s="47">
        <f t="shared" ref="D1512:G1512" si="797">SUM(D1513)</f>
        <v>9.99</v>
      </c>
      <c r="E1512" s="47">
        <f t="shared" si="797"/>
        <v>4.99</v>
      </c>
      <c r="F1512" s="47">
        <f t="shared" si="797"/>
        <v>5</v>
      </c>
      <c r="G1512" s="43">
        <f t="shared" si="797"/>
        <v>3</v>
      </c>
      <c r="H1512" s="47">
        <f t="shared" ref="H1512:H1513" si="798">E1512/G1512</f>
        <v>1.663333333</v>
      </c>
    </row>
    <row r="1513">
      <c r="A1513" s="72" t="s">
        <v>712</v>
      </c>
      <c r="B1513" s="1"/>
      <c r="C1513" s="1"/>
      <c r="D1513" s="71">
        <v>9.99</v>
      </c>
      <c r="E1513" s="71">
        <v>4.99</v>
      </c>
      <c r="F1513" s="71">
        <f>D1513-E1513</f>
        <v>5</v>
      </c>
      <c r="G1513" s="39">
        <v>3.0</v>
      </c>
      <c r="H1513" s="71">
        <f t="shared" si="798"/>
        <v>1.663333333</v>
      </c>
    </row>
    <row r="1514">
      <c r="A1514" s="179"/>
      <c r="B1514" s="477"/>
      <c r="C1514" s="477"/>
      <c r="D1514" s="478"/>
      <c r="E1514" s="478"/>
      <c r="F1514" s="478"/>
      <c r="G1514" s="179"/>
      <c r="H1514" s="181"/>
    </row>
    <row r="1515">
      <c r="A1515" s="43" t="s">
        <v>568</v>
      </c>
      <c r="B1515" s="69" t="s">
        <v>29</v>
      </c>
      <c r="C1515" s="44">
        <f>COUNTA(A1516)</f>
        <v>1</v>
      </c>
      <c r="D1515" s="47">
        <f t="shared" ref="D1515:G1515" si="799">SUM(D1516)</f>
        <v>4.99</v>
      </c>
      <c r="E1515" s="47">
        <f t="shared" si="799"/>
        <v>4.99</v>
      </c>
      <c r="F1515" s="47">
        <f t="shared" si="799"/>
        <v>0</v>
      </c>
      <c r="G1515" s="43">
        <f t="shared" si="799"/>
        <v>3</v>
      </c>
      <c r="H1515" s="47">
        <f t="shared" ref="H1515:H1516" si="800">E1515/G1515</f>
        <v>1.663333333</v>
      </c>
    </row>
    <row r="1516">
      <c r="A1516" s="72" t="s">
        <v>1583</v>
      </c>
      <c r="B1516" s="1"/>
      <c r="C1516" s="1"/>
      <c r="D1516" s="71">
        <v>4.99</v>
      </c>
      <c r="E1516" s="71">
        <v>4.99</v>
      </c>
      <c r="F1516" s="71">
        <f>D1516-E1516</f>
        <v>0</v>
      </c>
      <c r="G1516" s="39">
        <v>3.0</v>
      </c>
      <c r="H1516" s="71">
        <f t="shared" si="800"/>
        <v>1.663333333</v>
      </c>
    </row>
    <row r="1517">
      <c r="A1517" s="179"/>
      <c r="B1517" s="477"/>
      <c r="C1517" s="477"/>
      <c r="D1517" s="478"/>
      <c r="E1517" s="478"/>
      <c r="F1517" s="478"/>
      <c r="G1517" s="179"/>
      <c r="H1517" s="181"/>
    </row>
    <row r="1518">
      <c r="A1518" s="43" t="s">
        <v>337</v>
      </c>
      <c r="B1518" s="43" t="s">
        <v>325</v>
      </c>
      <c r="C1518" s="44">
        <f>COUNTA(A1519)</f>
        <v>1</v>
      </c>
      <c r="D1518" s="47">
        <f t="shared" ref="D1518:G1518" si="801">SUM(D1519)</f>
        <v>4.99</v>
      </c>
      <c r="E1518" s="47">
        <f t="shared" si="801"/>
        <v>4.99</v>
      </c>
      <c r="F1518" s="47">
        <f t="shared" si="801"/>
        <v>0</v>
      </c>
      <c r="G1518" s="43">
        <f t="shared" si="801"/>
        <v>3</v>
      </c>
      <c r="H1518" s="47">
        <f t="shared" ref="H1518:H1519" si="802">E1518/G1518</f>
        <v>1.663333333</v>
      </c>
    </row>
    <row r="1519">
      <c r="A1519" s="72" t="s">
        <v>1065</v>
      </c>
      <c r="B1519" s="1"/>
      <c r="C1519" s="1"/>
      <c r="D1519" s="71">
        <v>4.99</v>
      </c>
      <c r="E1519" s="71">
        <v>4.99</v>
      </c>
      <c r="F1519" s="71">
        <f>D1519-E1519</f>
        <v>0</v>
      </c>
      <c r="G1519" s="39">
        <v>3.0</v>
      </c>
      <c r="H1519" s="71">
        <f t="shared" si="802"/>
        <v>1.663333333</v>
      </c>
    </row>
    <row r="1520">
      <c r="A1520" s="179"/>
      <c r="B1520" s="477"/>
      <c r="C1520" s="477"/>
      <c r="D1520" s="478"/>
      <c r="E1520" s="478"/>
      <c r="F1520" s="478"/>
      <c r="G1520" s="179"/>
      <c r="H1520" s="181"/>
    </row>
    <row r="1521">
      <c r="A1521" s="152" t="s">
        <v>465</v>
      </c>
      <c r="B1521" s="152" t="s">
        <v>455</v>
      </c>
      <c r="C1521" s="255">
        <f>COUNTA(A1522)</f>
        <v>1</v>
      </c>
      <c r="D1521" s="154">
        <f t="shared" ref="D1521:G1521" si="803">SUM(D1522)</f>
        <v>4.99</v>
      </c>
      <c r="E1521" s="154">
        <f t="shared" si="803"/>
        <v>4.99</v>
      </c>
      <c r="F1521" s="154">
        <f t="shared" si="803"/>
        <v>0</v>
      </c>
      <c r="G1521" s="152">
        <f t="shared" si="803"/>
        <v>3</v>
      </c>
      <c r="H1521" s="154">
        <f t="shared" ref="H1521:H1522" si="804">E1521/G1521</f>
        <v>1.663333333</v>
      </c>
    </row>
    <row r="1522">
      <c r="A1522" s="156" t="s">
        <v>1393</v>
      </c>
      <c r="B1522" s="486"/>
      <c r="C1522" s="486"/>
      <c r="D1522" s="159">
        <v>4.99</v>
      </c>
      <c r="E1522" s="159">
        <v>4.99</v>
      </c>
      <c r="F1522" s="159">
        <f>D1522-E1522</f>
        <v>0</v>
      </c>
      <c r="G1522" s="156">
        <v>3.0</v>
      </c>
      <c r="H1522" s="159">
        <f t="shared" si="804"/>
        <v>1.663333333</v>
      </c>
    </row>
    <row r="1523">
      <c r="A1523" s="179"/>
      <c r="B1523" s="477"/>
      <c r="C1523" s="477"/>
      <c r="D1523" s="478"/>
      <c r="E1523" s="478"/>
      <c r="F1523" s="478"/>
      <c r="G1523" s="179"/>
      <c r="H1523" s="181"/>
    </row>
    <row r="1524">
      <c r="A1524" s="53" t="s">
        <v>262</v>
      </c>
      <c r="B1524" s="53" t="s">
        <v>255</v>
      </c>
      <c r="C1524" s="75">
        <f>COUNTA(A1525:A1526)</f>
        <v>2</v>
      </c>
      <c r="D1524" s="76">
        <f t="shared" ref="D1524:G1524" si="805">SUM(D1525:D1526)</f>
        <v>43.98</v>
      </c>
      <c r="E1524" s="76">
        <f t="shared" si="805"/>
        <v>5.99</v>
      </c>
      <c r="F1524" s="76">
        <f t="shared" si="805"/>
        <v>37.99</v>
      </c>
      <c r="G1524" s="53">
        <f t="shared" si="805"/>
        <v>3</v>
      </c>
      <c r="H1524" s="76">
        <f t="shared" ref="H1524:H1526" si="806">E1524/G1524</f>
        <v>1.996666667</v>
      </c>
    </row>
    <row r="1525">
      <c r="A1525" s="79" t="s">
        <v>976</v>
      </c>
      <c r="B1525" s="1"/>
      <c r="C1525" s="1"/>
      <c r="D1525" s="52">
        <v>13.99</v>
      </c>
      <c r="E1525" s="52">
        <v>5.99</v>
      </c>
      <c r="F1525" s="52">
        <f t="shared" ref="F1525:F1526" si="807">D1525-E1525</f>
        <v>8</v>
      </c>
      <c r="G1525" s="79">
        <v>2.0</v>
      </c>
      <c r="H1525" s="52">
        <f t="shared" si="806"/>
        <v>2.995</v>
      </c>
    </row>
    <row r="1526">
      <c r="A1526" s="49" t="s">
        <v>992</v>
      </c>
      <c r="B1526" s="1"/>
      <c r="C1526" s="1"/>
      <c r="D1526" s="52">
        <v>29.99</v>
      </c>
      <c r="E1526" s="52">
        <v>0.0</v>
      </c>
      <c r="F1526" s="52">
        <f t="shared" si="807"/>
        <v>29.99</v>
      </c>
      <c r="G1526" s="49">
        <v>1.0</v>
      </c>
      <c r="H1526" s="52">
        <f t="shared" si="806"/>
        <v>0</v>
      </c>
    </row>
    <row r="1527">
      <c r="A1527" s="1"/>
      <c r="B1527" s="1"/>
      <c r="C1527" s="1"/>
      <c r="D1527" s="1"/>
      <c r="E1527" s="1"/>
      <c r="F1527" s="1"/>
      <c r="G1527" s="1"/>
      <c r="H1527" s="1"/>
    </row>
    <row r="1528">
      <c r="A1528" s="134" t="s">
        <v>87</v>
      </c>
      <c r="B1528" s="134" t="s">
        <v>88</v>
      </c>
      <c r="C1528" s="499">
        <f>COUNTA(A1529)</f>
        <v>1</v>
      </c>
      <c r="D1528" s="136">
        <f t="shared" ref="D1528:G1528" si="808">SUM(D1529)</f>
        <v>5.99</v>
      </c>
      <c r="E1528" s="136">
        <f t="shared" si="808"/>
        <v>5.99</v>
      </c>
      <c r="F1528" s="136">
        <f t="shared" si="808"/>
        <v>0</v>
      </c>
      <c r="G1528" s="134">
        <f t="shared" si="808"/>
        <v>3</v>
      </c>
      <c r="H1528" s="136">
        <f t="shared" ref="H1528:H1529" si="809">E1528/G1528</f>
        <v>1.996666667</v>
      </c>
    </row>
    <row r="1529">
      <c r="A1529" s="137" t="s">
        <v>679</v>
      </c>
      <c r="B1529" s="509"/>
      <c r="C1529" s="509"/>
      <c r="D1529" s="140">
        <v>5.99</v>
      </c>
      <c r="E1529" s="140">
        <v>5.99</v>
      </c>
      <c r="F1529" s="140">
        <f>D1529-E1529</f>
        <v>0</v>
      </c>
      <c r="G1529" s="141">
        <v>3.0</v>
      </c>
      <c r="H1529" s="140">
        <f t="shared" si="809"/>
        <v>1.996666667</v>
      </c>
    </row>
    <row r="1530">
      <c r="A1530" s="179"/>
      <c r="B1530" s="477"/>
      <c r="C1530" s="477"/>
      <c r="D1530" s="478"/>
      <c r="E1530" s="478"/>
      <c r="F1530" s="478"/>
      <c r="G1530" s="179"/>
      <c r="H1530" s="181"/>
    </row>
    <row r="1531">
      <c r="A1531" s="510" t="s">
        <v>379</v>
      </c>
      <c r="B1531" s="43" t="s">
        <v>380</v>
      </c>
      <c r="C1531" s="44">
        <f>COUNTA(A1532)</f>
        <v>1</v>
      </c>
      <c r="D1531" s="47">
        <f t="shared" ref="D1531:G1531" si="810">SUM(D1532)</f>
        <v>9.99</v>
      </c>
      <c r="E1531" s="47">
        <f t="shared" si="810"/>
        <v>6.99</v>
      </c>
      <c r="F1531" s="47">
        <f t="shared" si="810"/>
        <v>3</v>
      </c>
      <c r="G1531" s="43">
        <f t="shared" si="810"/>
        <v>3</v>
      </c>
      <c r="H1531" s="47">
        <f t="shared" ref="H1531:H1532" si="811">E1531/G1531</f>
        <v>2.33</v>
      </c>
    </row>
    <row r="1532">
      <c r="A1532" s="39" t="s">
        <v>1315</v>
      </c>
      <c r="B1532" s="1"/>
      <c r="C1532" s="1"/>
      <c r="D1532" s="71">
        <v>9.99</v>
      </c>
      <c r="E1532" s="71">
        <v>6.99</v>
      </c>
      <c r="F1532" s="71">
        <f>D1532-E1532</f>
        <v>3</v>
      </c>
      <c r="G1532" s="39">
        <v>3.0</v>
      </c>
      <c r="H1532" s="71">
        <f t="shared" si="811"/>
        <v>2.33</v>
      </c>
    </row>
    <row r="1533">
      <c r="A1533" s="179"/>
      <c r="B1533" s="477"/>
      <c r="C1533" s="477"/>
      <c r="D1533" s="478"/>
      <c r="E1533" s="478"/>
      <c r="F1533" s="478"/>
      <c r="G1533" s="179"/>
      <c r="H1533" s="181"/>
    </row>
    <row r="1534">
      <c r="A1534" s="53" t="s">
        <v>156</v>
      </c>
      <c r="B1534" s="53" t="s">
        <v>153</v>
      </c>
      <c r="C1534" s="75">
        <f>COUNTA(A1535)</f>
        <v>1</v>
      </c>
      <c r="D1534" s="76">
        <f t="shared" ref="D1534:G1534" si="812">SUM(D1535)</f>
        <v>6.99</v>
      </c>
      <c r="E1534" s="76">
        <f t="shared" si="812"/>
        <v>6.99</v>
      </c>
      <c r="F1534" s="76">
        <f t="shared" si="812"/>
        <v>0</v>
      </c>
      <c r="G1534" s="53">
        <f t="shared" si="812"/>
        <v>3</v>
      </c>
      <c r="H1534" s="76">
        <f t="shared" ref="H1534:H1535" si="813">E1534/G1534</f>
        <v>2.33</v>
      </c>
    </row>
    <row r="1535">
      <c r="A1535" s="79" t="s">
        <v>783</v>
      </c>
      <c r="B1535" s="1"/>
      <c r="C1535" s="1"/>
      <c r="D1535" s="52">
        <v>6.99</v>
      </c>
      <c r="E1535" s="52">
        <v>6.99</v>
      </c>
      <c r="F1535" s="52">
        <f>D1535-E1535</f>
        <v>0</v>
      </c>
      <c r="G1535" s="79">
        <v>3.0</v>
      </c>
      <c r="H1535" s="52">
        <f t="shared" si="813"/>
        <v>2.33</v>
      </c>
    </row>
    <row r="1536">
      <c r="A1536" s="1"/>
      <c r="B1536" s="1"/>
      <c r="C1536" s="1"/>
      <c r="D1536" s="1"/>
      <c r="E1536" s="1"/>
      <c r="F1536" s="1"/>
      <c r="G1536" s="1"/>
      <c r="H1536" s="1"/>
    </row>
    <row r="1537">
      <c r="A1537" s="246" t="s">
        <v>450</v>
      </c>
      <c r="B1537" s="246" t="s">
        <v>443</v>
      </c>
      <c r="C1537" s="493">
        <f>COUNTA(A1538:A1539)</f>
        <v>2</v>
      </c>
      <c r="D1537" s="248">
        <f t="shared" ref="D1537:G1537" si="814">SUM(D1538:D1539)</f>
        <v>12.98</v>
      </c>
      <c r="E1537" s="248">
        <f t="shared" si="814"/>
        <v>9.23</v>
      </c>
      <c r="F1537" s="248">
        <f t="shared" si="814"/>
        <v>3.75</v>
      </c>
      <c r="G1537" s="246">
        <f t="shared" si="814"/>
        <v>3</v>
      </c>
      <c r="H1537" s="248">
        <f t="shared" ref="H1537:H1539" si="815">E1537/G1537</f>
        <v>3.076666667</v>
      </c>
    </row>
    <row r="1538">
      <c r="A1538" s="250" t="s">
        <v>1382</v>
      </c>
      <c r="B1538" s="250"/>
      <c r="C1538" s="250"/>
      <c r="D1538" s="253">
        <v>7.99</v>
      </c>
      <c r="E1538" s="253">
        <v>5.99</v>
      </c>
      <c r="F1538" s="253">
        <f t="shared" ref="F1538:F1539" si="816">D1538-E1538</f>
        <v>2</v>
      </c>
      <c r="G1538" s="250">
        <v>2.0</v>
      </c>
      <c r="H1538" s="253">
        <f t="shared" si="815"/>
        <v>2.995</v>
      </c>
    </row>
    <row r="1539">
      <c r="A1539" s="250" t="s">
        <v>1387</v>
      </c>
      <c r="B1539" s="250"/>
      <c r="C1539" s="250"/>
      <c r="D1539" s="253">
        <v>4.99</v>
      </c>
      <c r="E1539" s="253">
        <v>3.24</v>
      </c>
      <c r="F1539" s="253">
        <f t="shared" si="816"/>
        <v>1.75</v>
      </c>
      <c r="G1539" s="250">
        <v>1.0</v>
      </c>
      <c r="H1539" s="253">
        <f t="shared" si="815"/>
        <v>3.24</v>
      </c>
    </row>
    <row r="1540">
      <c r="A1540" s="39"/>
      <c r="B1540" s="1"/>
      <c r="C1540" s="1"/>
      <c r="D1540" s="42"/>
      <c r="E1540" s="42"/>
      <c r="F1540" s="71"/>
      <c r="G1540" s="39"/>
      <c r="H1540" s="71"/>
    </row>
    <row r="1541">
      <c r="A1541" s="43" t="s">
        <v>492</v>
      </c>
      <c r="B1541" s="43" t="s">
        <v>29</v>
      </c>
      <c r="C1541" s="44">
        <f>COUNTA(A1542:A1543)</f>
        <v>2</v>
      </c>
      <c r="D1541" s="47">
        <f t="shared" ref="D1541:G1541" si="817">SUM(D1542:D1543)</f>
        <v>29.98</v>
      </c>
      <c r="E1541" s="47">
        <f t="shared" si="817"/>
        <v>9.98</v>
      </c>
      <c r="F1541" s="47">
        <f t="shared" si="817"/>
        <v>20</v>
      </c>
      <c r="G1541" s="43">
        <f t="shared" si="817"/>
        <v>3</v>
      </c>
      <c r="H1541" s="47">
        <f t="shared" ref="H1541:H1543" si="818">E1541/G1541</f>
        <v>3.326666667</v>
      </c>
    </row>
    <row r="1542">
      <c r="A1542" s="72" t="s">
        <v>1632</v>
      </c>
      <c r="B1542" s="1"/>
      <c r="C1542" s="1"/>
      <c r="D1542" s="71">
        <v>14.99</v>
      </c>
      <c r="E1542" s="71">
        <v>4.99</v>
      </c>
      <c r="F1542" s="71">
        <f t="shared" ref="F1542:F1543" si="819">D1542-E1542</f>
        <v>10</v>
      </c>
      <c r="G1542" s="72">
        <v>2.0</v>
      </c>
      <c r="H1542" s="71">
        <f t="shared" si="818"/>
        <v>2.495</v>
      </c>
    </row>
    <row r="1543">
      <c r="A1543" s="72" t="s">
        <v>1633</v>
      </c>
      <c r="B1543" s="1"/>
      <c r="C1543" s="1"/>
      <c r="D1543" s="71">
        <v>14.99</v>
      </c>
      <c r="E1543" s="71">
        <v>4.99</v>
      </c>
      <c r="F1543" s="71">
        <f t="shared" si="819"/>
        <v>10</v>
      </c>
      <c r="G1543" s="39">
        <v>1.0</v>
      </c>
      <c r="H1543" s="71">
        <f t="shared" si="818"/>
        <v>4.99</v>
      </c>
    </row>
    <row r="1544">
      <c r="A1544" s="72"/>
      <c r="B1544" s="1"/>
      <c r="C1544" s="1"/>
      <c r="D1544" s="71"/>
      <c r="E1544" s="71"/>
      <c r="F1544" s="71"/>
      <c r="G1544" s="39"/>
      <c r="H1544" s="71"/>
    </row>
    <row r="1545">
      <c r="A1545" s="43" t="s">
        <v>540</v>
      </c>
      <c r="B1545" s="69" t="s">
        <v>29</v>
      </c>
      <c r="C1545" s="44">
        <f>COUNTA(A1546)</f>
        <v>1</v>
      </c>
      <c r="D1545" s="47">
        <f t="shared" ref="D1545:G1545" si="820">SUM(D1546)</f>
        <v>19.99</v>
      </c>
      <c r="E1545" s="47">
        <f t="shared" si="820"/>
        <v>9.99</v>
      </c>
      <c r="F1545" s="47">
        <f t="shared" si="820"/>
        <v>10</v>
      </c>
      <c r="G1545" s="43">
        <f t="shared" si="820"/>
        <v>3</v>
      </c>
      <c r="H1545" s="47">
        <f t="shared" ref="H1545:H1546" si="821">E1545/G1545</f>
        <v>3.33</v>
      </c>
    </row>
    <row r="1546">
      <c r="A1546" s="39" t="s">
        <v>1595</v>
      </c>
      <c r="B1546" s="1"/>
      <c r="C1546" s="1"/>
      <c r="D1546" s="71">
        <v>19.99</v>
      </c>
      <c r="E1546" s="71">
        <v>9.99</v>
      </c>
      <c r="F1546" s="71">
        <f>D1546-E1546</f>
        <v>10</v>
      </c>
      <c r="G1546" s="39">
        <v>3.0</v>
      </c>
      <c r="H1546" s="71">
        <f t="shared" si="821"/>
        <v>3.33</v>
      </c>
    </row>
    <row r="1547">
      <c r="A1547" s="1"/>
      <c r="B1547" s="1"/>
      <c r="C1547" s="1"/>
      <c r="D1547" s="1"/>
      <c r="E1547" s="1"/>
      <c r="F1547" s="1"/>
      <c r="G1547" s="1"/>
      <c r="H1547" s="1"/>
    </row>
    <row r="1548">
      <c r="A1548" s="43" t="s">
        <v>641</v>
      </c>
      <c r="B1548" s="43" t="s">
        <v>642</v>
      </c>
      <c r="C1548" s="44">
        <f>COUNTA(A1549)</f>
        <v>1</v>
      </c>
      <c r="D1548" s="47">
        <f t="shared" ref="D1548:G1548" si="822">SUM(D1549)</f>
        <v>17.99</v>
      </c>
      <c r="E1548" s="47">
        <f t="shared" si="822"/>
        <v>9.99</v>
      </c>
      <c r="F1548" s="47">
        <f t="shared" si="822"/>
        <v>8</v>
      </c>
      <c r="G1548" s="43">
        <f t="shared" si="822"/>
        <v>3</v>
      </c>
      <c r="H1548" s="47">
        <f t="shared" ref="H1548:H1549" si="823">E1548/G1548</f>
        <v>3.33</v>
      </c>
    </row>
    <row r="1549">
      <c r="A1549" s="224" t="s">
        <v>1743</v>
      </c>
      <c r="B1549" s="511"/>
      <c r="C1549" s="511"/>
      <c r="D1549" s="223">
        <v>17.99</v>
      </c>
      <c r="E1549" s="223">
        <v>9.99</v>
      </c>
      <c r="F1549" s="223">
        <f>D1549-E1549</f>
        <v>8</v>
      </c>
      <c r="G1549" s="221">
        <v>3.0</v>
      </c>
      <c r="H1549" s="223">
        <f t="shared" si="823"/>
        <v>3.33</v>
      </c>
    </row>
    <row r="1550">
      <c r="A1550" s="1"/>
      <c r="B1550" s="1"/>
      <c r="C1550" s="1"/>
      <c r="D1550" s="1"/>
      <c r="E1550" s="1"/>
      <c r="F1550" s="1"/>
      <c r="G1550" s="1"/>
      <c r="H1550" s="1"/>
    </row>
    <row r="1551">
      <c r="A1551" s="53" t="s">
        <v>275</v>
      </c>
      <c r="B1551" s="53" t="s">
        <v>265</v>
      </c>
      <c r="C1551" s="75">
        <f>COUNTA(A1552)</f>
        <v>1</v>
      </c>
      <c r="D1551" s="76">
        <f t="shared" ref="D1551:G1551" si="824">SUM(D1552)</f>
        <v>24.99</v>
      </c>
      <c r="E1551" s="76">
        <f t="shared" si="824"/>
        <v>11.99</v>
      </c>
      <c r="F1551" s="76">
        <f t="shared" si="824"/>
        <v>13</v>
      </c>
      <c r="G1551" s="53">
        <f t="shared" si="824"/>
        <v>3</v>
      </c>
      <c r="H1551" s="76">
        <f t="shared" ref="H1551:H1552" si="825">E1551/G1551</f>
        <v>3.996666667</v>
      </c>
    </row>
    <row r="1552">
      <c r="A1552" s="229" t="s">
        <v>1015</v>
      </c>
      <c r="B1552" s="1"/>
      <c r="C1552" s="1"/>
      <c r="D1552" s="481">
        <v>24.99</v>
      </c>
      <c r="E1552" s="481">
        <v>11.99</v>
      </c>
      <c r="F1552" s="481">
        <f>D1552-E1552</f>
        <v>13</v>
      </c>
      <c r="G1552" s="229">
        <v>3.0</v>
      </c>
      <c r="H1552" s="481">
        <f t="shared" si="825"/>
        <v>3.996666667</v>
      </c>
    </row>
    <row r="1553">
      <c r="A1553" s="179"/>
      <c r="B1553" s="477"/>
      <c r="C1553" s="477"/>
      <c r="D1553" s="478"/>
      <c r="E1553" s="478"/>
      <c r="F1553" s="478"/>
      <c r="G1553" s="179"/>
      <c r="H1553" s="181"/>
    </row>
    <row r="1554">
      <c r="A1554" s="43" t="s">
        <v>437</v>
      </c>
      <c r="B1554" s="43" t="s">
        <v>436</v>
      </c>
      <c r="C1554" s="44">
        <f>COUNTA(A1555)</f>
        <v>1</v>
      </c>
      <c r="D1554" s="47">
        <f t="shared" ref="D1554:G1554" si="826">SUM(D1555)</f>
        <v>12.99</v>
      </c>
      <c r="E1554" s="47">
        <f t="shared" si="826"/>
        <v>12.99</v>
      </c>
      <c r="F1554" s="47">
        <f t="shared" si="826"/>
        <v>0</v>
      </c>
      <c r="G1554" s="43">
        <f t="shared" si="826"/>
        <v>3</v>
      </c>
      <c r="H1554" s="47">
        <f t="shared" ref="H1554:H1555" si="827">E1554/G1554</f>
        <v>4.33</v>
      </c>
    </row>
    <row r="1555">
      <c r="A1555" s="39" t="s">
        <v>1374</v>
      </c>
      <c r="B1555" s="1"/>
      <c r="C1555" s="1"/>
      <c r="D1555" s="71">
        <v>12.99</v>
      </c>
      <c r="E1555" s="71">
        <v>12.99</v>
      </c>
      <c r="F1555" s="71">
        <f>D1555-E1555</f>
        <v>0</v>
      </c>
      <c r="G1555" s="39">
        <v>3.0</v>
      </c>
      <c r="H1555" s="71">
        <f t="shared" si="827"/>
        <v>4.33</v>
      </c>
    </row>
    <row r="1556">
      <c r="A1556" s="1"/>
      <c r="B1556" s="1"/>
      <c r="C1556" s="1"/>
      <c r="D1556" s="1"/>
      <c r="E1556" s="1"/>
      <c r="F1556" s="1"/>
      <c r="G1556" s="1"/>
      <c r="H1556" s="1"/>
    </row>
    <row r="1557">
      <c r="A1557" s="152" t="s">
        <v>486</v>
      </c>
      <c r="B1557" s="152" t="s">
        <v>487</v>
      </c>
      <c r="C1557" s="255">
        <f>COUNTA(A1558:A1560)</f>
        <v>3</v>
      </c>
      <c r="D1557" s="154">
        <f t="shared" ref="D1557:G1557" si="828">SUM(D1558:D1560)</f>
        <v>69.98</v>
      </c>
      <c r="E1557" s="154">
        <f t="shared" si="828"/>
        <v>14.48</v>
      </c>
      <c r="F1557" s="154">
        <f t="shared" si="828"/>
        <v>55.5</v>
      </c>
      <c r="G1557" s="152">
        <f t="shared" si="828"/>
        <v>3</v>
      </c>
      <c r="H1557" s="154">
        <f t="shared" ref="H1557:H1560" si="829">E1557/G1557</f>
        <v>4.826666667</v>
      </c>
    </row>
    <row r="1558">
      <c r="A1558" s="155" t="s">
        <v>1437</v>
      </c>
      <c r="B1558" s="480"/>
      <c r="C1558" s="480"/>
      <c r="D1558" s="159">
        <v>14.99</v>
      </c>
      <c r="E1558" s="159">
        <v>2.24</v>
      </c>
      <c r="F1558" s="159">
        <f t="shared" ref="F1558:F1560" si="830">D1558-E1558</f>
        <v>12.75</v>
      </c>
      <c r="G1558" s="156">
        <v>1.0</v>
      </c>
      <c r="H1558" s="159">
        <f t="shared" si="829"/>
        <v>2.24</v>
      </c>
    </row>
    <row r="1559">
      <c r="A1559" s="156" t="s">
        <v>1436</v>
      </c>
      <c r="B1559" s="480"/>
      <c r="C1559" s="480"/>
      <c r="D1559" s="159">
        <v>15.0</v>
      </c>
      <c r="E1559" s="159">
        <v>2.25</v>
      </c>
      <c r="F1559" s="159">
        <f t="shared" si="830"/>
        <v>12.75</v>
      </c>
      <c r="G1559" s="156">
        <v>1.0</v>
      </c>
      <c r="H1559" s="159">
        <f t="shared" si="829"/>
        <v>2.25</v>
      </c>
    </row>
    <row r="1560">
      <c r="A1560" s="156" t="s">
        <v>1439</v>
      </c>
      <c r="B1560" s="480"/>
      <c r="C1560" s="480"/>
      <c r="D1560" s="159">
        <v>39.99</v>
      </c>
      <c r="E1560" s="159">
        <v>9.99</v>
      </c>
      <c r="F1560" s="159">
        <f t="shared" si="830"/>
        <v>30</v>
      </c>
      <c r="G1560" s="156">
        <v>1.0</v>
      </c>
      <c r="H1560" s="159">
        <f t="shared" si="829"/>
        <v>9.99</v>
      </c>
    </row>
    <row r="1561">
      <c r="A1561" s="1"/>
      <c r="B1561" s="1"/>
      <c r="C1561" s="1"/>
      <c r="D1561" s="1"/>
      <c r="E1561" s="1"/>
      <c r="F1561" s="1"/>
      <c r="G1561" s="1"/>
      <c r="H1561" s="1"/>
    </row>
    <row r="1562">
      <c r="A1562" s="43" t="s">
        <v>614</v>
      </c>
      <c r="B1562" s="43" t="s">
        <v>29</v>
      </c>
      <c r="C1562" s="44">
        <f>COUNTA(A1563:A1565)</f>
        <v>3</v>
      </c>
      <c r="D1562" s="47">
        <f t="shared" ref="D1562:G1562" si="831">SUM(D1563:D1565)</f>
        <v>27.97</v>
      </c>
      <c r="E1562" s="47">
        <f t="shared" si="831"/>
        <v>18.97</v>
      </c>
      <c r="F1562" s="47">
        <f t="shared" si="831"/>
        <v>9</v>
      </c>
      <c r="G1562" s="43">
        <f t="shared" si="831"/>
        <v>3</v>
      </c>
      <c r="H1562" s="145">
        <f t="shared" ref="H1562:H1565" si="832">E1562/G1562</f>
        <v>6.323333333</v>
      </c>
    </row>
    <row r="1563">
      <c r="A1563" s="39" t="s">
        <v>1500</v>
      </c>
      <c r="B1563" s="1"/>
      <c r="C1563" s="1"/>
      <c r="D1563" s="71">
        <v>7.99</v>
      </c>
      <c r="E1563" s="71">
        <v>1.99</v>
      </c>
      <c r="F1563" s="71">
        <f t="shared" ref="F1563:F1565" si="833">D1563-E1563</f>
        <v>6</v>
      </c>
      <c r="G1563" s="39">
        <v>1.0</v>
      </c>
      <c r="H1563" s="71">
        <f t="shared" si="832"/>
        <v>1.99</v>
      </c>
    </row>
    <row r="1564">
      <c r="A1564" s="39" t="s">
        <v>1491</v>
      </c>
      <c r="B1564" s="1"/>
      <c r="C1564" s="1"/>
      <c r="D1564" s="71">
        <v>4.99</v>
      </c>
      <c r="E1564" s="71">
        <v>1.99</v>
      </c>
      <c r="F1564" s="71">
        <f t="shared" si="833"/>
        <v>3</v>
      </c>
      <c r="G1564" s="39">
        <v>1.0</v>
      </c>
      <c r="H1564" s="71">
        <f t="shared" si="832"/>
        <v>1.99</v>
      </c>
    </row>
    <row r="1565">
      <c r="A1565" s="39" t="s">
        <v>1530</v>
      </c>
      <c r="B1565" s="1"/>
      <c r="C1565" s="1"/>
      <c r="D1565" s="71">
        <v>14.99</v>
      </c>
      <c r="E1565" s="71">
        <v>14.99</v>
      </c>
      <c r="F1565" s="71">
        <f t="shared" si="833"/>
        <v>0</v>
      </c>
      <c r="G1565" s="39">
        <v>1.0</v>
      </c>
      <c r="H1565" s="71">
        <f t="shared" si="832"/>
        <v>14.99</v>
      </c>
    </row>
    <row r="1566">
      <c r="A1566" s="49"/>
      <c r="B1566" s="1"/>
      <c r="C1566" s="1"/>
      <c r="D1566" s="52"/>
      <c r="E1566" s="52"/>
      <c r="F1566" s="52"/>
      <c r="G1566" s="79"/>
      <c r="H1566" s="52"/>
    </row>
    <row r="1567">
      <c r="A1567" s="43" t="s">
        <v>192</v>
      </c>
      <c r="B1567" s="43" t="s">
        <v>25</v>
      </c>
      <c r="C1567" s="44">
        <f>COUNTA(A1568:A1570)</f>
        <v>3</v>
      </c>
      <c r="D1567" s="46">
        <f t="shared" ref="D1567:G1567" si="834">SUM(D1568:D1570)</f>
        <v>29.97</v>
      </c>
      <c r="E1567" s="46">
        <f t="shared" si="834"/>
        <v>20.97</v>
      </c>
      <c r="F1567" s="46">
        <f t="shared" si="834"/>
        <v>9</v>
      </c>
      <c r="G1567" s="43">
        <f t="shared" si="834"/>
        <v>3</v>
      </c>
      <c r="H1567" s="46">
        <f t="shared" ref="H1567:H1570" si="835">E1567/G1567</f>
        <v>6.99</v>
      </c>
    </row>
    <row r="1568">
      <c r="A1568" s="39" t="s">
        <v>819</v>
      </c>
      <c r="B1568" s="1"/>
      <c r="C1568" s="1"/>
      <c r="D1568" s="42">
        <v>9.99</v>
      </c>
      <c r="E1568" s="42">
        <v>6.99</v>
      </c>
      <c r="F1568" s="42">
        <f t="shared" ref="F1568:F1570" si="836">D1568-E1568</f>
        <v>3</v>
      </c>
      <c r="G1568" s="39">
        <v>1.0</v>
      </c>
      <c r="H1568" s="71">
        <f t="shared" si="835"/>
        <v>6.99</v>
      </c>
    </row>
    <row r="1569">
      <c r="A1569" s="39" t="s">
        <v>820</v>
      </c>
      <c r="B1569" s="1"/>
      <c r="C1569" s="1"/>
      <c r="D1569" s="42">
        <v>9.99</v>
      </c>
      <c r="E1569" s="42">
        <v>6.99</v>
      </c>
      <c r="F1569" s="42">
        <f t="shared" si="836"/>
        <v>3</v>
      </c>
      <c r="G1569" s="39">
        <v>1.0</v>
      </c>
      <c r="H1569" s="71">
        <f t="shared" si="835"/>
        <v>6.99</v>
      </c>
    </row>
    <row r="1570">
      <c r="A1570" s="39" t="s">
        <v>822</v>
      </c>
      <c r="B1570" s="1"/>
      <c r="C1570" s="1"/>
      <c r="D1570" s="42">
        <v>9.99</v>
      </c>
      <c r="E1570" s="42">
        <v>6.99</v>
      </c>
      <c r="F1570" s="42">
        <f t="shared" si="836"/>
        <v>3</v>
      </c>
      <c r="G1570" s="39">
        <v>1.0</v>
      </c>
      <c r="H1570" s="71">
        <f t="shared" si="835"/>
        <v>6.99</v>
      </c>
    </row>
    <row r="1571">
      <c r="A1571" s="229"/>
      <c r="B1571" s="61"/>
      <c r="C1571" s="61"/>
      <c r="D1571" s="483"/>
      <c r="E1571" s="483"/>
      <c r="F1571" s="483"/>
      <c r="G1571" s="229"/>
      <c r="H1571" s="481"/>
    </row>
    <row r="1572">
      <c r="A1572" s="152" t="s">
        <v>454</v>
      </c>
      <c r="B1572" s="152" t="s">
        <v>455</v>
      </c>
      <c r="C1572" s="255">
        <f>COUNTA(A1573)</f>
        <v>1</v>
      </c>
      <c r="D1572" s="154">
        <f t="shared" ref="D1572:G1572" si="837">SUM(D1573)</f>
        <v>29.99</v>
      </c>
      <c r="E1572" s="154">
        <f t="shared" si="837"/>
        <v>29.99</v>
      </c>
      <c r="F1572" s="154">
        <f t="shared" si="837"/>
        <v>0</v>
      </c>
      <c r="G1572" s="152">
        <f t="shared" si="837"/>
        <v>3</v>
      </c>
      <c r="H1572" s="154">
        <f t="shared" ref="H1572:H1573" si="838">E1572/G1572</f>
        <v>9.996666667</v>
      </c>
    </row>
    <row r="1573">
      <c r="A1573" s="156" t="s">
        <v>1407</v>
      </c>
      <c r="B1573" s="480"/>
      <c r="C1573" s="480"/>
      <c r="D1573" s="159">
        <v>29.99</v>
      </c>
      <c r="E1573" s="159">
        <v>29.99</v>
      </c>
      <c r="F1573" s="159">
        <f>D1573-E1573</f>
        <v>0</v>
      </c>
      <c r="G1573" s="156">
        <v>3.0</v>
      </c>
      <c r="H1573" s="159">
        <f t="shared" si="838"/>
        <v>9.996666667</v>
      </c>
    </row>
    <row r="1574">
      <c r="A1574" s="7"/>
      <c r="B1574" s="7"/>
      <c r="C1574" s="7"/>
      <c r="D1574" s="7"/>
      <c r="E1574" s="7"/>
      <c r="F1574" s="7"/>
      <c r="G1574" s="7"/>
      <c r="H1574" s="7"/>
    </row>
    <row r="1575">
      <c r="A1575" s="43" t="s">
        <v>623</v>
      </c>
      <c r="B1575" s="43" t="s">
        <v>29</v>
      </c>
      <c r="C1575" s="44">
        <f>COUNTA(A1576:A1577)</f>
        <v>2</v>
      </c>
      <c r="D1575" s="47">
        <f t="shared" ref="D1575:G1575" si="839">SUM(D1576:D1577)</f>
        <v>144.98</v>
      </c>
      <c r="E1575" s="47">
        <f t="shared" si="839"/>
        <v>0</v>
      </c>
      <c r="F1575" s="47">
        <f t="shared" si="839"/>
        <v>144.98</v>
      </c>
      <c r="G1575" s="43">
        <f t="shared" si="839"/>
        <v>2</v>
      </c>
      <c r="H1575" s="47">
        <f t="shared" ref="H1575:H1577" si="840">E1575/G1575</f>
        <v>0</v>
      </c>
    </row>
    <row r="1576">
      <c r="A1576" s="39" t="s">
        <v>1673</v>
      </c>
      <c r="B1576" s="1"/>
      <c r="C1576" s="1"/>
      <c r="D1576" s="71">
        <v>74.99</v>
      </c>
      <c r="E1576" s="71">
        <v>0.0</v>
      </c>
      <c r="F1576" s="71">
        <f t="shared" ref="F1576:F1577" si="841">D1576-E1576</f>
        <v>74.99</v>
      </c>
      <c r="G1576" s="39">
        <v>1.0</v>
      </c>
      <c r="H1576" s="71">
        <f t="shared" si="840"/>
        <v>0</v>
      </c>
    </row>
    <row r="1577">
      <c r="A1577" s="39" t="s">
        <v>1592</v>
      </c>
      <c r="B1577" s="1"/>
      <c r="C1577" s="1"/>
      <c r="D1577" s="71">
        <v>69.99</v>
      </c>
      <c r="E1577" s="71">
        <v>0.0</v>
      </c>
      <c r="F1577" s="71">
        <f t="shared" si="841"/>
        <v>69.99</v>
      </c>
      <c r="G1577" s="39">
        <v>1.0</v>
      </c>
      <c r="H1577" s="71">
        <f t="shared" si="840"/>
        <v>0</v>
      </c>
    </row>
    <row r="1578">
      <c r="A1578" s="39"/>
      <c r="B1578" s="1"/>
      <c r="C1578" s="1"/>
      <c r="D1578" s="42"/>
      <c r="E1578" s="42"/>
      <c r="F1578" s="71"/>
      <c r="G1578" s="39"/>
      <c r="H1578" s="71"/>
    </row>
    <row r="1579">
      <c r="A1579" s="152" t="s">
        <v>478</v>
      </c>
      <c r="B1579" s="152" t="s">
        <v>455</v>
      </c>
      <c r="C1579" s="255">
        <f>COUNTA(A1580:A1581)</f>
        <v>2</v>
      </c>
      <c r="D1579" s="154">
        <f t="shared" ref="D1579:G1579" si="842">SUM(D1580:D1581)</f>
        <v>49.98</v>
      </c>
      <c r="E1579" s="154">
        <f t="shared" si="842"/>
        <v>0</v>
      </c>
      <c r="F1579" s="154">
        <f t="shared" si="842"/>
        <v>49.98</v>
      </c>
      <c r="G1579" s="152">
        <f t="shared" si="842"/>
        <v>2</v>
      </c>
      <c r="H1579" s="154">
        <f t="shared" ref="H1579:H1581" si="843">E1579/G1579</f>
        <v>0</v>
      </c>
    </row>
    <row r="1580">
      <c r="A1580" s="156" t="s">
        <v>1413</v>
      </c>
      <c r="B1580" s="486"/>
      <c r="C1580" s="486"/>
      <c r="D1580" s="159">
        <v>19.99</v>
      </c>
      <c r="E1580" s="159">
        <v>0.0</v>
      </c>
      <c r="F1580" s="159">
        <f t="shared" ref="F1580:F1581" si="844">D1580-E1580</f>
        <v>19.99</v>
      </c>
      <c r="G1580" s="156">
        <v>1.0</v>
      </c>
      <c r="H1580" s="159">
        <f t="shared" si="843"/>
        <v>0</v>
      </c>
    </row>
    <row r="1581">
      <c r="A1581" s="155" t="s">
        <v>1420</v>
      </c>
      <c r="B1581" s="486"/>
      <c r="C1581" s="486"/>
      <c r="D1581" s="157">
        <v>29.99</v>
      </c>
      <c r="E1581" s="157">
        <v>0.0</v>
      </c>
      <c r="F1581" s="159">
        <f t="shared" si="844"/>
        <v>29.99</v>
      </c>
      <c r="G1581" s="156">
        <v>1.0</v>
      </c>
      <c r="H1581" s="159">
        <f t="shared" si="843"/>
        <v>0</v>
      </c>
    </row>
    <row r="1582">
      <c r="A1582" s="39"/>
      <c r="B1582" s="1"/>
      <c r="C1582" s="1"/>
      <c r="D1582" s="42"/>
      <c r="E1582" s="42"/>
      <c r="F1582" s="71"/>
      <c r="G1582" s="39"/>
      <c r="H1582" s="71"/>
    </row>
    <row r="1583">
      <c r="A1583" s="43" t="s">
        <v>628</v>
      </c>
      <c r="B1583" s="43" t="s">
        <v>29</v>
      </c>
      <c r="C1583" s="44">
        <f>COUNTA(A1584)</f>
        <v>1</v>
      </c>
      <c r="D1583" s="46">
        <f t="shared" ref="D1583:G1583" si="845">SUM(D1584)</f>
        <v>39.99</v>
      </c>
      <c r="E1583" s="46">
        <f t="shared" si="845"/>
        <v>0</v>
      </c>
      <c r="F1583" s="47">
        <f t="shared" si="845"/>
        <v>39.99</v>
      </c>
      <c r="G1583" s="43">
        <f t="shared" si="845"/>
        <v>2</v>
      </c>
      <c r="H1583" s="46">
        <f t="shared" ref="H1583:H1584" si="846">E1583/G1583</f>
        <v>0</v>
      </c>
    </row>
    <row r="1584">
      <c r="A1584" s="72" t="s">
        <v>1706</v>
      </c>
      <c r="B1584" s="1"/>
      <c r="C1584" s="1"/>
      <c r="D1584" s="42">
        <v>39.99</v>
      </c>
      <c r="E1584" s="42">
        <v>0.0</v>
      </c>
      <c r="F1584" s="71">
        <f>D1584-E1584</f>
        <v>39.99</v>
      </c>
      <c r="G1584" s="72">
        <v>2.0</v>
      </c>
      <c r="H1584" s="71">
        <f t="shared" si="846"/>
        <v>0</v>
      </c>
    </row>
    <row r="1585">
      <c r="A1585" s="179"/>
      <c r="B1585" s="477"/>
      <c r="C1585" s="477"/>
      <c r="D1585" s="478"/>
      <c r="E1585" s="478"/>
      <c r="F1585" s="478"/>
      <c r="G1585" s="179"/>
      <c r="H1585" s="181"/>
    </row>
    <row r="1586">
      <c r="A1586" s="43" t="s">
        <v>116</v>
      </c>
      <c r="B1586" s="43" t="s">
        <v>92</v>
      </c>
      <c r="C1586" s="44">
        <f>COUNTA(A1587)</f>
        <v>1</v>
      </c>
      <c r="D1586" s="47">
        <f t="shared" ref="D1586:G1586" si="847">SUM(D1587)</f>
        <v>29.99</v>
      </c>
      <c r="E1586" s="47">
        <f t="shared" si="847"/>
        <v>0</v>
      </c>
      <c r="F1586" s="47">
        <f t="shared" si="847"/>
        <v>29.99</v>
      </c>
      <c r="G1586" s="43">
        <f t="shared" si="847"/>
        <v>2</v>
      </c>
      <c r="H1586" s="47">
        <f t="shared" ref="H1586:H1587" si="848">E1586/G1586</f>
        <v>0</v>
      </c>
    </row>
    <row r="1587">
      <c r="A1587" s="258" t="s">
        <v>757</v>
      </c>
      <c r="B1587" s="1"/>
      <c r="C1587" s="1"/>
      <c r="D1587" s="257">
        <v>29.99</v>
      </c>
      <c r="E1587" s="257">
        <v>0.0</v>
      </c>
      <c r="F1587" s="257">
        <f>D1587-E1587</f>
        <v>29.99</v>
      </c>
      <c r="G1587" s="182">
        <v>2.0</v>
      </c>
      <c r="H1587" s="257">
        <f t="shared" si="848"/>
        <v>0</v>
      </c>
    </row>
    <row r="1588">
      <c r="A1588" s="179"/>
      <c r="B1588" s="477"/>
      <c r="C1588" s="477"/>
      <c r="D1588" s="478"/>
      <c r="E1588" s="478"/>
      <c r="F1588" s="478"/>
      <c r="G1588" s="179"/>
      <c r="H1588" s="181"/>
    </row>
    <row r="1589">
      <c r="A1589" s="43" t="s">
        <v>98</v>
      </c>
      <c r="B1589" s="43" t="s">
        <v>92</v>
      </c>
      <c r="C1589" s="44">
        <f>COUNTA(A1590)</f>
        <v>1</v>
      </c>
      <c r="D1589" s="47">
        <f t="shared" ref="D1589:G1589" si="849">SUM(D1590)</f>
        <v>29.99</v>
      </c>
      <c r="E1589" s="47">
        <f t="shared" si="849"/>
        <v>0</v>
      </c>
      <c r="F1589" s="47">
        <f t="shared" si="849"/>
        <v>29.99</v>
      </c>
      <c r="G1589" s="43">
        <f t="shared" si="849"/>
        <v>2</v>
      </c>
      <c r="H1589" s="47">
        <f t="shared" ref="H1589:H1590" si="850">E1589/G1589</f>
        <v>0</v>
      </c>
    </row>
    <row r="1590">
      <c r="A1590" s="39" t="s">
        <v>751</v>
      </c>
      <c r="B1590" s="1"/>
      <c r="C1590" s="1"/>
      <c r="D1590" s="71">
        <v>29.99</v>
      </c>
      <c r="E1590" s="71">
        <v>0.0</v>
      </c>
      <c r="F1590" s="71">
        <f>D1590-E1590</f>
        <v>29.99</v>
      </c>
      <c r="G1590" s="39">
        <v>2.0</v>
      </c>
      <c r="H1590" s="71">
        <f t="shared" si="850"/>
        <v>0</v>
      </c>
    </row>
    <row r="1591">
      <c r="A1591" s="179"/>
      <c r="B1591" s="477"/>
      <c r="C1591" s="477"/>
      <c r="D1591" s="478"/>
      <c r="E1591" s="478"/>
      <c r="F1591" s="478"/>
      <c r="G1591" s="179"/>
      <c r="H1591" s="181"/>
    </row>
    <row r="1592">
      <c r="A1592" s="43" t="s">
        <v>165</v>
      </c>
      <c r="B1592" s="43" t="s">
        <v>159</v>
      </c>
      <c r="C1592" s="44">
        <f>COUNTA(A1593)</f>
        <v>1</v>
      </c>
      <c r="D1592" s="47">
        <f t="shared" ref="D1592:G1592" si="851">SUM(D1593)</f>
        <v>29.99</v>
      </c>
      <c r="E1592" s="47">
        <f t="shared" si="851"/>
        <v>0</v>
      </c>
      <c r="F1592" s="47">
        <f t="shared" si="851"/>
        <v>29.99</v>
      </c>
      <c r="G1592" s="43">
        <f t="shared" si="851"/>
        <v>2</v>
      </c>
      <c r="H1592" s="47">
        <f t="shared" ref="H1592:H1593" si="852">E1592/G1592</f>
        <v>0</v>
      </c>
    </row>
    <row r="1593">
      <c r="A1593" s="39" t="s">
        <v>793</v>
      </c>
      <c r="B1593" s="37"/>
      <c r="C1593" s="37"/>
      <c r="D1593" s="71">
        <v>29.99</v>
      </c>
      <c r="E1593" s="71">
        <v>0.0</v>
      </c>
      <c r="F1593" s="71">
        <f>D1593-E1593</f>
        <v>29.99</v>
      </c>
      <c r="G1593" s="72">
        <v>2.0</v>
      </c>
      <c r="H1593" s="71">
        <f t="shared" si="852"/>
        <v>0</v>
      </c>
    </row>
    <row r="1594">
      <c r="A1594" s="179"/>
      <c r="B1594" s="477"/>
      <c r="C1594" s="477"/>
      <c r="D1594" s="478"/>
      <c r="E1594" s="478"/>
      <c r="F1594" s="478"/>
      <c r="G1594" s="179"/>
      <c r="H1594" s="181"/>
    </row>
    <row r="1595">
      <c r="A1595" s="43" t="s">
        <v>168</v>
      </c>
      <c r="B1595" s="43" t="s">
        <v>25</v>
      </c>
      <c r="C1595" s="44">
        <f>COUNTA(A1596)</f>
        <v>1</v>
      </c>
      <c r="D1595" s="47">
        <f t="shared" ref="D1595:G1595" si="853">SUM(D1596)</f>
        <v>19.99</v>
      </c>
      <c r="E1595" s="47">
        <f t="shared" si="853"/>
        <v>0</v>
      </c>
      <c r="F1595" s="47">
        <f t="shared" si="853"/>
        <v>19.99</v>
      </c>
      <c r="G1595" s="43">
        <f t="shared" si="853"/>
        <v>2</v>
      </c>
      <c r="H1595" s="47">
        <f t="shared" ref="H1595:H1596" si="854">E1595/G1595</f>
        <v>0</v>
      </c>
    </row>
    <row r="1596">
      <c r="A1596" s="39" t="s">
        <v>1792</v>
      </c>
      <c r="B1596" s="1"/>
      <c r="C1596" s="1"/>
      <c r="D1596" s="71">
        <v>19.99</v>
      </c>
      <c r="E1596" s="71">
        <v>0.0</v>
      </c>
      <c r="F1596" s="71">
        <f>D1596-E1596</f>
        <v>19.99</v>
      </c>
      <c r="G1596" s="72">
        <v>2.0</v>
      </c>
      <c r="H1596" s="71">
        <f t="shared" si="854"/>
        <v>0</v>
      </c>
    </row>
    <row r="1597">
      <c r="A1597" s="179"/>
      <c r="B1597" s="477"/>
      <c r="C1597" s="477"/>
      <c r="D1597" s="478"/>
      <c r="E1597" s="478"/>
      <c r="F1597" s="478"/>
      <c r="G1597" s="179"/>
      <c r="H1597" s="181"/>
    </row>
    <row r="1598">
      <c r="A1598" s="43" t="s">
        <v>534</v>
      </c>
      <c r="B1598" s="69" t="s">
        <v>29</v>
      </c>
      <c r="C1598" s="44">
        <f>COUNTA(A1599)</f>
        <v>1</v>
      </c>
      <c r="D1598" s="47">
        <f t="shared" ref="D1598:G1598" si="855">SUM(D1599)</f>
        <v>19.99</v>
      </c>
      <c r="E1598" s="47">
        <f t="shared" si="855"/>
        <v>0</v>
      </c>
      <c r="F1598" s="47">
        <f t="shared" si="855"/>
        <v>19.99</v>
      </c>
      <c r="G1598" s="43">
        <f t="shared" si="855"/>
        <v>2</v>
      </c>
      <c r="H1598" s="47">
        <f t="shared" ref="H1598:H1599" si="856">E1598/G1598</f>
        <v>0</v>
      </c>
    </row>
    <row r="1599">
      <c r="A1599" s="39" t="s">
        <v>1606</v>
      </c>
      <c r="B1599" s="1"/>
      <c r="C1599" s="1"/>
      <c r="D1599" s="71">
        <v>19.99</v>
      </c>
      <c r="E1599" s="71">
        <v>0.0</v>
      </c>
      <c r="F1599" s="71">
        <f>D1599-E1599</f>
        <v>19.99</v>
      </c>
      <c r="G1599" s="72">
        <v>2.0</v>
      </c>
      <c r="H1599" s="71">
        <f t="shared" si="856"/>
        <v>0</v>
      </c>
    </row>
    <row r="1600">
      <c r="A1600" s="179"/>
      <c r="B1600" s="477"/>
      <c r="C1600" s="477"/>
      <c r="D1600" s="478"/>
      <c r="E1600" s="478"/>
      <c r="F1600" s="478"/>
      <c r="G1600" s="179"/>
      <c r="H1600" s="181"/>
    </row>
    <row r="1601">
      <c r="A1601" s="104" t="s">
        <v>59</v>
      </c>
      <c r="B1601" s="104" t="s">
        <v>57</v>
      </c>
      <c r="C1601" s="243">
        <f>COUNTA(A1602)</f>
        <v>1</v>
      </c>
      <c r="D1601" s="106">
        <f t="shared" ref="D1601:G1601" si="857">SUM(D1602)</f>
        <v>19.99</v>
      </c>
      <c r="E1601" s="106">
        <f t="shared" si="857"/>
        <v>0</v>
      </c>
      <c r="F1601" s="106">
        <f t="shared" si="857"/>
        <v>19.99</v>
      </c>
      <c r="G1601" s="104">
        <f t="shared" si="857"/>
        <v>2</v>
      </c>
      <c r="H1601" s="106">
        <f t="shared" ref="H1601:H1602" si="858">E1601/G1601</f>
        <v>0</v>
      </c>
    </row>
    <row r="1602">
      <c r="A1602" s="109" t="s">
        <v>661</v>
      </c>
      <c r="B1602" s="474"/>
      <c r="C1602" s="474"/>
      <c r="D1602" s="111">
        <v>19.99</v>
      </c>
      <c r="E1602" s="111">
        <v>0.0</v>
      </c>
      <c r="F1602" s="111">
        <f>D1602-E1602</f>
        <v>19.99</v>
      </c>
      <c r="G1602" s="109">
        <v>2.0</v>
      </c>
      <c r="H1602" s="111">
        <f t="shared" si="858"/>
        <v>0</v>
      </c>
    </row>
    <row r="1603">
      <c r="A1603" s="179"/>
      <c r="B1603" s="477"/>
      <c r="C1603" s="477"/>
      <c r="D1603" s="478"/>
      <c r="E1603" s="478"/>
      <c r="F1603" s="478"/>
      <c r="G1603" s="179"/>
      <c r="H1603" s="181"/>
    </row>
    <row r="1604">
      <c r="A1604" s="43" t="s">
        <v>405</v>
      </c>
      <c r="B1604" s="43" t="s">
        <v>400</v>
      </c>
      <c r="C1604" s="44">
        <f>COUNTA(A1605)</f>
        <v>1</v>
      </c>
      <c r="D1604" s="46">
        <f t="shared" ref="D1604:G1604" si="859">SUM(D1605)</f>
        <v>19.99</v>
      </c>
      <c r="E1604" s="46">
        <f t="shared" si="859"/>
        <v>0</v>
      </c>
      <c r="F1604" s="47">
        <f t="shared" si="859"/>
        <v>19.99</v>
      </c>
      <c r="G1604" s="43">
        <f t="shared" si="859"/>
        <v>2</v>
      </c>
      <c r="H1604" s="46">
        <f t="shared" ref="H1604:H1605" si="860">E1604/G1604</f>
        <v>0</v>
      </c>
    </row>
    <row r="1605">
      <c r="A1605" s="72" t="s">
        <v>1348</v>
      </c>
      <c r="B1605" s="1"/>
      <c r="C1605" s="1"/>
      <c r="D1605" s="42">
        <v>19.99</v>
      </c>
      <c r="E1605" s="42">
        <v>0.0</v>
      </c>
      <c r="F1605" s="71">
        <f>D1605-E1605</f>
        <v>19.99</v>
      </c>
      <c r="G1605" s="72">
        <v>2.0</v>
      </c>
      <c r="H1605" s="71">
        <f t="shared" si="860"/>
        <v>0</v>
      </c>
    </row>
    <row r="1606">
      <c r="A1606" s="179"/>
      <c r="B1606" s="477"/>
      <c r="C1606" s="477"/>
      <c r="D1606" s="478"/>
      <c r="E1606" s="478"/>
      <c r="F1606" s="478"/>
      <c r="G1606" s="179"/>
      <c r="H1606" s="181"/>
    </row>
    <row r="1607">
      <c r="A1607" s="43" t="s">
        <v>613</v>
      </c>
      <c r="B1607" s="43" t="s">
        <v>29</v>
      </c>
      <c r="C1607" s="44">
        <f>COUNTA(A1608)</f>
        <v>1</v>
      </c>
      <c r="D1607" s="47">
        <f t="shared" ref="D1607:G1607" si="861">SUM(D1608)</f>
        <v>14.99</v>
      </c>
      <c r="E1607" s="47">
        <f t="shared" si="861"/>
        <v>0</v>
      </c>
      <c r="F1607" s="47">
        <f t="shared" si="861"/>
        <v>14.99</v>
      </c>
      <c r="G1607" s="43">
        <f t="shared" si="861"/>
        <v>2</v>
      </c>
      <c r="H1607" s="47">
        <f t="shared" ref="H1607:H1608" si="862">E1607/G1607</f>
        <v>0</v>
      </c>
    </row>
    <row r="1608">
      <c r="A1608" s="39" t="s">
        <v>1703</v>
      </c>
      <c r="B1608" s="1"/>
      <c r="C1608" s="1"/>
      <c r="D1608" s="71">
        <v>14.99</v>
      </c>
      <c r="E1608" s="71">
        <v>0.0</v>
      </c>
      <c r="F1608" s="71">
        <f>D1608-E1608</f>
        <v>14.99</v>
      </c>
      <c r="G1608" s="39">
        <v>2.0</v>
      </c>
      <c r="H1608" s="71">
        <f t="shared" si="862"/>
        <v>0</v>
      </c>
    </row>
    <row r="1609">
      <c r="A1609" s="39"/>
      <c r="B1609" s="1"/>
      <c r="C1609" s="1"/>
      <c r="D1609" s="71"/>
      <c r="E1609" s="71"/>
      <c r="F1609" s="71"/>
      <c r="G1609" s="39"/>
      <c r="H1609" s="71"/>
    </row>
    <row r="1610">
      <c r="A1610" s="43" t="s">
        <v>610</v>
      </c>
      <c r="B1610" s="43" t="s">
        <v>29</v>
      </c>
      <c r="C1610" s="44">
        <f>COUNTA(A1611)</f>
        <v>1</v>
      </c>
      <c r="D1610" s="46">
        <f t="shared" ref="D1610:G1610" si="863">SUM(D1611)</f>
        <v>12.49</v>
      </c>
      <c r="E1610" s="46">
        <f t="shared" si="863"/>
        <v>0</v>
      </c>
      <c r="F1610" s="46">
        <f t="shared" si="863"/>
        <v>12.49</v>
      </c>
      <c r="G1610" s="43">
        <f t="shared" si="863"/>
        <v>2</v>
      </c>
      <c r="H1610" s="46">
        <f t="shared" ref="H1610:H1611" si="864">E1610/G1610</f>
        <v>0</v>
      </c>
    </row>
    <row r="1611">
      <c r="A1611" s="39" t="s">
        <v>1682</v>
      </c>
      <c r="B1611" s="1"/>
      <c r="C1611" s="1"/>
      <c r="D1611" s="42">
        <v>12.49</v>
      </c>
      <c r="E1611" s="42">
        <v>0.0</v>
      </c>
      <c r="F1611" s="42">
        <f>D1611-E1611</f>
        <v>12.49</v>
      </c>
      <c r="G1611" s="72">
        <v>2.0</v>
      </c>
      <c r="H1611" s="71">
        <f t="shared" si="864"/>
        <v>0</v>
      </c>
    </row>
    <row r="1612">
      <c r="A1612" s="39"/>
      <c r="B1612" s="1"/>
      <c r="C1612" s="1"/>
      <c r="D1612" s="42"/>
      <c r="E1612" s="42"/>
      <c r="F1612" s="71"/>
      <c r="G1612" s="39"/>
      <c r="H1612" s="71"/>
    </row>
    <row r="1613">
      <c r="A1613" s="43" t="s">
        <v>107</v>
      </c>
      <c r="B1613" s="44" t="s">
        <v>92</v>
      </c>
      <c r="C1613" s="44">
        <f>COUNTA(A1614)</f>
        <v>1</v>
      </c>
      <c r="D1613" s="47">
        <f t="shared" ref="D1613:G1613" si="865">SUM(D1614)</f>
        <v>14.99</v>
      </c>
      <c r="E1613" s="47">
        <f t="shared" si="865"/>
        <v>2</v>
      </c>
      <c r="F1613" s="47">
        <f t="shared" si="865"/>
        <v>12.99</v>
      </c>
      <c r="G1613" s="43">
        <f t="shared" si="865"/>
        <v>2</v>
      </c>
      <c r="H1613" s="47">
        <f t="shared" ref="H1613:H1614" si="866">E1613/G1613</f>
        <v>1</v>
      </c>
    </row>
    <row r="1614">
      <c r="A1614" s="39" t="s">
        <v>689</v>
      </c>
      <c r="B1614" s="1"/>
      <c r="C1614" s="1"/>
      <c r="D1614" s="71">
        <v>14.99</v>
      </c>
      <c r="E1614" s="71">
        <v>2.0</v>
      </c>
      <c r="F1614" s="71">
        <f>D1614-E1614</f>
        <v>12.99</v>
      </c>
      <c r="G1614" s="39">
        <v>2.0</v>
      </c>
      <c r="H1614" s="71">
        <f t="shared" si="866"/>
        <v>1</v>
      </c>
    </row>
    <row r="1615">
      <c r="A1615" s="39"/>
      <c r="B1615" s="1"/>
      <c r="C1615" s="1"/>
      <c r="D1615" s="42"/>
      <c r="E1615" s="42"/>
      <c r="F1615" s="71"/>
      <c r="G1615" s="39"/>
      <c r="H1615" s="71"/>
    </row>
    <row r="1616">
      <c r="A1616" s="43" t="s">
        <v>576</v>
      </c>
      <c r="B1616" s="43" t="s">
        <v>29</v>
      </c>
      <c r="C1616" s="44">
        <f>COUNTA(A1617)</f>
        <v>1</v>
      </c>
      <c r="D1616" s="47">
        <f t="shared" ref="D1616:G1616" si="867">SUM(D1617)</f>
        <v>9.99</v>
      </c>
      <c r="E1616" s="47">
        <f t="shared" si="867"/>
        <v>1.99</v>
      </c>
      <c r="F1616" s="47">
        <f t="shared" si="867"/>
        <v>8</v>
      </c>
      <c r="G1616" s="43">
        <f t="shared" si="867"/>
        <v>2</v>
      </c>
      <c r="H1616" s="47">
        <f t="shared" ref="H1616:H1617" si="868">E1616/G1616</f>
        <v>0.995</v>
      </c>
    </row>
    <row r="1617">
      <c r="A1617" s="39" t="s">
        <v>1607</v>
      </c>
      <c r="B1617" s="1"/>
      <c r="C1617" s="1"/>
      <c r="D1617" s="71">
        <v>9.99</v>
      </c>
      <c r="E1617" s="71">
        <v>1.99</v>
      </c>
      <c r="F1617" s="71">
        <f>D1617-E1617</f>
        <v>8</v>
      </c>
      <c r="G1617" s="72">
        <v>2.0</v>
      </c>
      <c r="H1617" s="71">
        <f t="shared" si="868"/>
        <v>0.995</v>
      </c>
    </row>
    <row r="1618">
      <c r="A1618" s="39"/>
      <c r="B1618" s="1"/>
      <c r="C1618" s="1"/>
      <c r="D1618" s="71"/>
      <c r="E1618" s="71"/>
      <c r="F1618" s="71"/>
      <c r="G1618" s="39"/>
      <c r="H1618" s="71"/>
    </row>
    <row r="1619">
      <c r="A1619" s="43" t="s">
        <v>124</v>
      </c>
      <c r="B1619" s="43" t="s">
        <v>92</v>
      </c>
      <c r="C1619" s="44">
        <f>COUNTA(A1620)</f>
        <v>1</v>
      </c>
      <c r="D1619" s="47">
        <f t="shared" ref="D1619:G1619" si="869">SUM(D1620)</f>
        <v>9.99</v>
      </c>
      <c r="E1619" s="47">
        <f t="shared" si="869"/>
        <v>1.99</v>
      </c>
      <c r="F1619" s="47">
        <f t="shared" si="869"/>
        <v>8</v>
      </c>
      <c r="G1619" s="43">
        <f t="shared" si="869"/>
        <v>2</v>
      </c>
      <c r="H1619" s="47">
        <f t="shared" ref="H1619:H1620" si="870">E1619/G1619</f>
        <v>0.995</v>
      </c>
    </row>
    <row r="1620">
      <c r="A1620" s="39" t="s">
        <v>714</v>
      </c>
      <c r="B1620" s="1"/>
      <c r="C1620" s="1"/>
      <c r="D1620" s="71">
        <v>9.99</v>
      </c>
      <c r="E1620" s="71">
        <v>1.99</v>
      </c>
      <c r="F1620" s="71">
        <f>D1620-E1620</f>
        <v>8</v>
      </c>
      <c r="G1620" s="72">
        <v>2.0</v>
      </c>
      <c r="H1620" s="71">
        <f t="shared" si="870"/>
        <v>0.995</v>
      </c>
    </row>
    <row r="1621">
      <c r="A1621" s="39"/>
      <c r="B1621" s="1"/>
      <c r="C1621" s="1"/>
      <c r="D1621" s="71"/>
      <c r="E1621" s="71"/>
      <c r="F1621" s="71"/>
      <c r="G1621" s="39"/>
      <c r="H1621" s="71"/>
    </row>
    <row r="1622">
      <c r="A1622" s="53" t="s">
        <v>166</v>
      </c>
      <c r="B1622" s="53" t="s">
        <v>167</v>
      </c>
      <c r="C1622" s="75">
        <f>COUNTA(A1623)</f>
        <v>1</v>
      </c>
      <c r="D1622" s="76">
        <f t="shared" ref="D1622:G1622" si="871">SUM(D1623)</f>
        <v>1.99</v>
      </c>
      <c r="E1622" s="76">
        <f t="shared" si="871"/>
        <v>1.99</v>
      </c>
      <c r="F1622" s="76">
        <f t="shared" si="871"/>
        <v>0</v>
      </c>
      <c r="G1622" s="53">
        <f t="shared" si="871"/>
        <v>2</v>
      </c>
      <c r="H1622" s="76">
        <f t="shared" ref="H1622:H1623" si="872">E1622/G1622</f>
        <v>0.995</v>
      </c>
    </row>
    <row r="1623">
      <c r="A1623" s="229" t="s">
        <v>797</v>
      </c>
      <c r="B1623" s="512"/>
      <c r="C1623" s="512"/>
      <c r="D1623" s="481">
        <v>1.99</v>
      </c>
      <c r="E1623" s="481">
        <v>1.99</v>
      </c>
      <c r="F1623" s="481">
        <f>D1623-E1623</f>
        <v>0</v>
      </c>
      <c r="G1623" s="230">
        <v>2.0</v>
      </c>
      <c r="H1623" s="481">
        <f t="shared" si="872"/>
        <v>0.995</v>
      </c>
    </row>
    <row r="1624">
      <c r="A1624" s="39"/>
      <c r="B1624" s="1"/>
      <c r="C1624" s="1"/>
      <c r="D1624" s="71"/>
      <c r="E1624" s="71"/>
      <c r="F1624" s="71"/>
      <c r="G1624" s="39"/>
      <c r="H1624" s="71"/>
    </row>
    <row r="1625">
      <c r="A1625" s="104" t="s">
        <v>68</v>
      </c>
      <c r="B1625" s="104" t="s">
        <v>57</v>
      </c>
      <c r="C1625" s="243">
        <f>COUNTA(A1626)</f>
        <v>1</v>
      </c>
      <c r="D1625" s="106">
        <f t="shared" ref="D1625:G1625" si="873">SUM(D1626)</f>
        <v>12.99</v>
      </c>
      <c r="E1625" s="106">
        <f t="shared" si="873"/>
        <v>2.59</v>
      </c>
      <c r="F1625" s="106">
        <f t="shared" si="873"/>
        <v>10.4</v>
      </c>
      <c r="G1625" s="104">
        <f t="shared" si="873"/>
        <v>2</v>
      </c>
      <c r="H1625" s="106">
        <f t="shared" ref="H1625:H1626" si="874">E1625/G1625</f>
        <v>1.295</v>
      </c>
    </row>
    <row r="1626">
      <c r="A1626" s="109" t="s">
        <v>658</v>
      </c>
      <c r="B1626" s="474"/>
      <c r="C1626" s="474"/>
      <c r="D1626" s="111">
        <v>12.99</v>
      </c>
      <c r="E1626" s="111">
        <v>2.59</v>
      </c>
      <c r="F1626" s="111">
        <f>D1626-E1626</f>
        <v>10.4</v>
      </c>
      <c r="G1626" s="109">
        <v>2.0</v>
      </c>
      <c r="H1626" s="111">
        <f t="shared" si="874"/>
        <v>1.295</v>
      </c>
    </row>
    <row r="1627">
      <c r="A1627" s="39"/>
      <c r="B1627" s="1"/>
      <c r="C1627" s="1"/>
      <c r="D1627" s="71"/>
      <c r="E1627" s="71"/>
      <c r="F1627" s="71"/>
      <c r="G1627" s="39"/>
      <c r="H1627" s="71"/>
    </row>
    <row r="1628">
      <c r="A1628" s="53" t="s">
        <v>1793</v>
      </c>
      <c r="B1628" s="53" t="s">
        <v>422</v>
      </c>
      <c r="C1628" s="75">
        <f>COUNTA(A1629)</f>
        <v>1</v>
      </c>
      <c r="D1628" s="76">
        <f t="shared" ref="D1628:G1628" si="875">SUM(D1629)</f>
        <v>6.99</v>
      </c>
      <c r="E1628" s="76">
        <f t="shared" si="875"/>
        <v>2.79</v>
      </c>
      <c r="F1628" s="76">
        <f t="shared" si="875"/>
        <v>4.2</v>
      </c>
      <c r="G1628" s="53">
        <f t="shared" si="875"/>
        <v>2</v>
      </c>
      <c r="H1628" s="76">
        <f t="shared" ref="H1628:H1629" si="876">E1628/G1628</f>
        <v>1.395</v>
      </c>
    </row>
    <row r="1629">
      <c r="A1629" s="79" t="s">
        <v>1359</v>
      </c>
      <c r="B1629" s="1"/>
      <c r="C1629" s="1"/>
      <c r="D1629" s="52">
        <v>6.99</v>
      </c>
      <c r="E1629" s="52">
        <v>2.79</v>
      </c>
      <c r="F1629" s="52">
        <f>D1629-E1629</f>
        <v>4.2</v>
      </c>
      <c r="G1629" s="79">
        <v>2.0</v>
      </c>
      <c r="H1629" s="52">
        <f t="shared" si="876"/>
        <v>1.395</v>
      </c>
    </row>
    <row r="1630">
      <c r="A1630" s="39"/>
      <c r="B1630" s="1"/>
      <c r="C1630" s="1"/>
      <c r="D1630" s="71"/>
      <c r="E1630" s="71"/>
      <c r="F1630" s="71"/>
      <c r="G1630" s="39"/>
      <c r="H1630" s="71"/>
    </row>
    <row r="1631">
      <c r="A1631" s="102" t="s">
        <v>305</v>
      </c>
      <c r="B1631" s="102" t="s">
        <v>291</v>
      </c>
      <c r="C1631" s="103">
        <f>COUNTA(A1632)</f>
        <v>1</v>
      </c>
      <c r="D1631" s="170">
        <f t="shared" ref="D1631:G1631" si="877">SUM(D1632)</f>
        <v>8.99</v>
      </c>
      <c r="E1631" s="170">
        <f t="shared" si="877"/>
        <v>2.99</v>
      </c>
      <c r="F1631" s="170">
        <f t="shared" si="877"/>
        <v>6</v>
      </c>
      <c r="G1631" s="102">
        <f t="shared" si="877"/>
        <v>2</v>
      </c>
      <c r="H1631" s="170">
        <f t="shared" ref="H1631:H1632" si="878">E1631/G1631</f>
        <v>1.495</v>
      </c>
    </row>
    <row r="1632">
      <c r="A1632" s="25" t="s">
        <v>1036</v>
      </c>
      <c r="B1632" s="1"/>
      <c r="C1632" s="1"/>
      <c r="D1632" s="26">
        <v>8.99</v>
      </c>
      <c r="E1632" s="26">
        <v>2.99</v>
      </c>
      <c r="F1632" s="26">
        <f>D1632-E1632</f>
        <v>6</v>
      </c>
      <c r="G1632" s="25">
        <v>2.0</v>
      </c>
      <c r="H1632" s="26">
        <f t="shared" si="878"/>
        <v>1.495</v>
      </c>
    </row>
    <row r="1633">
      <c r="A1633" s="39"/>
      <c r="B1633" s="1"/>
      <c r="C1633" s="1"/>
      <c r="D1633" s="71"/>
      <c r="E1633" s="71"/>
      <c r="F1633" s="71"/>
      <c r="G1633" s="39"/>
      <c r="H1633" s="71"/>
    </row>
    <row r="1634">
      <c r="A1634" s="53" t="s">
        <v>421</v>
      </c>
      <c r="B1634" s="53" t="s">
        <v>422</v>
      </c>
      <c r="C1634" s="75">
        <f>COUNTA(A1635)</f>
        <v>1</v>
      </c>
      <c r="D1634" s="76">
        <f t="shared" ref="D1634:G1634" si="879">SUM(D1635)</f>
        <v>4.99</v>
      </c>
      <c r="E1634" s="76">
        <f t="shared" si="879"/>
        <v>3.49</v>
      </c>
      <c r="F1634" s="76">
        <f t="shared" si="879"/>
        <v>1.5</v>
      </c>
      <c r="G1634" s="53">
        <f t="shared" si="879"/>
        <v>2</v>
      </c>
      <c r="H1634" s="76">
        <f t="shared" ref="H1634:H1635" si="880">E1634/G1634</f>
        <v>1.745</v>
      </c>
    </row>
    <row r="1635">
      <c r="A1635" s="79" t="s">
        <v>1362</v>
      </c>
      <c r="B1635" s="1"/>
      <c r="C1635" s="1"/>
      <c r="D1635" s="52">
        <v>4.99</v>
      </c>
      <c r="E1635" s="52">
        <v>3.49</v>
      </c>
      <c r="F1635" s="52">
        <f>D1635-E1635</f>
        <v>1.5</v>
      </c>
      <c r="G1635" s="79">
        <v>2.0</v>
      </c>
      <c r="H1635" s="52">
        <f t="shared" si="880"/>
        <v>1.745</v>
      </c>
    </row>
    <row r="1636">
      <c r="A1636" s="39"/>
      <c r="B1636" s="1"/>
      <c r="C1636" s="1"/>
      <c r="D1636" s="71"/>
      <c r="E1636" s="71"/>
      <c r="F1636" s="71"/>
      <c r="G1636" s="39"/>
      <c r="H1636" s="71"/>
    </row>
    <row r="1637">
      <c r="A1637" s="43" t="s">
        <v>222</v>
      </c>
      <c r="B1637" s="43" t="s">
        <v>25</v>
      </c>
      <c r="C1637" s="44">
        <f>COUNTA(A1638)</f>
        <v>1</v>
      </c>
      <c r="D1637" s="47">
        <f t="shared" ref="D1637:G1637" si="881">SUM(D1638)</f>
        <v>4.49</v>
      </c>
      <c r="E1637" s="47">
        <f t="shared" si="881"/>
        <v>3.49</v>
      </c>
      <c r="F1637" s="47">
        <f t="shared" si="881"/>
        <v>1</v>
      </c>
      <c r="G1637" s="43">
        <f t="shared" si="881"/>
        <v>2</v>
      </c>
      <c r="H1637" s="47">
        <f t="shared" ref="H1637:H1638" si="882">E1637/G1637</f>
        <v>1.745</v>
      </c>
    </row>
    <row r="1638">
      <c r="A1638" s="39" t="s">
        <v>890</v>
      </c>
      <c r="B1638" s="1"/>
      <c r="C1638" s="1"/>
      <c r="D1638" s="71">
        <v>4.49</v>
      </c>
      <c r="E1638" s="71">
        <v>3.49</v>
      </c>
      <c r="F1638" s="71">
        <f>D1638-E1638</f>
        <v>1</v>
      </c>
      <c r="G1638" s="72">
        <v>2.0</v>
      </c>
      <c r="H1638" s="71">
        <f t="shared" si="882"/>
        <v>1.745</v>
      </c>
    </row>
    <row r="1639">
      <c r="A1639" s="39"/>
      <c r="B1639" s="1"/>
      <c r="C1639" s="1"/>
      <c r="D1639" s="71"/>
      <c r="E1639" s="71"/>
      <c r="F1639" s="71"/>
      <c r="G1639" s="39"/>
      <c r="H1639" s="71"/>
    </row>
    <row r="1640">
      <c r="A1640" s="43" t="s">
        <v>224</v>
      </c>
      <c r="B1640" s="43" t="s">
        <v>25</v>
      </c>
      <c r="C1640" s="44">
        <f>COUNTA(A1641)</f>
        <v>1</v>
      </c>
      <c r="D1640" s="47">
        <f t="shared" ref="D1640:G1640" si="883">SUM(D1641)</f>
        <v>5.99</v>
      </c>
      <c r="E1640" s="47">
        <f t="shared" si="883"/>
        <v>3.59</v>
      </c>
      <c r="F1640" s="47">
        <f t="shared" si="883"/>
        <v>2.4</v>
      </c>
      <c r="G1640" s="43">
        <f t="shared" si="883"/>
        <v>2</v>
      </c>
      <c r="H1640" s="47">
        <f t="shared" ref="H1640:H1641" si="884">E1640/G1640</f>
        <v>1.795</v>
      </c>
    </row>
    <row r="1641">
      <c r="A1641" s="39" t="s">
        <v>933</v>
      </c>
      <c r="B1641" s="1"/>
      <c r="C1641" s="1"/>
      <c r="D1641" s="71">
        <v>5.99</v>
      </c>
      <c r="E1641" s="71">
        <v>3.59</v>
      </c>
      <c r="F1641" s="71">
        <f>D1641-E1641</f>
        <v>2.4</v>
      </c>
      <c r="G1641" s="39">
        <v>2.0</v>
      </c>
      <c r="H1641" s="71">
        <f t="shared" si="884"/>
        <v>1.795</v>
      </c>
    </row>
    <row r="1642">
      <c r="A1642" s="39"/>
      <c r="B1642" s="1"/>
      <c r="C1642" s="1"/>
      <c r="D1642" s="71"/>
      <c r="E1642" s="71"/>
      <c r="F1642" s="71"/>
      <c r="G1642" s="39"/>
      <c r="H1642" s="71"/>
    </row>
    <row r="1643">
      <c r="A1643" s="43" t="s">
        <v>508</v>
      </c>
      <c r="B1643" s="43" t="s">
        <v>29</v>
      </c>
      <c r="C1643" s="44">
        <f>COUNTA(A1644)</f>
        <v>1</v>
      </c>
      <c r="D1643" s="47">
        <f t="shared" ref="D1643:G1643" si="885">SUM(D1644)</f>
        <v>14.49</v>
      </c>
      <c r="E1643" s="47">
        <f t="shared" si="885"/>
        <v>3.62</v>
      </c>
      <c r="F1643" s="47">
        <f t="shared" si="885"/>
        <v>10.87</v>
      </c>
      <c r="G1643" s="43">
        <f t="shared" si="885"/>
        <v>2</v>
      </c>
      <c r="H1643" s="47">
        <f t="shared" ref="H1643:H1644" si="886">E1643/G1643</f>
        <v>1.81</v>
      </c>
    </row>
    <row r="1644">
      <c r="A1644" s="39" t="s">
        <v>1581</v>
      </c>
      <c r="B1644" s="1"/>
      <c r="C1644" s="1"/>
      <c r="D1644" s="71">
        <v>14.49</v>
      </c>
      <c r="E1644" s="71">
        <v>3.62</v>
      </c>
      <c r="F1644" s="71">
        <f>D1644-E1644</f>
        <v>10.87</v>
      </c>
      <c r="G1644" s="39">
        <v>2.0</v>
      </c>
      <c r="H1644" s="71">
        <f t="shared" si="886"/>
        <v>1.81</v>
      </c>
    </row>
    <row r="1645">
      <c r="A1645" s="39"/>
      <c r="B1645" s="1"/>
      <c r="C1645" s="1"/>
      <c r="D1645" s="42"/>
      <c r="E1645" s="42"/>
      <c r="F1645" s="71"/>
      <c r="G1645" s="39"/>
      <c r="H1645" s="71"/>
    </row>
    <row r="1646">
      <c r="A1646" s="102" t="s">
        <v>298</v>
      </c>
      <c r="B1646" s="102" t="s">
        <v>291</v>
      </c>
      <c r="C1646" s="103">
        <f>COUNTA(A1647)</f>
        <v>1</v>
      </c>
      <c r="D1646" s="170">
        <f t="shared" ref="D1646:G1646" si="887">SUM(D1647)</f>
        <v>39.99</v>
      </c>
      <c r="E1646" s="170">
        <f t="shared" si="887"/>
        <v>3.99</v>
      </c>
      <c r="F1646" s="170">
        <f t="shared" si="887"/>
        <v>36</v>
      </c>
      <c r="G1646" s="102">
        <f t="shared" si="887"/>
        <v>2</v>
      </c>
      <c r="H1646" s="170">
        <f t="shared" ref="H1646:H1647" si="888">E1646/G1646</f>
        <v>1.995</v>
      </c>
    </row>
    <row r="1647">
      <c r="A1647" s="35" t="s">
        <v>1035</v>
      </c>
      <c r="B1647" s="1"/>
      <c r="C1647" s="1"/>
      <c r="D1647" s="26">
        <v>39.99</v>
      </c>
      <c r="E1647" s="26">
        <v>3.99</v>
      </c>
      <c r="F1647" s="26">
        <f>D1647-E1647</f>
        <v>36</v>
      </c>
      <c r="G1647" s="35">
        <v>2.0</v>
      </c>
      <c r="H1647" s="26">
        <f t="shared" si="888"/>
        <v>1.995</v>
      </c>
    </row>
    <row r="1648">
      <c r="A1648" s="39"/>
      <c r="B1648" s="1"/>
      <c r="C1648" s="1"/>
      <c r="D1648" s="71"/>
      <c r="E1648" s="71"/>
      <c r="F1648" s="71"/>
      <c r="G1648" s="39"/>
      <c r="H1648" s="71"/>
    </row>
    <row r="1649">
      <c r="A1649" s="43" t="s">
        <v>80</v>
      </c>
      <c r="B1649" s="43" t="s">
        <v>79</v>
      </c>
      <c r="C1649" s="44">
        <f>COUNTA(A1650)</f>
        <v>1</v>
      </c>
      <c r="D1649" s="47">
        <f t="shared" ref="D1649:G1649" si="889">SUM(D1650)</f>
        <v>9.99</v>
      </c>
      <c r="E1649" s="47">
        <f t="shared" si="889"/>
        <v>3.99</v>
      </c>
      <c r="F1649" s="47">
        <f t="shared" si="889"/>
        <v>6</v>
      </c>
      <c r="G1649" s="43">
        <f t="shared" si="889"/>
        <v>2</v>
      </c>
      <c r="H1649" s="47">
        <f t="shared" ref="H1649:H1650" si="890">E1649/G1649</f>
        <v>1.995</v>
      </c>
    </row>
    <row r="1650">
      <c r="A1650" s="39" t="s">
        <v>670</v>
      </c>
      <c r="B1650" s="1"/>
      <c r="C1650" s="1"/>
      <c r="D1650" s="71">
        <v>9.99</v>
      </c>
      <c r="E1650" s="71">
        <v>3.99</v>
      </c>
      <c r="F1650" s="71">
        <f>D1650-E1650</f>
        <v>6</v>
      </c>
      <c r="G1650" s="72">
        <v>2.0</v>
      </c>
      <c r="H1650" s="71">
        <f t="shared" si="890"/>
        <v>1.995</v>
      </c>
    </row>
    <row r="1651">
      <c r="A1651" s="39"/>
      <c r="B1651" s="1"/>
      <c r="C1651" s="1"/>
      <c r="D1651" s="71"/>
      <c r="E1651" s="71"/>
      <c r="F1651" s="71"/>
      <c r="G1651" s="39"/>
      <c r="H1651" s="71"/>
    </row>
    <row r="1652">
      <c r="A1652" s="43" t="s">
        <v>201</v>
      </c>
      <c r="B1652" s="43" t="s">
        <v>25</v>
      </c>
      <c r="C1652" s="44">
        <f>COUNTA(A1653)</f>
        <v>1</v>
      </c>
      <c r="D1652" s="47">
        <f t="shared" ref="D1652:G1652" si="891">SUM(D1653)</f>
        <v>3.99</v>
      </c>
      <c r="E1652" s="47">
        <f t="shared" si="891"/>
        <v>3.99</v>
      </c>
      <c r="F1652" s="47">
        <f t="shared" si="891"/>
        <v>0</v>
      </c>
      <c r="G1652" s="43">
        <f t="shared" si="891"/>
        <v>2</v>
      </c>
      <c r="H1652" s="47">
        <f t="shared" ref="H1652:H1653" si="892">E1652/G1652</f>
        <v>1.995</v>
      </c>
    </row>
    <row r="1653">
      <c r="A1653" s="39" t="s">
        <v>885</v>
      </c>
      <c r="B1653" s="1"/>
      <c r="C1653" s="1"/>
      <c r="D1653" s="71">
        <v>3.99</v>
      </c>
      <c r="E1653" s="71">
        <v>3.99</v>
      </c>
      <c r="F1653" s="71">
        <f>D1653-E1653</f>
        <v>0</v>
      </c>
      <c r="G1653" s="39">
        <v>2.0</v>
      </c>
      <c r="H1653" s="71">
        <f t="shared" si="892"/>
        <v>1.995</v>
      </c>
    </row>
    <row r="1654">
      <c r="A1654" s="39"/>
      <c r="B1654" s="1"/>
      <c r="C1654" s="1"/>
      <c r="D1654" s="71"/>
      <c r="E1654" s="71"/>
      <c r="F1654" s="71"/>
      <c r="G1654" s="39"/>
      <c r="H1654" s="71"/>
    </row>
    <row r="1655">
      <c r="A1655" s="152" t="s">
        <v>468</v>
      </c>
      <c r="B1655" s="152" t="s">
        <v>455</v>
      </c>
      <c r="C1655" s="255">
        <f>COUNTA(A1656)</f>
        <v>1</v>
      </c>
      <c r="D1655" s="154">
        <f t="shared" ref="D1655:G1655" si="893">SUM(D1656)</f>
        <v>14.99</v>
      </c>
      <c r="E1655" s="154">
        <f t="shared" si="893"/>
        <v>4.49</v>
      </c>
      <c r="F1655" s="154">
        <f t="shared" si="893"/>
        <v>10.5</v>
      </c>
      <c r="G1655" s="152">
        <f t="shared" si="893"/>
        <v>2</v>
      </c>
      <c r="H1655" s="154">
        <f t="shared" ref="H1655:H1656" si="894">E1655/G1655</f>
        <v>2.245</v>
      </c>
    </row>
    <row r="1656">
      <c r="A1656" s="155" t="s">
        <v>1410</v>
      </c>
      <c r="B1656" s="480"/>
      <c r="C1656" s="480"/>
      <c r="D1656" s="159">
        <v>14.99</v>
      </c>
      <c r="E1656" s="159">
        <v>4.49</v>
      </c>
      <c r="F1656" s="159">
        <f>D1656-E1656</f>
        <v>10.5</v>
      </c>
      <c r="G1656" s="155">
        <v>2.0</v>
      </c>
      <c r="H1656" s="159">
        <f t="shared" si="894"/>
        <v>2.245</v>
      </c>
    </row>
    <row r="1657">
      <c r="A1657" s="39"/>
      <c r="B1657" s="1"/>
      <c r="C1657" s="1"/>
      <c r="D1657" s="71"/>
      <c r="E1657" s="71"/>
      <c r="F1657" s="71"/>
      <c r="G1657" s="39"/>
      <c r="H1657" s="71"/>
    </row>
    <row r="1658">
      <c r="A1658" s="43" t="s">
        <v>160</v>
      </c>
      <c r="B1658" s="43" t="s">
        <v>159</v>
      </c>
      <c r="C1658" s="44">
        <f>COUNTA(A1659)</f>
        <v>1</v>
      </c>
      <c r="D1658" s="47">
        <f t="shared" ref="D1658:G1658" si="895">SUM(D1659)</f>
        <v>9.99</v>
      </c>
      <c r="E1658" s="47">
        <f t="shared" si="895"/>
        <v>4.49</v>
      </c>
      <c r="F1658" s="47">
        <f t="shared" si="895"/>
        <v>5.5</v>
      </c>
      <c r="G1658" s="43">
        <f t="shared" si="895"/>
        <v>2</v>
      </c>
      <c r="H1658" s="47">
        <f t="shared" ref="H1658:H1659" si="896">E1658/G1658</f>
        <v>2.245</v>
      </c>
    </row>
    <row r="1659">
      <c r="A1659" s="72" t="s">
        <v>791</v>
      </c>
      <c r="B1659" s="37"/>
      <c r="C1659" s="37"/>
      <c r="D1659" s="71">
        <v>9.99</v>
      </c>
      <c r="E1659" s="71">
        <v>4.49</v>
      </c>
      <c r="F1659" s="71">
        <f>D1659-E1659</f>
        <v>5.5</v>
      </c>
      <c r="G1659" s="72">
        <v>2.0</v>
      </c>
      <c r="H1659" s="71">
        <f t="shared" si="896"/>
        <v>2.245</v>
      </c>
    </row>
    <row r="1660">
      <c r="A1660" s="39"/>
      <c r="B1660" s="1"/>
      <c r="C1660" s="1"/>
      <c r="D1660" s="71"/>
      <c r="E1660" s="71"/>
      <c r="F1660" s="71"/>
      <c r="G1660" s="39"/>
      <c r="H1660" s="71"/>
    </row>
    <row r="1661">
      <c r="A1661" s="43" t="s">
        <v>219</v>
      </c>
      <c r="B1661" s="43" t="s">
        <v>25</v>
      </c>
      <c r="C1661" s="44">
        <f>COUNTA(A1662)</f>
        <v>1</v>
      </c>
      <c r="D1661" s="47">
        <f t="shared" ref="D1661:G1661" si="897">SUM(D1662)</f>
        <v>24.99</v>
      </c>
      <c r="E1661" s="47">
        <f t="shared" si="897"/>
        <v>4.99</v>
      </c>
      <c r="F1661" s="47">
        <f t="shared" si="897"/>
        <v>20</v>
      </c>
      <c r="G1661" s="43">
        <f t="shared" si="897"/>
        <v>2</v>
      </c>
      <c r="H1661" s="47">
        <f t="shared" ref="H1661:H1662" si="898">E1661/G1661</f>
        <v>2.495</v>
      </c>
    </row>
    <row r="1662">
      <c r="A1662" s="72" t="s">
        <v>1794</v>
      </c>
      <c r="B1662" s="1"/>
      <c r="C1662" s="1"/>
      <c r="D1662" s="71">
        <v>24.99</v>
      </c>
      <c r="E1662" s="71">
        <v>4.99</v>
      </c>
      <c r="F1662" s="71">
        <f>D1662-E1662</f>
        <v>20</v>
      </c>
      <c r="G1662" s="39">
        <v>2.0</v>
      </c>
      <c r="H1662" s="71">
        <f t="shared" si="898"/>
        <v>2.495</v>
      </c>
    </row>
    <row r="1663">
      <c r="A1663" s="39"/>
      <c r="B1663" s="1"/>
      <c r="C1663" s="1"/>
      <c r="D1663" s="71"/>
      <c r="E1663" s="71"/>
      <c r="F1663" s="71"/>
      <c r="G1663" s="39"/>
      <c r="H1663" s="71"/>
    </row>
    <row r="1664">
      <c r="A1664" s="43" t="s">
        <v>347</v>
      </c>
      <c r="B1664" s="43" t="s">
        <v>325</v>
      </c>
      <c r="C1664" s="44">
        <f>COUNTA(A1665)</f>
        <v>1</v>
      </c>
      <c r="D1664" s="47">
        <f t="shared" ref="D1664:G1664" si="899">SUM(D1665)</f>
        <v>14.99</v>
      </c>
      <c r="E1664" s="47">
        <f t="shared" si="899"/>
        <v>4.99</v>
      </c>
      <c r="F1664" s="47">
        <f t="shared" si="899"/>
        <v>10</v>
      </c>
      <c r="G1664" s="43">
        <f t="shared" si="899"/>
        <v>2</v>
      </c>
      <c r="H1664" s="47">
        <f t="shared" ref="H1664:H1665" si="900">E1664/G1664</f>
        <v>2.495</v>
      </c>
    </row>
    <row r="1665">
      <c r="A1665" s="39" t="s">
        <v>1117</v>
      </c>
      <c r="B1665" s="1"/>
      <c r="C1665" s="1"/>
      <c r="D1665" s="71">
        <v>14.99</v>
      </c>
      <c r="E1665" s="71">
        <v>4.99</v>
      </c>
      <c r="F1665" s="71">
        <f>D1665-E1665</f>
        <v>10</v>
      </c>
      <c r="G1665" s="72">
        <v>2.0</v>
      </c>
      <c r="H1665" s="71">
        <f t="shared" si="900"/>
        <v>2.495</v>
      </c>
    </row>
    <row r="1666">
      <c r="A1666" s="39"/>
      <c r="B1666" s="1"/>
      <c r="C1666" s="1"/>
      <c r="D1666" s="71"/>
      <c r="E1666" s="71"/>
      <c r="F1666" s="71"/>
      <c r="G1666" s="39"/>
      <c r="H1666" s="71"/>
    </row>
    <row r="1667">
      <c r="A1667" s="213" t="s">
        <v>140</v>
      </c>
      <c r="B1667" s="213" t="s">
        <v>141</v>
      </c>
      <c r="C1667" s="485">
        <f>COUNTA(A1668)</f>
        <v>1</v>
      </c>
      <c r="D1667" s="215">
        <f t="shared" ref="D1667:G1667" si="901">SUM(D1668)</f>
        <v>14.99</v>
      </c>
      <c r="E1667" s="215">
        <f t="shared" si="901"/>
        <v>4.99</v>
      </c>
      <c r="F1667" s="215">
        <f t="shared" si="901"/>
        <v>10</v>
      </c>
      <c r="G1667" s="213">
        <f t="shared" si="901"/>
        <v>2</v>
      </c>
      <c r="H1667" s="215">
        <f t="shared" ref="H1667:H1668" si="902">E1667/G1667</f>
        <v>2.495</v>
      </c>
    </row>
    <row r="1668">
      <c r="A1668" s="513" t="s">
        <v>773</v>
      </c>
      <c r="B1668" s="1"/>
      <c r="C1668" s="1"/>
      <c r="D1668" s="514">
        <v>14.99</v>
      </c>
      <c r="E1668" s="514">
        <v>4.99</v>
      </c>
      <c r="F1668" s="514">
        <f>D1668-E1668</f>
        <v>10</v>
      </c>
      <c r="G1668" s="515">
        <v>2.0</v>
      </c>
      <c r="H1668" s="514">
        <f t="shared" si="902"/>
        <v>2.495</v>
      </c>
    </row>
    <row r="1669">
      <c r="A1669" s="39"/>
      <c r="B1669" s="1"/>
      <c r="C1669" s="1"/>
      <c r="D1669" s="71"/>
      <c r="E1669" s="71"/>
      <c r="F1669" s="71"/>
      <c r="G1669" s="39"/>
      <c r="H1669" s="71"/>
    </row>
    <row r="1670">
      <c r="A1670" s="53" t="s">
        <v>261</v>
      </c>
      <c r="B1670" s="75" t="s">
        <v>255</v>
      </c>
      <c r="C1670" s="75">
        <f>COUNTA(A1671)</f>
        <v>1</v>
      </c>
      <c r="D1670" s="76">
        <f t="shared" ref="D1670:G1670" si="903">SUM(D1671)</f>
        <v>11.99</v>
      </c>
      <c r="E1670" s="76">
        <f t="shared" si="903"/>
        <v>4.99</v>
      </c>
      <c r="F1670" s="76">
        <f t="shared" si="903"/>
        <v>7</v>
      </c>
      <c r="G1670" s="53">
        <f t="shared" si="903"/>
        <v>2</v>
      </c>
      <c r="H1670" s="76">
        <f t="shared" ref="H1670:H1671" si="904">E1670/G1670</f>
        <v>2.495</v>
      </c>
    </row>
    <row r="1671">
      <c r="A1671" s="79" t="s">
        <v>985</v>
      </c>
      <c r="B1671" s="1"/>
      <c r="C1671" s="1"/>
      <c r="D1671" s="52">
        <v>11.99</v>
      </c>
      <c r="E1671" s="52">
        <v>4.99</v>
      </c>
      <c r="F1671" s="52">
        <f>D1671-E1671</f>
        <v>7</v>
      </c>
      <c r="G1671" s="49">
        <v>2.0</v>
      </c>
      <c r="H1671" s="52">
        <f t="shared" si="904"/>
        <v>2.495</v>
      </c>
    </row>
    <row r="1672">
      <c r="A1672" s="39"/>
      <c r="B1672" s="1"/>
      <c r="C1672" s="1"/>
      <c r="D1672" s="71"/>
      <c r="E1672" s="71"/>
      <c r="F1672" s="71"/>
      <c r="G1672" s="39"/>
      <c r="H1672" s="71"/>
    </row>
    <row r="1673">
      <c r="A1673" s="43" t="s">
        <v>78</v>
      </c>
      <c r="B1673" s="43" t="s">
        <v>79</v>
      </c>
      <c r="C1673" s="44">
        <f>COUNTA(A1674)</f>
        <v>1</v>
      </c>
      <c r="D1673" s="47">
        <f t="shared" ref="D1673:G1673" si="905">SUM(D1674)</f>
        <v>9.99</v>
      </c>
      <c r="E1673" s="47">
        <f t="shared" si="905"/>
        <v>4.99</v>
      </c>
      <c r="F1673" s="47">
        <f t="shared" si="905"/>
        <v>5</v>
      </c>
      <c r="G1673" s="43">
        <f t="shared" si="905"/>
        <v>2</v>
      </c>
      <c r="H1673" s="47">
        <f t="shared" ref="H1673:H1674" si="906">E1673/G1673</f>
        <v>2.495</v>
      </c>
    </row>
    <row r="1674">
      <c r="A1674" s="39" t="s">
        <v>672</v>
      </c>
      <c r="B1674" s="1"/>
      <c r="C1674" s="1"/>
      <c r="D1674" s="71">
        <v>9.99</v>
      </c>
      <c r="E1674" s="71">
        <v>4.99</v>
      </c>
      <c r="F1674" s="71">
        <f>D1674-E1674</f>
        <v>5</v>
      </c>
      <c r="G1674" s="39">
        <v>2.0</v>
      </c>
      <c r="H1674" s="71">
        <f t="shared" si="906"/>
        <v>2.495</v>
      </c>
    </row>
    <row r="1675">
      <c r="A1675" s="39"/>
      <c r="B1675" s="1"/>
      <c r="C1675" s="1"/>
      <c r="D1675" s="42"/>
      <c r="E1675" s="42"/>
      <c r="F1675" s="71"/>
      <c r="G1675" s="39"/>
      <c r="H1675" s="71"/>
    </row>
    <row r="1676">
      <c r="A1676" s="174" t="s">
        <v>320</v>
      </c>
      <c r="B1676" s="174" t="s">
        <v>318</v>
      </c>
      <c r="C1676" s="476">
        <f>COUNTA(A1677:A1678)</f>
        <v>2</v>
      </c>
      <c r="D1676" s="176">
        <f t="shared" ref="D1676:G1676" si="907">SUM(D1677:D1678)</f>
        <v>19.98</v>
      </c>
      <c r="E1676" s="176">
        <f t="shared" si="907"/>
        <v>5.98</v>
      </c>
      <c r="F1676" s="176">
        <f t="shared" si="907"/>
        <v>14</v>
      </c>
      <c r="G1676" s="174">
        <f t="shared" si="907"/>
        <v>2</v>
      </c>
      <c r="H1676" s="176">
        <f t="shared" ref="H1676:H1678" si="908">E1676/G1676</f>
        <v>2.99</v>
      </c>
    </row>
    <row r="1677">
      <c r="A1677" s="516" t="s">
        <v>1059</v>
      </c>
      <c r="B1677" s="1"/>
      <c r="C1677" s="1"/>
      <c r="D1677" s="517">
        <v>9.99</v>
      </c>
      <c r="E1677" s="517">
        <v>2.99</v>
      </c>
      <c r="F1677" s="517">
        <f t="shared" ref="F1677:F1678" si="909">D1677-E1677</f>
        <v>7</v>
      </c>
      <c r="G1677" s="516">
        <v>1.0</v>
      </c>
      <c r="H1677" s="517">
        <f t="shared" si="908"/>
        <v>2.99</v>
      </c>
    </row>
    <row r="1678">
      <c r="A1678" s="516" t="s">
        <v>1057</v>
      </c>
      <c r="B1678" s="1"/>
      <c r="C1678" s="1"/>
      <c r="D1678" s="517">
        <v>9.99</v>
      </c>
      <c r="E1678" s="517">
        <v>2.99</v>
      </c>
      <c r="F1678" s="517">
        <f t="shared" si="909"/>
        <v>7</v>
      </c>
      <c r="G1678" s="516">
        <v>1.0</v>
      </c>
      <c r="H1678" s="517">
        <f t="shared" si="908"/>
        <v>2.99</v>
      </c>
    </row>
    <row r="1679">
      <c r="A1679" s="39"/>
      <c r="B1679" s="1"/>
      <c r="C1679" s="1"/>
      <c r="D1679" s="42"/>
      <c r="E1679" s="42"/>
      <c r="F1679" s="71"/>
      <c r="G1679" s="39"/>
      <c r="H1679" s="71"/>
    </row>
    <row r="1680">
      <c r="A1680" s="201" t="s">
        <v>390</v>
      </c>
      <c r="B1680" s="201" t="s">
        <v>384</v>
      </c>
      <c r="C1680" s="292">
        <f>COUNTA(A1681)</f>
        <v>1</v>
      </c>
      <c r="D1680" s="470">
        <f t="shared" ref="D1680:G1680" si="910">SUM(D1681)</f>
        <v>14.99</v>
      </c>
      <c r="E1680" s="470">
        <f t="shared" si="910"/>
        <v>5.99</v>
      </c>
      <c r="F1680" s="470">
        <f t="shared" si="910"/>
        <v>9</v>
      </c>
      <c r="G1680" s="293">
        <f t="shared" si="910"/>
        <v>2</v>
      </c>
      <c r="H1680" s="470">
        <f t="shared" ref="H1680:H1681" si="911">E1680/G1680</f>
        <v>2.995</v>
      </c>
    </row>
    <row r="1681">
      <c r="A1681" s="471" t="s">
        <v>1321</v>
      </c>
      <c r="B1681" s="518"/>
      <c r="C1681" s="518"/>
      <c r="D1681" s="473">
        <v>14.99</v>
      </c>
      <c r="E1681" s="473">
        <v>5.99</v>
      </c>
      <c r="F1681" s="473">
        <f>D1681-E1681</f>
        <v>9</v>
      </c>
      <c r="G1681" s="471">
        <v>2.0</v>
      </c>
      <c r="H1681" s="473">
        <f t="shared" si="911"/>
        <v>2.995</v>
      </c>
    </row>
    <row r="1682">
      <c r="A1682" s="39"/>
      <c r="B1682" s="1"/>
      <c r="C1682" s="1"/>
      <c r="D1682" s="71"/>
      <c r="E1682" s="71"/>
      <c r="F1682" s="71"/>
      <c r="G1682" s="39"/>
      <c r="H1682" s="71"/>
    </row>
    <row r="1683">
      <c r="A1683" s="43" t="s">
        <v>500</v>
      </c>
      <c r="B1683" s="43" t="s">
        <v>29</v>
      </c>
      <c r="C1683" s="44">
        <f>COUNTA(A1684)</f>
        <v>1</v>
      </c>
      <c r="D1683" s="47">
        <f t="shared" ref="D1683:G1683" si="912">SUM(D1684)</f>
        <v>21.99</v>
      </c>
      <c r="E1683" s="47">
        <f t="shared" si="912"/>
        <v>6.99</v>
      </c>
      <c r="F1683" s="47">
        <f t="shared" si="912"/>
        <v>15</v>
      </c>
      <c r="G1683" s="43">
        <f t="shared" si="912"/>
        <v>2</v>
      </c>
      <c r="H1683" s="47">
        <f t="shared" ref="H1683:H1684" si="913">E1683/G1683</f>
        <v>3.495</v>
      </c>
    </row>
    <row r="1684">
      <c r="A1684" s="72" t="s">
        <v>1719</v>
      </c>
      <c r="B1684" s="1"/>
      <c r="C1684" s="1"/>
      <c r="D1684" s="71">
        <v>21.99</v>
      </c>
      <c r="E1684" s="71">
        <v>6.99</v>
      </c>
      <c r="F1684" s="71">
        <f>D1684-E1684</f>
        <v>15</v>
      </c>
      <c r="G1684" s="72">
        <v>2.0</v>
      </c>
      <c r="H1684" s="71">
        <f t="shared" si="913"/>
        <v>3.495</v>
      </c>
    </row>
    <row r="1685">
      <c r="A1685" s="39"/>
      <c r="B1685" s="1"/>
      <c r="C1685" s="1"/>
      <c r="D1685" s="71"/>
      <c r="E1685" s="71"/>
      <c r="F1685" s="71"/>
      <c r="G1685" s="39"/>
      <c r="H1685" s="71"/>
    </row>
    <row r="1686">
      <c r="A1686" s="53" t="s">
        <v>151</v>
      </c>
      <c r="B1686" s="53" t="s">
        <v>150</v>
      </c>
      <c r="C1686" s="75">
        <f>COUNTA(A1687)</f>
        <v>1</v>
      </c>
      <c r="D1686" s="76">
        <f t="shared" ref="D1686:G1686" si="914">SUM(D1687)</f>
        <v>14.99</v>
      </c>
      <c r="E1686" s="76">
        <f t="shared" si="914"/>
        <v>7.49</v>
      </c>
      <c r="F1686" s="76">
        <f t="shared" si="914"/>
        <v>7.5</v>
      </c>
      <c r="G1686" s="53">
        <f t="shared" si="914"/>
        <v>2</v>
      </c>
      <c r="H1686" s="76">
        <f t="shared" ref="H1686:H1687" si="915">E1686/G1686</f>
        <v>3.745</v>
      </c>
    </row>
    <row r="1687">
      <c r="A1687" s="79" t="s">
        <v>779</v>
      </c>
      <c r="B1687" s="1"/>
      <c r="C1687" s="1"/>
      <c r="D1687" s="52">
        <v>14.99</v>
      </c>
      <c r="E1687" s="52">
        <v>7.49</v>
      </c>
      <c r="F1687" s="52">
        <f>D1687-E1687</f>
        <v>7.5</v>
      </c>
      <c r="G1687" s="49">
        <v>2.0</v>
      </c>
      <c r="H1687" s="52">
        <f t="shared" si="915"/>
        <v>3.745</v>
      </c>
    </row>
    <row r="1688">
      <c r="A1688" s="39"/>
      <c r="B1688" s="1"/>
      <c r="C1688" s="1"/>
      <c r="D1688" s="42"/>
      <c r="E1688" s="42"/>
      <c r="F1688" s="71"/>
      <c r="G1688" s="39"/>
      <c r="H1688" s="71"/>
    </row>
    <row r="1689">
      <c r="A1689" s="519" t="s">
        <v>425</v>
      </c>
      <c r="B1689" s="53" t="s">
        <v>422</v>
      </c>
      <c r="C1689" s="75">
        <f>COUNTA(A1690)</f>
        <v>1</v>
      </c>
      <c r="D1689" s="76">
        <f t="shared" ref="D1689:G1689" si="916">SUM(D1690)</f>
        <v>14.99</v>
      </c>
      <c r="E1689" s="76">
        <f t="shared" si="916"/>
        <v>9.74</v>
      </c>
      <c r="F1689" s="76">
        <f t="shared" si="916"/>
        <v>5.25</v>
      </c>
      <c r="G1689" s="53">
        <f t="shared" si="916"/>
        <v>2</v>
      </c>
      <c r="H1689" s="76">
        <f t="shared" ref="H1689:H1690" si="917">E1689/G1689</f>
        <v>4.87</v>
      </c>
    </row>
    <row r="1690">
      <c r="A1690" s="79" t="s">
        <v>1361</v>
      </c>
      <c r="B1690" s="1"/>
      <c r="C1690" s="1"/>
      <c r="D1690" s="52">
        <v>14.99</v>
      </c>
      <c r="E1690" s="52">
        <v>9.74</v>
      </c>
      <c r="F1690" s="52">
        <f>D1690-E1690</f>
        <v>5.25</v>
      </c>
      <c r="G1690" s="49">
        <v>2.0</v>
      </c>
      <c r="H1690" s="52">
        <f t="shared" si="917"/>
        <v>4.87</v>
      </c>
    </row>
    <row r="1691">
      <c r="A1691" s="39"/>
      <c r="B1691" s="1"/>
      <c r="C1691" s="1"/>
      <c r="D1691" s="71"/>
      <c r="E1691" s="71"/>
      <c r="F1691" s="71"/>
      <c r="G1691" s="39"/>
      <c r="H1691" s="71"/>
    </row>
    <row r="1692">
      <c r="A1692" s="43" t="s">
        <v>413</v>
      </c>
      <c r="B1692" s="43" t="s">
        <v>400</v>
      </c>
      <c r="C1692" s="44">
        <f>COUNTA(A1693)</f>
        <v>1</v>
      </c>
      <c r="D1692" s="47">
        <f t="shared" ref="D1692:G1692" si="918">SUM(D1693)</f>
        <v>24.99</v>
      </c>
      <c r="E1692" s="47">
        <f t="shared" si="918"/>
        <v>9.9</v>
      </c>
      <c r="F1692" s="47">
        <f t="shared" si="918"/>
        <v>15.09</v>
      </c>
      <c r="G1692" s="43">
        <f t="shared" si="918"/>
        <v>2</v>
      </c>
      <c r="H1692" s="47">
        <f t="shared" ref="H1692:H1693" si="919">E1692/G1692</f>
        <v>4.95</v>
      </c>
    </row>
    <row r="1693">
      <c r="A1693" s="39" t="s">
        <v>1347</v>
      </c>
      <c r="B1693" s="1"/>
      <c r="C1693" s="1"/>
      <c r="D1693" s="71">
        <v>24.99</v>
      </c>
      <c r="E1693" s="71">
        <v>9.9</v>
      </c>
      <c r="F1693" s="71">
        <f>D1693-E1693</f>
        <v>15.09</v>
      </c>
      <c r="G1693" s="72">
        <v>2.0</v>
      </c>
      <c r="H1693" s="71">
        <f t="shared" si="919"/>
        <v>4.95</v>
      </c>
    </row>
    <row r="1694">
      <c r="A1694" s="39"/>
      <c r="B1694" s="1"/>
      <c r="C1694" s="1"/>
      <c r="D1694" s="71"/>
      <c r="E1694" s="71"/>
      <c r="F1694" s="71"/>
      <c r="G1694" s="39"/>
      <c r="H1694" s="71"/>
    </row>
    <row r="1695">
      <c r="A1695" s="43" t="s">
        <v>105</v>
      </c>
      <c r="B1695" s="43" t="s">
        <v>92</v>
      </c>
      <c r="C1695" s="44">
        <f>COUNTA(A1696)</f>
        <v>1</v>
      </c>
      <c r="D1695" s="47">
        <f t="shared" ref="D1695:G1695" si="920">SUM(D1696)</f>
        <v>14.99</v>
      </c>
      <c r="E1695" s="47">
        <f t="shared" si="920"/>
        <v>9.89</v>
      </c>
      <c r="F1695" s="47">
        <f t="shared" si="920"/>
        <v>5.1</v>
      </c>
      <c r="G1695" s="43">
        <f t="shared" si="920"/>
        <v>2</v>
      </c>
      <c r="H1695" s="47">
        <f t="shared" ref="H1695:H1696" si="921">E1695/G1695</f>
        <v>4.945</v>
      </c>
    </row>
    <row r="1696">
      <c r="A1696" s="72" t="s">
        <v>764</v>
      </c>
      <c r="B1696" s="1"/>
      <c r="C1696" s="1"/>
      <c r="D1696" s="71">
        <v>14.99</v>
      </c>
      <c r="E1696" s="71">
        <v>9.89</v>
      </c>
      <c r="F1696" s="71">
        <f>D1696-E1696</f>
        <v>5.1</v>
      </c>
      <c r="G1696" s="72">
        <v>2.0</v>
      </c>
      <c r="H1696" s="71">
        <f t="shared" si="921"/>
        <v>4.945</v>
      </c>
    </row>
    <row r="1697">
      <c r="A1697" s="39"/>
      <c r="B1697" s="1"/>
      <c r="C1697" s="1"/>
      <c r="D1697" s="42"/>
      <c r="E1697" s="42"/>
      <c r="F1697" s="71"/>
      <c r="G1697" s="39"/>
      <c r="H1697" s="71"/>
    </row>
    <row r="1698">
      <c r="A1698" s="53" t="s">
        <v>284</v>
      </c>
      <c r="B1698" s="53" t="s">
        <v>265</v>
      </c>
      <c r="C1698" s="75">
        <f>COUNTA(A1699)</f>
        <v>1</v>
      </c>
      <c r="D1698" s="76">
        <f t="shared" ref="D1698:G1698" si="922">SUM(D1699)</f>
        <v>39.99</v>
      </c>
      <c r="E1698" s="76">
        <f t="shared" si="922"/>
        <v>9.99</v>
      </c>
      <c r="F1698" s="76">
        <f t="shared" si="922"/>
        <v>30</v>
      </c>
      <c r="G1698" s="53">
        <f t="shared" si="922"/>
        <v>2</v>
      </c>
      <c r="H1698" s="76">
        <f t="shared" ref="H1698:H1699" si="923">E1698/G1698</f>
        <v>4.995</v>
      </c>
    </row>
    <row r="1699">
      <c r="A1699" s="79" t="s">
        <v>1013</v>
      </c>
      <c r="B1699" s="1"/>
      <c r="C1699" s="1"/>
      <c r="D1699" s="52">
        <v>39.99</v>
      </c>
      <c r="E1699" s="52">
        <v>9.99</v>
      </c>
      <c r="F1699" s="52">
        <f>D1699-E1699</f>
        <v>30</v>
      </c>
      <c r="G1699" s="49">
        <v>2.0</v>
      </c>
      <c r="H1699" s="52">
        <f t="shared" si="923"/>
        <v>4.995</v>
      </c>
    </row>
    <row r="1700">
      <c r="A1700" s="39"/>
      <c r="B1700" s="1"/>
      <c r="C1700" s="1"/>
      <c r="D1700" s="71"/>
      <c r="E1700" s="71"/>
      <c r="F1700" s="71"/>
      <c r="G1700" s="39"/>
      <c r="H1700" s="71"/>
    </row>
    <row r="1701">
      <c r="A1701" s="43" t="s">
        <v>194</v>
      </c>
      <c r="B1701" s="43" t="s">
        <v>25</v>
      </c>
      <c r="C1701" s="44">
        <f>COUNTA(A1702)</f>
        <v>1</v>
      </c>
      <c r="D1701" s="47">
        <f t="shared" ref="D1701:G1701" si="924">SUM(D1702)</f>
        <v>9.99</v>
      </c>
      <c r="E1701" s="47">
        <f t="shared" si="924"/>
        <v>9.99</v>
      </c>
      <c r="F1701" s="47">
        <f t="shared" si="924"/>
        <v>0</v>
      </c>
      <c r="G1701" s="43">
        <f t="shared" si="924"/>
        <v>2</v>
      </c>
      <c r="H1701" s="47">
        <f t="shared" ref="H1701:H1702" si="925">E1701/G1701</f>
        <v>4.995</v>
      </c>
    </row>
    <row r="1702">
      <c r="A1702" s="39" t="s">
        <v>862</v>
      </c>
      <c r="B1702" s="1"/>
      <c r="C1702" s="1"/>
      <c r="D1702" s="71">
        <v>9.99</v>
      </c>
      <c r="E1702" s="71">
        <v>9.99</v>
      </c>
      <c r="F1702" s="71">
        <f>D1702-E1702</f>
        <v>0</v>
      </c>
      <c r="G1702" s="39">
        <v>2.0</v>
      </c>
      <c r="H1702" s="71">
        <f t="shared" si="925"/>
        <v>4.995</v>
      </c>
    </row>
    <row r="1703">
      <c r="A1703" s="39"/>
      <c r="B1703" s="1"/>
      <c r="C1703" s="1"/>
      <c r="D1703" s="71"/>
      <c r="E1703" s="71"/>
      <c r="F1703" s="71"/>
      <c r="G1703" s="39"/>
      <c r="H1703" s="71"/>
    </row>
    <row r="1704">
      <c r="A1704" s="43" t="s">
        <v>252</v>
      </c>
      <c r="B1704" s="43" t="s">
        <v>25</v>
      </c>
      <c r="C1704" s="44">
        <f>COUNTA(A1705)</f>
        <v>1</v>
      </c>
      <c r="D1704" s="47">
        <f t="shared" ref="D1704:G1704" si="926">SUM(D1705)</f>
        <v>18.99</v>
      </c>
      <c r="E1704" s="47">
        <f t="shared" si="926"/>
        <v>11.39</v>
      </c>
      <c r="F1704" s="47">
        <f t="shared" si="926"/>
        <v>7.6</v>
      </c>
      <c r="G1704" s="43">
        <f t="shared" si="926"/>
        <v>2</v>
      </c>
      <c r="H1704" s="47">
        <f t="shared" ref="H1704:H1705" si="927">E1704/G1704</f>
        <v>5.695</v>
      </c>
    </row>
    <row r="1705">
      <c r="A1705" s="39" t="s">
        <v>1795</v>
      </c>
      <c r="B1705" s="1"/>
      <c r="C1705" s="1"/>
      <c r="D1705" s="71">
        <v>18.99</v>
      </c>
      <c r="E1705" s="71">
        <v>11.39</v>
      </c>
      <c r="F1705" s="71">
        <f>D1705-E1705</f>
        <v>7.6</v>
      </c>
      <c r="G1705" s="72">
        <v>2.0</v>
      </c>
      <c r="H1705" s="71">
        <f t="shared" si="927"/>
        <v>5.695</v>
      </c>
    </row>
    <row r="1706">
      <c r="A1706" s="39"/>
      <c r="B1706" s="1"/>
      <c r="C1706" s="1"/>
      <c r="D1706" s="42"/>
      <c r="E1706" s="42"/>
      <c r="F1706" s="71"/>
      <c r="G1706" s="39"/>
      <c r="H1706" s="71"/>
    </row>
    <row r="1707">
      <c r="A1707" s="43" t="s">
        <v>208</v>
      </c>
      <c r="B1707" s="43" t="s">
        <v>25</v>
      </c>
      <c r="C1707" s="44">
        <f>COUNTA(A1708:A1709)</f>
        <v>2</v>
      </c>
      <c r="D1707" s="47">
        <f t="shared" ref="D1707:G1707" si="928">SUM(D1708:D1709)</f>
        <v>23.98</v>
      </c>
      <c r="E1707" s="47">
        <f t="shared" si="928"/>
        <v>11.98</v>
      </c>
      <c r="F1707" s="47">
        <f t="shared" si="928"/>
        <v>12</v>
      </c>
      <c r="G1707" s="43">
        <f t="shared" si="928"/>
        <v>2</v>
      </c>
      <c r="H1707" s="47">
        <f t="shared" ref="H1707:H1709" si="929">E1707/G1707</f>
        <v>5.99</v>
      </c>
    </row>
    <row r="1708">
      <c r="A1708" s="39" t="s">
        <v>920</v>
      </c>
      <c r="B1708" s="1"/>
      <c r="C1708" s="1"/>
      <c r="D1708" s="71">
        <v>16.99</v>
      </c>
      <c r="E1708" s="71">
        <v>4.99</v>
      </c>
      <c r="F1708" s="71">
        <f t="shared" ref="F1708:F1709" si="930">D1708-E1708</f>
        <v>12</v>
      </c>
      <c r="G1708" s="39">
        <v>1.0</v>
      </c>
      <c r="H1708" s="71">
        <f t="shared" si="929"/>
        <v>4.99</v>
      </c>
    </row>
    <row r="1709">
      <c r="A1709" s="39" t="s">
        <v>882</v>
      </c>
      <c r="B1709" s="1"/>
      <c r="C1709" s="1"/>
      <c r="D1709" s="71">
        <v>6.99</v>
      </c>
      <c r="E1709" s="71">
        <v>6.99</v>
      </c>
      <c r="F1709" s="71">
        <f t="shared" si="930"/>
        <v>0</v>
      </c>
      <c r="G1709" s="39">
        <v>1.0</v>
      </c>
      <c r="H1709" s="71">
        <f t="shared" si="929"/>
        <v>6.99</v>
      </c>
    </row>
    <row r="1710">
      <c r="A1710" s="39"/>
      <c r="B1710" s="1"/>
      <c r="C1710" s="1"/>
      <c r="D1710" s="42"/>
      <c r="E1710" s="42"/>
      <c r="F1710" s="71"/>
      <c r="G1710" s="39"/>
      <c r="H1710" s="71"/>
    </row>
    <row r="1711">
      <c r="A1711" s="43" t="s">
        <v>118</v>
      </c>
      <c r="B1711" s="43" t="s">
        <v>92</v>
      </c>
      <c r="C1711" s="44">
        <f>COUNTA(A1712)</f>
        <v>1</v>
      </c>
      <c r="D1711" s="47">
        <f t="shared" ref="D1711:G1711" si="931">SUM(D1712)</f>
        <v>19.99</v>
      </c>
      <c r="E1711" s="47">
        <f t="shared" si="931"/>
        <v>11.99</v>
      </c>
      <c r="F1711" s="47">
        <f t="shared" si="931"/>
        <v>8</v>
      </c>
      <c r="G1711" s="43">
        <f t="shared" si="931"/>
        <v>2</v>
      </c>
      <c r="H1711" s="47">
        <f t="shared" ref="H1711:H1712" si="932">E1711/G1711</f>
        <v>5.995</v>
      </c>
    </row>
    <row r="1712">
      <c r="A1712" s="39" t="s">
        <v>738</v>
      </c>
      <c r="B1712" s="1"/>
      <c r="C1712" s="1"/>
      <c r="D1712" s="71">
        <v>19.99</v>
      </c>
      <c r="E1712" s="71">
        <v>11.99</v>
      </c>
      <c r="F1712" s="71">
        <f>D1712-E1712</f>
        <v>8</v>
      </c>
      <c r="G1712" s="39">
        <v>2.0</v>
      </c>
      <c r="H1712" s="71">
        <f t="shared" si="932"/>
        <v>5.995</v>
      </c>
    </row>
    <row r="1713">
      <c r="A1713" s="39"/>
      <c r="B1713" s="1"/>
      <c r="C1713" s="1"/>
      <c r="D1713" s="42"/>
      <c r="E1713" s="42"/>
      <c r="F1713" s="71"/>
      <c r="G1713" s="39"/>
      <c r="H1713" s="71"/>
    </row>
    <row r="1714">
      <c r="A1714" s="485" t="s">
        <v>415</v>
      </c>
      <c r="B1714" s="485" t="s">
        <v>416</v>
      </c>
      <c r="C1714" s="485">
        <f>COUNTA(A1715)</f>
        <v>1</v>
      </c>
      <c r="D1714" s="216">
        <f>SUM(D1715)</f>
        <v>19.99</v>
      </c>
      <c r="E1714" s="216">
        <v>11.99</v>
      </c>
      <c r="F1714" s="216">
        <f t="shared" ref="F1714:F1715" si="933">D1714-E1714</f>
        <v>8</v>
      </c>
      <c r="G1714" s="213">
        <f>SUM(G1715)</f>
        <v>2</v>
      </c>
      <c r="H1714" s="216">
        <f t="shared" ref="H1714:H1715" si="934">E1714/G1714</f>
        <v>5.995</v>
      </c>
    </row>
    <row r="1715">
      <c r="A1715" s="217" t="s">
        <v>1353</v>
      </c>
      <c r="B1715" s="1"/>
      <c r="C1715" s="1"/>
      <c r="D1715" s="520">
        <v>19.99</v>
      </c>
      <c r="E1715" s="219">
        <v>11.99</v>
      </c>
      <c r="F1715" s="520">
        <f t="shared" si="933"/>
        <v>8</v>
      </c>
      <c r="G1715" s="217">
        <v>2.0</v>
      </c>
      <c r="H1715" s="520">
        <f t="shared" si="934"/>
        <v>5.995</v>
      </c>
    </row>
    <row r="1716">
      <c r="A1716" s="39"/>
      <c r="B1716" s="1"/>
      <c r="C1716" s="1"/>
      <c r="D1716" s="42"/>
      <c r="E1716" s="42"/>
      <c r="F1716" s="71"/>
      <c r="G1716" s="39"/>
      <c r="H1716" s="71"/>
    </row>
    <row r="1717">
      <c r="A1717" s="43" t="s">
        <v>595</v>
      </c>
      <c r="B1717" s="43" t="s">
        <v>29</v>
      </c>
      <c r="C1717" s="44">
        <f>COUNTA(A1718:A1719)</f>
        <v>2</v>
      </c>
      <c r="D1717" s="47">
        <f t="shared" ref="D1717:G1717" si="935">SUM(D1718:D1719)</f>
        <v>49.98</v>
      </c>
      <c r="E1717" s="47">
        <f t="shared" si="935"/>
        <v>12.49</v>
      </c>
      <c r="F1717" s="47">
        <f t="shared" si="935"/>
        <v>37.49</v>
      </c>
      <c r="G1717" s="43">
        <f t="shared" si="935"/>
        <v>2</v>
      </c>
      <c r="H1717" s="47">
        <f t="shared" ref="H1717:H1719" si="936">E1717/G1717</f>
        <v>6.245</v>
      </c>
    </row>
    <row r="1718">
      <c r="A1718" s="39" t="s">
        <v>1714</v>
      </c>
      <c r="B1718" s="1"/>
      <c r="C1718" s="1"/>
      <c r="D1718" s="71">
        <v>24.99</v>
      </c>
      <c r="E1718" s="71">
        <v>12.49</v>
      </c>
      <c r="F1718" s="71">
        <f t="shared" ref="F1718:F1719" si="937">D1718-E1718</f>
        <v>12.5</v>
      </c>
      <c r="G1718" s="39">
        <v>1.0</v>
      </c>
      <c r="H1718" s="71">
        <f t="shared" si="936"/>
        <v>12.49</v>
      </c>
    </row>
    <row r="1719">
      <c r="A1719" s="72" t="s">
        <v>1733</v>
      </c>
      <c r="B1719" s="1"/>
      <c r="C1719" s="1"/>
      <c r="D1719" s="71">
        <v>24.99</v>
      </c>
      <c r="E1719" s="71">
        <v>0.0</v>
      </c>
      <c r="F1719" s="71">
        <f t="shared" si="937"/>
        <v>24.99</v>
      </c>
      <c r="G1719" s="39">
        <v>1.0</v>
      </c>
      <c r="H1719" s="71">
        <f t="shared" si="936"/>
        <v>0</v>
      </c>
    </row>
    <row r="1720">
      <c r="A1720" s="39"/>
      <c r="B1720" s="1"/>
      <c r="C1720" s="1"/>
      <c r="D1720" s="42"/>
      <c r="E1720" s="42"/>
      <c r="F1720" s="71"/>
      <c r="G1720" s="39"/>
      <c r="H1720" s="71"/>
    </row>
    <row r="1721">
      <c r="A1721" s="43" t="s">
        <v>515</v>
      </c>
      <c r="B1721" s="43" t="s">
        <v>29</v>
      </c>
      <c r="C1721" s="44">
        <f>COUNTA(A1722:A1723)</f>
        <v>2</v>
      </c>
      <c r="D1721" s="46">
        <f t="shared" ref="D1721:G1721" si="938">SUM(D1722:D1723)</f>
        <v>24.99</v>
      </c>
      <c r="E1721" s="46">
        <f t="shared" si="938"/>
        <v>12.49</v>
      </c>
      <c r="F1721" s="46">
        <f t="shared" si="938"/>
        <v>12.5</v>
      </c>
      <c r="G1721" s="43">
        <f t="shared" si="938"/>
        <v>2</v>
      </c>
      <c r="H1721" s="46">
        <f t="shared" ref="H1721:H1723" si="939">E1721/G1721</f>
        <v>6.245</v>
      </c>
    </row>
    <row r="1722">
      <c r="A1722" s="39" t="s">
        <v>1700</v>
      </c>
      <c r="B1722" s="37"/>
      <c r="C1722" s="37"/>
      <c r="D1722" s="469">
        <v>12.5</v>
      </c>
      <c r="E1722" s="469">
        <v>6.25</v>
      </c>
      <c r="F1722" s="42">
        <f t="shared" ref="F1722:F1723" si="940">D1722-E1722</f>
        <v>6.25</v>
      </c>
      <c r="G1722" s="521">
        <v>1.0</v>
      </c>
      <c r="H1722" s="469">
        <f t="shared" si="939"/>
        <v>6.25</v>
      </c>
    </row>
    <row r="1723">
      <c r="A1723" s="39" t="s">
        <v>1701</v>
      </c>
      <c r="B1723" s="37"/>
      <c r="C1723" s="37"/>
      <c r="D1723" s="469">
        <v>12.49</v>
      </c>
      <c r="E1723" s="469">
        <v>6.24</v>
      </c>
      <c r="F1723" s="42">
        <f t="shared" si="940"/>
        <v>6.25</v>
      </c>
      <c r="G1723" s="521">
        <v>1.0</v>
      </c>
      <c r="H1723" s="469">
        <f t="shared" si="939"/>
        <v>6.24</v>
      </c>
    </row>
    <row r="1724">
      <c r="A1724" s="39"/>
      <c r="B1724" s="1"/>
      <c r="C1724" s="1"/>
      <c r="D1724" s="42"/>
      <c r="E1724" s="42"/>
      <c r="F1724" s="71"/>
      <c r="G1724" s="39"/>
      <c r="H1724" s="71"/>
    </row>
    <row r="1725">
      <c r="A1725" s="152" t="s">
        <v>473</v>
      </c>
      <c r="B1725" s="255" t="s">
        <v>455</v>
      </c>
      <c r="C1725" s="255">
        <f>COUNTA(A1726)</f>
        <v>1</v>
      </c>
      <c r="D1725" s="154">
        <f t="shared" ref="D1725:G1725" si="941">SUM(D1726)</f>
        <v>16.99</v>
      </c>
      <c r="E1725" s="154">
        <f t="shared" si="941"/>
        <v>12.99</v>
      </c>
      <c r="F1725" s="154">
        <f t="shared" si="941"/>
        <v>4</v>
      </c>
      <c r="G1725" s="152">
        <f t="shared" si="941"/>
        <v>2</v>
      </c>
      <c r="H1725" s="154">
        <f t="shared" ref="H1725:H1726" si="942">E1725/G1725</f>
        <v>6.495</v>
      </c>
    </row>
    <row r="1726">
      <c r="A1726" s="156" t="s">
        <v>1396</v>
      </c>
      <c r="B1726" s="480"/>
      <c r="C1726" s="480"/>
      <c r="D1726" s="522">
        <v>16.99</v>
      </c>
      <c r="E1726" s="159">
        <v>12.99</v>
      </c>
      <c r="F1726" s="159">
        <f>D1726-E1726</f>
        <v>4</v>
      </c>
      <c r="G1726" s="156">
        <v>2.0</v>
      </c>
      <c r="H1726" s="159">
        <f t="shared" si="942"/>
        <v>6.495</v>
      </c>
    </row>
    <row r="1727">
      <c r="A1727" s="39"/>
      <c r="B1727" s="1"/>
      <c r="C1727" s="1"/>
      <c r="D1727" s="71"/>
      <c r="E1727" s="71"/>
      <c r="F1727" s="71"/>
      <c r="G1727" s="39"/>
      <c r="H1727" s="71"/>
    </row>
    <row r="1728">
      <c r="A1728" s="43" t="s">
        <v>341</v>
      </c>
      <c r="B1728" s="43" t="s">
        <v>325</v>
      </c>
      <c r="C1728" s="44">
        <f>COUNTA(A1729)</f>
        <v>1</v>
      </c>
      <c r="D1728" s="47">
        <f t="shared" ref="D1728:G1728" si="943">SUM(D1729)</f>
        <v>16.99</v>
      </c>
      <c r="E1728" s="47">
        <f t="shared" si="943"/>
        <v>13.59</v>
      </c>
      <c r="F1728" s="47">
        <f t="shared" si="943"/>
        <v>3.4</v>
      </c>
      <c r="G1728" s="43">
        <f t="shared" si="943"/>
        <v>2</v>
      </c>
      <c r="H1728" s="47">
        <f t="shared" ref="H1728:H1729" si="944">E1728/G1728</f>
        <v>6.795</v>
      </c>
    </row>
    <row r="1729">
      <c r="A1729" s="39" t="s">
        <v>1276</v>
      </c>
      <c r="B1729" s="1"/>
      <c r="C1729" s="1"/>
      <c r="D1729" s="71">
        <v>16.99</v>
      </c>
      <c r="E1729" s="71">
        <v>13.59</v>
      </c>
      <c r="F1729" s="71">
        <f>D1729-E1729</f>
        <v>3.4</v>
      </c>
      <c r="G1729" s="72">
        <v>2.0</v>
      </c>
      <c r="H1729" s="71">
        <f t="shared" si="944"/>
        <v>6.795</v>
      </c>
    </row>
    <row r="1730">
      <c r="A1730" s="39"/>
      <c r="B1730" s="1"/>
      <c r="C1730" s="1"/>
      <c r="D1730" s="42"/>
      <c r="E1730" s="42"/>
      <c r="F1730" s="71"/>
      <c r="G1730" s="39"/>
      <c r="H1730" s="71"/>
    </row>
    <row r="1731">
      <c r="A1731" s="43" t="s">
        <v>554</v>
      </c>
      <c r="B1731" s="43" t="s">
        <v>29</v>
      </c>
      <c r="C1731" s="44">
        <f>COUNTA(A1732:A1733)</f>
        <v>2</v>
      </c>
      <c r="D1731" s="47">
        <f t="shared" ref="D1731:G1731" si="945">SUM(D1732:D1733)</f>
        <v>13.98</v>
      </c>
      <c r="E1731" s="47">
        <f t="shared" si="945"/>
        <v>13.98</v>
      </c>
      <c r="F1731" s="47">
        <f t="shared" si="945"/>
        <v>0</v>
      </c>
      <c r="G1731" s="43">
        <f t="shared" si="945"/>
        <v>2</v>
      </c>
      <c r="H1731" s="47">
        <f t="shared" ref="H1731:H1733" si="946">E1731/G1731</f>
        <v>6.99</v>
      </c>
    </row>
    <row r="1732">
      <c r="A1732" s="39" t="s">
        <v>1459</v>
      </c>
      <c r="B1732" s="1"/>
      <c r="C1732" s="1"/>
      <c r="D1732" s="71">
        <v>6.99</v>
      </c>
      <c r="E1732" s="71">
        <v>6.99</v>
      </c>
      <c r="F1732" s="71">
        <f t="shared" ref="F1732:F1733" si="947">D1732-E1732</f>
        <v>0</v>
      </c>
      <c r="G1732" s="39">
        <v>1.0</v>
      </c>
      <c r="H1732" s="71">
        <f t="shared" si="946"/>
        <v>6.99</v>
      </c>
    </row>
    <row r="1733">
      <c r="A1733" s="39" t="s">
        <v>1461</v>
      </c>
      <c r="B1733" s="1"/>
      <c r="C1733" s="1"/>
      <c r="D1733" s="71">
        <v>6.99</v>
      </c>
      <c r="E1733" s="71">
        <v>6.99</v>
      </c>
      <c r="F1733" s="71">
        <f t="shared" si="947"/>
        <v>0</v>
      </c>
      <c r="G1733" s="39">
        <v>1.0</v>
      </c>
      <c r="H1733" s="71">
        <f t="shared" si="946"/>
        <v>6.99</v>
      </c>
    </row>
    <row r="1734">
      <c r="A1734" s="7"/>
      <c r="B1734" s="7"/>
      <c r="C1734" s="7"/>
      <c r="D1734" s="7"/>
      <c r="E1734" s="7"/>
      <c r="F1734" s="7"/>
      <c r="G1734" s="7"/>
      <c r="H1734" s="7"/>
    </row>
    <row r="1735">
      <c r="A1735" s="102" t="s">
        <v>294</v>
      </c>
      <c r="B1735" s="102" t="s">
        <v>291</v>
      </c>
      <c r="C1735" s="103">
        <f>COUNTA(A1736)</f>
        <v>1</v>
      </c>
      <c r="D1735" s="170">
        <f t="shared" ref="D1735:G1735" si="948">SUM(D1736)</f>
        <v>21.99</v>
      </c>
      <c r="E1735" s="170">
        <f t="shared" si="948"/>
        <v>14.73</v>
      </c>
      <c r="F1735" s="170">
        <f t="shared" si="948"/>
        <v>7.26</v>
      </c>
      <c r="G1735" s="102">
        <f t="shared" si="948"/>
        <v>2</v>
      </c>
      <c r="H1735" s="170">
        <f t="shared" ref="H1735:H1736" si="949">E1735/G1735</f>
        <v>7.365</v>
      </c>
    </row>
    <row r="1736">
      <c r="A1736" s="25" t="s">
        <v>1046</v>
      </c>
      <c r="B1736" s="1"/>
      <c r="C1736" s="1"/>
      <c r="D1736" s="26">
        <v>21.99</v>
      </c>
      <c r="E1736" s="26">
        <v>14.73</v>
      </c>
      <c r="F1736" s="26">
        <f>D1736-E1736</f>
        <v>7.26</v>
      </c>
      <c r="G1736" s="35">
        <v>2.0</v>
      </c>
      <c r="H1736" s="26">
        <f t="shared" si="949"/>
        <v>7.365</v>
      </c>
    </row>
    <row r="1737">
      <c r="A1737" s="39"/>
      <c r="B1737" s="1"/>
      <c r="C1737" s="1"/>
      <c r="D1737" s="71"/>
      <c r="E1737" s="71"/>
      <c r="F1737" s="71"/>
      <c r="G1737" s="39"/>
      <c r="H1737" s="71"/>
    </row>
    <row r="1738">
      <c r="A1738" s="43" t="s">
        <v>562</v>
      </c>
      <c r="B1738" s="69" t="s">
        <v>29</v>
      </c>
      <c r="C1738" s="44">
        <f>COUNTA(A1739)</f>
        <v>1</v>
      </c>
      <c r="D1738" s="47">
        <f t="shared" ref="D1738:G1738" si="950">SUM(D1739)</f>
        <v>29.99</v>
      </c>
      <c r="E1738" s="47">
        <f t="shared" si="950"/>
        <v>14.99</v>
      </c>
      <c r="F1738" s="47">
        <f t="shared" si="950"/>
        <v>15</v>
      </c>
      <c r="G1738" s="43">
        <f t="shared" si="950"/>
        <v>2</v>
      </c>
      <c r="H1738" s="47">
        <f t="shared" ref="H1738:H1739" si="951">E1738/G1738</f>
        <v>7.495</v>
      </c>
    </row>
    <row r="1739">
      <c r="A1739" s="39" t="s">
        <v>1619</v>
      </c>
      <c r="B1739" s="1"/>
      <c r="C1739" s="1"/>
      <c r="D1739" s="71">
        <v>29.99</v>
      </c>
      <c r="E1739" s="71">
        <v>14.99</v>
      </c>
      <c r="F1739" s="71">
        <f>D1739-E1739</f>
        <v>15</v>
      </c>
      <c r="G1739" s="72">
        <v>2.0</v>
      </c>
      <c r="H1739" s="71">
        <f t="shared" si="951"/>
        <v>7.495</v>
      </c>
    </row>
    <row r="1740">
      <c r="A1740" s="39"/>
      <c r="B1740" s="1"/>
      <c r="C1740" s="1"/>
      <c r="D1740" s="71"/>
      <c r="E1740" s="71"/>
      <c r="F1740" s="71"/>
      <c r="G1740" s="39"/>
      <c r="H1740" s="71"/>
    </row>
    <row r="1741">
      <c r="A1741" s="43" t="s">
        <v>523</v>
      </c>
      <c r="B1741" s="69" t="s">
        <v>29</v>
      </c>
      <c r="C1741" s="44">
        <f>COUNTA(A1742)</f>
        <v>1</v>
      </c>
      <c r="D1741" s="47">
        <f t="shared" ref="D1741:G1741" si="952">SUM(D1742)</f>
        <v>29.99</v>
      </c>
      <c r="E1741" s="47">
        <f t="shared" si="952"/>
        <v>14.99</v>
      </c>
      <c r="F1741" s="47">
        <f t="shared" si="952"/>
        <v>15</v>
      </c>
      <c r="G1741" s="43">
        <f t="shared" si="952"/>
        <v>2</v>
      </c>
      <c r="H1741" s="47">
        <f t="shared" ref="H1741:H1742" si="953">E1741/G1741</f>
        <v>7.495</v>
      </c>
    </row>
    <row r="1742">
      <c r="A1742" s="72" t="s">
        <v>1710</v>
      </c>
      <c r="B1742" s="1"/>
      <c r="C1742" s="1"/>
      <c r="D1742" s="71">
        <v>29.99</v>
      </c>
      <c r="E1742" s="71">
        <v>14.99</v>
      </c>
      <c r="F1742" s="71">
        <f>D1742-E1742</f>
        <v>15</v>
      </c>
      <c r="G1742" s="72">
        <v>2.0</v>
      </c>
      <c r="H1742" s="71">
        <f t="shared" si="953"/>
        <v>7.495</v>
      </c>
    </row>
    <row r="1743">
      <c r="A1743" s="72"/>
      <c r="B1743" s="1"/>
      <c r="C1743" s="1"/>
      <c r="D1743" s="71"/>
      <c r="E1743" s="71"/>
      <c r="F1743" s="71"/>
      <c r="G1743" s="39"/>
      <c r="H1743" s="71"/>
    </row>
    <row r="1744">
      <c r="A1744" s="43" t="s">
        <v>127</v>
      </c>
      <c r="B1744" s="44" t="s">
        <v>92</v>
      </c>
      <c r="C1744" s="44">
        <f>COUNTA(A1745:A1746)</f>
        <v>2</v>
      </c>
      <c r="D1744" s="47">
        <f t="shared" ref="D1744:G1744" si="954">SUM(D1745:D1746)</f>
        <v>49.98</v>
      </c>
      <c r="E1744" s="47">
        <f t="shared" si="954"/>
        <v>15.98</v>
      </c>
      <c r="F1744" s="47">
        <f t="shared" si="954"/>
        <v>34</v>
      </c>
      <c r="G1744" s="43">
        <f t="shared" si="954"/>
        <v>2</v>
      </c>
      <c r="H1744" s="47">
        <f t="shared" ref="H1744:H1746" si="955">E1744/G1744</f>
        <v>7.99</v>
      </c>
    </row>
    <row r="1745">
      <c r="A1745" s="72" t="s">
        <v>692</v>
      </c>
      <c r="B1745" s="1"/>
      <c r="C1745" s="1"/>
      <c r="D1745" s="71">
        <v>24.99</v>
      </c>
      <c r="E1745" s="71">
        <v>7.99</v>
      </c>
      <c r="F1745" s="71">
        <f t="shared" ref="F1745:F1746" si="956">D1745-E1745</f>
        <v>17</v>
      </c>
      <c r="G1745" s="39">
        <v>1.0</v>
      </c>
      <c r="H1745" s="71">
        <f t="shared" si="955"/>
        <v>7.99</v>
      </c>
    </row>
    <row r="1746">
      <c r="A1746" s="72" t="s">
        <v>705</v>
      </c>
      <c r="B1746" s="1"/>
      <c r="C1746" s="1"/>
      <c r="D1746" s="71">
        <v>24.99</v>
      </c>
      <c r="E1746" s="71">
        <v>7.99</v>
      </c>
      <c r="F1746" s="71">
        <f t="shared" si="956"/>
        <v>17</v>
      </c>
      <c r="G1746" s="39">
        <v>1.0</v>
      </c>
      <c r="H1746" s="71">
        <f t="shared" si="955"/>
        <v>7.99</v>
      </c>
    </row>
    <row r="1747">
      <c r="A1747" s="72"/>
      <c r="B1747" s="1"/>
      <c r="C1747" s="1"/>
      <c r="D1747" s="71"/>
      <c r="E1747" s="71"/>
      <c r="F1747" s="71"/>
      <c r="G1747" s="39"/>
      <c r="H1747" s="71"/>
    </row>
    <row r="1748">
      <c r="A1748" s="43" t="s">
        <v>587</v>
      </c>
      <c r="B1748" s="43" t="s">
        <v>29</v>
      </c>
      <c r="C1748" s="44">
        <f>COUNTA(A1749:A1750)</f>
        <v>2</v>
      </c>
      <c r="D1748" s="47">
        <f t="shared" ref="D1748:G1748" si="957">SUM(D1749:D1750)</f>
        <v>49.99</v>
      </c>
      <c r="E1748" s="47">
        <f t="shared" si="957"/>
        <v>17.49</v>
      </c>
      <c r="F1748" s="47">
        <f t="shared" si="957"/>
        <v>32.5</v>
      </c>
      <c r="G1748" s="43">
        <f t="shared" si="957"/>
        <v>2</v>
      </c>
      <c r="H1748" s="47">
        <f t="shared" ref="H1748:H1750" si="958">E1748/G1748</f>
        <v>8.745</v>
      </c>
    </row>
    <row r="1749">
      <c r="A1749" s="72" t="s">
        <v>1642</v>
      </c>
      <c r="B1749" s="1"/>
      <c r="C1749" s="1"/>
      <c r="D1749" s="71">
        <v>0.0</v>
      </c>
      <c r="E1749" s="71">
        <v>0.0</v>
      </c>
      <c r="F1749" s="71">
        <f t="shared" ref="F1749:F1750" si="959">D1749-E1749</f>
        <v>0</v>
      </c>
      <c r="G1749" s="39">
        <v>1.0</v>
      </c>
      <c r="H1749" s="71">
        <f t="shared" si="958"/>
        <v>0</v>
      </c>
    </row>
    <row r="1750">
      <c r="A1750" s="39" t="s">
        <v>1655</v>
      </c>
      <c r="B1750" s="1"/>
      <c r="C1750" s="1"/>
      <c r="D1750" s="71">
        <v>49.99</v>
      </c>
      <c r="E1750" s="71">
        <v>17.49</v>
      </c>
      <c r="F1750" s="71">
        <f t="shared" si="959"/>
        <v>32.5</v>
      </c>
      <c r="G1750" s="39">
        <v>1.0</v>
      </c>
      <c r="H1750" s="71">
        <f t="shared" si="958"/>
        <v>17.49</v>
      </c>
    </row>
    <row r="1751">
      <c r="A1751" s="72"/>
      <c r="B1751" s="1"/>
      <c r="C1751" s="1"/>
      <c r="D1751" s="71"/>
      <c r="E1751" s="71"/>
      <c r="F1751" s="71"/>
      <c r="G1751" s="39"/>
      <c r="H1751" s="71"/>
    </row>
    <row r="1752">
      <c r="A1752" s="53" t="s">
        <v>268</v>
      </c>
      <c r="B1752" s="53" t="s">
        <v>265</v>
      </c>
      <c r="C1752" s="75">
        <f>COUNTA(A1753)</f>
        <v>1</v>
      </c>
      <c r="D1752" s="76">
        <f t="shared" ref="D1752:G1752" si="960">SUM(D1753)</f>
        <v>29.99</v>
      </c>
      <c r="E1752" s="76">
        <f t="shared" si="960"/>
        <v>17.49</v>
      </c>
      <c r="F1752" s="76">
        <f t="shared" si="960"/>
        <v>12.5</v>
      </c>
      <c r="G1752" s="53">
        <f t="shared" si="960"/>
        <v>2</v>
      </c>
      <c r="H1752" s="76">
        <f t="shared" ref="H1752:H1753" si="961">E1752/G1752</f>
        <v>8.745</v>
      </c>
    </row>
    <row r="1753">
      <c r="A1753" s="49" t="s">
        <v>1029</v>
      </c>
      <c r="B1753" s="1"/>
      <c r="C1753" s="1"/>
      <c r="D1753" s="52">
        <v>29.99</v>
      </c>
      <c r="E1753" s="52">
        <v>17.49</v>
      </c>
      <c r="F1753" s="52">
        <f>D1753-E1753</f>
        <v>12.5</v>
      </c>
      <c r="G1753" s="49">
        <v>2.0</v>
      </c>
      <c r="H1753" s="52">
        <f t="shared" si="961"/>
        <v>8.745</v>
      </c>
    </row>
    <row r="1754">
      <c r="A1754" s="72"/>
      <c r="B1754" s="1"/>
      <c r="C1754" s="1"/>
      <c r="D1754" s="71"/>
      <c r="E1754" s="71"/>
      <c r="F1754" s="71"/>
      <c r="G1754" s="39"/>
      <c r="H1754" s="71"/>
    </row>
    <row r="1755">
      <c r="A1755" s="43" t="s">
        <v>529</v>
      </c>
      <c r="B1755" s="69" t="s">
        <v>29</v>
      </c>
      <c r="C1755" s="44">
        <f>COUNTA(A1756)</f>
        <v>1</v>
      </c>
      <c r="D1755" s="47">
        <f t="shared" ref="D1755:G1755" si="962">SUM(D1756)</f>
        <v>29.99</v>
      </c>
      <c r="E1755" s="47">
        <f t="shared" si="962"/>
        <v>17.99</v>
      </c>
      <c r="F1755" s="47">
        <f t="shared" si="962"/>
        <v>12</v>
      </c>
      <c r="G1755" s="43">
        <f t="shared" si="962"/>
        <v>2</v>
      </c>
      <c r="H1755" s="47">
        <f t="shared" ref="H1755:H1756" si="963">E1755/G1755</f>
        <v>8.995</v>
      </c>
    </row>
    <row r="1756">
      <c r="A1756" s="39" t="s">
        <v>1728</v>
      </c>
      <c r="B1756" s="1"/>
      <c r="C1756" s="1"/>
      <c r="D1756" s="71">
        <v>29.99</v>
      </c>
      <c r="E1756" s="71">
        <v>17.99</v>
      </c>
      <c r="F1756" s="71">
        <f>D1756-E1756</f>
        <v>12</v>
      </c>
      <c r="G1756" s="39">
        <v>2.0</v>
      </c>
      <c r="H1756" s="71">
        <f t="shared" si="963"/>
        <v>8.995</v>
      </c>
    </row>
    <row r="1757">
      <c r="A1757" s="39"/>
      <c r="B1757" s="1"/>
      <c r="C1757" s="1"/>
      <c r="D1757" s="71"/>
      <c r="E1757" s="71"/>
      <c r="F1757" s="71"/>
      <c r="G1757" s="39"/>
      <c r="H1757" s="71"/>
    </row>
    <row r="1758">
      <c r="A1758" s="43" t="s">
        <v>579</v>
      </c>
      <c r="B1758" s="43" t="s">
        <v>29</v>
      </c>
      <c r="C1758" s="44">
        <f>COUNTA(A1759)</f>
        <v>1</v>
      </c>
      <c r="D1758" s="47">
        <f t="shared" ref="D1758:G1758" si="964">SUM(D1759)</f>
        <v>29.99</v>
      </c>
      <c r="E1758" s="47">
        <f t="shared" si="964"/>
        <v>17.99</v>
      </c>
      <c r="F1758" s="47">
        <f t="shared" si="964"/>
        <v>12</v>
      </c>
      <c r="G1758" s="43">
        <f t="shared" si="964"/>
        <v>2</v>
      </c>
      <c r="H1758" s="47">
        <f t="shared" ref="H1758:H1759" si="965">E1758/G1758</f>
        <v>8.995</v>
      </c>
    </row>
    <row r="1759">
      <c r="A1759" s="39" t="s">
        <v>1722</v>
      </c>
      <c r="B1759" s="1"/>
      <c r="C1759" s="1"/>
      <c r="D1759" s="71">
        <v>29.99</v>
      </c>
      <c r="E1759" s="71">
        <v>17.99</v>
      </c>
      <c r="F1759" s="71">
        <f>D1759-E1759</f>
        <v>12</v>
      </c>
      <c r="G1759" s="39">
        <v>2.0</v>
      </c>
      <c r="H1759" s="71">
        <f t="shared" si="965"/>
        <v>8.995</v>
      </c>
    </row>
    <row r="1760">
      <c r="A1760" s="39"/>
      <c r="B1760" s="1"/>
      <c r="C1760" s="1"/>
      <c r="D1760" s="71"/>
      <c r="E1760" s="71"/>
      <c r="F1760" s="71"/>
      <c r="G1760" s="39"/>
      <c r="H1760" s="71"/>
    </row>
    <row r="1761">
      <c r="A1761" s="224" t="s">
        <v>381</v>
      </c>
      <c r="B1761" s="224" t="s">
        <v>382</v>
      </c>
      <c r="C1761" s="221">
        <f>COUNTA(A1762)</f>
        <v>1</v>
      </c>
      <c r="D1761" s="226">
        <f t="shared" ref="D1761:G1761" si="966">SUM(D1762)</f>
        <v>39.99</v>
      </c>
      <c r="E1761" s="226">
        <f t="shared" si="966"/>
        <v>19.99</v>
      </c>
      <c r="F1761" s="226">
        <f t="shared" si="966"/>
        <v>20</v>
      </c>
      <c r="G1761" s="224">
        <f t="shared" si="966"/>
        <v>2</v>
      </c>
      <c r="H1761" s="226">
        <f t="shared" ref="H1761:H1762" si="967">E1761/G1761</f>
        <v>9.995</v>
      </c>
    </row>
    <row r="1762">
      <c r="A1762" s="523" t="s">
        <v>1316</v>
      </c>
      <c r="B1762" s="524"/>
      <c r="C1762" s="524"/>
      <c r="D1762" s="525">
        <v>39.99</v>
      </c>
      <c r="E1762" s="525">
        <v>19.99</v>
      </c>
      <c r="F1762" s="525">
        <f>D1762-E1762</f>
        <v>20</v>
      </c>
      <c r="G1762" s="523">
        <v>2.0</v>
      </c>
      <c r="H1762" s="525">
        <f t="shared" si="967"/>
        <v>9.995</v>
      </c>
    </row>
    <row r="1763">
      <c r="A1763" s="39"/>
      <c r="B1763" s="1"/>
      <c r="C1763" s="1"/>
      <c r="D1763" s="71"/>
      <c r="E1763" s="71"/>
      <c r="F1763" s="71"/>
      <c r="G1763" s="39"/>
      <c r="H1763" s="71"/>
    </row>
    <row r="1764">
      <c r="A1764" s="246" t="s">
        <v>449</v>
      </c>
      <c r="B1764" s="246" t="s">
        <v>443</v>
      </c>
      <c r="C1764" s="493">
        <f>COUNTA(A1765)</f>
        <v>1</v>
      </c>
      <c r="D1764" s="248">
        <f t="shared" ref="D1764:G1764" si="968">SUM(D1765)</f>
        <v>19.99</v>
      </c>
      <c r="E1764" s="248">
        <f t="shared" si="968"/>
        <v>19.99</v>
      </c>
      <c r="F1764" s="248">
        <f t="shared" si="968"/>
        <v>0</v>
      </c>
      <c r="G1764" s="246">
        <f t="shared" si="968"/>
        <v>2</v>
      </c>
      <c r="H1764" s="248">
        <f t="shared" ref="H1764:H1765" si="969">E1764/G1764</f>
        <v>9.995</v>
      </c>
    </row>
    <row r="1765">
      <c r="A1765" s="250" t="s">
        <v>1392</v>
      </c>
      <c r="B1765" s="526"/>
      <c r="C1765" s="526"/>
      <c r="D1765" s="253">
        <v>19.99</v>
      </c>
      <c r="E1765" s="253">
        <v>19.99</v>
      </c>
      <c r="F1765" s="253">
        <f>D1765-E1765</f>
        <v>0</v>
      </c>
      <c r="G1765" s="250">
        <v>2.0</v>
      </c>
      <c r="H1765" s="253">
        <f t="shared" si="969"/>
        <v>9.995</v>
      </c>
    </row>
    <row r="1766">
      <c r="A1766" s="72"/>
      <c r="B1766" s="1"/>
      <c r="C1766" s="1"/>
      <c r="D1766" s="71"/>
      <c r="E1766" s="71"/>
      <c r="F1766" s="71"/>
      <c r="G1766" s="39"/>
      <c r="H1766" s="71"/>
    </row>
    <row r="1767">
      <c r="A1767" s="293" t="s">
        <v>386</v>
      </c>
      <c r="B1767" s="293" t="s">
        <v>384</v>
      </c>
      <c r="C1767" s="292">
        <f>COUNTA(A1768:A1769)</f>
        <v>2</v>
      </c>
      <c r="D1767" s="470">
        <f t="shared" ref="D1767:G1767" si="970">SUM(D1768:D1769)</f>
        <v>39.98</v>
      </c>
      <c r="E1767" s="470">
        <f t="shared" si="970"/>
        <v>21.98</v>
      </c>
      <c r="F1767" s="470">
        <f t="shared" si="970"/>
        <v>18</v>
      </c>
      <c r="G1767" s="293">
        <f t="shared" si="970"/>
        <v>2</v>
      </c>
      <c r="H1767" s="470">
        <f t="shared" ref="H1767:H1769" si="971">E1767/G1767</f>
        <v>10.99</v>
      </c>
    </row>
    <row r="1768">
      <c r="A1768" s="471" t="s">
        <v>1326</v>
      </c>
      <c r="B1768" s="504"/>
      <c r="C1768" s="504"/>
      <c r="D1768" s="473">
        <v>19.99</v>
      </c>
      <c r="E1768" s="473">
        <v>8.99</v>
      </c>
      <c r="F1768" s="473">
        <f t="shared" ref="F1768:F1769" si="972">D1768-E1768</f>
        <v>11</v>
      </c>
      <c r="G1768" s="471">
        <v>1.0</v>
      </c>
      <c r="H1768" s="473">
        <f t="shared" si="971"/>
        <v>8.99</v>
      </c>
    </row>
    <row r="1769">
      <c r="A1769" s="471" t="s">
        <v>1327</v>
      </c>
      <c r="B1769" s="504"/>
      <c r="C1769" s="504"/>
      <c r="D1769" s="473">
        <v>19.99</v>
      </c>
      <c r="E1769" s="473">
        <v>12.99</v>
      </c>
      <c r="F1769" s="473">
        <f t="shared" si="972"/>
        <v>7</v>
      </c>
      <c r="G1769" s="471">
        <v>1.0</v>
      </c>
      <c r="H1769" s="473">
        <f t="shared" si="971"/>
        <v>12.99</v>
      </c>
    </row>
    <row r="1770">
      <c r="A1770" s="72"/>
      <c r="B1770" s="1"/>
      <c r="C1770" s="1"/>
      <c r="D1770" s="71"/>
      <c r="E1770" s="71"/>
      <c r="F1770" s="71"/>
      <c r="G1770" s="39"/>
      <c r="H1770" s="71"/>
    </row>
    <row r="1771">
      <c r="A1771" s="43" t="s">
        <v>332</v>
      </c>
      <c r="B1771" s="43" t="s">
        <v>325</v>
      </c>
      <c r="C1771" s="44">
        <f>COUNTA(A1772:A1773)</f>
        <v>2</v>
      </c>
      <c r="D1771" s="47">
        <f t="shared" ref="D1771:G1771" si="973">SUM(D1772:D1773)</f>
        <v>35.98</v>
      </c>
      <c r="E1771" s="47">
        <f t="shared" si="973"/>
        <v>24.98</v>
      </c>
      <c r="F1771" s="47">
        <f t="shared" si="973"/>
        <v>11</v>
      </c>
      <c r="G1771" s="43">
        <f t="shared" si="973"/>
        <v>2</v>
      </c>
      <c r="H1771" s="47">
        <f t="shared" ref="H1771:H1773" si="974">E1771/G1771</f>
        <v>12.49</v>
      </c>
    </row>
    <row r="1772">
      <c r="A1772" s="39" t="s">
        <v>1209</v>
      </c>
      <c r="B1772" s="1"/>
      <c r="C1772" s="1"/>
      <c r="D1772" s="71">
        <v>20.99</v>
      </c>
      <c r="E1772" s="71">
        <v>9.99</v>
      </c>
      <c r="F1772" s="71">
        <f t="shared" ref="F1772:F1773" si="975">D1772-E1772</f>
        <v>11</v>
      </c>
      <c r="G1772" s="39">
        <v>1.0</v>
      </c>
      <c r="H1772" s="71">
        <f t="shared" si="974"/>
        <v>9.99</v>
      </c>
    </row>
    <row r="1773">
      <c r="A1773" s="39" t="s">
        <v>1302</v>
      </c>
      <c r="B1773" s="1"/>
      <c r="C1773" s="1"/>
      <c r="D1773" s="71">
        <v>14.99</v>
      </c>
      <c r="E1773" s="71">
        <v>14.99</v>
      </c>
      <c r="F1773" s="71">
        <f t="shared" si="975"/>
        <v>0</v>
      </c>
      <c r="G1773" s="39">
        <v>1.0</v>
      </c>
      <c r="H1773" s="71">
        <f t="shared" si="974"/>
        <v>14.99</v>
      </c>
    </row>
    <row r="1774">
      <c r="A1774" s="39"/>
      <c r="B1774" s="1"/>
      <c r="C1774" s="1"/>
      <c r="D1774" s="71"/>
      <c r="E1774" s="71"/>
      <c r="F1774" s="71"/>
      <c r="G1774" s="39"/>
      <c r="H1774" s="71"/>
    </row>
    <row r="1775">
      <c r="A1775" s="102" t="s">
        <v>304</v>
      </c>
      <c r="B1775" s="102" t="s">
        <v>291</v>
      </c>
      <c r="C1775" s="103">
        <f>COUNTA(A1776)</f>
        <v>1</v>
      </c>
      <c r="D1775" s="170">
        <f t="shared" ref="D1775:G1775" si="976">SUM(D1776)</f>
        <v>49.99</v>
      </c>
      <c r="E1775" s="170">
        <f t="shared" si="976"/>
        <v>29.99</v>
      </c>
      <c r="F1775" s="170">
        <f t="shared" si="976"/>
        <v>20</v>
      </c>
      <c r="G1775" s="102">
        <f t="shared" si="976"/>
        <v>2</v>
      </c>
      <c r="H1775" s="170">
        <f t="shared" ref="H1775:H1776" si="977">E1775/G1775</f>
        <v>14.995</v>
      </c>
    </row>
    <row r="1776">
      <c r="A1776" s="25" t="s">
        <v>1044</v>
      </c>
      <c r="B1776" s="1"/>
      <c r="C1776" s="1"/>
      <c r="D1776" s="26">
        <v>49.99</v>
      </c>
      <c r="E1776" s="26">
        <v>29.99</v>
      </c>
      <c r="F1776" s="26">
        <f>D1776-E1776</f>
        <v>20</v>
      </c>
      <c r="G1776" s="35">
        <v>2.0</v>
      </c>
      <c r="H1776" s="26">
        <f t="shared" si="977"/>
        <v>14.995</v>
      </c>
    </row>
    <row r="1777">
      <c r="A1777" s="39"/>
      <c r="B1777" s="1"/>
      <c r="C1777" s="1"/>
      <c r="D1777" s="71"/>
      <c r="E1777" s="71"/>
      <c r="F1777" s="71"/>
      <c r="G1777" s="39"/>
      <c r="H1777" s="71"/>
    </row>
    <row r="1778">
      <c r="A1778" s="43" t="s">
        <v>514</v>
      </c>
      <c r="B1778" s="43" t="s">
        <v>29</v>
      </c>
      <c r="C1778" s="44">
        <f>COUNTA(A1779:A1780)</f>
        <v>2</v>
      </c>
      <c r="D1778" s="47">
        <f t="shared" ref="D1778:G1778" si="978">SUM(D1779:D1780)</f>
        <v>34.99</v>
      </c>
      <c r="E1778" s="47">
        <f t="shared" si="978"/>
        <v>34.99</v>
      </c>
      <c r="F1778" s="47">
        <f t="shared" si="978"/>
        <v>0</v>
      </c>
      <c r="G1778" s="43">
        <f t="shared" si="978"/>
        <v>2</v>
      </c>
      <c r="H1778" s="47">
        <f t="shared" ref="H1778:H1780" si="979">E1778/G1778</f>
        <v>17.495</v>
      </c>
    </row>
    <row r="1779">
      <c r="A1779" s="72" t="s">
        <v>1652</v>
      </c>
      <c r="B1779" s="1"/>
      <c r="C1779" s="1"/>
      <c r="D1779" s="71">
        <v>17.49</v>
      </c>
      <c r="E1779" s="71">
        <v>17.49</v>
      </c>
      <c r="F1779" s="71">
        <f t="shared" ref="F1779:F1780" si="980">D1779-E1779</f>
        <v>0</v>
      </c>
      <c r="G1779" s="39">
        <v>1.0</v>
      </c>
      <c r="H1779" s="71">
        <f t="shared" si="979"/>
        <v>17.49</v>
      </c>
    </row>
    <row r="1780">
      <c r="A1780" s="72" t="s">
        <v>1653</v>
      </c>
      <c r="B1780" s="1"/>
      <c r="C1780" s="1"/>
      <c r="D1780" s="71">
        <v>17.5</v>
      </c>
      <c r="E1780" s="71">
        <v>17.5</v>
      </c>
      <c r="F1780" s="71">
        <f t="shared" si="980"/>
        <v>0</v>
      </c>
      <c r="G1780" s="39">
        <v>1.0</v>
      </c>
      <c r="H1780" s="71">
        <f t="shared" si="979"/>
        <v>17.5</v>
      </c>
    </row>
    <row r="1781">
      <c r="A1781" s="39"/>
      <c r="B1781" s="1"/>
      <c r="C1781" s="1"/>
      <c r="D1781" s="42"/>
      <c r="E1781" s="42"/>
      <c r="F1781" s="71"/>
      <c r="G1781" s="39"/>
      <c r="H1781" s="71"/>
    </row>
    <row r="1782">
      <c r="A1782" s="43" t="s">
        <v>233</v>
      </c>
      <c r="B1782" s="43" t="s">
        <v>25</v>
      </c>
      <c r="C1782" s="44">
        <f>COUNTA(A1783:A1784)</f>
        <v>2</v>
      </c>
      <c r="D1782" s="46">
        <f t="shared" ref="D1782:G1782" si="981">SUM(D1783:D1784)</f>
        <v>99.98</v>
      </c>
      <c r="E1782" s="46">
        <f t="shared" si="981"/>
        <v>63.98</v>
      </c>
      <c r="F1782" s="46">
        <f t="shared" si="981"/>
        <v>36</v>
      </c>
      <c r="G1782" s="43">
        <f t="shared" si="981"/>
        <v>2</v>
      </c>
      <c r="H1782" s="46">
        <f t="shared" ref="H1782:H1784" si="982">E1782/G1782</f>
        <v>31.99</v>
      </c>
    </row>
    <row r="1783">
      <c r="A1783" s="48" t="s">
        <v>973</v>
      </c>
      <c r="B1783" s="1"/>
      <c r="C1783" s="1"/>
      <c r="D1783" s="42">
        <v>59.99</v>
      </c>
      <c r="E1783" s="42">
        <v>23.99</v>
      </c>
      <c r="F1783" s="42">
        <f t="shared" ref="F1783:F1784" si="983">D1783-E1783</f>
        <v>36</v>
      </c>
      <c r="G1783" s="39">
        <v>1.0</v>
      </c>
      <c r="H1783" s="42">
        <f t="shared" si="982"/>
        <v>23.99</v>
      </c>
    </row>
    <row r="1784">
      <c r="A1784" s="39" t="s">
        <v>883</v>
      </c>
      <c r="B1784" s="1"/>
      <c r="C1784" s="1"/>
      <c r="D1784" s="71">
        <v>39.99</v>
      </c>
      <c r="E1784" s="71">
        <v>39.99</v>
      </c>
      <c r="F1784" s="71">
        <f t="shared" si="983"/>
        <v>0</v>
      </c>
      <c r="G1784" s="39">
        <v>1.0</v>
      </c>
      <c r="H1784" s="71">
        <f t="shared" si="982"/>
        <v>39.99</v>
      </c>
    </row>
    <row r="1785">
      <c r="A1785" s="39"/>
      <c r="B1785" s="1"/>
      <c r="C1785" s="1"/>
      <c r="D1785" s="42"/>
      <c r="E1785" s="42"/>
      <c r="F1785" s="71"/>
      <c r="G1785" s="39"/>
      <c r="H1785" s="71"/>
    </row>
    <row r="1786">
      <c r="A1786" s="53" t="s">
        <v>257</v>
      </c>
      <c r="B1786" s="53" t="s">
        <v>255</v>
      </c>
      <c r="C1786" s="75">
        <f>COUNTA(A1787)</f>
        <v>1</v>
      </c>
      <c r="D1786" s="76">
        <f t="shared" ref="D1786:G1786" si="984">SUM(D1787)</f>
        <v>139.98</v>
      </c>
      <c r="E1786" s="76">
        <f t="shared" si="984"/>
        <v>84.98</v>
      </c>
      <c r="F1786" s="76">
        <f t="shared" si="984"/>
        <v>55</v>
      </c>
      <c r="G1786" s="53">
        <f t="shared" si="984"/>
        <v>2</v>
      </c>
      <c r="H1786" s="76">
        <f t="shared" ref="H1786:H1787" si="985">E1786/G1786</f>
        <v>42.49</v>
      </c>
    </row>
    <row r="1787">
      <c r="A1787" s="79" t="s">
        <v>990</v>
      </c>
      <c r="B1787" s="1"/>
      <c r="C1787" s="1"/>
      <c r="D1787" s="52">
        <v>139.98</v>
      </c>
      <c r="E1787" s="52">
        <v>84.98</v>
      </c>
      <c r="F1787" s="52">
        <f>D1787-E1787</f>
        <v>55</v>
      </c>
      <c r="G1787" s="49">
        <v>2.0</v>
      </c>
      <c r="H1787" s="52">
        <f t="shared" si="985"/>
        <v>42.49</v>
      </c>
    </row>
    <row r="1788">
      <c r="A1788" s="179"/>
      <c r="B1788" s="477"/>
      <c r="C1788" s="477"/>
      <c r="D1788" s="478"/>
      <c r="E1788" s="478"/>
      <c r="F1788" s="478"/>
      <c r="G1788" s="179"/>
      <c r="H1788" s="181"/>
    </row>
    <row r="1789">
      <c r="A1789" s="43" t="s">
        <v>524</v>
      </c>
      <c r="B1789" s="69" t="s">
        <v>29</v>
      </c>
      <c r="C1789" s="44">
        <f>COUNTA(A1790)</f>
        <v>1</v>
      </c>
      <c r="D1789" s="47">
        <f t="shared" ref="D1789:G1789" si="986">SUM(D1790)</f>
        <v>0</v>
      </c>
      <c r="E1789" s="47">
        <f t="shared" si="986"/>
        <v>0</v>
      </c>
      <c r="F1789" s="47">
        <f t="shared" si="986"/>
        <v>0</v>
      </c>
      <c r="G1789" s="43">
        <f t="shared" si="986"/>
        <v>1</v>
      </c>
      <c r="H1789" s="47">
        <f t="shared" ref="H1789:H1790" si="987">E1789/G1789</f>
        <v>0</v>
      </c>
    </row>
    <row r="1790">
      <c r="A1790" s="39" t="s">
        <v>1620</v>
      </c>
      <c r="B1790" s="1"/>
      <c r="C1790" s="1"/>
      <c r="D1790" s="71">
        <v>0.0</v>
      </c>
      <c r="E1790" s="71">
        <v>0.0</v>
      </c>
      <c r="F1790" s="71">
        <f>D1790-E1790</f>
        <v>0</v>
      </c>
      <c r="G1790" s="39">
        <v>1.0</v>
      </c>
      <c r="H1790" s="71">
        <f t="shared" si="987"/>
        <v>0</v>
      </c>
    </row>
    <row r="1791">
      <c r="A1791" s="72"/>
      <c r="B1791" s="1"/>
      <c r="C1791" s="1"/>
      <c r="D1791" s="71"/>
      <c r="E1791" s="71"/>
      <c r="F1791" s="71"/>
      <c r="G1791" s="39"/>
      <c r="H1791" s="71"/>
    </row>
    <row r="1792">
      <c r="A1792" s="43" t="s">
        <v>528</v>
      </c>
      <c r="B1792" s="69" t="s">
        <v>29</v>
      </c>
      <c r="C1792" s="44">
        <f>COUNTA(A1793)</f>
        <v>1</v>
      </c>
      <c r="D1792" s="47">
        <f t="shared" ref="D1792:G1792" si="988">SUM(D1793)</f>
        <v>0</v>
      </c>
      <c r="E1792" s="47">
        <f t="shared" si="988"/>
        <v>0</v>
      </c>
      <c r="F1792" s="47">
        <f t="shared" si="988"/>
        <v>0</v>
      </c>
      <c r="G1792" s="43">
        <f t="shared" si="988"/>
        <v>1</v>
      </c>
      <c r="H1792" s="47">
        <f t="shared" ref="H1792:H1793" si="989">E1792/G1792</f>
        <v>0</v>
      </c>
    </row>
    <row r="1793">
      <c r="A1793" s="39" t="s">
        <v>1668</v>
      </c>
      <c r="B1793" s="1"/>
      <c r="C1793" s="1"/>
      <c r="D1793" s="71">
        <v>0.0</v>
      </c>
      <c r="E1793" s="71">
        <v>0.0</v>
      </c>
      <c r="F1793" s="71">
        <f>D1793-E1793</f>
        <v>0</v>
      </c>
      <c r="G1793" s="39">
        <v>1.0</v>
      </c>
      <c r="H1793" s="71">
        <f t="shared" si="989"/>
        <v>0</v>
      </c>
    </row>
    <row r="1794">
      <c r="A1794" s="72"/>
      <c r="B1794" s="1"/>
      <c r="C1794" s="1"/>
      <c r="D1794" s="71"/>
      <c r="E1794" s="71"/>
      <c r="F1794" s="71"/>
      <c r="G1794" s="39"/>
      <c r="H1794" s="71"/>
    </row>
    <row r="1795">
      <c r="A1795" s="43" t="s">
        <v>251</v>
      </c>
      <c r="B1795" s="43" t="s">
        <v>25</v>
      </c>
      <c r="C1795" s="44">
        <f>COUNTA(A1796)</f>
        <v>1</v>
      </c>
      <c r="D1795" s="47">
        <f t="shared" ref="D1795:G1795" si="990">SUM(D1796)</f>
        <v>0</v>
      </c>
      <c r="E1795" s="47">
        <f t="shared" si="990"/>
        <v>0</v>
      </c>
      <c r="F1795" s="47">
        <f t="shared" si="990"/>
        <v>0</v>
      </c>
      <c r="G1795" s="43">
        <f t="shared" si="990"/>
        <v>1</v>
      </c>
      <c r="H1795" s="47">
        <f t="shared" ref="H1795:H1796" si="991">E1795/G1795</f>
        <v>0</v>
      </c>
    </row>
    <row r="1796">
      <c r="A1796" s="39" t="s">
        <v>1796</v>
      </c>
      <c r="B1796" s="1"/>
      <c r="C1796" s="1"/>
      <c r="D1796" s="71">
        <v>0.0</v>
      </c>
      <c r="E1796" s="71">
        <v>0.0</v>
      </c>
      <c r="F1796" s="71">
        <f>D1796-E1796</f>
        <v>0</v>
      </c>
      <c r="G1796" s="39">
        <v>1.0</v>
      </c>
      <c r="H1796" s="71">
        <f t="shared" si="991"/>
        <v>0</v>
      </c>
    </row>
    <row r="1797">
      <c r="A1797" s="72"/>
      <c r="B1797" s="1"/>
      <c r="C1797" s="1"/>
      <c r="D1797" s="71"/>
      <c r="E1797" s="71"/>
      <c r="F1797" s="71"/>
      <c r="G1797" s="39"/>
      <c r="H1797" s="71"/>
    </row>
    <row r="1798">
      <c r="A1798" s="43" t="s">
        <v>399</v>
      </c>
      <c r="B1798" s="43" t="s">
        <v>400</v>
      </c>
      <c r="C1798" s="44">
        <f>COUNTA(A1799)</f>
        <v>1</v>
      </c>
      <c r="D1798" s="47">
        <f t="shared" ref="D1798:G1798" si="992">SUM(D1799)</f>
        <v>0</v>
      </c>
      <c r="E1798" s="47">
        <f t="shared" si="992"/>
        <v>0</v>
      </c>
      <c r="F1798" s="47">
        <f t="shared" si="992"/>
        <v>0</v>
      </c>
      <c r="G1798" s="43">
        <f t="shared" si="992"/>
        <v>1</v>
      </c>
      <c r="H1798" s="47">
        <f t="shared" ref="H1798:H1799" si="993">E1798/G1798</f>
        <v>0</v>
      </c>
    </row>
    <row r="1799">
      <c r="A1799" s="72" t="s">
        <v>1336</v>
      </c>
      <c r="B1799" s="1"/>
      <c r="C1799" s="1"/>
      <c r="D1799" s="71">
        <v>0.0</v>
      </c>
      <c r="E1799" s="71">
        <v>0.0</v>
      </c>
      <c r="F1799" s="71">
        <f>D1799-E1799</f>
        <v>0</v>
      </c>
      <c r="G1799" s="39">
        <v>1.0</v>
      </c>
      <c r="H1799" s="71">
        <f t="shared" si="993"/>
        <v>0</v>
      </c>
    </row>
    <row r="1800">
      <c r="A1800" s="72"/>
      <c r="B1800" s="1"/>
      <c r="C1800" s="1"/>
      <c r="D1800" s="71"/>
      <c r="E1800" s="71"/>
      <c r="F1800" s="71"/>
      <c r="G1800" s="39"/>
      <c r="H1800" s="71"/>
    </row>
    <row r="1801">
      <c r="A1801" s="233" t="s">
        <v>434</v>
      </c>
      <c r="B1801" s="233" t="s">
        <v>430</v>
      </c>
      <c r="C1801" s="236">
        <f>COUNTA(A1802)</f>
        <v>1</v>
      </c>
      <c r="D1801" s="235">
        <f t="shared" ref="D1801:G1801" si="994">SUM(D1802)</f>
        <v>0</v>
      </c>
      <c r="E1801" s="235">
        <f t="shared" si="994"/>
        <v>0</v>
      </c>
      <c r="F1801" s="235">
        <f t="shared" si="994"/>
        <v>0</v>
      </c>
      <c r="G1801" s="233">
        <f t="shared" si="994"/>
        <v>1</v>
      </c>
      <c r="H1801" s="235">
        <f t="shared" ref="H1801:H1802" si="995">E1801/G1801</f>
        <v>0</v>
      </c>
    </row>
    <row r="1802">
      <c r="A1802" s="239" t="s">
        <v>1372</v>
      </c>
      <c r="B1802" s="81"/>
      <c r="C1802" s="81"/>
      <c r="D1802" s="242">
        <v>0.0</v>
      </c>
      <c r="E1802" s="242">
        <v>0.0</v>
      </c>
      <c r="F1802" s="242">
        <f>D1802-E1802</f>
        <v>0</v>
      </c>
      <c r="G1802" s="238">
        <v>1.0</v>
      </c>
      <c r="H1802" s="242">
        <f t="shared" si="995"/>
        <v>0</v>
      </c>
    </row>
    <row r="1803">
      <c r="A1803" s="72"/>
      <c r="B1803" s="1"/>
      <c r="C1803" s="1"/>
      <c r="D1803" s="71"/>
      <c r="E1803" s="71"/>
      <c r="F1803" s="71"/>
      <c r="G1803" s="39"/>
      <c r="H1803" s="71"/>
    </row>
    <row r="1804">
      <c r="A1804" s="213" t="s">
        <v>142</v>
      </c>
      <c r="B1804" s="213" t="s">
        <v>141</v>
      </c>
      <c r="C1804" s="485">
        <f>COUNTA(A1805)</f>
        <v>1</v>
      </c>
      <c r="D1804" s="215">
        <f t="shared" ref="D1804:G1804" si="996">SUM(D1805)</f>
        <v>0</v>
      </c>
      <c r="E1804" s="215">
        <f t="shared" si="996"/>
        <v>0</v>
      </c>
      <c r="F1804" s="215">
        <f t="shared" si="996"/>
        <v>0</v>
      </c>
      <c r="G1804" s="213">
        <f t="shared" si="996"/>
        <v>1</v>
      </c>
      <c r="H1804" s="215">
        <f t="shared" ref="H1804:H1805" si="997">E1804/G1804</f>
        <v>0</v>
      </c>
    </row>
    <row r="1805">
      <c r="A1805" s="218" t="s">
        <v>774</v>
      </c>
      <c r="B1805" s="1"/>
      <c r="C1805" s="1"/>
      <c r="D1805" s="220">
        <v>0.0</v>
      </c>
      <c r="E1805" s="220">
        <v>0.0</v>
      </c>
      <c r="F1805" s="220">
        <f>D1805-E1805</f>
        <v>0</v>
      </c>
      <c r="G1805" s="217">
        <v>1.0</v>
      </c>
      <c r="H1805" s="220">
        <f t="shared" si="997"/>
        <v>0</v>
      </c>
    </row>
    <row r="1806">
      <c r="A1806" s="179"/>
      <c r="B1806" s="477"/>
      <c r="C1806" s="477"/>
      <c r="D1806" s="478"/>
      <c r="E1806" s="478"/>
      <c r="F1806" s="478"/>
      <c r="G1806" s="179"/>
      <c r="H1806" s="181"/>
    </row>
    <row r="1807">
      <c r="A1807" s="43" t="s">
        <v>604</v>
      </c>
      <c r="B1807" s="43" t="s">
        <v>29</v>
      </c>
      <c r="C1807" s="44">
        <f>COUNTA(A1808)</f>
        <v>1</v>
      </c>
      <c r="D1807" s="47">
        <f t="shared" ref="D1807:G1807" si="998">SUM(D1808)</f>
        <v>69.99</v>
      </c>
      <c r="E1807" s="47">
        <f t="shared" si="998"/>
        <v>0</v>
      </c>
      <c r="F1807" s="47">
        <f t="shared" si="998"/>
        <v>69.99</v>
      </c>
      <c r="G1807" s="43">
        <f t="shared" si="998"/>
        <v>1</v>
      </c>
      <c r="H1807" s="47">
        <f t="shared" ref="H1807:H1808" si="999">E1807/G1807</f>
        <v>0</v>
      </c>
    </row>
    <row r="1808">
      <c r="A1808" s="39" t="s">
        <v>1694</v>
      </c>
      <c r="B1808" s="1"/>
      <c r="C1808" s="1"/>
      <c r="D1808" s="71">
        <v>69.99</v>
      </c>
      <c r="E1808" s="71">
        <v>0.0</v>
      </c>
      <c r="F1808" s="71">
        <f>D1808-E1808</f>
        <v>69.99</v>
      </c>
      <c r="G1808" s="39">
        <v>1.0</v>
      </c>
      <c r="H1808" s="71">
        <f t="shared" si="999"/>
        <v>0</v>
      </c>
    </row>
    <row r="1809">
      <c r="A1809" s="179"/>
      <c r="B1809" s="477"/>
      <c r="C1809" s="477"/>
      <c r="D1809" s="478"/>
      <c r="E1809" s="478"/>
      <c r="F1809" s="478"/>
      <c r="G1809" s="179"/>
      <c r="H1809" s="181"/>
    </row>
    <row r="1810">
      <c r="A1810" s="43" t="s">
        <v>354</v>
      </c>
      <c r="B1810" s="43" t="s">
        <v>325</v>
      </c>
      <c r="C1810" s="44">
        <f>COUNTA(A1811)</f>
        <v>1</v>
      </c>
      <c r="D1810" s="47">
        <f t="shared" ref="D1810:G1810" si="1000">SUM(D1811)</f>
        <v>59.99</v>
      </c>
      <c r="E1810" s="47">
        <f t="shared" si="1000"/>
        <v>0</v>
      </c>
      <c r="F1810" s="47">
        <f t="shared" si="1000"/>
        <v>59.99</v>
      </c>
      <c r="G1810" s="43">
        <f t="shared" si="1000"/>
        <v>1</v>
      </c>
      <c r="H1810" s="47">
        <f t="shared" ref="H1810:H1811" si="1001">E1810/G1810</f>
        <v>0</v>
      </c>
    </row>
    <row r="1811">
      <c r="A1811" s="39" t="s">
        <v>1271</v>
      </c>
      <c r="B1811" s="1"/>
      <c r="C1811" s="1"/>
      <c r="D1811" s="71">
        <v>59.99</v>
      </c>
      <c r="E1811" s="71">
        <v>0.0</v>
      </c>
      <c r="F1811" s="71">
        <f>D1811-E1811</f>
        <v>59.99</v>
      </c>
      <c r="G1811" s="39">
        <v>1.0</v>
      </c>
      <c r="H1811" s="71">
        <f t="shared" si="1001"/>
        <v>0</v>
      </c>
    </row>
    <row r="1812">
      <c r="A1812" s="179"/>
      <c r="B1812" s="477"/>
      <c r="C1812" s="477"/>
      <c r="D1812" s="478"/>
      <c r="E1812" s="478"/>
      <c r="F1812" s="478"/>
      <c r="G1812" s="179"/>
      <c r="H1812" s="181"/>
    </row>
    <row r="1813">
      <c r="A1813" s="43" t="s">
        <v>114</v>
      </c>
      <c r="B1813" s="43" t="s">
        <v>92</v>
      </c>
      <c r="C1813" s="44">
        <f>COUNTA(A1814)</f>
        <v>1</v>
      </c>
      <c r="D1813" s="47">
        <f t="shared" ref="D1813:G1813" si="1002">SUM(D1814)</f>
        <v>59.99</v>
      </c>
      <c r="E1813" s="47">
        <f t="shared" si="1002"/>
        <v>0</v>
      </c>
      <c r="F1813" s="47">
        <f t="shared" si="1002"/>
        <v>59.99</v>
      </c>
      <c r="G1813" s="43">
        <f t="shared" si="1002"/>
        <v>1</v>
      </c>
      <c r="H1813" s="47">
        <f t="shared" ref="H1813:H1814" si="1003">E1813/G1813</f>
        <v>0</v>
      </c>
    </row>
    <row r="1814">
      <c r="A1814" s="39" t="s">
        <v>746</v>
      </c>
      <c r="B1814" s="37"/>
      <c r="C1814" s="37"/>
      <c r="D1814" s="71">
        <v>59.99</v>
      </c>
      <c r="E1814" s="71">
        <v>0.0</v>
      </c>
      <c r="F1814" s="71">
        <f>D1814-E1814</f>
        <v>59.99</v>
      </c>
      <c r="G1814" s="39">
        <v>1.0</v>
      </c>
      <c r="H1814" s="71">
        <f t="shared" si="1003"/>
        <v>0</v>
      </c>
    </row>
    <row r="1815">
      <c r="A1815" s="179"/>
      <c r="B1815" s="477"/>
      <c r="C1815" s="477"/>
      <c r="D1815" s="478"/>
      <c r="E1815" s="478"/>
      <c r="F1815" s="478"/>
      <c r="G1815" s="179"/>
      <c r="H1815" s="181"/>
    </row>
    <row r="1816">
      <c r="A1816" s="53" t="s">
        <v>286</v>
      </c>
      <c r="B1816" s="53" t="s">
        <v>265</v>
      </c>
      <c r="C1816" s="75">
        <f>COUNTA(A1817)</f>
        <v>1</v>
      </c>
      <c r="D1816" s="54">
        <f t="shared" ref="D1816:G1816" si="1004">SUM(D1817)</f>
        <v>59.99</v>
      </c>
      <c r="E1816" s="54">
        <f t="shared" si="1004"/>
        <v>0</v>
      </c>
      <c r="F1816" s="54">
        <f t="shared" si="1004"/>
        <v>59.99</v>
      </c>
      <c r="G1816" s="53">
        <f t="shared" si="1004"/>
        <v>1</v>
      </c>
      <c r="H1816" s="54">
        <f t="shared" ref="H1816:H1817" si="1005">E1816/G1816</f>
        <v>0</v>
      </c>
    </row>
    <row r="1817">
      <c r="A1817" s="79" t="s">
        <v>1030</v>
      </c>
      <c r="B1817" s="527"/>
      <c r="C1817" s="527"/>
      <c r="D1817" s="166">
        <v>59.99</v>
      </c>
      <c r="E1817" s="166">
        <v>0.0</v>
      </c>
      <c r="F1817" s="166">
        <f>D1817-E1817</f>
        <v>59.99</v>
      </c>
      <c r="G1817" s="79">
        <v>1.0</v>
      </c>
      <c r="H1817" s="52">
        <f t="shared" si="1005"/>
        <v>0</v>
      </c>
    </row>
    <row r="1818">
      <c r="A1818" s="179"/>
      <c r="B1818" s="477"/>
      <c r="C1818" s="477"/>
      <c r="D1818" s="478"/>
      <c r="E1818" s="478"/>
      <c r="F1818" s="478"/>
      <c r="G1818" s="179"/>
      <c r="H1818" s="181"/>
    </row>
    <row r="1819">
      <c r="A1819" s="43" t="s">
        <v>501</v>
      </c>
      <c r="B1819" s="43" t="s">
        <v>29</v>
      </c>
      <c r="C1819" s="44">
        <f>COUNTA(A1820)</f>
        <v>1</v>
      </c>
      <c r="D1819" s="47">
        <f t="shared" ref="D1819:G1819" si="1006">SUM(D1820)</f>
        <v>59.98</v>
      </c>
      <c r="E1819" s="47">
        <f t="shared" si="1006"/>
        <v>0</v>
      </c>
      <c r="F1819" s="47">
        <f t="shared" si="1006"/>
        <v>59.98</v>
      </c>
      <c r="G1819" s="43">
        <f t="shared" si="1006"/>
        <v>1</v>
      </c>
      <c r="H1819" s="47">
        <f t="shared" ref="H1819:H1820" si="1007">E1819/G1819</f>
        <v>0</v>
      </c>
    </row>
    <row r="1820">
      <c r="A1820" s="39" t="s">
        <v>1624</v>
      </c>
      <c r="B1820" s="1"/>
      <c r="C1820" s="1"/>
      <c r="D1820" s="71">
        <v>59.98</v>
      </c>
      <c r="E1820" s="71">
        <v>0.0</v>
      </c>
      <c r="F1820" s="71">
        <f>D1820-E1820</f>
        <v>59.98</v>
      </c>
      <c r="G1820" s="39">
        <v>1.0</v>
      </c>
      <c r="H1820" s="71">
        <f t="shared" si="1007"/>
        <v>0</v>
      </c>
    </row>
    <row r="1821">
      <c r="A1821" s="179"/>
      <c r="B1821" s="477"/>
      <c r="C1821" s="477"/>
      <c r="D1821" s="478"/>
      <c r="E1821" s="478"/>
      <c r="F1821" s="478"/>
      <c r="G1821" s="179"/>
      <c r="H1821" s="181"/>
    </row>
    <row r="1822">
      <c r="A1822" s="104" t="s">
        <v>60</v>
      </c>
      <c r="B1822" s="104" t="s">
        <v>57</v>
      </c>
      <c r="C1822" s="243">
        <f>COUNTA(A1823)</f>
        <v>1</v>
      </c>
      <c r="D1822" s="106">
        <f t="shared" ref="D1822:G1822" si="1008">SUM(D1823)</f>
        <v>49.99</v>
      </c>
      <c r="E1822" s="106">
        <f t="shared" si="1008"/>
        <v>0</v>
      </c>
      <c r="F1822" s="106">
        <f t="shared" si="1008"/>
        <v>49.99</v>
      </c>
      <c r="G1822" s="104">
        <f t="shared" si="1008"/>
        <v>1</v>
      </c>
      <c r="H1822" s="106">
        <f t="shared" ref="H1822:H1823" si="1009">E1822/G1822</f>
        <v>0</v>
      </c>
    </row>
    <row r="1823">
      <c r="A1823" s="109" t="s">
        <v>662</v>
      </c>
      <c r="B1823" s="474"/>
      <c r="C1823" s="474"/>
      <c r="D1823" s="111">
        <v>49.99</v>
      </c>
      <c r="E1823" s="111">
        <v>0.0</v>
      </c>
      <c r="F1823" s="111">
        <f>D1823-E1823</f>
        <v>49.99</v>
      </c>
      <c r="G1823" s="108">
        <v>1.0</v>
      </c>
      <c r="H1823" s="111">
        <f t="shared" si="1009"/>
        <v>0</v>
      </c>
    </row>
    <row r="1824">
      <c r="A1824" s="179"/>
      <c r="B1824" s="477"/>
      <c r="C1824" s="477"/>
      <c r="D1824" s="478"/>
      <c r="E1824" s="478"/>
      <c r="F1824" s="478"/>
      <c r="G1824" s="179"/>
      <c r="H1824" s="181"/>
    </row>
    <row r="1825">
      <c r="A1825" s="43" t="s">
        <v>499</v>
      </c>
      <c r="B1825" s="43" t="s">
        <v>29</v>
      </c>
      <c r="C1825" s="44">
        <f>COUNTA(A1826)</f>
        <v>1</v>
      </c>
      <c r="D1825" s="47">
        <f t="shared" ref="D1825:G1825" si="1010">SUM(D1826)</f>
        <v>39.99</v>
      </c>
      <c r="E1825" s="47">
        <f t="shared" si="1010"/>
        <v>0</v>
      </c>
      <c r="F1825" s="47">
        <f t="shared" si="1010"/>
        <v>39.99</v>
      </c>
      <c r="G1825" s="43">
        <f t="shared" si="1010"/>
        <v>1</v>
      </c>
      <c r="H1825" s="47">
        <f t="shared" ref="H1825:H1826" si="1011">E1825/G1825</f>
        <v>0</v>
      </c>
    </row>
    <row r="1826">
      <c r="A1826" s="39" t="s">
        <v>1529</v>
      </c>
      <c r="B1826" s="1"/>
      <c r="C1826" s="1"/>
      <c r="D1826" s="71">
        <v>39.99</v>
      </c>
      <c r="E1826" s="71">
        <v>0.0</v>
      </c>
      <c r="F1826" s="71">
        <f>D1826-E1826</f>
        <v>39.99</v>
      </c>
      <c r="G1826" s="39">
        <v>1.0</v>
      </c>
      <c r="H1826" s="71">
        <f t="shared" si="1011"/>
        <v>0</v>
      </c>
    </row>
    <row r="1827">
      <c r="A1827" s="179"/>
      <c r="B1827" s="477"/>
      <c r="C1827" s="477"/>
      <c r="D1827" s="478"/>
      <c r="E1827" s="478"/>
      <c r="F1827" s="478"/>
      <c r="G1827" s="179"/>
      <c r="H1827" s="181"/>
    </row>
    <row r="1828">
      <c r="A1828" s="43" t="s">
        <v>599</v>
      </c>
      <c r="B1828" s="43" t="s">
        <v>29</v>
      </c>
      <c r="C1828" s="44">
        <f>COUNTA(A1829)</f>
        <v>1</v>
      </c>
      <c r="D1828" s="47">
        <f t="shared" ref="D1828:G1828" si="1012">SUM(D1829)</f>
        <v>39.99</v>
      </c>
      <c r="E1828" s="47">
        <f t="shared" si="1012"/>
        <v>0</v>
      </c>
      <c r="F1828" s="47">
        <f t="shared" si="1012"/>
        <v>39.99</v>
      </c>
      <c r="G1828" s="43">
        <f t="shared" si="1012"/>
        <v>1</v>
      </c>
      <c r="H1828" s="47">
        <f t="shared" ref="H1828:H1829" si="1013">E1828/G1828</f>
        <v>0</v>
      </c>
    </row>
    <row r="1829">
      <c r="A1829" s="39" t="s">
        <v>1730</v>
      </c>
      <c r="B1829" s="1"/>
      <c r="C1829" s="1"/>
      <c r="D1829" s="71">
        <v>39.99</v>
      </c>
      <c r="E1829" s="71">
        <v>0.0</v>
      </c>
      <c r="F1829" s="71">
        <f>D1829-E1829</f>
        <v>39.99</v>
      </c>
      <c r="G1829" s="39">
        <v>1.0</v>
      </c>
      <c r="H1829" s="71">
        <f t="shared" si="1013"/>
        <v>0</v>
      </c>
    </row>
    <row r="1830">
      <c r="A1830" s="179"/>
      <c r="B1830" s="477"/>
      <c r="C1830" s="477"/>
      <c r="D1830" s="478"/>
      <c r="E1830" s="478"/>
      <c r="F1830" s="478"/>
      <c r="G1830" s="179"/>
      <c r="H1830" s="181"/>
    </row>
    <row r="1831">
      <c r="A1831" s="53" t="s">
        <v>285</v>
      </c>
      <c r="B1831" s="53" t="s">
        <v>265</v>
      </c>
      <c r="C1831" s="75">
        <f>COUNTA(A1832)</f>
        <v>1</v>
      </c>
      <c r="D1831" s="76">
        <f t="shared" ref="D1831:G1831" si="1014">SUM(D1832)</f>
        <v>39.99</v>
      </c>
      <c r="E1831" s="76">
        <f t="shared" si="1014"/>
        <v>0</v>
      </c>
      <c r="F1831" s="76">
        <f t="shared" si="1014"/>
        <v>39.99</v>
      </c>
      <c r="G1831" s="53">
        <f t="shared" si="1014"/>
        <v>1</v>
      </c>
      <c r="H1831" s="76">
        <f t="shared" ref="H1831:H1832" si="1015">E1831/G1831</f>
        <v>0</v>
      </c>
    </row>
    <row r="1832">
      <c r="A1832" s="79" t="s">
        <v>1026</v>
      </c>
      <c r="B1832" s="527"/>
      <c r="C1832" s="527"/>
      <c r="D1832" s="52">
        <v>39.99</v>
      </c>
      <c r="E1832" s="52">
        <v>0.0</v>
      </c>
      <c r="F1832" s="52">
        <f>D1832-E1832</f>
        <v>39.99</v>
      </c>
      <c r="G1832" s="79">
        <v>1.0</v>
      </c>
      <c r="H1832" s="52">
        <f t="shared" si="1015"/>
        <v>0</v>
      </c>
    </row>
    <row r="1833">
      <c r="A1833" s="179"/>
      <c r="B1833" s="477"/>
      <c r="C1833" s="477"/>
      <c r="D1833" s="478"/>
      <c r="E1833" s="478"/>
      <c r="F1833" s="478"/>
      <c r="G1833" s="179"/>
      <c r="H1833" s="181"/>
    </row>
    <row r="1834">
      <c r="A1834" s="53" t="s">
        <v>289</v>
      </c>
      <c r="B1834" s="53" t="s">
        <v>265</v>
      </c>
      <c r="C1834" s="75">
        <f>COUNTA(A1835)</f>
        <v>1</v>
      </c>
      <c r="D1834" s="76">
        <f t="shared" ref="D1834:G1834" si="1016">SUM(D1835)</f>
        <v>39.99</v>
      </c>
      <c r="E1834" s="76">
        <f t="shared" si="1016"/>
        <v>0</v>
      </c>
      <c r="F1834" s="76">
        <f t="shared" si="1016"/>
        <v>39.99</v>
      </c>
      <c r="G1834" s="53">
        <f t="shared" si="1016"/>
        <v>1</v>
      </c>
      <c r="H1834" s="76">
        <f t="shared" ref="H1834:H1835" si="1017">E1834/G1834</f>
        <v>0</v>
      </c>
    </row>
    <row r="1835">
      <c r="A1835" s="79" t="s">
        <v>1027</v>
      </c>
      <c r="B1835" s="1"/>
      <c r="C1835" s="1"/>
      <c r="D1835" s="52">
        <v>39.99</v>
      </c>
      <c r="E1835" s="52">
        <v>0.0</v>
      </c>
      <c r="F1835" s="52">
        <f>D1835-E1835</f>
        <v>39.99</v>
      </c>
      <c r="G1835" s="79">
        <v>1.0</v>
      </c>
      <c r="H1835" s="52">
        <f t="shared" si="1017"/>
        <v>0</v>
      </c>
    </row>
    <row r="1836">
      <c r="A1836" s="179"/>
      <c r="B1836" s="477"/>
      <c r="C1836" s="477"/>
      <c r="D1836" s="478"/>
      <c r="E1836" s="478"/>
      <c r="F1836" s="478"/>
      <c r="G1836" s="179"/>
      <c r="H1836" s="181"/>
    </row>
    <row r="1837">
      <c r="A1837" s="104" t="s">
        <v>61</v>
      </c>
      <c r="B1837" s="104" t="s">
        <v>57</v>
      </c>
      <c r="C1837" s="243">
        <f>COUNTA(A1838)</f>
        <v>1</v>
      </c>
      <c r="D1837" s="107">
        <f t="shared" ref="D1837:G1837" si="1018">SUM(D1838)</f>
        <v>39.99</v>
      </c>
      <c r="E1837" s="107">
        <f t="shared" si="1018"/>
        <v>0</v>
      </c>
      <c r="F1837" s="107">
        <f t="shared" si="1018"/>
        <v>39.99</v>
      </c>
      <c r="G1837" s="104">
        <f t="shared" si="1018"/>
        <v>1</v>
      </c>
      <c r="H1837" s="107">
        <f t="shared" ref="H1837:H1838" si="1019">E1837/G1837</f>
        <v>0</v>
      </c>
    </row>
    <row r="1838">
      <c r="A1838" s="109" t="s">
        <v>669</v>
      </c>
      <c r="B1838" s="475"/>
      <c r="C1838" s="475"/>
      <c r="D1838" s="489">
        <v>39.99</v>
      </c>
      <c r="E1838" s="489">
        <v>0.0</v>
      </c>
      <c r="F1838" s="489">
        <f>D1838-E1838</f>
        <v>39.99</v>
      </c>
      <c r="G1838" s="109">
        <v>1.0</v>
      </c>
      <c r="H1838" s="111">
        <f t="shared" si="1019"/>
        <v>0</v>
      </c>
    </row>
    <row r="1839">
      <c r="A1839" s="179"/>
      <c r="B1839" s="477"/>
      <c r="C1839" s="477"/>
      <c r="D1839" s="478"/>
      <c r="E1839" s="478"/>
      <c r="F1839" s="478"/>
      <c r="G1839" s="179"/>
      <c r="H1839" s="181"/>
    </row>
    <row r="1840">
      <c r="A1840" s="43" t="s">
        <v>353</v>
      </c>
      <c r="B1840" s="43" t="s">
        <v>325</v>
      </c>
      <c r="C1840" s="44">
        <f>COUNTA(A1841)</f>
        <v>1</v>
      </c>
      <c r="D1840" s="47">
        <f t="shared" ref="D1840:G1840" si="1020">SUM(D1841)</f>
        <v>39.99</v>
      </c>
      <c r="E1840" s="47">
        <f t="shared" si="1020"/>
        <v>0</v>
      </c>
      <c r="F1840" s="47">
        <f t="shared" si="1020"/>
        <v>39.99</v>
      </c>
      <c r="G1840" s="43">
        <f t="shared" si="1020"/>
        <v>1</v>
      </c>
      <c r="H1840" s="47">
        <f t="shared" ref="H1840:H1841" si="1021">E1840/G1840</f>
        <v>0</v>
      </c>
    </row>
    <row r="1841">
      <c r="A1841" s="39" t="s">
        <v>1281</v>
      </c>
      <c r="B1841" s="1"/>
      <c r="C1841" s="1"/>
      <c r="D1841" s="71">
        <v>39.99</v>
      </c>
      <c r="E1841" s="71">
        <v>0.0</v>
      </c>
      <c r="F1841" s="71">
        <f>D1841-E1841</f>
        <v>39.99</v>
      </c>
      <c r="G1841" s="72">
        <v>1.0</v>
      </c>
      <c r="H1841" s="71">
        <f t="shared" si="1021"/>
        <v>0</v>
      </c>
    </row>
    <row r="1842">
      <c r="A1842" s="179"/>
      <c r="B1842" s="477"/>
      <c r="C1842" s="477"/>
      <c r="D1842" s="478"/>
      <c r="E1842" s="478"/>
      <c r="F1842" s="478"/>
      <c r="G1842" s="179"/>
      <c r="H1842" s="181"/>
    </row>
    <row r="1843">
      <c r="A1843" s="43" t="s">
        <v>480</v>
      </c>
      <c r="B1843" s="43" t="s">
        <v>481</v>
      </c>
      <c r="C1843" s="44">
        <f>COUNTA(A1844)</f>
        <v>1</v>
      </c>
      <c r="D1843" s="47">
        <f t="shared" ref="D1843:G1843" si="1022">SUM(D1844)</f>
        <v>39.99</v>
      </c>
      <c r="E1843" s="47">
        <f t="shared" si="1022"/>
        <v>0</v>
      </c>
      <c r="F1843" s="47">
        <f t="shared" si="1022"/>
        <v>39.99</v>
      </c>
      <c r="G1843" s="43">
        <f t="shared" si="1022"/>
        <v>1</v>
      </c>
      <c r="H1843" s="47">
        <f t="shared" ref="H1843:H1844" si="1023">E1843/G1843</f>
        <v>0</v>
      </c>
    </row>
    <row r="1844">
      <c r="A1844" s="39" t="s">
        <v>1433</v>
      </c>
      <c r="B1844" s="1"/>
      <c r="C1844" s="1"/>
      <c r="D1844" s="71">
        <v>39.99</v>
      </c>
      <c r="E1844" s="71">
        <v>0.0</v>
      </c>
      <c r="F1844" s="71">
        <f>D1844-E1844</f>
        <v>39.99</v>
      </c>
      <c r="G1844" s="72">
        <v>1.0</v>
      </c>
      <c r="H1844" s="71">
        <f t="shared" si="1023"/>
        <v>0</v>
      </c>
    </row>
    <row r="1845">
      <c r="A1845" s="179"/>
      <c r="B1845" s="477"/>
      <c r="C1845" s="477"/>
      <c r="D1845" s="478"/>
      <c r="E1845" s="478"/>
      <c r="F1845" s="478"/>
      <c r="G1845" s="179"/>
      <c r="H1845" s="181"/>
    </row>
    <row r="1846">
      <c r="A1846" s="53" t="s">
        <v>26</v>
      </c>
      <c r="B1846" s="53" t="s">
        <v>27</v>
      </c>
      <c r="C1846" s="75">
        <f>COUNTA(A1847)</f>
        <v>1</v>
      </c>
      <c r="D1846" s="76">
        <f t="shared" ref="D1846:G1846" si="1024">SUM(D1847)</f>
        <v>39.99</v>
      </c>
      <c r="E1846" s="76">
        <f t="shared" si="1024"/>
        <v>0</v>
      </c>
      <c r="F1846" s="76">
        <f t="shared" si="1024"/>
        <v>39.99</v>
      </c>
      <c r="G1846" s="53">
        <f t="shared" si="1024"/>
        <v>1</v>
      </c>
      <c r="H1846" s="76">
        <f t="shared" ref="H1846:H1847" si="1025">E1846/G1846</f>
        <v>0</v>
      </c>
    </row>
    <row r="1847">
      <c r="A1847" s="50" t="s">
        <v>34</v>
      </c>
      <c r="B1847" s="1"/>
      <c r="C1847" s="1"/>
      <c r="D1847" s="78">
        <v>39.99</v>
      </c>
      <c r="E1847" s="52">
        <v>0.0</v>
      </c>
      <c r="F1847" s="52">
        <f>D1847-E1847</f>
        <v>39.99</v>
      </c>
      <c r="G1847" s="79">
        <v>1.0</v>
      </c>
      <c r="H1847" s="52">
        <f t="shared" si="1025"/>
        <v>0</v>
      </c>
    </row>
    <row r="1848">
      <c r="A1848" s="179"/>
      <c r="B1848" s="477"/>
      <c r="C1848" s="477"/>
      <c r="D1848" s="478"/>
      <c r="E1848" s="478"/>
      <c r="F1848" s="478"/>
      <c r="G1848" s="179"/>
      <c r="H1848" s="181"/>
    </row>
    <row r="1849">
      <c r="A1849" s="43" t="s">
        <v>504</v>
      </c>
      <c r="B1849" s="43" t="s">
        <v>29</v>
      </c>
      <c r="C1849" s="44">
        <f>COUNTA(A1850)</f>
        <v>1</v>
      </c>
      <c r="D1849" s="47">
        <f t="shared" ref="D1849:G1849" si="1026">SUM(D1850)</f>
        <v>29.99</v>
      </c>
      <c r="E1849" s="47">
        <f t="shared" si="1026"/>
        <v>0</v>
      </c>
      <c r="F1849" s="47">
        <f t="shared" si="1026"/>
        <v>29.99</v>
      </c>
      <c r="G1849" s="43">
        <f t="shared" si="1026"/>
        <v>1</v>
      </c>
      <c r="H1849" s="47">
        <f t="shared" ref="H1849:H1850" si="1027">E1849/G1849</f>
        <v>0</v>
      </c>
    </row>
    <row r="1850">
      <c r="A1850" s="72" t="s">
        <v>1797</v>
      </c>
      <c r="B1850" s="1"/>
      <c r="C1850" s="1"/>
      <c r="D1850" s="71">
        <v>29.99</v>
      </c>
      <c r="E1850" s="71">
        <v>0.0</v>
      </c>
      <c r="F1850" s="71">
        <f>D1850-E1850</f>
        <v>29.99</v>
      </c>
      <c r="G1850" s="39">
        <v>1.0</v>
      </c>
      <c r="H1850" s="71">
        <f t="shared" si="1027"/>
        <v>0</v>
      </c>
    </row>
    <row r="1851">
      <c r="A1851" s="179"/>
      <c r="B1851" s="477"/>
      <c r="C1851" s="477"/>
      <c r="D1851" s="478"/>
      <c r="E1851" s="478"/>
      <c r="F1851" s="478"/>
      <c r="G1851" s="179"/>
      <c r="H1851" s="181"/>
    </row>
    <row r="1852">
      <c r="A1852" s="43" t="s">
        <v>505</v>
      </c>
      <c r="B1852" s="43" t="s">
        <v>29</v>
      </c>
      <c r="C1852" s="44">
        <f>COUNTA(A1853)</f>
        <v>1</v>
      </c>
      <c r="D1852" s="47">
        <f t="shared" ref="D1852:G1852" si="1028">SUM(D1853)</f>
        <v>29.99</v>
      </c>
      <c r="E1852" s="47">
        <f t="shared" si="1028"/>
        <v>0</v>
      </c>
      <c r="F1852" s="47">
        <f t="shared" si="1028"/>
        <v>29.99</v>
      </c>
      <c r="G1852" s="43">
        <f t="shared" si="1028"/>
        <v>1</v>
      </c>
      <c r="H1852" s="47">
        <f t="shared" ref="H1852:H1853" si="1029">E1852/G1852</f>
        <v>0</v>
      </c>
    </row>
    <row r="1853">
      <c r="A1853" s="39" t="s">
        <v>1661</v>
      </c>
      <c r="B1853" s="1"/>
      <c r="C1853" s="1"/>
      <c r="D1853" s="71">
        <v>29.99</v>
      </c>
      <c r="E1853" s="71">
        <v>0.0</v>
      </c>
      <c r="F1853" s="71">
        <f>D1853-E1853</f>
        <v>29.99</v>
      </c>
      <c r="G1853" s="39">
        <v>1.0</v>
      </c>
      <c r="H1853" s="71">
        <f t="shared" si="1029"/>
        <v>0</v>
      </c>
    </row>
    <row r="1854">
      <c r="A1854" s="179"/>
      <c r="B1854" s="477"/>
      <c r="C1854" s="477"/>
      <c r="D1854" s="478"/>
      <c r="E1854" s="478"/>
      <c r="F1854" s="478"/>
      <c r="G1854" s="179"/>
      <c r="H1854" s="181"/>
    </row>
    <row r="1855">
      <c r="A1855" s="43" t="s">
        <v>605</v>
      </c>
      <c r="B1855" s="43" t="s">
        <v>29</v>
      </c>
      <c r="C1855" s="44">
        <f>COUNTA(A1856)</f>
        <v>1</v>
      </c>
      <c r="D1855" s="47">
        <f t="shared" ref="D1855:G1855" si="1030">SUM(D1856)</f>
        <v>29.99</v>
      </c>
      <c r="E1855" s="47">
        <f t="shared" si="1030"/>
        <v>0</v>
      </c>
      <c r="F1855" s="47">
        <f t="shared" si="1030"/>
        <v>29.99</v>
      </c>
      <c r="G1855" s="43">
        <f t="shared" si="1030"/>
        <v>1</v>
      </c>
      <c r="H1855" s="47">
        <f t="shared" ref="H1855:H1856" si="1031">E1855/G1855</f>
        <v>0</v>
      </c>
    </row>
    <row r="1856">
      <c r="A1856" s="72" t="s">
        <v>1623</v>
      </c>
      <c r="B1856" s="1"/>
      <c r="C1856" s="1"/>
      <c r="D1856" s="71">
        <v>29.99</v>
      </c>
      <c r="E1856" s="71">
        <v>0.0</v>
      </c>
      <c r="F1856" s="71">
        <f>D1856-E1856</f>
        <v>29.99</v>
      </c>
      <c r="G1856" s="39">
        <v>1.0</v>
      </c>
      <c r="H1856" s="71">
        <f t="shared" si="1031"/>
        <v>0</v>
      </c>
    </row>
    <row r="1857">
      <c r="A1857" s="72"/>
      <c r="B1857" s="1"/>
      <c r="C1857" s="1"/>
      <c r="D1857" s="71"/>
      <c r="E1857" s="71"/>
      <c r="F1857" s="71"/>
      <c r="G1857" s="39"/>
      <c r="H1857" s="71"/>
    </row>
    <row r="1858">
      <c r="A1858" s="43" t="s">
        <v>326</v>
      </c>
      <c r="B1858" s="43" t="s">
        <v>325</v>
      </c>
      <c r="C1858" s="44">
        <f>COUNTA(A1859)</f>
        <v>1</v>
      </c>
      <c r="D1858" s="47">
        <f t="shared" ref="D1858:G1858" si="1032">SUM(D1859)</f>
        <v>29.99</v>
      </c>
      <c r="E1858" s="47">
        <f t="shared" si="1032"/>
        <v>0</v>
      </c>
      <c r="F1858" s="47">
        <f t="shared" si="1032"/>
        <v>29.99</v>
      </c>
      <c r="G1858" s="43">
        <f t="shared" si="1032"/>
        <v>1</v>
      </c>
      <c r="H1858" s="47">
        <f t="shared" ref="H1858:H1859" si="1033">E1858/G1858</f>
        <v>0</v>
      </c>
    </row>
    <row r="1859">
      <c r="A1859" s="39" t="s">
        <v>1273</v>
      </c>
      <c r="B1859" s="1"/>
      <c r="C1859" s="1"/>
      <c r="D1859" s="71">
        <v>29.99</v>
      </c>
      <c r="E1859" s="71">
        <v>0.0</v>
      </c>
      <c r="F1859" s="71">
        <f>D1859-E1859</f>
        <v>29.99</v>
      </c>
      <c r="G1859" s="39">
        <v>1.0</v>
      </c>
      <c r="H1859" s="71">
        <f t="shared" si="1033"/>
        <v>0</v>
      </c>
    </row>
    <row r="1860">
      <c r="A1860" s="72"/>
      <c r="B1860" s="1"/>
      <c r="C1860" s="1"/>
      <c r="D1860" s="71"/>
      <c r="E1860" s="71"/>
      <c r="F1860" s="71"/>
      <c r="G1860" s="39"/>
      <c r="H1860" s="71"/>
    </row>
    <row r="1861">
      <c r="A1861" s="43" t="s">
        <v>189</v>
      </c>
      <c r="B1861" s="43" t="s">
        <v>25</v>
      </c>
      <c r="C1861" s="44">
        <f>COUNTA(A1862)</f>
        <v>1</v>
      </c>
      <c r="D1861" s="47">
        <f t="shared" ref="D1861:G1861" si="1034">SUM(D1862)</f>
        <v>29.99</v>
      </c>
      <c r="E1861" s="47">
        <f t="shared" si="1034"/>
        <v>0</v>
      </c>
      <c r="F1861" s="47">
        <f t="shared" si="1034"/>
        <v>29.99</v>
      </c>
      <c r="G1861" s="43">
        <f t="shared" si="1034"/>
        <v>1</v>
      </c>
      <c r="H1861" s="47">
        <f t="shared" ref="H1861:H1862" si="1035">E1861/G1861</f>
        <v>0</v>
      </c>
    </row>
    <row r="1862">
      <c r="A1862" s="39" t="s">
        <v>924</v>
      </c>
      <c r="B1862" s="1"/>
      <c r="C1862" s="1"/>
      <c r="D1862" s="71">
        <v>29.99</v>
      </c>
      <c r="E1862" s="71">
        <v>0.0</v>
      </c>
      <c r="F1862" s="71">
        <f>D1862-E1862</f>
        <v>29.99</v>
      </c>
      <c r="G1862" s="39">
        <v>1.0</v>
      </c>
      <c r="H1862" s="71">
        <f t="shared" si="1035"/>
        <v>0</v>
      </c>
    </row>
    <row r="1863">
      <c r="A1863" s="72"/>
      <c r="B1863" s="1"/>
      <c r="C1863" s="1"/>
      <c r="D1863" s="71"/>
      <c r="E1863" s="71"/>
      <c r="F1863" s="71"/>
      <c r="G1863" s="39"/>
      <c r="H1863" s="71"/>
    </row>
    <row r="1864">
      <c r="A1864" s="152" t="s">
        <v>477</v>
      </c>
      <c r="B1864" s="152" t="s">
        <v>455</v>
      </c>
      <c r="C1864" s="255">
        <f>COUNTA(A1865)</f>
        <v>1</v>
      </c>
      <c r="D1864" s="154">
        <f t="shared" ref="D1864:G1864" si="1036">SUM(D1865)</f>
        <v>29.99</v>
      </c>
      <c r="E1864" s="154">
        <f t="shared" si="1036"/>
        <v>0</v>
      </c>
      <c r="F1864" s="154">
        <f t="shared" si="1036"/>
        <v>29.99</v>
      </c>
      <c r="G1864" s="152">
        <f t="shared" si="1036"/>
        <v>1</v>
      </c>
      <c r="H1864" s="154">
        <f t="shared" ref="H1864:H1865" si="1037">E1864/G1864</f>
        <v>0</v>
      </c>
    </row>
    <row r="1865">
      <c r="A1865" s="156" t="s">
        <v>1415</v>
      </c>
      <c r="B1865" s="486"/>
      <c r="C1865" s="486"/>
      <c r="D1865" s="159">
        <v>29.99</v>
      </c>
      <c r="E1865" s="159">
        <v>0.0</v>
      </c>
      <c r="F1865" s="159">
        <f>D1865-E1865</f>
        <v>29.99</v>
      </c>
      <c r="G1865" s="156">
        <v>1.0</v>
      </c>
      <c r="H1865" s="159">
        <f t="shared" si="1037"/>
        <v>0</v>
      </c>
    </row>
    <row r="1866">
      <c r="A1866" s="72"/>
      <c r="B1866" s="1"/>
      <c r="C1866" s="1"/>
      <c r="D1866" s="71"/>
      <c r="E1866" s="71"/>
      <c r="F1866" s="71"/>
      <c r="G1866" s="39"/>
      <c r="H1866" s="71"/>
    </row>
    <row r="1867">
      <c r="A1867" s="246" t="s">
        <v>445</v>
      </c>
      <c r="B1867" s="246" t="s">
        <v>443</v>
      </c>
      <c r="C1867" s="493">
        <f>COUNTA(A1868)</f>
        <v>1</v>
      </c>
      <c r="D1867" s="248">
        <f t="shared" ref="D1867:G1867" si="1038">SUM(D1868)</f>
        <v>29.99</v>
      </c>
      <c r="E1867" s="248">
        <f t="shared" si="1038"/>
        <v>0</v>
      </c>
      <c r="F1867" s="248">
        <f t="shared" si="1038"/>
        <v>29.99</v>
      </c>
      <c r="G1867" s="246">
        <f t="shared" si="1038"/>
        <v>1</v>
      </c>
      <c r="H1867" s="248">
        <f t="shared" ref="H1867:H1868" si="1039">E1867/G1867</f>
        <v>0</v>
      </c>
    </row>
    <row r="1868">
      <c r="A1868" s="249" t="s">
        <v>1390</v>
      </c>
      <c r="B1868" s="526"/>
      <c r="C1868" s="526"/>
      <c r="D1868" s="253">
        <v>29.99</v>
      </c>
      <c r="E1868" s="253">
        <v>0.0</v>
      </c>
      <c r="F1868" s="253">
        <f>D1868-E1868</f>
        <v>29.99</v>
      </c>
      <c r="G1868" s="250">
        <v>1.0</v>
      </c>
      <c r="H1868" s="253">
        <f t="shared" si="1039"/>
        <v>0</v>
      </c>
    </row>
    <row r="1869">
      <c r="A1869" s="72"/>
      <c r="B1869" s="1"/>
      <c r="C1869" s="1"/>
      <c r="D1869" s="71"/>
      <c r="E1869" s="71"/>
      <c r="F1869" s="71"/>
      <c r="G1869" s="39"/>
      <c r="H1869" s="71"/>
    </row>
    <row r="1870">
      <c r="A1870" s="43" t="s">
        <v>162</v>
      </c>
      <c r="B1870" s="43" t="s">
        <v>159</v>
      </c>
      <c r="C1870" s="44">
        <f>COUNTA(A1871)</f>
        <v>1</v>
      </c>
      <c r="D1870" s="47">
        <f t="shared" ref="D1870:G1870" si="1040">SUM(D1871)</f>
        <v>29.99</v>
      </c>
      <c r="E1870" s="47">
        <f t="shared" si="1040"/>
        <v>0</v>
      </c>
      <c r="F1870" s="47">
        <f t="shared" si="1040"/>
        <v>29.99</v>
      </c>
      <c r="G1870" s="43">
        <f t="shared" si="1040"/>
        <v>1</v>
      </c>
      <c r="H1870" s="47">
        <f t="shared" ref="H1870:H1871" si="1041">E1870/G1870</f>
        <v>0</v>
      </c>
    </row>
    <row r="1871">
      <c r="A1871" s="39" t="s">
        <v>795</v>
      </c>
      <c r="B1871" s="1"/>
      <c r="C1871" s="1"/>
      <c r="D1871" s="71">
        <v>29.99</v>
      </c>
      <c r="E1871" s="71">
        <v>0.0</v>
      </c>
      <c r="F1871" s="71">
        <f>D1871-E1871</f>
        <v>29.99</v>
      </c>
      <c r="G1871" s="39">
        <v>1.0</v>
      </c>
      <c r="H1871" s="71">
        <f t="shared" si="1041"/>
        <v>0</v>
      </c>
    </row>
    <row r="1872">
      <c r="A1872" s="72"/>
      <c r="B1872" s="1"/>
      <c r="C1872" s="1"/>
      <c r="D1872" s="71"/>
      <c r="E1872" s="71"/>
      <c r="F1872" s="71"/>
      <c r="G1872" s="39"/>
      <c r="H1872" s="71"/>
    </row>
    <row r="1873">
      <c r="A1873" s="43" t="s">
        <v>28</v>
      </c>
      <c r="B1873" s="43" t="s">
        <v>29</v>
      </c>
      <c r="C1873" s="43">
        <v>1.0</v>
      </c>
      <c r="D1873" s="46">
        <f>SUM(D1874)</f>
        <v>24.99</v>
      </c>
      <c r="E1873" s="46">
        <f>SUM(E1874:E1876)</f>
        <v>0</v>
      </c>
      <c r="F1873" s="46">
        <f t="shared" ref="F1873:G1873" si="1042">SUM(F1874)</f>
        <v>24.99</v>
      </c>
      <c r="G1873" s="43">
        <f t="shared" si="1042"/>
        <v>1</v>
      </c>
      <c r="H1873" s="46">
        <f>E1873/G1873</f>
        <v>0</v>
      </c>
    </row>
    <row r="1874">
      <c r="A1874" s="39" t="s">
        <v>38</v>
      </c>
      <c r="B1874" s="1"/>
      <c r="C1874" s="1"/>
      <c r="D1874" s="42">
        <v>24.99</v>
      </c>
      <c r="E1874" s="42">
        <v>0.0</v>
      </c>
      <c r="F1874" s="42">
        <v>24.99</v>
      </c>
      <c r="G1874" s="48">
        <v>1.0</v>
      </c>
      <c r="H1874" s="42">
        <v>0.0</v>
      </c>
    </row>
    <row r="1875">
      <c r="A1875" s="72"/>
      <c r="B1875" s="1"/>
      <c r="C1875" s="1"/>
      <c r="D1875" s="71"/>
      <c r="E1875" s="71"/>
      <c r="F1875" s="71"/>
      <c r="G1875" s="39"/>
      <c r="H1875" s="71"/>
    </row>
    <row r="1876">
      <c r="A1876" s="43" t="s">
        <v>596</v>
      </c>
      <c r="B1876" s="43" t="s">
        <v>29</v>
      </c>
      <c r="C1876" s="44">
        <f>COUNTA(A1877)</f>
        <v>1</v>
      </c>
      <c r="D1876" s="46">
        <f t="shared" ref="D1876:G1876" si="1043">SUM(D1877)</f>
        <v>24.99</v>
      </c>
      <c r="E1876" s="46">
        <f t="shared" si="1043"/>
        <v>0</v>
      </c>
      <c r="F1876" s="47">
        <f t="shared" si="1043"/>
        <v>24.99</v>
      </c>
      <c r="G1876" s="43">
        <f t="shared" si="1043"/>
        <v>1</v>
      </c>
      <c r="H1876" s="46">
        <f t="shared" ref="H1876:H1877" si="1044">E1876/G1876</f>
        <v>0</v>
      </c>
    </row>
    <row r="1877">
      <c r="A1877" s="72" t="s">
        <v>1741</v>
      </c>
      <c r="B1877" s="1"/>
      <c r="C1877" s="1"/>
      <c r="D1877" s="42">
        <v>24.99</v>
      </c>
      <c r="E1877" s="42">
        <v>0.0</v>
      </c>
      <c r="F1877" s="71">
        <f>D1877-E1877</f>
        <v>24.99</v>
      </c>
      <c r="G1877" s="39">
        <v>1.0</v>
      </c>
      <c r="H1877" s="71">
        <f t="shared" si="1044"/>
        <v>0</v>
      </c>
    </row>
    <row r="1878">
      <c r="A1878" s="72"/>
      <c r="B1878" s="1"/>
      <c r="C1878" s="1"/>
      <c r="D1878" s="71"/>
      <c r="E1878" s="71"/>
      <c r="F1878" s="71"/>
      <c r="G1878" s="39"/>
      <c r="H1878" s="71"/>
    </row>
    <row r="1879">
      <c r="A1879" s="43" t="s">
        <v>636</v>
      </c>
      <c r="B1879" s="43" t="s">
        <v>29</v>
      </c>
      <c r="C1879" s="44">
        <f>COUNTA(A1880)</f>
        <v>1</v>
      </c>
      <c r="D1879" s="47">
        <f t="shared" ref="D1879:G1879" si="1045">SUM(D1880)</f>
        <v>24.99</v>
      </c>
      <c r="E1879" s="47">
        <f t="shared" si="1045"/>
        <v>0</v>
      </c>
      <c r="F1879" s="47">
        <f t="shared" si="1045"/>
        <v>24.99</v>
      </c>
      <c r="G1879" s="43">
        <f t="shared" si="1045"/>
        <v>1</v>
      </c>
      <c r="H1879" s="47">
        <f t="shared" ref="H1879:H1880" si="1046">E1879/G1879</f>
        <v>0</v>
      </c>
    </row>
    <row r="1880">
      <c r="A1880" s="39" t="s">
        <v>1732</v>
      </c>
      <c r="B1880" s="1"/>
      <c r="C1880" s="1"/>
      <c r="D1880" s="71">
        <v>24.99</v>
      </c>
      <c r="E1880" s="71">
        <v>0.0</v>
      </c>
      <c r="F1880" s="71">
        <f>D1880-E1880</f>
        <v>24.99</v>
      </c>
      <c r="G1880" s="39">
        <v>1.0</v>
      </c>
      <c r="H1880" s="71">
        <f t="shared" si="1046"/>
        <v>0</v>
      </c>
    </row>
    <row r="1881">
      <c r="A1881" s="72"/>
      <c r="B1881" s="1"/>
      <c r="C1881" s="1"/>
      <c r="D1881" s="71"/>
      <c r="E1881" s="71"/>
      <c r="F1881" s="71"/>
      <c r="G1881" s="39"/>
      <c r="H1881" s="71"/>
    </row>
    <row r="1882">
      <c r="A1882" s="43" t="s">
        <v>229</v>
      </c>
      <c r="B1882" s="43" t="s">
        <v>25</v>
      </c>
      <c r="C1882" s="44">
        <f>COUNTA(A1883)</f>
        <v>1</v>
      </c>
      <c r="D1882" s="46">
        <f t="shared" ref="D1882:G1882" si="1047">SUM(D1883)</f>
        <v>24.99</v>
      </c>
      <c r="E1882" s="46">
        <f t="shared" si="1047"/>
        <v>0</v>
      </c>
      <c r="F1882" s="46">
        <f t="shared" si="1047"/>
        <v>24.99</v>
      </c>
      <c r="G1882" s="43">
        <f t="shared" si="1047"/>
        <v>1</v>
      </c>
      <c r="H1882" s="46">
        <f t="shared" ref="H1882:H1883" si="1048">E1882/G1882</f>
        <v>0</v>
      </c>
    </row>
    <row r="1883">
      <c r="A1883" s="39" t="s">
        <v>972</v>
      </c>
      <c r="B1883" s="1"/>
      <c r="C1883" s="1"/>
      <c r="D1883" s="42">
        <v>24.99</v>
      </c>
      <c r="E1883" s="42">
        <v>0.0</v>
      </c>
      <c r="F1883" s="42">
        <f>D1883-E1883</f>
        <v>24.99</v>
      </c>
      <c r="G1883" s="39">
        <v>1.0</v>
      </c>
      <c r="H1883" s="71">
        <f t="shared" si="1048"/>
        <v>0</v>
      </c>
    </row>
    <row r="1884">
      <c r="A1884" s="72"/>
      <c r="B1884" s="1"/>
      <c r="C1884" s="1"/>
      <c r="D1884" s="71"/>
      <c r="E1884" s="71"/>
      <c r="F1884" s="71"/>
      <c r="G1884" s="39"/>
      <c r="H1884" s="71"/>
    </row>
    <row r="1885">
      <c r="A1885" s="152" t="s">
        <v>472</v>
      </c>
      <c r="B1885" s="152" t="s">
        <v>455</v>
      </c>
      <c r="C1885" s="255">
        <f>COUNTA(A1886)</f>
        <v>1</v>
      </c>
      <c r="D1885" s="154">
        <f t="shared" ref="D1885:G1885" si="1049">SUM(D1886)</f>
        <v>24.99</v>
      </c>
      <c r="E1885" s="154">
        <f t="shared" si="1049"/>
        <v>0</v>
      </c>
      <c r="F1885" s="154">
        <f t="shared" si="1049"/>
        <v>24.99</v>
      </c>
      <c r="G1885" s="152">
        <f t="shared" si="1049"/>
        <v>1</v>
      </c>
      <c r="H1885" s="154">
        <f t="shared" ref="H1885:H1886" si="1050">E1885/G1885</f>
        <v>0</v>
      </c>
    </row>
    <row r="1886">
      <c r="A1886" s="156" t="s">
        <v>1430</v>
      </c>
      <c r="B1886" s="480"/>
      <c r="C1886" s="480"/>
      <c r="D1886" s="159">
        <v>24.99</v>
      </c>
      <c r="E1886" s="159">
        <v>0.0</v>
      </c>
      <c r="F1886" s="159">
        <f>D1886-E1886</f>
        <v>24.99</v>
      </c>
      <c r="G1886" s="156">
        <v>1.0</v>
      </c>
      <c r="H1886" s="159">
        <f t="shared" si="1050"/>
        <v>0</v>
      </c>
    </row>
    <row r="1887">
      <c r="A1887" s="72"/>
      <c r="B1887" s="1"/>
      <c r="C1887" s="1"/>
      <c r="D1887" s="71"/>
      <c r="E1887" s="71"/>
      <c r="F1887" s="71"/>
      <c r="G1887" s="39"/>
      <c r="H1887" s="71"/>
    </row>
    <row r="1888">
      <c r="A1888" s="44" t="s">
        <v>161</v>
      </c>
      <c r="B1888" s="145" t="s">
        <v>159</v>
      </c>
      <c r="C1888" s="44">
        <f>COUNTA(A1889)</f>
        <v>1</v>
      </c>
      <c r="D1888" s="47">
        <f t="shared" ref="D1888:G1888" si="1051">SUM(D1889)</f>
        <v>24.99</v>
      </c>
      <c r="E1888" s="47">
        <f t="shared" si="1051"/>
        <v>0</v>
      </c>
      <c r="F1888" s="47">
        <f t="shared" si="1051"/>
        <v>24.99</v>
      </c>
      <c r="G1888" s="43">
        <f t="shared" si="1051"/>
        <v>1</v>
      </c>
      <c r="H1888" s="47">
        <f t="shared" ref="H1888:H1889" si="1052">E1888/G1888</f>
        <v>0</v>
      </c>
    </row>
    <row r="1889">
      <c r="A1889" s="72" t="s">
        <v>796</v>
      </c>
      <c r="B1889" s="39"/>
      <c r="C1889" s="37"/>
      <c r="D1889" s="165">
        <v>24.99</v>
      </c>
      <c r="E1889" s="165">
        <v>0.0</v>
      </c>
      <c r="F1889" s="71">
        <f>D1889-E1889</f>
        <v>24.99</v>
      </c>
      <c r="G1889" s="72">
        <v>1.0</v>
      </c>
      <c r="H1889" s="71">
        <f t="shared" si="1052"/>
        <v>0</v>
      </c>
    </row>
    <row r="1890">
      <c r="A1890" s="72"/>
      <c r="B1890" s="1"/>
      <c r="C1890" s="1"/>
      <c r="D1890" s="71"/>
      <c r="E1890" s="71"/>
      <c r="F1890" s="71"/>
      <c r="G1890" s="39"/>
      <c r="H1890" s="71"/>
    </row>
    <row r="1891">
      <c r="A1891" s="104" t="s">
        <v>58</v>
      </c>
      <c r="B1891" s="104" t="s">
        <v>57</v>
      </c>
      <c r="C1891" s="243">
        <f>COUNTA(A1892)</f>
        <v>1</v>
      </c>
      <c r="D1891" s="106">
        <f t="shared" ref="D1891:G1891" si="1053">SUM(D1892)</f>
        <v>20.99</v>
      </c>
      <c r="E1891" s="106">
        <f t="shared" si="1053"/>
        <v>0</v>
      </c>
      <c r="F1891" s="106">
        <f t="shared" si="1053"/>
        <v>20.99</v>
      </c>
      <c r="G1891" s="104">
        <f t="shared" si="1053"/>
        <v>1</v>
      </c>
      <c r="H1891" s="106">
        <f t="shared" ref="H1891:H1892" si="1054">E1891/G1891</f>
        <v>0</v>
      </c>
    </row>
    <row r="1892">
      <c r="A1892" s="109" t="s">
        <v>663</v>
      </c>
      <c r="B1892" s="474"/>
      <c r="C1892" s="474"/>
      <c r="D1892" s="111">
        <v>20.99</v>
      </c>
      <c r="E1892" s="111">
        <v>0.0</v>
      </c>
      <c r="F1892" s="111">
        <f>D1892-E1892</f>
        <v>20.99</v>
      </c>
      <c r="G1892" s="108">
        <v>1.0</v>
      </c>
      <c r="H1892" s="111">
        <f t="shared" si="1054"/>
        <v>0</v>
      </c>
    </row>
    <row r="1893">
      <c r="A1893" s="72"/>
      <c r="B1893" s="1"/>
      <c r="C1893" s="1"/>
      <c r="D1893" s="71"/>
      <c r="E1893" s="71"/>
      <c r="F1893" s="71"/>
      <c r="G1893" s="39"/>
      <c r="H1893" s="71"/>
    </row>
    <row r="1894">
      <c r="A1894" s="43" t="s">
        <v>631</v>
      </c>
      <c r="B1894" s="43" t="s">
        <v>29</v>
      </c>
      <c r="C1894" s="44">
        <f>COUNTA(A1895)</f>
        <v>1</v>
      </c>
      <c r="D1894" s="47">
        <f t="shared" ref="D1894:G1894" si="1055">SUM(D1895)</f>
        <v>19.99</v>
      </c>
      <c r="E1894" s="47">
        <f t="shared" si="1055"/>
        <v>0</v>
      </c>
      <c r="F1894" s="47">
        <f t="shared" si="1055"/>
        <v>19.99</v>
      </c>
      <c r="G1894" s="43">
        <f t="shared" si="1055"/>
        <v>1</v>
      </c>
      <c r="H1894" s="47">
        <f t="shared" ref="H1894:H1895" si="1056">E1894/G1894</f>
        <v>0</v>
      </c>
    </row>
    <row r="1895">
      <c r="A1895" s="39" t="s">
        <v>1680</v>
      </c>
      <c r="B1895" s="1"/>
      <c r="C1895" s="1"/>
      <c r="D1895" s="71">
        <v>19.99</v>
      </c>
      <c r="E1895" s="71">
        <v>0.0</v>
      </c>
      <c r="F1895" s="71">
        <f>D1895-E1895</f>
        <v>19.99</v>
      </c>
      <c r="G1895" s="39">
        <v>1.0</v>
      </c>
      <c r="H1895" s="71">
        <f t="shared" si="1056"/>
        <v>0</v>
      </c>
    </row>
    <row r="1896">
      <c r="A1896" s="72"/>
      <c r="B1896" s="1"/>
      <c r="C1896" s="1"/>
      <c r="D1896" s="71"/>
      <c r="E1896" s="71"/>
      <c r="F1896" s="71"/>
      <c r="G1896" s="39"/>
      <c r="H1896" s="71"/>
    </row>
    <row r="1897">
      <c r="A1897" s="43" t="s">
        <v>329</v>
      </c>
      <c r="B1897" s="43" t="s">
        <v>325</v>
      </c>
      <c r="C1897" s="44">
        <f>COUNTA(A1898)</f>
        <v>1</v>
      </c>
      <c r="D1897" s="47">
        <f t="shared" ref="D1897:G1897" si="1057">SUM(D1898)</f>
        <v>19.99</v>
      </c>
      <c r="E1897" s="47">
        <f t="shared" si="1057"/>
        <v>0</v>
      </c>
      <c r="F1897" s="47">
        <f t="shared" si="1057"/>
        <v>19.99</v>
      </c>
      <c r="G1897" s="43">
        <f t="shared" si="1057"/>
        <v>1</v>
      </c>
      <c r="H1897" s="47">
        <f t="shared" ref="H1897:H1898" si="1058">E1897/G1897</f>
        <v>0</v>
      </c>
    </row>
    <row r="1898">
      <c r="A1898" s="39" t="s">
        <v>1260</v>
      </c>
      <c r="B1898" s="1"/>
      <c r="C1898" s="1"/>
      <c r="D1898" s="71">
        <v>19.99</v>
      </c>
      <c r="E1898" s="71">
        <v>0.0</v>
      </c>
      <c r="F1898" s="71">
        <f>D1898-E1898</f>
        <v>19.99</v>
      </c>
      <c r="G1898" s="39">
        <v>1.0</v>
      </c>
      <c r="H1898" s="71">
        <f t="shared" si="1058"/>
        <v>0</v>
      </c>
    </row>
    <row r="1899">
      <c r="A1899" s="72"/>
      <c r="B1899" s="1"/>
      <c r="C1899" s="1"/>
      <c r="D1899" s="71"/>
      <c r="E1899" s="71"/>
      <c r="F1899" s="71"/>
      <c r="G1899" s="39"/>
      <c r="H1899" s="71"/>
    </row>
    <row r="1900">
      <c r="A1900" s="43" t="s">
        <v>121</v>
      </c>
      <c r="B1900" s="43" t="s">
        <v>92</v>
      </c>
      <c r="C1900" s="44">
        <f>COUNTA(A1901)</f>
        <v>1</v>
      </c>
      <c r="D1900" s="47">
        <f t="shared" ref="D1900:G1900" si="1059">SUM(D1901)</f>
        <v>19.99</v>
      </c>
      <c r="E1900" s="47">
        <f t="shared" si="1059"/>
        <v>0</v>
      </c>
      <c r="F1900" s="47">
        <f t="shared" si="1059"/>
        <v>19.99</v>
      </c>
      <c r="G1900" s="43">
        <f t="shared" si="1059"/>
        <v>1</v>
      </c>
      <c r="H1900" s="47">
        <f t="shared" ref="H1900:H1901" si="1060">E1900/G1900</f>
        <v>0</v>
      </c>
    </row>
    <row r="1901">
      <c r="A1901" s="39" t="s">
        <v>750</v>
      </c>
      <c r="B1901" s="1"/>
      <c r="C1901" s="1"/>
      <c r="D1901" s="71">
        <v>19.99</v>
      </c>
      <c r="E1901" s="71">
        <v>0.0</v>
      </c>
      <c r="F1901" s="71">
        <f>D1901-E1901</f>
        <v>19.99</v>
      </c>
      <c r="G1901" s="39">
        <v>1.0</v>
      </c>
      <c r="H1901" s="71">
        <f t="shared" si="1060"/>
        <v>0</v>
      </c>
    </row>
    <row r="1902">
      <c r="A1902" s="72"/>
      <c r="B1902" s="1"/>
      <c r="C1902" s="1"/>
      <c r="D1902" s="71"/>
      <c r="E1902" s="71"/>
      <c r="F1902" s="71"/>
      <c r="G1902" s="39"/>
      <c r="H1902" s="71"/>
    </row>
    <row r="1903">
      <c r="A1903" s="53" t="s">
        <v>278</v>
      </c>
      <c r="B1903" s="53" t="s">
        <v>265</v>
      </c>
      <c r="C1903" s="75">
        <f>COUNTA(A1904)</f>
        <v>1</v>
      </c>
      <c r="D1903" s="76">
        <f t="shared" ref="D1903:G1903" si="1061">SUM(D1904)</f>
        <v>19.99</v>
      </c>
      <c r="E1903" s="76">
        <f t="shared" si="1061"/>
        <v>0</v>
      </c>
      <c r="F1903" s="76">
        <f t="shared" si="1061"/>
        <v>19.99</v>
      </c>
      <c r="G1903" s="53">
        <f t="shared" si="1061"/>
        <v>1</v>
      </c>
      <c r="H1903" s="76">
        <f t="shared" ref="H1903:H1904" si="1062">E1903/G1903</f>
        <v>0</v>
      </c>
    </row>
    <row r="1904">
      <c r="A1904" s="79" t="s">
        <v>1798</v>
      </c>
      <c r="B1904" s="1"/>
      <c r="C1904" s="1"/>
      <c r="D1904" s="52">
        <v>19.99</v>
      </c>
      <c r="E1904" s="52">
        <v>0.0</v>
      </c>
      <c r="F1904" s="52">
        <f>D1904-E1904</f>
        <v>19.99</v>
      </c>
      <c r="G1904" s="79">
        <v>1.0</v>
      </c>
      <c r="H1904" s="52">
        <f t="shared" si="1062"/>
        <v>0</v>
      </c>
    </row>
    <row r="1905">
      <c r="A1905" s="72"/>
      <c r="B1905" s="1"/>
      <c r="C1905" s="1"/>
      <c r="D1905" s="71"/>
      <c r="E1905" s="71"/>
      <c r="F1905" s="71"/>
      <c r="G1905" s="39"/>
      <c r="H1905" s="71"/>
    </row>
    <row r="1906">
      <c r="A1906" s="43" t="s">
        <v>402</v>
      </c>
      <c r="B1906" s="43" t="s">
        <v>400</v>
      </c>
      <c r="C1906" s="44">
        <f>COUNTA(A1907)</f>
        <v>1</v>
      </c>
      <c r="D1906" s="47">
        <f t="shared" ref="D1906:G1906" si="1063">SUM(D1907)</f>
        <v>19.99</v>
      </c>
      <c r="E1906" s="47">
        <f t="shared" si="1063"/>
        <v>0</v>
      </c>
      <c r="F1906" s="47">
        <f t="shared" si="1063"/>
        <v>19.99</v>
      </c>
      <c r="G1906" s="43">
        <f t="shared" si="1063"/>
        <v>1</v>
      </c>
      <c r="H1906" s="47">
        <f t="shared" ref="H1906:H1907" si="1064">E1906/G1906</f>
        <v>0</v>
      </c>
    </row>
    <row r="1907">
      <c r="A1907" s="39" t="s">
        <v>1346</v>
      </c>
      <c r="B1907" s="1"/>
      <c r="C1907" s="1"/>
      <c r="D1907" s="71">
        <v>19.99</v>
      </c>
      <c r="E1907" s="71">
        <v>0.0</v>
      </c>
      <c r="F1907" s="71">
        <f>D1907-E1907</f>
        <v>19.99</v>
      </c>
      <c r="G1907" s="39">
        <v>1.0</v>
      </c>
      <c r="H1907" s="71">
        <f t="shared" si="1064"/>
        <v>0</v>
      </c>
    </row>
    <row r="1908">
      <c r="A1908" s="72"/>
      <c r="B1908" s="1"/>
      <c r="C1908" s="1"/>
      <c r="D1908" s="71"/>
      <c r="E1908" s="71"/>
      <c r="F1908" s="71"/>
      <c r="G1908" s="39"/>
      <c r="H1908" s="71"/>
    </row>
    <row r="1909">
      <c r="A1909" s="43" t="s">
        <v>403</v>
      </c>
      <c r="B1909" s="43" t="s">
        <v>400</v>
      </c>
      <c r="C1909" s="44">
        <f>COUNTA(A1910)</f>
        <v>1</v>
      </c>
      <c r="D1909" s="47">
        <f t="shared" ref="D1909:G1909" si="1065">SUM(D1910)</f>
        <v>19.99</v>
      </c>
      <c r="E1909" s="47">
        <f t="shared" si="1065"/>
        <v>0</v>
      </c>
      <c r="F1909" s="47">
        <f t="shared" si="1065"/>
        <v>19.99</v>
      </c>
      <c r="G1909" s="43">
        <f t="shared" si="1065"/>
        <v>1</v>
      </c>
      <c r="H1909" s="47">
        <f t="shared" ref="H1909:H1910" si="1066">E1909/G1909</f>
        <v>0</v>
      </c>
    </row>
    <row r="1910">
      <c r="A1910" s="39" t="s">
        <v>1345</v>
      </c>
      <c r="B1910" s="1"/>
      <c r="C1910" s="1"/>
      <c r="D1910" s="71">
        <v>19.99</v>
      </c>
      <c r="E1910" s="71">
        <v>0.0</v>
      </c>
      <c r="F1910" s="71">
        <f>D1910-E1910</f>
        <v>19.99</v>
      </c>
      <c r="G1910" s="39">
        <v>1.0</v>
      </c>
      <c r="H1910" s="71">
        <f t="shared" si="1066"/>
        <v>0</v>
      </c>
    </row>
    <row r="1911">
      <c r="A1911" s="72"/>
      <c r="B1911" s="1"/>
      <c r="C1911" s="1"/>
      <c r="D1911" s="71"/>
      <c r="E1911" s="71"/>
      <c r="F1911" s="71"/>
      <c r="G1911" s="39"/>
      <c r="H1911" s="71"/>
    </row>
    <row r="1912">
      <c r="A1912" s="43" t="s">
        <v>163</v>
      </c>
      <c r="B1912" s="43" t="s">
        <v>159</v>
      </c>
      <c r="C1912" s="44">
        <f>COUNTA(A1913)</f>
        <v>1</v>
      </c>
      <c r="D1912" s="47">
        <f t="shared" ref="D1912:G1912" si="1067">SUM(D1913)</f>
        <v>19.99</v>
      </c>
      <c r="E1912" s="47">
        <f t="shared" si="1067"/>
        <v>0</v>
      </c>
      <c r="F1912" s="47">
        <f t="shared" si="1067"/>
        <v>19.99</v>
      </c>
      <c r="G1912" s="43">
        <f t="shared" si="1067"/>
        <v>1</v>
      </c>
      <c r="H1912" s="47">
        <f t="shared" ref="H1912:H1913" si="1068">E1912/G1912</f>
        <v>0</v>
      </c>
    </row>
    <row r="1913">
      <c r="A1913" s="528" t="s">
        <v>794</v>
      </c>
      <c r="B1913" s="1"/>
      <c r="C1913" s="1"/>
      <c r="D1913" s="529">
        <v>19.99</v>
      </c>
      <c r="E1913" s="529">
        <v>0.0</v>
      </c>
      <c r="F1913" s="529">
        <f>D1913-E1913</f>
        <v>19.99</v>
      </c>
      <c r="G1913" s="528">
        <v>1.0</v>
      </c>
      <c r="H1913" s="529">
        <f t="shared" si="1068"/>
        <v>0</v>
      </c>
    </row>
    <row r="1914">
      <c r="A1914" s="72"/>
      <c r="B1914" s="1"/>
      <c r="C1914" s="1"/>
      <c r="D1914" s="71"/>
      <c r="E1914" s="71"/>
      <c r="F1914" s="71"/>
      <c r="G1914" s="39"/>
      <c r="H1914" s="71"/>
    </row>
    <row r="1915">
      <c r="A1915" s="43" t="s">
        <v>619</v>
      </c>
      <c r="B1915" s="43" t="s">
        <v>29</v>
      </c>
      <c r="C1915" s="44">
        <f>COUNTA(A1916)</f>
        <v>1</v>
      </c>
      <c r="D1915" s="47">
        <f t="shared" ref="D1915:G1915" si="1069">SUM(D1916)</f>
        <v>17.99</v>
      </c>
      <c r="E1915" s="47">
        <f t="shared" si="1069"/>
        <v>0</v>
      </c>
      <c r="F1915" s="47">
        <f t="shared" si="1069"/>
        <v>17.99</v>
      </c>
      <c r="G1915" s="43">
        <f t="shared" si="1069"/>
        <v>1</v>
      </c>
      <c r="H1915" s="47">
        <f t="shared" ref="H1915:H1916" si="1070">E1915/G1915</f>
        <v>0</v>
      </c>
    </row>
    <row r="1916">
      <c r="A1916" s="39" t="s">
        <v>1683</v>
      </c>
      <c r="B1916" s="1"/>
      <c r="C1916" s="1"/>
      <c r="D1916" s="71">
        <v>17.99</v>
      </c>
      <c r="E1916" s="71">
        <v>0.0</v>
      </c>
      <c r="F1916" s="71">
        <f>D1916-E1916</f>
        <v>17.99</v>
      </c>
      <c r="G1916" s="39">
        <v>1.0</v>
      </c>
      <c r="H1916" s="71">
        <f t="shared" si="1070"/>
        <v>0</v>
      </c>
    </row>
    <row r="1917">
      <c r="A1917" s="72"/>
      <c r="B1917" s="1"/>
      <c r="C1917" s="1"/>
      <c r="D1917" s="71"/>
      <c r="E1917" s="71"/>
      <c r="F1917" s="71"/>
      <c r="G1917" s="39"/>
      <c r="H1917" s="71"/>
    </row>
    <row r="1918">
      <c r="A1918" s="74" t="s">
        <v>24</v>
      </c>
      <c r="B1918" s="74" t="s">
        <v>25</v>
      </c>
      <c r="C1918" s="43">
        <v>1.0</v>
      </c>
      <c r="D1918" s="46">
        <f t="shared" ref="D1918:G1918" si="1071">SUM(D1919)</f>
        <v>17.99</v>
      </c>
      <c r="E1918" s="46">
        <f t="shared" si="1071"/>
        <v>0</v>
      </c>
      <c r="F1918" s="46">
        <f t="shared" si="1071"/>
        <v>17.99</v>
      </c>
      <c r="G1918" s="43">
        <f t="shared" si="1071"/>
        <v>1</v>
      </c>
      <c r="H1918" s="46">
        <f>E1918/G1918</f>
        <v>0</v>
      </c>
    </row>
    <row r="1919">
      <c r="A1919" s="39" t="s">
        <v>32</v>
      </c>
      <c r="B1919" s="73"/>
      <c r="C1919" s="73"/>
      <c r="D1919" s="42">
        <v>17.99</v>
      </c>
      <c r="E1919" s="42">
        <v>0.0</v>
      </c>
      <c r="F1919" s="42">
        <v>17.99</v>
      </c>
      <c r="G1919" s="39">
        <v>1.0</v>
      </c>
      <c r="H1919" s="42">
        <v>0.0</v>
      </c>
    </row>
    <row r="1920">
      <c r="A1920" s="72"/>
      <c r="B1920" s="1"/>
      <c r="C1920" s="1"/>
      <c r="D1920" s="71"/>
      <c r="E1920" s="71"/>
      <c r="F1920" s="71"/>
      <c r="G1920" s="39"/>
      <c r="H1920" s="71"/>
    </row>
    <row r="1921">
      <c r="A1921" s="53" t="s">
        <v>376</v>
      </c>
      <c r="B1921" s="53" t="s">
        <v>375</v>
      </c>
      <c r="C1921" s="75">
        <f>COUNTA(A1922)</f>
        <v>1</v>
      </c>
      <c r="D1921" s="76">
        <f t="shared" ref="D1921:G1921" si="1072">SUM(D1922)</f>
        <v>16.99</v>
      </c>
      <c r="E1921" s="76">
        <f t="shared" si="1072"/>
        <v>0</v>
      </c>
      <c r="F1921" s="76">
        <f t="shared" si="1072"/>
        <v>16.99</v>
      </c>
      <c r="G1921" s="53">
        <f t="shared" si="1072"/>
        <v>1</v>
      </c>
      <c r="H1921" s="76">
        <f t="shared" ref="H1921:H1922" si="1073">E1921/G1921</f>
        <v>0</v>
      </c>
    </row>
    <row r="1922">
      <c r="A1922" s="79" t="s">
        <v>1313</v>
      </c>
      <c r="B1922" s="1"/>
      <c r="C1922" s="1"/>
      <c r="D1922" s="52">
        <v>16.99</v>
      </c>
      <c r="E1922" s="52">
        <v>0.0</v>
      </c>
      <c r="F1922" s="52">
        <f>D1922-E1922</f>
        <v>16.99</v>
      </c>
      <c r="G1922" s="79">
        <v>1.0</v>
      </c>
      <c r="H1922" s="52">
        <f t="shared" si="1073"/>
        <v>0</v>
      </c>
    </row>
    <row r="1923">
      <c r="A1923" s="72"/>
      <c r="B1923" s="1"/>
      <c r="C1923" s="1"/>
      <c r="D1923" s="71"/>
      <c r="E1923" s="71"/>
      <c r="F1923" s="71"/>
      <c r="G1923" s="39"/>
      <c r="H1923" s="71"/>
    </row>
    <row r="1924">
      <c r="A1924" s="43" t="s">
        <v>507</v>
      </c>
      <c r="B1924" s="43" t="s">
        <v>29</v>
      </c>
      <c r="C1924" s="44">
        <f>COUNTA(A1925)</f>
        <v>1</v>
      </c>
      <c r="D1924" s="46">
        <f t="shared" ref="D1924:G1924" si="1074">SUM(D1925)</f>
        <v>14.99</v>
      </c>
      <c r="E1924" s="46">
        <f t="shared" si="1074"/>
        <v>0</v>
      </c>
      <c r="F1924" s="47">
        <f t="shared" si="1074"/>
        <v>14.99</v>
      </c>
      <c r="G1924" s="43">
        <f t="shared" si="1074"/>
        <v>1</v>
      </c>
      <c r="H1924" s="46">
        <f t="shared" ref="H1924:H1925" si="1075">E1924/G1924</f>
        <v>0</v>
      </c>
    </row>
    <row r="1925">
      <c r="A1925" s="39" t="s">
        <v>1735</v>
      </c>
      <c r="B1925" s="1"/>
      <c r="C1925" s="1"/>
      <c r="D1925" s="42">
        <v>14.99</v>
      </c>
      <c r="E1925" s="42">
        <v>0.0</v>
      </c>
      <c r="F1925" s="71">
        <f>D1925-E1925</f>
        <v>14.99</v>
      </c>
      <c r="G1925" s="39">
        <v>1.0</v>
      </c>
      <c r="H1925" s="71">
        <f t="shared" si="1075"/>
        <v>0</v>
      </c>
    </row>
    <row r="1926">
      <c r="A1926" s="72"/>
      <c r="B1926" s="1"/>
      <c r="C1926" s="1"/>
      <c r="D1926" s="71"/>
      <c r="E1926" s="71"/>
      <c r="F1926" s="71"/>
      <c r="G1926" s="39"/>
      <c r="H1926" s="71"/>
    </row>
    <row r="1927">
      <c r="A1927" s="53" t="s">
        <v>279</v>
      </c>
      <c r="B1927" s="53" t="s">
        <v>265</v>
      </c>
      <c r="C1927" s="75">
        <f>COUNTA(A1928)</f>
        <v>1</v>
      </c>
      <c r="D1927" s="76">
        <f t="shared" ref="D1927:G1927" si="1076">SUM(D1928)</f>
        <v>14.99</v>
      </c>
      <c r="E1927" s="76">
        <f t="shared" si="1076"/>
        <v>0</v>
      </c>
      <c r="F1927" s="76">
        <f t="shared" si="1076"/>
        <v>14.99</v>
      </c>
      <c r="G1927" s="53">
        <f t="shared" si="1076"/>
        <v>1</v>
      </c>
      <c r="H1927" s="76">
        <f t="shared" ref="H1927:H1928" si="1077">E1927/G1927</f>
        <v>0</v>
      </c>
    </row>
    <row r="1928">
      <c r="A1928" s="79" t="s">
        <v>1024</v>
      </c>
      <c r="B1928" s="1"/>
      <c r="C1928" s="1"/>
      <c r="D1928" s="52">
        <v>14.99</v>
      </c>
      <c r="E1928" s="52">
        <v>0.0</v>
      </c>
      <c r="F1928" s="52">
        <f>D1928-E1928</f>
        <v>14.99</v>
      </c>
      <c r="G1928" s="79">
        <v>1.0</v>
      </c>
      <c r="H1928" s="52">
        <f t="shared" si="1077"/>
        <v>0</v>
      </c>
    </row>
    <row r="1929">
      <c r="A1929" s="72"/>
      <c r="B1929" s="1"/>
      <c r="C1929" s="1"/>
      <c r="D1929" s="71"/>
      <c r="E1929" s="71"/>
      <c r="F1929" s="71"/>
      <c r="G1929" s="39"/>
      <c r="H1929" s="71"/>
    </row>
    <row r="1930">
      <c r="A1930" s="53" t="s">
        <v>428</v>
      </c>
      <c r="B1930" s="53" t="s">
        <v>422</v>
      </c>
      <c r="C1930" s="75">
        <f>COUNTA(A1931)</f>
        <v>1</v>
      </c>
      <c r="D1930" s="76">
        <f t="shared" ref="D1930:G1930" si="1078">SUM(D1931)</f>
        <v>6.99</v>
      </c>
      <c r="E1930" s="76">
        <f t="shared" si="1078"/>
        <v>0</v>
      </c>
      <c r="F1930" s="76">
        <f t="shared" si="1078"/>
        <v>6.99</v>
      </c>
      <c r="G1930" s="53">
        <f t="shared" si="1078"/>
        <v>1</v>
      </c>
      <c r="H1930" s="76">
        <f t="shared" ref="H1930:H1931" si="1079">E1930/G1930</f>
        <v>0</v>
      </c>
    </row>
    <row r="1931">
      <c r="A1931" s="79" t="s">
        <v>1363</v>
      </c>
      <c r="B1931" s="1"/>
      <c r="C1931" s="1"/>
      <c r="D1931" s="52">
        <v>6.99</v>
      </c>
      <c r="E1931" s="52">
        <v>0.0</v>
      </c>
      <c r="F1931" s="52">
        <f>D1931-E1931</f>
        <v>6.99</v>
      </c>
      <c r="G1931" s="79">
        <v>1.0</v>
      </c>
      <c r="H1931" s="52">
        <f t="shared" si="1079"/>
        <v>0</v>
      </c>
    </row>
    <row r="1932">
      <c r="A1932" s="72"/>
      <c r="B1932" s="1"/>
      <c r="C1932" s="1"/>
      <c r="D1932" s="71"/>
      <c r="E1932" s="71"/>
      <c r="F1932" s="71"/>
      <c r="G1932" s="39"/>
      <c r="H1932" s="71"/>
    </row>
    <row r="1933">
      <c r="A1933" s="43" t="s">
        <v>625</v>
      </c>
      <c r="B1933" s="43" t="s">
        <v>29</v>
      </c>
      <c r="C1933" s="44">
        <f>COUNTA(A1934)</f>
        <v>1</v>
      </c>
      <c r="D1933" s="47">
        <f t="shared" ref="D1933:G1933" si="1080">SUM(D1934)</f>
        <v>5.99</v>
      </c>
      <c r="E1933" s="47">
        <f t="shared" si="1080"/>
        <v>0</v>
      </c>
      <c r="F1933" s="47">
        <f t="shared" si="1080"/>
        <v>5.99</v>
      </c>
      <c r="G1933" s="43">
        <f t="shared" si="1080"/>
        <v>1</v>
      </c>
      <c r="H1933" s="47">
        <f t="shared" ref="H1933:H1934" si="1081">E1933/G1933</f>
        <v>0</v>
      </c>
    </row>
    <row r="1934">
      <c r="A1934" s="72" t="s">
        <v>1726</v>
      </c>
      <c r="B1934" s="1"/>
      <c r="C1934" s="1"/>
      <c r="D1934" s="71">
        <v>5.99</v>
      </c>
      <c r="E1934" s="71">
        <v>0.0</v>
      </c>
      <c r="F1934" s="71">
        <f>D1934-E1934</f>
        <v>5.99</v>
      </c>
      <c r="G1934" s="39">
        <v>1.0</v>
      </c>
      <c r="H1934" s="71">
        <f t="shared" si="1081"/>
        <v>0</v>
      </c>
    </row>
    <row r="1935">
      <c r="A1935" s="72"/>
      <c r="B1935" s="1"/>
      <c r="C1935" s="1"/>
      <c r="D1935" s="71"/>
      <c r="E1935" s="71"/>
      <c r="F1935" s="71"/>
      <c r="G1935" s="39"/>
      <c r="H1935" s="71"/>
    </row>
    <row r="1936">
      <c r="A1936" s="43" t="s">
        <v>170</v>
      </c>
      <c r="B1936" s="43" t="s">
        <v>25</v>
      </c>
      <c r="C1936" s="44">
        <f>COUNTA(A1937)</f>
        <v>1</v>
      </c>
      <c r="D1936" s="47">
        <f t="shared" ref="D1936:G1936" si="1082">SUM(D1937)</f>
        <v>10.99</v>
      </c>
      <c r="E1936" s="47">
        <f t="shared" si="1082"/>
        <v>0.54</v>
      </c>
      <c r="F1936" s="47">
        <f t="shared" si="1082"/>
        <v>10.45</v>
      </c>
      <c r="G1936" s="43">
        <f t="shared" si="1082"/>
        <v>1</v>
      </c>
      <c r="H1936" s="47">
        <f t="shared" ref="H1936:H1937" si="1083">E1936/G1936</f>
        <v>0.54</v>
      </c>
    </row>
    <row r="1937">
      <c r="A1937" s="39" t="s">
        <v>938</v>
      </c>
      <c r="B1937" s="1"/>
      <c r="C1937" s="1"/>
      <c r="D1937" s="71">
        <v>10.99</v>
      </c>
      <c r="E1937" s="71">
        <v>0.54</v>
      </c>
      <c r="F1937" s="71">
        <f>D1937-E1937</f>
        <v>10.45</v>
      </c>
      <c r="G1937" s="39">
        <v>1.0</v>
      </c>
      <c r="H1937" s="71">
        <f t="shared" si="1083"/>
        <v>0.54</v>
      </c>
    </row>
    <row r="1938">
      <c r="A1938" s="72"/>
      <c r="B1938" s="1"/>
      <c r="C1938" s="1"/>
      <c r="D1938" s="71"/>
      <c r="E1938" s="71"/>
      <c r="F1938" s="71"/>
      <c r="G1938" s="39"/>
      <c r="H1938" s="71"/>
    </row>
    <row r="1939">
      <c r="A1939" s="43" t="s">
        <v>97</v>
      </c>
      <c r="B1939" s="44" t="s">
        <v>92</v>
      </c>
      <c r="C1939" s="44">
        <f>COUNTA(A1940)</f>
        <v>1</v>
      </c>
      <c r="D1939" s="47">
        <f t="shared" ref="D1939:G1939" si="1084">SUM(D1940)</f>
        <v>9.99</v>
      </c>
      <c r="E1939" s="47">
        <f t="shared" si="1084"/>
        <v>1.49</v>
      </c>
      <c r="F1939" s="47">
        <f t="shared" si="1084"/>
        <v>8.5</v>
      </c>
      <c r="G1939" s="43">
        <f t="shared" si="1084"/>
        <v>1</v>
      </c>
      <c r="H1939" s="47">
        <f t="shared" ref="H1939:H1940" si="1085">E1939/G1939</f>
        <v>1.49</v>
      </c>
    </row>
    <row r="1940">
      <c r="A1940" s="39" t="s">
        <v>719</v>
      </c>
      <c r="B1940" s="1"/>
      <c r="C1940" s="1"/>
      <c r="D1940" s="71">
        <v>9.99</v>
      </c>
      <c r="E1940" s="71">
        <v>1.49</v>
      </c>
      <c r="F1940" s="71">
        <f>D1940-E1940</f>
        <v>8.5</v>
      </c>
      <c r="G1940" s="39">
        <v>1.0</v>
      </c>
      <c r="H1940" s="71">
        <f t="shared" si="1085"/>
        <v>1.49</v>
      </c>
    </row>
    <row r="1941">
      <c r="A1941" s="72"/>
      <c r="B1941" s="1"/>
      <c r="C1941" s="1"/>
      <c r="D1941" s="71"/>
      <c r="E1941" s="71"/>
      <c r="F1941" s="71"/>
      <c r="G1941" s="39"/>
      <c r="H1941" s="71"/>
    </row>
    <row r="1942">
      <c r="A1942" s="43" t="s">
        <v>241</v>
      </c>
      <c r="B1942" s="43" t="s">
        <v>25</v>
      </c>
      <c r="C1942" s="44">
        <f>COUNTA(A1943)</f>
        <v>1</v>
      </c>
      <c r="D1942" s="47">
        <f t="shared" ref="D1942:G1942" si="1086">SUM(D1943)</f>
        <v>14.24</v>
      </c>
      <c r="E1942" s="47">
        <f t="shared" si="1086"/>
        <v>1.56</v>
      </c>
      <c r="F1942" s="47">
        <f t="shared" si="1086"/>
        <v>12.68</v>
      </c>
      <c r="G1942" s="43">
        <f t="shared" si="1086"/>
        <v>1</v>
      </c>
      <c r="H1942" s="47">
        <f t="shared" ref="H1942:H1943" si="1087">E1942/G1942</f>
        <v>1.56</v>
      </c>
    </row>
    <row r="1943">
      <c r="A1943" s="72" t="s">
        <v>917</v>
      </c>
      <c r="B1943" s="1"/>
      <c r="C1943" s="1"/>
      <c r="D1943" s="71">
        <v>14.24</v>
      </c>
      <c r="E1943" s="71">
        <v>1.56</v>
      </c>
      <c r="F1943" s="71">
        <f>D1943-E1943</f>
        <v>12.68</v>
      </c>
      <c r="G1943" s="39">
        <v>1.0</v>
      </c>
      <c r="H1943" s="71">
        <f t="shared" si="1087"/>
        <v>1.56</v>
      </c>
    </row>
    <row r="1944">
      <c r="A1944" s="72"/>
      <c r="B1944" s="1"/>
      <c r="C1944" s="1"/>
      <c r="D1944" s="71"/>
      <c r="E1944" s="71"/>
      <c r="F1944" s="71"/>
      <c r="G1944" s="39"/>
      <c r="H1944" s="71"/>
    </row>
    <row r="1945">
      <c r="A1945" s="152" t="s">
        <v>464</v>
      </c>
      <c r="B1945" s="152" t="s">
        <v>455</v>
      </c>
      <c r="C1945" s="255">
        <f>COUNTA(A1946)</f>
        <v>1</v>
      </c>
      <c r="D1945" s="490">
        <v>14.25</v>
      </c>
      <c r="E1945" s="490">
        <v>1.57</v>
      </c>
      <c r="F1945" s="490">
        <f t="shared" ref="F1945:F1946" si="1088">D1945-E1945</f>
        <v>12.68</v>
      </c>
      <c r="G1945" s="255">
        <f>SUM(G1946)</f>
        <v>1</v>
      </c>
      <c r="H1945" s="490">
        <f t="shared" ref="H1945:H1946" si="1089">E1945/G1945</f>
        <v>1.57</v>
      </c>
    </row>
    <row r="1946">
      <c r="A1946" s="155" t="s">
        <v>1412</v>
      </c>
      <c r="B1946" s="480"/>
      <c r="C1946" s="480"/>
      <c r="D1946" s="159">
        <v>14.25</v>
      </c>
      <c r="E1946" s="159">
        <v>1.57</v>
      </c>
      <c r="F1946" s="159">
        <f t="shared" si="1088"/>
        <v>12.68</v>
      </c>
      <c r="G1946" s="156">
        <v>1.0</v>
      </c>
      <c r="H1946" s="159">
        <f t="shared" si="1089"/>
        <v>1.57</v>
      </c>
    </row>
    <row r="1947">
      <c r="A1947" s="72"/>
      <c r="B1947" s="1"/>
      <c r="C1947" s="1"/>
      <c r="D1947" s="71"/>
      <c r="E1947" s="71"/>
      <c r="F1947" s="71"/>
      <c r="G1947" s="39"/>
      <c r="H1947" s="71"/>
    </row>
    <row r="1948">
      <c r="A1948" s="43" t="s">
        <v>205</v>
      </c>
      <c r="B1948" s="43" t="s">
        <v>25</v>
      </c>
      <c r="C1948" s="44">
        <f>COUNTA(A1949)</f>
        <v>1</v>
      </c>
      <c r="D1948" s="47">
        <f t="shared" ref="D1948:G1948" si="1090">SUM(D1949)</f>
        <v>6.99</v>
      </c>
      <c r="E1948" s="47">
        <f t="shared" si="1090"/>
        <v>1.99</v>
      </c>
      <c r="F1948" s="47">
        <f t="shared" si="1090"/>
        <v>5</v>
      </c>
      <c r="G1948" s="43">
        <f t="shared" si="1090"/>
        <v>1</v>
      </c>
      <c r="H1948" s="47">
        <f t="shared" ref="H1948:H1949" si="1091">E1948/G1948</f>
        <v>1.99</v>
      </c>
    </row>
    <row r="1949">
      <c r="A1949" s="39" t="s">
        <v>906</v>
      </c>
      <c r="B1949" s="1"/>
      <c r="C1949" s="1"/>
      <c r="D1949" s="71">
        <v>6.99</v>
      </c>
      <c r="E1949" s="71">
        <v>1.99</v>
      </c>
      <c r="F1949" s="71">
        <f>D1949-E1949</f>
        <v>5</v>
      </c>
      <c r="G1949" s="39">
        <v>1.0</v>
      </c>
      <c r="H1949" s="71">
        <f t="shared" si="1091"/>
        <v>1.99</v>
      </c>
    </row>
    <row r="1950">
      <c r="A1950" s="72"/>
      <c r="B1950" s="1"/>
      <c r="C1950" s="1"/>
      <c r="D1950" s="71"/>
      <c r="E1950" s="71"/>
      <c r="F1950" s="71"/>
      <c r="G1950" s="39"/>
      <c r="H1950" s="71"/>
    </row>
    <row r="1951">
      <c r="A1951" s="43" t="s">
        <v>133</v>
      </c>
      <c r="B1951" s="43" t="s">
        <v>92</v>
      </c>
      <c r="C1951" s="44">
        <f>COUNTA(A1952)</f>
        <v>1</v>
      </c>
      <c r="D1951" s="47">
        <f t="shared" ref="D1951:G1951" si="1092">SUM(D1952)</f>
        <v>5.99</v>
      </c>
      <c r="E1951" s="47">
        <f t="shared" si="1092"/>
        <v>1.99</v>
      </c>
      <c r="F1951" s="47">
        <f t="shared" si="1092"/>
        <v>4</v>
      </c>
      <c r="G1951" s="43">
        <f t="shared" si="1092"/>
        <v>1</v>
      </c>
      <c r="H1951" s="47">
        <f t="shared" ref="H1951:H1952" si="1093">E1951/G1951</f>
        <v>1.99</v>
      </c>
    </row>
    <row r="1952">
      <c r="A1952" s="39" t="s">
        <v>727</v>
      </c>
      <c r="B1952" s="1"/>
      <c r="C1952" s="1"/>
      <c r="D1952" s="71">
        <v>5.99</v>
      </c>
      <c r="E1952" s="71">
        <v>1.99</v>
      </c>
      <c r="F1952" s="71">
        <f>D1952-E1952</f>
        <v>4</v>
      </c>
      <c r="G1952" s="39">
        <v>1.0</v>
      </c>
      <c r="H1952" s="71">
        <f t="shared" si="1093"/>
        <v>1.99</v>
      </c>
    </row>
    <row r="1953">
      <c r="A1953" s="72"/>
      <c r="B1953" s="1"/>
      <c r="C1953" s="1"/>
      <c r="D1953" s="71"/>
      <c r="E1953" s="71"/>
      <c r="F1953" s="71"/>
      <c r="G1953" s="39"/>
      <c r="H1953" s="71"/>
    </row>
    <row r="1954">
      <c r="A1954" s="43" t="s">
        <v>597</v>
      </c>
      <c r="B1954" s="43" t="s">
        <v>29</v>
      </c>
      <c r="C1954" s="44">
        <f>COUNTA(A1955)</f>
        <v>1</v>
      </c>
      <c r="D1954" s="47">
        <f t="shared" ref="D1954:G1954" si="1094">SUM(D1955)</f>
        <v>4.99</v>
      </c>
      <c r="E1954" s="47">
        <f t="shared" si="1094"/>
        <v>1.99</v>
      </c>
      <c r="F1954" s="47">
        <f t="shared" si="1094"/>
        <v>3</v>
      </c>
      <c r="G1954" s="43">
        <f t="shared" si="1094"/>
        <v>1</v>
      </c>
      <c r="H1954" s="47">
        <f t="shared" ref="H1954:H1955" si="1095">E1954/G1954</f>
        <v>1.99</v>
      </c>
    </row>
    <row r="1955">
      <c r="A1955" s="39" t="s">
        <v>1445</v>
      </c>
      <c r="B1955" s="1"/>
      <c r="C1955" s="1"/>
      <c r="D1955" s="71">
        <v>4.99</v>
      </c>
      <c r="E1955" s="71">
        <v>1.99</v>
      </c>
      <c r="F1955" s="71">
        <f>D1955-E1955</f>
        <v>3</v>
      </c>
      <c r="G1955" s="39">
        <v>1.0</v>
      </c>
      <c r="H1955" s="71">
        <f t="shared" si="1095"/>
        <v>1.99</v>
      </c>
    </row>
    <row r="1956">
      <c r="A1956" s="72"/>
      <c r="B1956" s="1"/>
      <c r="C1956" s="1"/>
      <c r="D1956" s="71"/>
      <c r="E1956" s="71"/>
      <c r="F1956" s="71"/>
      <c r="G1956" s="39"/>
      <c r="H1956" s="71"/>
    </row>
    <row r="1957">
      <c r="A1957" s="43" t="s">
        <v>602</v>
      </c>
      <c r="B1957" s="43" t="s">
        <v>29</v>
      </c>
      <c r="C1957" s="44">
        <f>COUNTA(A1958)</f>
        <v>1</v>
      </c>
      <c r="D1957" s="47">
        <f t="shared" ref="D1957:G1957" si="1096">SUM(D1958)</f>
        <v>4.99</v>
      </c>
      <c r="E1957" s="47">
        <f t="shared" si="1096"/>
        <v>1.99</v>
      </c>
      <c r="F1957" s="47">
        <f t="shared" si="1096"/>
        <v>3</v>
      </c>
      <c r="G1957" s="43">
        <f t="shared" si="1096"/>
        <v>1</v>
      </c>
      <c r="H1957" s="47">
        <f t="shared" ref="H1957:H1958" si="1097">E1957/G1957</f>
        <v>1.99</v>
      </c>
    </row>
    <row r="1958">
      <c r="A1958" s="39" t="s">
        <v>1448</v>
      </c>
      <c r="B1958" s="1"/>
      <c r="C1958" s="1"/>
      <c r="D1958" s="71">
        <v>4.99</v>
      </c>
      <c r="E1958" s="71">
        <v>1.99</v>
      </c>
      <c r="F1958" s="71">
        <f>D1958-E1958</f>
        <v>3</v>
      </c>
      <c r="G1958" s="39">
        <v>1.0</v>
      </c>
      <c r="H1958" s="71">
        <f t="shared" si="1097"/>
        <v>1.99</v>
      </c>
    </row>
    <row r="1959">
      <c r="A1959" s="72"/>
      <c r="B1959" s="1"/>
      <c r="C1959" s="1"/>
      <c r="D1959" s="71"/>
      <c r="E1959" s="71"/>
      <c r="F1959" s="71"/>
      <c r="G1959" s="39"/>
      <c r="H1959" s="71"/>
    </row>
    <row r="1960">
      <c r="A1960" s="43" t="s">
        <v>95</v>
      </c>
      <c r="B1960" s="43" t="s">
        <v>92</v>
      </c>
      <c r="C1960" s="44">
        <f>COUNTA(A1961)</f>
        <v>1</v>
      </c>
      <c r="D1960" s="47">
        <f t="shared" ref="D1960:G1960" si="1098">SUM(D1961)</f>
        <v>4.99</v>
      </c>
      <c r="E1960" s="47">
        <f t="shared" si="1098"/>
        <v>1.99</v>
      </c>
      <c r="F1960" s="47">
        <f t="shared" si="1098"/>
        <v>3</v>
      </c>
      <c r="G1960" s="43">
        <f t="shared" si="1098"/>
        <v>1</v>
      </c>
      <c r="H1960" s="47">
        <f t="shared" ref="H1960:H1961" si="1099">E1960/G1960</f>
        <v>1.99</v>
      </c>
    </row>
    <row r="1961">
      <c r="A1961" s="72" t="s">
        <v>725</v>
      </c>
      <c r="B1961" s="1"/>
      <c r="C1961" s="1"/>
      <c r="D1961" s="71">
        <v>4.99</v>
      </c>
      <c r="E1961" s="71">
        <v>1.99</v>
      </c>
      <c r="F1961" s="71">
        <f>D1961-E1961</f>
        <v>3</v>
      </c>
      <c r="G1961" s="39">
        <v>1.0</v>
      </c>
      <c r="H1961" s="71">
        <f t="shared" si="1099"/>
        <v>1.99</v>
      </c>
    </row>
    <row r="1962">
      <c r="A1962" s="72"/>
      <c r="B1962" s="1"/>
      <c r="C1962" s="1"/>
      <c r="D1962" s="71"/>
      <c r="E1962" s="71"/>
      <c r="F1962" s="71"/>
      <c r="G1962" s="39"/>
      <c r="H1962" s="71"/>
    </row>
    <row r="1963">
      <c r="A1963" s="53" t="s">
        <v>269</v>
      </c>
      <c r="B1963" s="53" t="s">
        <v>265</v>
      </c>
      <c r="C1963" s="75">
        <f>COUNTA(A1964)</f>
        <v>1</v>
      </c>
      <c r="D1963" s="76">
        <f t="shared" ref="D1963:G1963" si="1100">SUM(D1964)</f>
        <v>4.99</v>
      </c>
      <c r="E1963" s="76">
        <f t="shared" si="1100"/>
        <v>1.99</v>
      </c>
      <c r="F1963" s="76">
        <f t="shared" si="1100"/>
        <v>3</v>
      </c>
      <c r="G1963" s="53">
        <f t="shared" si="1100"/>
        <v>1</v>
      </c>
      <c r="H1963" s="76">
        <f t="shared" ref="H1963:H1964" si="1101">E1963/G1963</f>
        <v>1.99</v>
      </c>
    </row>
    <row r="1964">
      <c r="A1964" s="79" t="s">
        <v>1010</v>
      </c>
      <c r="B1964" s="1"/>
      <c r="C1964" s="1"/>
      <c r="D1964" s="52">
        <v>4.99</v>
      </c>
      <c r="E1964" s="52">
        <v>1.99</v>
      </c>
      <c r="F1964" s="52">
        <f>D1964-E1964</f>
        <v>3</v>
      </c>
      <c r="G1964" s="79">
        <v>1.0</v>
      </c>
      <c r="H1964" s="52">
        <f t="shared" si="1101"/>
        <v>1.99</v>
      </c>
    </row>
    <row r="1965">
      <c r="A1965" s="72"/>
      <c r="B1965" s="1"/>
      <c r="C1965" s="1"/>
      <c r="D1965" s="71"/>
      <c r="E1965" s="71"/>
      <c r="F1965" s="71"/>
      <c r="G1965" s="39"/>
      <c r="H1965" s="71"/>
    </row>
    <row r="1966">
      <c r="A1966" s="117" t="s">
        <v>84</v>
      </c>
      <c r="B1966" s="117" t="s">
        <v>83</v>
      </c>
      <c r="C1966" s="530">
        <f>COUNTA(A1967)</f>
        <v>1</v>
      </c>
      <c r="D1966" s="119">
        <f t="shared" ref="D1966:G1966" si="1102">SUM(D1967)</f>
        <v>19.99</v>
      </c>
      <c r="E1966" s="119">
        <f t="shared" si="1102"/>
        <v>2.99</v>
      </c>
      <c r="F1966" s="119">
        <f t="shared" si="1102"/>
        <v>17</v>
      </c>
      <c r="G1966" s="117">
        <f t="shared" si="1102"/>
        <v>1</v>
      </c>
      <c r="H1966" s="119">
        <f t="shared" ref="H1966:H1967" si="1103">E1966/G1966</f>
        <v>2.99</v>
      </c>
    </row>
    <row r="1967">
      <c r="A1967" s="531" t="s">
        <v>676</v>
      </c>
      <c r="B1967" s="1"/>
      <c r="C1967" s="1"/>
      <c r="D1967" s="532">
        <v>19.99</v>
      </c>
      <c r="E1967" s="532">
        <v>2.99</v>
      </c>
      <c r="F1967" s="532">
        <f>D1967-E1967</f>
        <v>17</v>
      </c>
      <c r="G1967" s="531">
        <v>1.0</v>
      </c>
      <c r="H1967" s="532">
        <f t="shared" si="1103"/>
        <v>2.99</v>
      </c>
    </row>
    <row r="1968">
      <c r="A1968" s="72"/>
      <c r="B1968" s="1"/>
      <c r="C1968" s="1"/>
      <c r="D1968" s="71"/>
      <c r="E1968" s="71"/>
      <c r="F1968" s="71"/>
      <c r="G1968" s="39"/>
      <c r="H1968" s="71"/>
    </row>
    <row r="1969">
      <c r="A1969" s="174" t="s">
        <v>321</v>
      </c>
      <c r="B1969" s="174" t="s">
        <v>318</v>
      </c>
      <c r="C1969" s="476">
        <f>COUNTA(A1970)</f>
        <v>1</v>
      </c>
      <c r="D1969" s="176">
        <f t="shared" ref="D1969:G1969" si="1104">SUM(D1970)</f>
        <v>14.99</v>
      </c>
      <c r="E1969" s="176">
        <f t="shared" si="1104"/>
        <v>2.99</v>
      </c>
      <c r="F1969" s="176">
        <f t="shared" si="1104"/>
        <v>12</v>
      </c>
      <c r="G1969" s="174">
        <f t="shared" si="1104"/>
        <v>1</v>
      </c>
      <c r="H1969" s="176">
        <f t="shared" ref="H1969:H1970" si="1105">E1969/G1969</f>
        <v>2.99</v>
      </c>
    </row>
    <row r="1970">
      <c r="A1970" s="179" t="s">
        <v>1063</v>
      </c>
      <c r="B1970" s="1"/>
      <c r="C1970" s="1"/>
      <c r="D1970" s="181">
        <v>14.99</v>
      </c>
      <c r="E1970" s="181">
        <v>2.99</v>
      </c>
      <c r="F1970" s="181">
        <f>D1970-E1970</f>
        <v>12</v>
      </c>
      <c r="G1970" s="179">
        <v>1.0</v>
      </c>
      <c r="H1970" s="181">
        <f t="shared" si="1105"/>
        <v>2.99</v>
      </c>
    </row>
    <row r="1971">
      <c r="A1971" s="72"/>
      <c r="B1971" s="1"/>
      <c r="C1971" s="1"/>
      <c r="D1971" s="71"/>
      <c r="E1971" s="71"/>
      <c r="F1971" s="71"/>
      <c r="G1971" s="39"/>
      <c r="H1971" s="71"/>
    </row>
    <row r="1972">
      <c r="A1972" s="43" t="s">
        <v>359</v>
      </c>
      <c r="B1972" s="43" t="s">
        <v>325</v>
      </c>
      <c r="C1972" s="44">
        <f>COUNTA(A1973)</f>
        <v>1</v>
      </c>
      <c r="D1972" s="47">
        <f t="shared" ref="D1972:G1972" si="1106">SUM(D1973)</f>
        <v>11.99</v>
      </c>
      <c r="E1972" s="47">
        <f t="shared" si="1106"/>
        <v>2.99</v>
      </c>
      <c r="F1972" s="47">
        <f t="shared" si="1106"/>
        <v>9</v>
      </c>
      <c r="G1972" s="43">
        <f t="shared" si="1106"/>
        <v>1</v>
      </c>
      <c r="H1972" s="47">
        <f t="shared" ref="H1972:H1973" si="1107">E1972/G1972</f>
        <v>2.99</v>
      </c>
    </row>
    <row r="1973">
      <c r="A1973" s="72" t="s">
        <v>1142</v>
      </c>
      <c r="B1973" s="1"/>
      <c r="C1973" s="1"/>
      <c r="D1973" s="71">
        <v>11.99</v>
      </c>
      <c r="E1973" s="71">
        <v>2.99</v>
      </c>
      <c r="F1973" s="71">
        <f>D1973-E1973</f>
        <v>9</v>
      </c>
      <c r="G1973" s="39">
        <v>1.0</v>
      </c>
      <c r="H1973" s="71">
        <f t="shared" si="1107"/>
        <v>2.99</v>
      </c>
    </row>
    <row r="1974">
      <c r="A1974" s="72"/>
      <c r="B1974" s="1"/>
      <c r="C1974" s="1"/>
      <c r="D1974" s="71"/>
      <c r="E1974" s="71"/>
      <c r="F1974" s="71"/>
      <c r="G1974" s="39"/>
      <c r="H1974" s="71"/>
    </row>
    <row r="1975">
      <c r="A1975" s="43" t="s">
        <v>245</v>
      </c>
      <c r="B1975" s="43" t="s">
        <v>25</v>
      </c>
      <c r="C1975" s="44">
        <f>COUNTA(A1976)</f>
        <v>1</v>
      </c>
      <c r="D1975" s="47">
        <f t="shared" ref="D1975:G1975" si="1108">SUM(D1976)</f>
        <v>9.99</v>
      </c>
      <c r="E1975" s="47">
        <f t="shared" si="1108"/>
        <v>2.99</v>
      </c>
      <c r="F1975" s="47">
        <f t="shared" si="1108"/>
        <v>7</v>
      </c>
      <c r="G1975" s="43">
        <f t="shared" si="1108"/>
        <v>1</v>
      </c>
      <c r="H1975" s="47">
        <f t="shared" ref="H1975:H1976" si="1109">E1975/G1975</f>
        <v>2.99</v>
      </c>
    </row>
    <row r="1976">
      <c r="A1976" s="39" t="s">
        <v>907</v>
      </c>
      <c r="B1976" s="1"/>
      <c r="C1976" s="1"/>
      <c r="D1976" s="71">
        <v>9.99</v>
      </c>
      <c r="E1976" s="71">
        <v>2.99</v>
      </c>
      <c r="F1976" s="71">
        <f>D1976-E1976</f>
        <v>7</v>
      </c>
      <c r="G1976" s="39">
        <v>1.0</v>
      </c>
      <c r="H1976" s="71">
        <f t="shared" si="1109"/>
        <v>2.99</v>
      </c>
    </row>
    <row r="1977">
      <c r="A1977" s="72"/>
      <c r="B1977" s="1"/>
      <c r="C1977" s="1"/>
      <c r="D1977" s="71"/>
      <c r="E1977" s="71"/>
      <c r="F1977" s="71"/>
      <c r="G1977" s="39"/>
      <c r="H1977" s="71"/>
    </row>
    <row r="1978">
      <c r="A1978" s="43" t="s">
        <v>253</v>
      </c>
      <c r="B1978" s="43" t="s">
        <v>25</v>
      </c>
      <c r="C1978" s="44">
        <f>COUNTA(A1979)</f>
        <v>1</v>
      </c>
      <c r="D1978" s="47">
        <f t="shared" ref="D1978:G1978" si="1110">SUM(D1979)</f>
        <v>9.99</v>
      </c>
      <c r="E1978" s="47">
        <f t="shared" si="1110"/>
        <v>2.99</v>
      </c>
      <c r="F1978" s="47">
        <f t="shared" si="1110"/>
        <v>7</v>
      </c>
      <c r="G1978" s="43">
        <f t="shared" si="1110"/>
        <v>1</v>
      </c>
      <c r="H1978" s="47">
        <f t="shared" ref="H1978:H1979" si="1111">E1978/G1978</f>
        <v>2.99</v>
      </c>
    </row>
    <row r="1979">
      <c r="A1979" s="39" t="s">
        <v>875</v>
      </c>
      <c r="B1979" s="1"/>
      <c r="C1979" s="1"/>
      <c r="D1979" s="71">
        <v>9.99</v>
      </c>
      <c r="E1979" s="71">
        <v>2.99</v>
      </c>
      <c r="F1979" s="71">
        <f>D1979-E1979</f>
        <v>7</v>
      </c>
      <c r="G1979" s="39">
        <v>1.0</v>
      </c>
      <c r="H1979" s="71">
        <f t="shared" si="1111"/>
        <v>2.99</v>
      </c>
    </row>
    <row r="1980">
      <c r="A1980" s="72"/>
      <c r="B1980" s="1"/>
      <c r="C1980" s="1"/>
      <c r="D1980" s="71"/>
      <c r="E1980" s="71"/>
      <c r="F1980" s="71"/>
      <c r="G1980" s="39"/>
      <c r="H1980" s="71"/>
    </row>
    <row r="1981">
      <c r="A1981" s="43" t="s">
        <v>522</v>
      </c>
      <c r="B1981" s="69" t="s">
        <v>29</v>
      </c>
      <c r="C1981" s="44">
        <f>COUNTA(A1982)</f>
        <v>1</v>
      </c>
      <c r="D1981" s="47">
        <f t="shared" ref="D1981:G1981" si="1112">SUM(D1982)</f>
        <v>4.99</v>
      </c>
      <c r="E1981" s="47">
        <f t="shared" si="1112"/>
        <v>2.99</v>
      </c>
      <c r="F1981" s="47">
        <f t="shared" si="1112"/>
        <v>2</v>
      </c>
      <c r="G1981" s="43">
        <f t="shared" si="1112"/>
        <v>1</v>
      </c>
      <c r="H1981" s="47">
        <f t="shared" ref="H1981:H1982" si="1113">E1981/G1981</f>
        <v>2.99</v>
      </c>
    </row>
    <row r="1982">
      <c r="A1982" s="39" t="s">
        <v>1604</v>
      </c>
      <c r="B1982" s="1"/>
      <c r="C1982" s="1"/>
      <c r="D1982" s="71">
        <v>4.99</v>
      </c>
      <c r="E1982" s="71">
        <v>2.99</v>
      </c>
      <c r="F1982" s="71">
        <f>D1982-E1982</f>
        <v>2</v>
      </c>
      <c r="G1982" s="39">
        <v>1.0</v>
      </c>
      <c r="H1982" s="71">
        <f t="shared" si="1113"/>
        <v>2.99</v>
      </c>
    </row>
    <row r="1983">
      <c r="A1983" s="72"/>
      <c r="B1983" s="1"/>
      <c r="C1983" s="1"/>
      <c r="D1983" s="71"/>
      <c r="E1983" s="71"/>
      <c r="F1983" s="71"/>
      <c r="G1983" s="39"/>
      <c r="H1983" s="71"/>
    </row>
    <row r="1984">
      <c r="A1984" s="43" t="s">
        <v>117</v>
      </c>
      <c r="B1984" s="43" t="s">
        <v>92</v>
      </c>
      <c r="C1984" s="44">
        <f>COUNTA(A1985)</f>
        <v>1</v>
      </c>
      <c r="D1984" s="47">
        <f t="shared" ref="D1984:G1984" si="1114">SUM(D1985)</f>
        <v>13.99</v>
      </c>
      <c r="E1984" s="47">
        <f t="shared" si="1114"/>
        <v>3.49</v>
      </c>
      <c r="F1984" s="47">
        <f t="shared" si="1114"/>
        <v>10.5</v>
      </c>
      <c r="G1984" s="43">
        <f t="shared" si="1114"/>
        <v>1</v>
      </c>
      <c r="H1984" s="47">
        <f t="shared" ref="H1984:H1985" si="1115">E1984/G1984</f>
        <v>3.49</v>
      </c>
    </row>
    <row r="1985">
      <c r="A1985" s="39" t="s">
        <v>1799</v>
      </c>
      <c r="B1985" s="1"/>
      <c r="C1985" s="1"/>
      <c r="D1985" s="71">
        <v>13.99</v>
      </c>
      <c r="E1985" s="71">
        <v>3.49</v>
      </c>
      <c r="F1985" s="71">
        <f>D1985-E1985</f>
        <v>10.5</v>
      </c>
      <c r="G1985" s="39">
        <v>1.0</v>
      </c>
      <c r="H1985" s="71">
        <f t="shared" si="1115"/>
        <v>3.49</v>
      </c>
    </row>
    <row r="1986">
      <c r="A1986" s="72"/>
      <c r="B1986" s="1"/>
      <c r="C1986" s="1"/>
      <c r="D1986" s="71"/>
      <c r="E1986" s="71"/>
      <c r="F1986" s="71"/>
      <c r="G1986" s="39"/>
      <c r="H1986" s="71"/>
    </row>
    <row r="1987">
      <c r="A1987" s="43" t="s">
        <v>128</v>
      </c>
      <c r="B1987" s="43" t="s">
        <v>92</v>
      </c>
      <c r="C1987" s="44">
        <f>COUNTA(A1988)</f>
        <v>1</v>
      </c>
      <c r="D1987" s="47">
        <f t="shared" ref="D1987:G1987" si="1116">SUM(D1988)</f>
        <v>18.99</v>
      </c>
      <c r="E1987" s="47">
        <f t="shared" si="1116"/>
        <v>3.79</v>
      </c>
      <c r="F1987" s="47">
        <f t="shared" si="1116"/>
        <v>15.2</v>
      </c>
      <c r="G1987" s="43">
        <f t="shared" si="1116"/>
        <v>1</v>
      </c>
      <c r="H1987" s="47">
        <f t="shared" ref="H1987:H1988" si="1117">E1987/G1987</f>
        <v>3.79</v>
      </c>
    </row>
    <row r="1988">
      <c r="A1988" s="39" t="s">
        <v>730</v>
      </c>
      <c r="B1988" s="1"/>
      <c r="C1988" s="1"/>
      <c r="D1988" s="71">
        <v>18.99</v>
      </c>
      <c r="E1988" s="71">
        <v>3.79</v>
      </c>
      <c r="F1988" s="71">
        <f>D1988-E1988</f>
        <v>15.2</v>
      </c>
      <c r="G1988" s="39">
        <v>1.0</v>
      </c>
      <c r="H1988" s="71">
        <f t="shared" si="1117"/>
        <v>3.79</v>
      </c>
    </row>
    <row r="1989">
      <c r="A1989" s="72"/>
      <c r="B1989" s="1"/>
      <c r="C1989" s="1"/>
      <c r="D1989" s="71"/>
      <c r="E1989" s="71"/>
      <c r="F1989" s="71"/>
      <c r="G1989" s="39"/>
      <c r="H1989" s="71"/>
    </row>
    <row r="1990">
      <c r="A1990" s="43" t="s">
        <v>123</v>
      </c>
      <c r="B1990" s="43" t="s">
        <v>92</v>
      </c>
      <c r="C1990" s="44">
        <f>COUNTA(A1991)</f>
        <v>1</v>
      </c>
      <c r="D1990" s="47">
        <f t="shared" ref="D1990:G1990" si="1118">SUM(D1991)</f>
        <v>19.99</v>
      </c>
      <c r="E1990" s="47">
        <f t="shared" si="1118"/>
        <v>3.99</v>
      </c>
      <c r="F1990" s="47">
        <f t="shared" si="1118"/>
        <v>16</v>
      </c>
      <c r="G1990" s="43">
        <f t="shared" si="1118"/>
        <v>1</v>
      </c>
      <c r="H1990" s="47">
        <f t="shared" ref="H1990:H1991" si="1119">E1990/G1990</f>
        <v>3.99</v>
      </c>
    </row>
    <row r="1991">
      <c r="A1991" s="72" t="s">
        <v>768</v>
      </c>
      <c r="B1991" s="1"/>
      <c r="C1991" s="1"/>
      <c r="D1991" s="71">
        <v>19.99</v>
      </c>
      <c r="E1991" s="71">
        <v>3.99</v>
      </c>
      <c r="F1991" s="71">
        <f>D1991-E1991</f>
        <v>16</v>
      </c>
      <c r="G1991" s="39">
        <v>1.0</v>
      </c>
      <c r="H1991" s="71">
        <f t="shared" si="1119"/>
        <v>3.99</v>
      </c>
    </row>
    <row r="1992">
      <c r="A1992" s="72"/>
      <c r="B1992" s="1"/>
      <c r="C1992" s="1"/>
      <c r="D1992" s="71"/>
      <c r="E1992" s="71"/>
      <c r="F1992" s="71"/>
      <c r="G1992" s="39"/>
      <c r="H1992" s="71"/>
    </row>
    <row r="1993">
      <c r="A1993" s="104" t="s">
        <v>62</v>
      </c>
      <c r="B1993" s="104" t="s">
        <v>57</v>
      </c>
      <c r="C1993" s="243">
        <f>COUNTA(A1994)</f>
        <v>1</v>
      </c>
      <c r="D1993" s="106">
        <f t="shared" ref="D1993:G1993" si="1120">SUM(D1994)</f>
        <v>19.99</v>
      </c>
      <c r="E1993" s="106">
        <f t="shared" si="1120"/>
        <v>3.99</v>
      </c>
      <c r="F1993" s="106">
        <f t="shared" si="1120"/>
        <v>16</v>
      </c>
      <c r="G1993" s="104">
        <f t="shared" si="1120"/>
        <v>1</v>
      </c>
      <c r="H1993" s="106">
        <f t="shared" ref="H1993:H1994" si="1121">E1993/G1993</f>
        <v>3.99</v>
      </c>
    </row>
    <row r="1994">
      <c r="A1994" s="109" t="s">
        <v>656</v>
      </c>
      <c r="B1994" s="474"/>
      <c r="C1994" s="474"/>
      <c r="D1994" s="111">
        <v>19.99</v>
      </c>
      <c r="E1994" s="111">
        <v>3.99</v>
      </c>
      <c r="F1994" s="111">
        <f>D1994-E1994</f>
        <v>16</v>
      </c>
      <c r="G1994" s="108">
        <v>1.0</v>
      </c>
      <c r="H1994" s="111">
        <f t="shared" si="1121"/>
        <v>3.99</v>
      </c>
    </row>
    <row r="1995">
      <c r="A1995" s="72"/>
      <c r="B1995" s="1"/>
      <c r="C1995" s="1"/>
      <c r="D1995" s="71"/>
      <c r="E1995" s="71"/>
      <c r="F1995" s="71"/>
      <c r="G1995" s="39"/>
      <c r="H1995" s="71"/>
    </row>
    <row r="1996">
      <c r="A1996" s="43" t="s">
        <v>199</v>
      </c>
      <c r="B1996" s="43" t="s">
        <v>25</v>
      </c>
      <c r="C1996" s="44">
        <f>COUNTA(A1997)</f>
        <v>1</v>
      </c>
      <c r="D1996" s="47">
        <f t="shared" ref="D1996:G1996" si="1122">SUM(D1997)</f>
        <v>12.99</v>
      </c>
      <c r="E1996" s="47">
        <f t="shared" si="1122"/>
        <v>3.99</v>
      </c>
      <c r="F1996" s="47">
        <f t="shared" si="1122"/>
        <v>9</v>
      </c>
      <c r="G1996" s="43">
        <f t="shared" si="1122"/>
        <v>1</v>
      </c>
      <c r="H1996" s="47">
        <f t="shared" ref="H1996:H1997" si="1123">E1996/G1996</f>
        <v>3.99</v>
      </c>
    </row>
    <row r="1997">
      <c r="A1997" s="39" t="s">
        <v>871</v>
      </c>
      <c r="B1997" s="1"/>
      <c r="C1997" s="1"/>
      <c r="D1997" s="71">
        <v>12.99</v>
      </c>
      <c r="E1997" s="71">
        <v>3.99</v>
      </c>
      <c r="F1997" s="71">
        <f>D1997-E1997</f>
        <v>9</v>
      </c>
      <c r="G1997" s="39">
        <v>1.0</v>
      </c>
      <c r="H1997" s="71">
        <f t="shared" si="1123"/>
        <v>3.99</v>
      </c>
    </row>
    <row r="1998">
      <c r="A1998" s="72"/>
      <c r="B1998" s="1"/>
      <c r="C1998" s="1"/>
      <c r="D1998" s="71"/>
      <c r="E1998" s="71"/>
      <c r="F1998" s="71"/>
      <c r="G1998" s="39"/>
      <c r="H1998" s="71"/>
    </row>
    <row r="1999">
      <c r="A1999" s="201" t="s">
        <v>388</v>
      </c>
      <c r="B1999" s="201" t="s">
        <v>384</v>
      </c>
      <c r="C1999" s="204">
        <f>COUNTA(A2000)</f>
        <v>1</v>
      </c>
      <c r="D1999" s="203">
        <f t="shared" ref="D1999:G1999" si="1124">SUM(D2000)</f>
        <v>12.99</v>
      </c>
      <c r="E1999" s="203">
        <f t="shared" si="1124"/>
        <v>3.99</v>
      </c>
      <c r="F1999" s="203">
        <f t="shared" si="1124"/>
        <v>9</v>
      </c>
      <c r="G1999" s="201">
        <f t="shared" si="1124"/>
        <v>1</v>
      </c>
      <c r="H1999" s="203">
        <f t="shared" ref="H1999:H2000" si="1125">E1999/G1999</f>
        <v>3.99</v>
      </c>
    </row>
    <row r="2000">
      <c r="A2000" s="471" t="s">
        <v>1320</v>
      </c>
      <c r="B2000" s="518"/>
      <c r="C2000" s="518"/>
      <c r="D2000" s="473">
        <v>12.99</v>
      </c>
      <c r="E2000" s="473">
        <v>3.99</v>
      </c>
      <c r="F2000" s="473">
        <f>D2000-E2000</f>
        <v>9</v>
      </c>
      <c r="G2000" s="471">
        <v>1.0</v>
      </c>
      <c r="H2000" s="473">
        <f t="shared" si="1125"/>
        <v>3.99</v>
      </c>
    </row>
    <row r="2001">
      <c r="A2001" s="72"/>
      <c r="B2001" s="1"/>
      <c r="C2001" s="1"/>
      <c r="D2001" s="71"/>
      <c r="E2001" s="71"/>
      <c r="F2001" s="71"/>
      <c r="G2001" s="39"/>
      <c r="H2001" s="71"/>
    </row>
    <row r="2002">
      <c r="A2002" s="43" t="s">
        <v>172</v>
      </c>
      <c r="B2002" s="43" t="s">
        <v>25</v>
      </c>
      <c r="C2002" s="44">
        <f>COUNTA(A2003)</f>
        <v>1</v>
      </c>
      <c r="D2002" s="47">
        <f t="shared" ref="D2002:G2002" si="1126">SUM(D2003)</f>
        <v>10.99</v>
      </c>
      <c r="E2002" s="47">
        <f t="shared" si="1126"/>
        <v>3.99</v>
      </c>
      <c r="F2002" s="47">
        <f t="shared" si="1126"/>
        <v>7</v>
      </c>
      <c r="G2002" s="43">
        <f t="shared" si="1126"/>
        <v>1</v>
      </c>
      <c r="H2002" s="47">
        <f t="shared" ref="H2002:H2003" si="1127">E2002/G2002</f>
        <v>3.99</v>
      </c>
    </row>
    <row r="2003">
      <c r="A2003" s="39" t="s">
        <v>889</v>
      </c>
      <c r="B2003" s="1"/>
      <c r="C2003" s="1"/>
      <c r="D2003" s="71">
        <v>10.99</v>
      </c>
      <c r="E2003" s="71">
        <v>3.99</v>
      </c>
      <c r="F2003" s="71">
        <f>D2003-E2003</f>
        <v>7</v>
      </c>
      <c r="G2003" s="39">
        <v>1.0</v>
      </c>
      <c r="H2003" s="71">
        <f t="shared" si="1127"/>
        <v>3.99</v>
      </c>
    </row>
    <row r="2004">
      <c r="A2004" s="72"/>
      <c r="B2004" s="1"/>
      <c r="C2004" s="1"/>
      <c r="D2004" s="71"/>
      <c r="E2004" s="71"/>
      <c r="F2004" s="71"/>
      <c r="G2004" s="39"/>
      <c r="H2004" s="71"/>
    </row>
    <row r="2005">
      <c r="A2005" s="53" t="s">
        <v>426</v>
      </c>
      <c r="B2005" s="53" t="s">
        <v>422</v>
      </c>
      <c r="C2005" s="75">
        <f>COUNTA(A2006)</f>
        <v>1</v>
      </c>
      <c r="D2005" s="76">
        <f t="shared" ref="D2005:G2005" si="1128">SUM(D2006)</f>
        <v>9.99</v>
      </c>
      <c r="E2005" s="76">
        <f t="shared" si="1128"/>
        <v>3.99</v>
      </c>
      <c r="F2005" s="76">
        <f t="shared" si="1128"/>
        <v>6</v>
      </c>
      <c r="G2005" s="53">
        <f t="shared" si="1128"/>
        <v>1</v>
      </c>
      <c r="H2005" s="76">
        <f t="shared" ref="H2005:H2006" si="1129">E2005/G2005</f>
        <v>3.99</v>
      </c>
    </row>
    <row r="2006">
      <c r="A2006" s="49" t="s">
        <v>1357</v>
      </c>
      <c r="B2006" s="1"/>
      <c r="C2006" s="1"/>
      <c r="D2006" s="78">
        <v>9.99</v>
      </c>
      <c r="E2006" s="78">
        <v>3.99</v>
      </c>
      <c r="F2006" s="52">
        <f>D2006-E2006</f>
        <v>6</v>
      </c>
      <c r="G2006" s="49">
        <v>1.0</v>
      </c>
      <c r="H2006" s="52">
        <f t="shared" si="1129"/>
        <v>3.99</v>
      </c>
    </row>
    <row r="2007">
      <c r="A2007" s="72"/>
      <c r="B2007" s="1"/>
      <c r="C2007" s="1"/>
      <c r="D2007" s="71"/>
      <c r="E2007" s="71"/>
      <c r="F2007" s="71"/>
      <c r="G2007" s="39"/>
      <c r="H2007" s="71"/>
    </row>
    <row r="2008">
      <c r="A2008" s="43" t="s">
        <v>543</v>
      </c>
      <c r="B2008" s="43" t="s">
        <v>29</v>
      </c>
      <c r="C2008" s="44">
        <f>COUNTA(A2009)</f>
        <v>1</v>
      </c>
      <c r="D2008" s="47">
        <f t="shared" ref="D2008:G2008" si="1130">SUM(D2009)</f>
        <v>8.99</v>
      </c>
      <c r="E2008" s="47">
        <f t="shared" si="1130"/>
        <v>3.99</v>
      </c>
      <c r="F2008" s="47">
        <f t="shared" si="1130"/>
        <v>5</v>
      </c>
      <c r="G2008" s="43">
        <f t="shared" si="1130"/>
        <v>1</v>
      </c>
      <c r="H2008" s="47">
        <f t="shared" ref="H2008:H2009" si="1131">E2008/G2008</f>
        <v>3.99</v>
      </c>
    </row>
    <row r="2009">
      <c r="A2009" s="39" t="s">
        <v>1578</v>
      </c>
      <c r="B2009" s="1"/>
      <c r="C2009" s="1"/>
      <c r="D2009" s="71">
        <v>8.99</v>
      </c>
      <c r="E2009" s="71">
        <v>3.99</v>
      </c>
      <c r="F2009" s="71">
        <f>D2009-E2009</f>
        <v>5</v>
      </c>
      <c r="G2009" s="39">
        <v>1.0</v>
      </c>
      <c r="H2009" s="71">
        <f t="shared" si="1131"/>
        <v>3.99</v>
      </c>
    </row>
    <row r="2010">
      <c r="A2010" s="72"/>
      <c r="B2010" s="1"/>
      <c r="C2010" s="1"/>
      <c r="D2010" s="71"/>
      <c r="E2010" s="71"/>
      <c r="F2010" s="71"/>
      <c r="G2010" s="39"/>
      <c r="H2010" s="71"/>
    </row>
    <row r="2011">
      <c r="A2011" s="43" t="s">
        <v>333</v>
      </c>
      <c r="B2011" s="43" t="s">
        <v>325</v>
      </c>
      <c r="C2011" s="44">
        <f>COUNTA(A2012)</f>
        <v>1</v>
      </c>
      <c r="D2011" s="46">
        <f t="shared" ref="D2011:G2011" si="1132">SUM(D2012)</f>
        <v>49.99</v>
      </c>
      <c r="E2011" s="46">
        <f t="shared" si="1132"/>
        <v>4.99</v>
      </c>
      <c r="F2011" s="47">
        <f t="shared" si="1132"/>
        <v>45</v>
      </c>
      <c r="G2011" s="43">
        <f t="shared" si="1132"/>
        <v>1</v>
      </c>
      <c r="H2011" s="46">
        <f t="shared" ref="H2011:H2012" si="1133">E2011/G2011</f>
        <v>4.99</v>
      </c>
    </row>
    <row r="2012">
      <c r="A2012" s="72" t="s">
        <v>1266</v>
      </c>
      <c r="B2012" s="1"/>
      <c r="C2012" s="1"/>
      <c r="D2012" s="42">
        <v>49.99</v>
      </c>
      <c r="E2012" s="42">
        <v>4.99</v>
      </c>
      <c r="F2012" s="71">
        <f>D2012-E2012</f>
        <v>45</v>
      </c>
      <c r="G2012" s="39">
        <v>1.0</v>
      </c>
      <c r="H2012" s="71">
        <f t="shared" si="1133"/>
        <v>4.99</v>
      </c>
    </row>
    <row r="2013">
      <c r="A2013" s="72"/>
      <c r="B2013" s="1"/>
      <c r="C2013" s="1"/>
      <c r="D2013" s="71"/>
      <c r="E2013" s="71"/>
      <c r="F2013" s="71"/>
      <c r="G2013" s="39"/>
      <c r="H2013" s="71"/>
    </row>
    <row r="2014">
      <c r="A2014" s="43" t="s">
        <v>503</v>
      </c>
      <c r="B2014" s="43" t="s">
        <v>29</v>
      </c>
      <c r="C2014" s="44">
        <f>COUNTA(A2015)</f>
        <v>1</v>
      </c>
      <c r="D2014" s="47">
        <f t="shared" ref="D2014:G2014" si="1134">SUM(D2015)</f>
        <v>19.99</v>
      </c>
      <c r="E2014" s="47">
        <f t="shared" si="1134"/>
        <v>4.99</v>
      </c>
      <c r="F2014" s="47">
        <f t="shared" si="1134"/>
        <v>15</v>
      </c>
      <c r="G2014" s="43">
        <f t="shared" si="1134"/>
        <v>1</v>
      </c>
      <c r="H2014" s="47">
        <f t="shared" ref="H2014:H2015" si="1135">E2014/G2014</f>
        <v>4.99</v>
      </c>
    </row>
    <row r="2015">
      <c r="A2015" s="39" t="s">
        <v>1713</v>
      </c>
      <c r="B2015" s="1"/>
      <c r="C2015" s="1"/>
      <c r="D2015" s="71">
        <v>19.99</v>
      </c>
      <c r="E2015" s="71">
        <v>4.99</v>
      </c>
      <c r="F2015" s="71">
        <f>D2015-E2015</f>
        <v>15</v>
      </c>
      <c r="G2015" s="39">
        <v>1.0</v>
      </c>
      <c r="H2015" s="71">
        <f t="shared" si="1135"/>
        <v>4.99</v>
      </c>
    </row>
    <row r="2016">
      <c r="A2016" s="72"/>
      <c r="B2016" s="1"/>
      <c r="C2016" s="1"/>
      <c r="D2016" s="71"/>
      <c r="E2016" s="71"/>
      <c r="F2016" s="71"/>
      <c r="G2016" s="39"/>
      <c r="H2016" s="71"/>
    </row>
    <row r="2017">
      <c r="A2017" s="53" t="s">
        <v>157</v>
      </c>
      <c r="B2017" s="53" t="s">
        <v>153</v>
      </c>
      <c r="C2017" s="75">
        <f>COUNTA(A2018)</f>
        <v>1</v>
      </c>
      <c r="D2017" s="54">
        <f t="shared" ref="D2017:G2017" si="1136">SUM(D2018)</f>
        <v>19.99</v>
      </c>
      <c r="E2017" s="54">
        <f t="shared" si="1136"/>
        <v>4.99</v>
      </c>
      <c r="F2017" s="54">
        <f t="shared" si="1136"/>
        <v>15</v>
      </c>
      <c r="G2017" s="53">
        <f t="shared" si="1136"/>
        <v>1</v>
      </c>
      <c r="H2017" s="54">
        <f t="shared" ref="H2017:H2018" si="1137">E2017/G2017</f>
        <v>4.99</v>
      </c>
    </row>
    <row r="2018">
      <c r="A2018" s="79" t="s">
        <v>786</v>
      </c>
      <c r="B2018" s="1"/>
      <c r="C2018" s="1"/>
      <c r="D2018" s="166">
        <v>19.99</v>
      </c>
      <c r="E2018" s="166">
        <v>4.99</v>
      </c>
      <c r="F2018" s="166">
        <f>D2018-E2018</f>
        <v>15</v>
      </c>
      <c r="G2018" s="79">
        <v>1.0</v>
      </c>
      <c r="H2018" s="166">
        <f t="shared" si="1137"/>
        <v>4.99</v>
      </c>
    </row>
    <row r="2019">
      <c r="A2019" s="72"/>
      <c r="B2019" s="1"/>
      <c r="C2019" s="1"/>
      <c r="D2019" s="71"/>
      <c r="E2019" s="71"/>
      <c r="F2019" s="71"/>
      <c r="G2019" s="39"/>
      <c r="H2019" s="71"/>
    </row>
    <row r="2020">
      <c r="A2020" s="43" t="s">
        <v>537</v>
      </c>
      <c r="B2020" s="69" t="s">
        <v>29</v>
      </c>
      <c r="C2020" s="44">
        <f>COUNTA(A2021)</f>
        <v>1</v>
      </c>
      <c r="D2020" s="47">
        <f t="shared" ref="D2020:G2020" si="1138">SUM(D2021)</f>
        <v>16.99</v>
      </c>
      <c r="E2020" s="47">
        <f t="shared" si="1138"/>
        <v>4.99</v>
      </c>
      <c r="F2020" s="47">
        <f t="shared" si="1138"/>
        <v>12</v>
      </c>
      <c r="G2020" s="43">
        <f t="shared" si="1138"/>
        <v>1</v>
      </c>
      <c r="H2020" s="47">
        <f t="shared" ref="H2020:H2021" si="1139">E2020/G2020</f>
        <v>4.99</v>
      </c>
    </row>
    <row r="2021">
      <c r="A2021" s="39" t="s">
        <v>1579</v>
      </c>
      <c r="B2021" s="1"/>
      <c r="C2021" s="1"/>
      <c r="D2021" s="71">
        <v>16.99</v>
      </c>
      <c r="E2021" s="71">
        <v>4.99</v>
      </c>
      <c r="F2021" s="71">
        <f>D2021-E2021</f>
        <v>12</v>
      </c>
      <c r="G2021" s="39">
        <v>1.0</v>
      </c>
      <c r="H2021" s="71">
        <f t="shared" si="1139"/>
        <v>4.99</v>
      </c>
    </row>
    <row r="2022">
      <c r="A2022" s="72"/>
      <c r="B2022" s="1"/>
      <c r="C2022" s="1"/>
      <c r="D2022" s="71"/>
      <c r="E2022" s="71"/>
      <c r="F2022" s="71"/>
      <c r="G2022" s="39"/>
      <c r="H2022" s="71"/>
    </row>
    <row r="2023">
      <c r="A2023" s="43" t="s">
        <v>139</v>
      </c>
      <c r="B2023" s="43" t="s">
        <v>92</v>
      </c>
      <c r="C2023" s="44">
        <f>COUNTA(A2024)</f>
        <v>1</v>
      </c>
      <c r="D2023" s="47">
        <f t="shared" ref="D2023:G2023" si="1140">SUM(D2024)</f>
        <v>15.99</v>
      </c>
      <c r="E2023" s="47">
        <f t="shared" si="1140"/>
        <v>4.99</v>
      </c>
      <c r="F2023" s="47">
        <f t="shared" si="1140"/>
        <v>11</v>
      </c>
      <c r="G2023" s="43">
        <f t="shared" si="1140"/>
        <v>1</v>
      </c>
      <c r="H2023" s="47">
        <f t="shared" ref="H2023:H2024" si="1141">E2023/G2023</f>
        <v>4.99</v>
      </c>
    </row>
    <row r="2024">
      <c r="A2024" s="258" t="s">
        <v>767</v>
      </c>
      <c r="B2024" s="460"/>
      <c r="C2024" s="460"/>
      <c r="D2024" s="257">
        <v>15.99</v>
      </c>
      <c r="E2024" s="257">
        <v>4.99</v>
      </c>
      <c r="F2024" s="257">
        <f>D2024-E2024</f>
        <v>11</v>
      </c>
      <c r="G2024" s="258">
        <v>1.0</v>
      </c>
      <c r="H2024" s="257">
        <f t="shared" si="1141"/>
        <v>4.99</v>
      </c>
    </row>
    <row r="2025">
      <c r="A2025" s="72"/>
      <c r="B2025" s="1"/>
      <c r="C2025" s="1"/>
      <c r="D2025" s="71"/>
      <c r="E2025" s="71"/>
      <c r="F2025" s="71"/>
      <c r="G2025" s="39"/>
      <c r="H2025" s="71"/>
    </row>
    <row r="2026">
      <c r="A2026" s="43" t="s">
        <v>546</v>
      </c>
      <c r="B2026" s="69" t="s">
        <v>29</v>
      </c>
      <c r="C2026" s="44">
        <f>COUNTA(A2027)</f>
        <v>1</v>
      </c>
      <c r="D2026" s="47">
        <f t="shared" ref="D2026:G2026" si="1142">SUM(D2027)</f>
        <v>9.99</v>
      </c>
      <c r="E2026" s="47">
        <f t="shared" si="1142"/>
        <v>4.99</v>
      </c>
      <c r="F2026" s="47">
        <f t="shared" si="1142"/>
        <v>5</v>
      </c>
      <c r="G2026" s="43">
        <f t="shared" si="1142"/>
        <v>1</v>
      </c>
      <c r="H2026" s="47">
        <f t="shared" ref="H2026:H2027" si="1143">E2026/G2026</f>
        <v>4.99</v>
      </c>
    </row>
    <row r="2027">
      <c r="A2027" s="39" t="s">
        <v>1463</v>
      </c>
      <c r="B2027" s="1"/>
      <c r="C2027" s="1"/>
      <c r="D2027" s="71">
        <v>9.99</v>
      </c>
      <c r="E2027" s="71">
        <v>4.99</v>
      </c>
      <c r="F2027" s="71">
        <f>D2027-E2027</f>
        <v>5</v>
      </c>
      <c r="G2027" s="39">
        <v>1.0</v>
      </c>
      <c r="H2027" s="71">
        <f t="shared" si="1143"/>
        <v>4.99</v>
      </c>
    </row>
    <row r="2028">
      <c r="A2028" s="72"/>
      <c r="B2028" s="1"/>
      <c r="C2028" s="1"/>
      <c r="D2028" s="71"/>
      <c r="E2028" s="71"/>
      <c r="F2028" s="71"/>
      <c r="G2028" s="39"/>
      <c r="H2028" s="71"/>
    </row>
    <row r="2029">
      <c r="A2029" s="43" t="s">
        <v>190</v>
      </c>
      <c r="B2029" s="43" t="s">
        <v>25</v>
      </c>
      <c r="C2029" s="44">
        <f>COUNTA(A2030)</f>
        <v>1</v>
      </c>
      <c r="D2029" s="47">
        <f t="shared" ref="D2029:G2029" si="1144">SUM(D2030)</f>
        <v>9.99</v>
      </c>
      <c r="E2029" s="47">
        <f t="shared" si="1144"/>
        <v>4.99</v>
      </c>
      <c r="F2029" s="47">
        <f t="shared" si="1144"/>
        <v>5</v>
      </c>
      <c r="G2029" s="43">
        <f t="shared" si="1144"/>
        <v>1</v>
      </c>
      <c r="H2029" s="47">
        <f t="shared" ref="H2029:H2030" si="1145">E2029/G2029</f>
        <v>4.99</v>
      </c>
    </row>
    <row r="2030">
      <c r="A2030" s="39" t="s">
        <v>908</v>
      </c>
      <c r="B2030" s="1"/>
      <c r="C2030" s="1"/>
      <c r="D2030" s="71">
        <v>9.99</v>
      </c>
      <c r="E2030" s="71">
        <v>4.99</v>
      </c>
      <c r="F2030" s="71">
        <f>D2030-E2030</f>
        <v>5</v>
      </c>
      <c r="G2030" s="39">
        <v>1.0</v>
      </c>
      <c r="H2030" s="71">
        <f t="shared" si="1145"/>
        <v>4.99</v>
      </c>
    </row>
    <row r="2031">
      <c r="A2031" s="72"/>
      <c r="B2031" s="1"/>
      <c r="C2031" s="1"/>
      <c r="D2031" s="71"/>
      <c r="E2031" s="71"/>
      <c r="F2031" s="71"/>
      <c r="G2031" s="39"/>
      <c r="H2031" s="71"/>
    </row>
    <row r="2032">
      <c r="A2032" s="53" t="s">
        <v>423</v>
      </c>
      <c r="B2032" s="53" t="s">
        <v>422</v>
      </c>
      <c r="C2032" s="75">
        <f>COUNTA(A2033)</f>
        <v>1</v>
      </c>
      <c r="D2032" s="76">
        <f t="shared" ref="D2032:G2032" si="1146">SUM(D2033)</f>
        <v>9.99</v>
      </c>
      <c r="E2032" s="76">
        <f t="shared" si="1146"/>
        <v>4.99</v>
      </c>
      <c r="F2032" s="76">
        <f t="shared" si="1146"/>
        <v>5</v>
      </c>
      <c r="G2032" s="53">
        <f t="shared" si="1146"/>
        <v>1</v>
      </c>
      <c r="H2032" s="76">
        <f t="shared" ref="H2032:H2033" si="1147">E2032/G2032</f>
        <v>4.99</v>
      </c>
    </row>
    <row r="2033">
      <c r="A2033" s="79" t="s">
        <v>1800</v>
      </c>
      <c r="B2033" s="1"/>
      <c r="C2033" s="1"/>
      <c r="D2033" s="52">
        <v>9.99</v>
      </c>
      <c r="E2033" s="52">
        <v>4.99</v>
      </c>
      <c r="F2033" s="52">
        <f>D2033-E2033</f>
        <v>5</v>
      </c>
      <c r="G2033" s="79">
        <v>1.0</v>
      </c>
      <c r="H2033" s="52">
        <f t="shared" si="1147"/>
        <v>4.99</v>
      </c>
    </row>
    <row r="2034">
      <c r="A2034" s="72"/>
      <c r="B2034" s="1"/>
      <c r="C2034" s="1"/>
      <c r="D2034" s="71"/>
      <c r="E2034" s="71"/>
      <c r="F2034" s="71"/>
      <c r="G2034" s="39"/>
      <c r="H2034" s="71"/>
    </row>
    <row r="2035">
      <c r="A2035" s="53" t="s">
        <v>438</v>
      </c>
      <c r="B2035" s="53" t="s">
        <v>439</v>
      </c>
      <c r="C2035" s="75">
        <f>COUNTA(A2036)</f>
        <v>1</v>
      </c>
      <c r="D2035" s="76">
        <f t="shared" ref="D2035:G2035" si="1148">SUM(D2036)</f>
        <v>9.99</v>
      </c>
      <c r="E2035" s="76">
        <f t="shared" si="1148"/>
        <v>4.99</v>
      </c>
      <c r="F2035" s="76">
        <f t="shared" si="1148"/>
        <v>5</v>
      </c>
      <c r="G2035" s="53">
        <f t="shared" si="1148"/>
        <v>1</v>
      </c>
      <c r="H2035" s="76">
        <f t="shared" ref="H2035:H2036" si="1149">E2035/G2035</f>
        <v>4.99</v>
      </c>
    </row>
    <row r="2036">
      <c r="A2036" s="79" t="s">
        <v>1378</v>
      </c>
      <c r="B2036" s="1"/>
      <c r="C2036" s="1"/>
      <c r="D2036" s="52">
        <v>9.99</v>
      </c>
      <c r="E2036" s="52">
        <v>4.99</v>
      </c>
      <c r="F2036" s="52">
        <f>D2036-E2036</f>
        <v>5</v>
      </c>
      <c r="G2036" s="49">
        <v>1.0</v>
      </c>
      <c r="H2036" s="52">
        <f t="shared" si="1149"/>
        <v>4.99</v>
      </c>
    </row>
    <row r="2037">
      <c r="A2037" s="72"/>
      <c r="B2037" s="1"/>
      <c r="C2037" s="1"/>
      <c r="D2037" s="71"/>
      <c r="E2037" s="71"/>
      <c r="F2037" s="71"/>
      <c r="G2037" s="39"/>
      <c r="H2037" s="71"/>
    </row>
    <row r="2038">
      <c r="A2038" s="43" t="s">
        <v>348</v>
      </c>
      <c r="B2038" s="43" t="s">
        <v>325</v>
      </c>
      <c r="C2038" s="44">
        <f>COUNTA(A2039)</f>
        <v>1</v>
      </c>
      <c r="D2038" s="47">
        <f t="shared" ref="D2038:G2038" si="1150">SUM(D2039)</f>
        <v>4.99</v>
      </c>
      <c r="E2038" s="47">
        <f t="shared" si="1150"/>
        <v>4.99</v>
      </c>
      <c r="F2038" s="47">
        <f t="shared" si="1150"/>
        <v>0</v>
      </c>
      <c r="G2038" s="43">
        <f t="shared" si="1150"/>
        <v>1</v>
      </c>
      <c r="H2038" s="47">
        <f t="shared" ref="H2038:H2039" si="1151">E2038/G2038</f>
        <v>4.99</v>
      </c>
    </row>
    <row r="2039">
      <c r="A2039" s="39" t="s">
        <v>1067</v>
      </c>
      <c r="B2039" s="1"/>
      <c r="C2039" s="1"/>
      <c r="D2039" s="71">
        <v>4.99</v>
      </c>
      <c r="E2039" s="71">
        <v>4.99</v>
      </c>
      <c r="F2039" s="71">
        <f>D2039-E2039</f>
        <v>0</v>
      </c>
      <c r="G2039" s="39">
        <v>1.0</v>
      </c>
      <c r="H2039" s="71">
        <f t="shared" si="1151"/>
        <v>4.99</v>
      </c>
    </row>
    <row r="2040">
      <c r="A2040" s="72"/>
      <c r="B2040" s="1"/>
      <c r="C2040" s="1"/>
      <c r="D2040" s="71"/>
      <c r="E2040" s="71"/>
      <c r="F2040" s="71"/>
      <c r="G2040" s="39"/>
      <c r="H2040" s="71"/>
    </row>
    <row r="2041">
      <c r="A2041" s="43" t="s">
        <v>204</v>
      </c>
      <c r="B2041" s="43" t="s">
        <v>25</v>
      </c>
      <c r="C2041" s="44">
        <f>COUNTA(A2042)</f>
        <v>1</v>
      </c>
      <c r="D2041" s="47">
        <f t="shared" ref="D2041:G2041" si="1152">SUM(D2042)</f>
        <v>4.99</v>
      </c>
      <c r="E2041" s="47">
        <f t="shared" si="1152"/>
        <v>4.99</v>
      </c>
      <c r="F2041" s="47">
        <f t="shared" si="1152"/>
        <v>0</v>
      </c>
      <c r="G2041" s="43">
        <f t="shared" si="1152"/>
        <v>1</v>
      </c>
      <c r="H2041" s="47">
        <f t="shared" ref="H2041:H2042" si="1153">E2041/G2041</f>
        <v>4.99</v>
      </c>
    </row>
    <row r="2042">
      <c r="A2042" s="39" t="s">
        <v>804</v>
      </c>
      <c r="B2042" s="1"/>
      <c r="C2042" s="1"/>
      <c r="D2042" s="71">
        <v>4.99</v>
      </c>
      <c r="E2042" s="71">
        <v>4.99</v>
      </c>
      <c r="F2042" s="71">
        <f>D2042-E2042</f>
        <v>0</v>
      </c>
      <c r="G2042" s="72">
        <v>1.0</v>
      </c>
      <c r="H2042" s="71">
        <f t="shared" si="1153"/>
        <v>4.99</v>
      </c>
    </row>
    <row r="2043">
      <c r="A2043" s="72"/>
      <c r="B2043" s="1"/>
      <c r="C2043" s="1"/>
      <c r="D2043" s="71"/>
      <c r="E2043" s="71"/>
      <c r="F2043" s="71"/>
      <c r="G2043" s="39"/>
      <c r="H2043" s="71"/>
    </row>
    <row r="2044">
      <c r="A2044" s="43" t="s">
        <v>520</v>
      </c>
      <c r="B2044" s="69" t="s">
        <v>29</v>
      </c>
      <c r="C2044" s="44">
        <f>COUNTA(A2045)</f>
        <v>1</v>
      </c>
      <c r="D2044" s="47">
        <f t="shared" ref="D2044:G2044" si="1154">SUM(D2045)</f>
        <v>24.99</v>
      </c>
      <c r="E2044" s="47">
        <f t="shared" si="1154"/>
        <v>5</v>
      </c>
      <c r="F2044" s="47">
        <f t="shared" si="1154"/>
        <v>19.99</v>
      </c>
      <c r="G2044" s="43">
        <f t="shared" si="1154"/>
        <v>1</v>
      </c>
      <c r="H2044" s="47">
        <f t="shared" ref="H2044:H2045" si="1155">E2044/G2044</f>
        <v>5</v>
      </c>
    </row>
    <row r="2045">
      <c r="A2045" s="39" t="s">
        <v>1531</v>
      </c>
      <c r="B2045" s="1"/>
      <c r="C2045" s="1"/>
      <c r="D2045" s="71">
        <v>24.99</v>
      </c>
      <c r="E2045" s="71">
        <v>5.0</v>
      </c>
      <c r="F2045" s="71">
        <f>D2045-E2045</f>
        <v>19.99</v>
      </c>
      <c r="G2045" s="39">
        <v>1.0</v>
      </c>
      <c r="H2045" s="71">
        <f t="shared" si="1155"/>
        <v>5</v>
      </c>
    </row>
    <row r="2046">
      <c r="A2046" s="72"/>
      <c r="B2046" s="1"/>
      <c r="C2046" s="1"/>
      <c r="D2046" s="71"/>
      <c r="E2046" s="71"/>
      <c r="F2046" s="71"/>
      <c r="G2046" s="39"/>
      <c r="H2046" s="71"/>
    </row>
    <row r="2047">
      <c r="A2047" s="43" t="s">
        <v>601</v>
      </c>
      <c r="B2047" s="43" t="s">
        <v>29</v>
      </c>
      <c r="C2047" s="44">
        <f>COUNTA(A2048)</f>
        <v>1</v>
      </c>
      <c r="D2047" s="47">
        <f t="shared" ref="D2047:G2047" si="1156">SUM(D2048)</f>
        <v>39.99</v>
      </c>
      <c r="E2047" s="47">
        <f t="shared" si="1156"/>
        <v>5.99</v>
      </c>
      <c r="F2047" s="47">
        <f t="shared" si="1156"/>
        <v>34</v>
      </c>
      <c r="G2047" s="43">
        <f t="shared" si="1156"/>
        <v>1</v>
      </c>
      <c r="H2047" s="47">
        <f t="shared" ref="H2047:H2048" si="1157">E2047/G2047</f>
        <v>5.99</v>
      </c>
    </row>
    <row r="2048">
      <c r="A2048" s="39" t="s">
        <v>1589</v>
      </c>
      <c r="B2048" s="1"/>
      <c r="C2048" s="1"/>
      <c r="D2048" s="71">
        <v>39.99</v>
      </c>
      <c r="E2048" s="71">
        <v>5.99</v>
      </c>
      <c r="F2048" s="71">
        <f>D2048-E2048</f>
        <v>34</v>
      </c>
      <c r="G2048" s="39">
        <v>1.0</v>
      </c>
      <c r="H2048" s="71">
        <f t="shared" si="1157"/>
        <v>5.99</v>
      </c>
    </row>
    <row r="2049">
      <c r="A2049" s="72"/>
      <c r="B2049" s="1"/>
      <c r="C2049" s="1"/>
      <c r="D2049" s="71"/>
      <c r="E2049" s="71"/>
      <c r="F2049" s="71"/>
      <c r="G2049" s="39"/>
      <c r="H2049" s="71"/>
    </row>
    <row r="2050">
      <c r="A2050" s="246" t="s">
        <v>453</v>
      </c>
      <c r="B2050" s="246" t="s">
        <v>443</v>
      </c>
      <c r="C2050" s="493">
        <f>COUNTA(A2051)</f>
        <v>1</v>
      </c>
      <c r="D2050" s="248">
        <f t="shared" ref="D2050:G2050" si="1158">SUM(D2051)</f>
        <v>19.99</v>
      </c>
      <c r="E2050" s="248">
        <f t="shared" si="1158"/>
        <v>5.99</v>
      </c>
      <c r="F2050" s="248">
        <f t="shared" si="1158"/>
        <v>14</v>
      </c>
      <c r="G2050" s="246">
        <f t="shared" si="1158"/>
        <v>1</v>
      </c>
      <c r="H2050" s="248">
        <f t="shared" ref="H2050:H2051" si="1159">E2050/G2050</f>
        <v>5.99</v>
      </c>
    </row>
    <row r="2051">
      <c r="A2051" s="250" t="s">
        <v>1386</v>
      </c>
      <c r="B2051" s="494"/>
      <c r="C2051" s="494"/>
      <c r="D2051" s="253">
        <v>19.99</v>
      </c>
      <c r="E2051" s="253">
        <v>5.99</v>
      </c>
      <c r="F2051" s="253">
        <f>D2051-E2051</f>
        <v>14</v>
      </c>
      <c r="G2051" s="250">
        <v>1.0</v>
      </c>
      <c r="H2051" s="253">
        <f t="shared" si="1159"/>
        <v>5.99</v>
      </c>
    </row>
    <row r="2052">
      <c r="A2052" s="72"/>
      <c r="B2052" s="1"/>
      <c r="C2052" s="1"/>
      <c r="D2052" s="71"/>
      <c r="E2052" s="71"/>
      <c r="F2052" s="71"/>
      <c r="G2052" s="39"/>
      <c r="H2052" s="71"/>
    </row>
    <row r="2053">
      <c r="A2053" s="43" t="s">
        <v>131</v>
      </c>
      <c r="B2053" s="43" t="s">
        <v>92</v>
      </c>
      <c r="C2053" s="44">
        <f>COUNTA(A2054)</f>
        <v>1</v>
      </c>
      <c r="D2053" s="47">
        <f t="shared" ref="D2053:G2053" si="1160">SUM(D2054)</f>
        <v>14.99</v>
      </c>
      <c r="E2053" s="47">
        <f t="shared" si="1160"/>
        <v>5.99</v>
      </c>
      <c r="F2053" s="47">
        <f t="shared" si="1160"/>
        <v>9</v>
      </c>
      <c r="G2053" s="43">
        <f t="shared" si="1160"/>
        <v>1</v>
      </c>
      <c r="H2053" s="47">
        <f t="shared" ref="H2053:H2054" si="1161">E2053/G2053</f>
        <v>5.99</v>
      </c>
    </row>
    <row r="2054">
      <c r="A2054" s="39" t="s">
        <v>736</v>
      </c>
      <c r="B2054" s="37"/>
      <c r="C2054" s="37"/>
      <c r="D2054" s="71">
        <v>14.99</v>
      </c>
      <c r="E2054" s="71">
        <v>5.99</v>
      </c>
      <c r="F2054" s="71">
        <f>D2054-E2054</f>
        <v>9</v>
      </c>
      <c r="G2054" s="39">
        <v>1.0</v>
      </c>
      <c r="H2054" s="71">
        <f t="shared" si="1161"/>
        <v>5.99</v>
      </c>
    </row>
    <row r="2055">
      <c r="A2055" s="72"/>
      <c r="B2055" s="1"/>
      <c r="C2055" s="1"/>
      <c r="D2055" s="71"/>
      <c r="E2055" s="71"/>
      <c r="F2055" s="71"/>
      <c r="G2055" s="39"/>
      <c r="H2055" s="71"/>
    </row>
    <row r="2056">
      <c r="A2056" s="152" t="s">
        <v>479</v>
      </c>
      <c r="B2056" s="152" t="s">
        <v>455</v>
      </c>
      <c r="C2056" s="255">
        <f>COUNTA(A2057)</f>
        <v>1</v>
      </c>
      <c r="D2056" s="154">
        <f t="shared" ref="D2056:G2056" si="1162">SUM(D2057)</f>
        <v>14.99</v>
      </c>
      <c r="E2056" s="154">
        <f t="shared" si="1162"/>
        <v>5.99</v>
      </c>
      <c r="F2056" s="154">
        <f t="shared" si="1162"/>
        <v>9</v>
      </c>
      <c r="G2056" s="152">
        <f t="shared" si="1162"/>
        <v>1</v>
      </c>
      <c r="H2056" s="154">
        <f t="shared" ref="H2056:H2057" si="1163">E2056/G2056</f>
        <v>5.99</v>
      </c>
    </row>
    <row r="2057">
      <c r="A2057" s="156" t="s">
        <v>1428</v>
      </c>
      <c r="B2057" s="486"/>
      <c r="C2057" s="486"/>
      <c r="D2057" s="159">
        <v>14.99</v>
      </c>
      <c r="E2057" s="159">
        <v>5.99</v>
      </c>
      <c r="F2057" s="159">
        <f>D2057-E2057</f>
        <v>9</v>
      </c>
      <c r="G2057" s="156">
        <v>1.0</v>
      </c>
      <c r="H2057" s="159">
        <f t="shared" si="1163"/>
        <v>5.99</v>
      </c>
    </row>
    <row r="2058">
      <c r="A2058" s="72"/>
      <c r="B2058" s="1"/>
      <c r="C2058" s="1"/>
      <c r="D2058" s="71"/>
      <c r="E2058" s="71"/>
      <c r="F2058" s="71"/>
      <c r="G2058" s="39"/>
      <c r="H2058" s="71"/>
    </row>
    <row r="2059">
      <c r="A2059" s="246" t="s">
        <v>452</v>
      </c>
      <c r="B2059" s="246" t="s">
        <v>443</v>
      </c>
      <c r="C2059" s="493">
        <f>COUNTA(A2060)</f>
        <v>1</v>
      </c>
      <c r="D2059" s="248">
        <f t="shared" ref="D2059:G2059" si="1164">SUM(D2060)</f>
        <v>19.99</v>
      </c>
      <c r="E2059" s="248">
        <f t="shared" si="1164"/>
        <v>6.99</v>
      </c>
      <c r="F2059" s="248">
        <f t="shared" si="1164"/>
        <v>13</v>
      </c>
      <c r="G2059" s="246">
        <f t="shared" si="1164"/>
        <v>1</v>
      </c>
      <c r="H2059" s="248">
        <f t="shared" ref="H2059:H2060" si="1165">E2059/G2059</f>
        <v>6.99</v>
      </c>
    </row>
    <row r="2060">
      <c r="A2060" s="250" t="s">
        <v>1391</v>
      </c>
      <c r="B2060" s="494"/>
      <c r="C2060" s="494"/>
      <c r="D2060" s="253">
        <v>19.99</v>
      </c>
      <c r="E2060" s="253">
        <v>6.99</v>
      </c>
      <c r="F2060" s="253">
        <f>D2060-E2060</f>
        <v>13</v>
      </c>
      <c r="G2060" s="250">
        <v>1.0</v>
      </c>
      <c r="H2060" s="253">
        <f t="shared" si="1165"/>
        <v>6.99</v>
      </c>
    </row>
    <row r="2061">
      <c r="A2061" s="72"/>
      <c r="B2061" s="1"/>
      <c r="C2061" s="1"/>
      <c r="D2061" s="71"/>
      <c r="E2061" s="71"/>
      <c r="F2061" s="71"/>
      <c r="G2061" s="39"/>
      <c r="H2061" s="71"/>
    </row>
    <row r="2062">
      <c r="A2062" s="102" t="s">
        <v>292</v>
      </c>
      <c r="B2062" s="102" t="s">
        <v>291</v>
      </c>
      <c r="C2062" s="103">
        <f>COUNTA(A2063)</f>
        <v>1</v>
      </c>
      <c r="D2062" s="170">
        <f t="shared" ref="D2062:G2062" si="1166">SUM(D2063)</f>
        <v>9.99</v>
      </c>
      <c r="E2062" s="170">
        <f t="shared" si="1166"/>
        <v>6.99</v>
      </c>
      <c r="F2062" s="170">
        <f t="shared" si="1166"/>
        <v>3</v>
      </c>
      <c r="G2062" s="102">
        <f t="shared" si="1166"/>
        <v>1</v>
      </c>
      <c r="H2062" s="170">
        <f t="shared" ref="H2062:H2063" si="1167">E2062/G2062</f>
        <v>6.99</v>
      </c>
    </row>
    <row r="2063">
      <c r="A2063" s="35" t="s">
        <v>1037</v>
      </c>
      <c r="B2063" s="1"/>
      <c r="C2063" s="1"/>
      <c r="D2063" s="26">
        <v>9.99</v>
      </c>
      <c r="E2063" s="26">
        <v>6.99</v>
      </c>
      <c r="F2063" s="26">
        <f>D2063-E2063</f>
        <v>3</v>
      </c>
      <c r="G2063" s="25">
        <v>1.0</v>
      </c>
      <c r="H2063" s="26">
        <f t="shared" si="1167"/>
        <v>6.99</v>
      </c>
    </row>
    <row r="2064">
      <c r="A2064" s="72"/>
      <c r="B2064" s="1"/>
      <c r="C2064" s="1"/>
      <c r="D2064" s="71"/>
      <c r="E2064" s="71"/>
      <c r="F2064" s="71"/>
      <c r="G2064" s="39"/>
      <c r="H2064" s="71"/>
    </row>
    <row r="2065">
      <c r="A2065" s="174" t="s">
        <v>322</v>
      </c>
      <c r="B2065" s="174" t="s">
        <v>318</v>
      </c>
      <c r="C2065" s="476">
        <f>COUNTA(A2066)</f>
        <v>1</v>
      </c>
      <c r="D2065" s="176">
        <f t="shared" ref="D2065:G2065" si="1168">SUM(D2066)</f>
        <v>9.99</v>
      </c>
      <c r="E2065" s="176">
        <f t="shared" si="1168"/>
        <v>6.99</v>
      </c>
      <c r="F2065" s="176">
        <f t="shared" si="1168"/>
        <v>3</v>
      </c>
      <c r="G2065" s="174">
        <f t="shared" si="1168"/>
        <v>1</v>
      </c>
      <c r="H2065" s="176">
        <f t="shared" ref="H2065:H2066" si="1169">E2065/G2065</f>
        <v>6.99</v>
      </c>
    </row>
    <row r="2066">
      <c r="A2066" s="533" t="s">
        <v>1058</v>
      </c>
      <c r="B2066" s="534"/>
      <c r="C2066" s="534"/>
      <c r="D2066" s="535">
        <v>9.99</v>
      </c>
      <c r="E2066" s="535">
        <v>6.99</v>
      </c>
      <c r="F2066" s="535">
        <f>D2066-E2066</f>
        <v>3</v>
      </c>
      <c r="G2066" s="536">
        <v>1.0</v>
      </c>
      <c r="H2066" s="535">
        <f t="shared" si="1169"/>
        <v>6.99</v>
      </c>
    </row>
    <row r="2067">
      <c r="A2067" s="72"/>
      <c r="B2067" s="1"/>
      <c r="C2067" s="1"/>
      <c r="D2067" s="71"/>
      <c r="E2067" s="71"/>
      <c r="F2067" s="71"/>
      <c r="G2067" s="39"/>
      <c r="H2067" s="71"/>
    </row>
    <row r="2068">
      <c r="A2068" s="43" t="s">
        <v>132</v>
      </c>
      <c r="B2068" s="43" t="s">
        <v>92</v>
      </c>
      <c r="C2068" s="44">
        <f>COUNTA(A2069)</f>
        <v>1</v>
      </c>
      <c r="D2068" s="47">
        <f t="shared" ref="D2068:G2068" si="1170">SUM(D2069)</f>
        <v>14.99</v>
      </c>
      <c r="E2068" s="47">
        <f t="shared" si="1170"/>
        <v>7.49</v>
      </c>
      <c r="F2068" s="47">
        <f t="shared" si="1170"/>
        <v>7.5</v>
      </c>
      <c r="G2068" s="43">
        <f t="shared" si="1170"/>
        <v>1</v>
      </c>
      <c r="H2068" s="47">
        <f t="shared" ref="H2068:H2069" si="1171">E2068/G2068</f>
        <v>7.49</v>
      </c>
    </row>
    <row r="2069">
      <c r="A2069" s="39" t="s">
        <v>765</v>
      </c>
      <c r="B2069" s="37"/>
      <c r="C2069" s="37"/>
      <c r="D2069" s="71">
        <v>14.99</v>
      </c>
      <c r="E2069" s="71">
        <v>7.49</v>
      </c>
      <c r="F2069" s="71">
        <f>D2069-E2069</f>
        <v>7.5</v>
      </c>
      <c r="G2069" s="39">
        <v>1.0</v>
      </c>
      <c r="H2069" s="71">
        <f t="shared" si="1171"/>
        <v>7.49</v>
      </c>
    </row>
    <row r="2070">
      <c r="A2070" s="72"/>
      <c r="B2070" s="1"/>
      <c r="C2070" s="1"/>
      <c r="D2070" s="71"/>
      <c r="E2070" s="71"/>
      <c r="F2070" s="71"/>
      <c r="G2070" s="39"/>
      <c r="H2070" s="71"/>
    </row>
    <row r="2071">
      <c r="A2071" s="246" t="s">
        <v>447</v>
      </c>
      <c r="B2071" s="246" t="s">
        <v>443</v>
      </c>
      <c r="C2071" s="493">
        <f>COUNTA(A2072)</f>
        <v>1</v>
      </c>
      <c r="D2071" s="248">
        <f t="shared" ref="D2071:G2071" si="1172">SUM(D2072)</f>
        <v>39.99</v>
      </c>
      <c r="E2071" s="248">
        <f t="shared" si="1172"/>
        <v>7.99</v>
      </c>
      <c r="F2071" s="248">
        <f t="shared" si="1172"/>
        <v>32</v>
      </c>
      <c r="G2071" s="246">
        <f t="shared" si="1172"/>
        <v>1</v>
      </c>
      <c r="H2071" s="248">
        <f t="shared" ref="H2071:H2072" si="1173">E2071/G2071</f>
        <v>7.99</v>
      </c>
    </row>
    <row r="2072">
      <c r="A2072" s="250" t="s">
        <v>1384</v>
      </c>
      <c r="B2072" s="526"/>
      <c r="C2072" s="526"/>
      <c r="D2072" s="253">
        <v>39.99</v>
      </c>
      <c r="E2072" s="253">
        <v>7.99</v>
      </c>
      <c r="F2072" s="253">
        <f>D2072-E2072</f>
        <v>32</v>
      </c>
      <c r="G2072" s="250">
        <v>1.0</v>
      </c>
      <c r="H2072" s="253">
        <f t="shared" si="1173"/>
        <v>7.99</v>
      </c>
    </row>
    <row r="2073">
      <c r="A2073" s="72"/>
      <c r="B2073" s="1"/>
      <c r="C2073" s="1"/>
      <c r="D2073" s="71"/>
      <c r="E2073" s="71"/>
      <c r="F2073" s="71"/>
      <c r="G2073" s="39"/>
      <c r="H2073" s="71"/>
    </row>
    <row r="2074">
      <c r="A2074" s="152" t="s">
        <v>457</v>
      </c>
      <c r="B2074" s="152" t="s">
        <v>455</v>
      </c>
      <c r="C2074" s="255">
        <f>COUNTA(A2075)</f>
        <v>1</v>
      </c>
      <c r="D2074" s="154">
        <f t="shared" ref="D2074:G2074" si="1174">SUM(D2075)</f>
        <v>19.99</v>
      </c>
      <c r="E2074" s="154">
        <f t="shared" si="1174"/>
        <v>7.99</v>
      </c>
      <c r="F2074" s="154">
        <f t="shared" si="1174"/>
        <v>12</v>
      </c>
      <c r="G2074" s="152">
        <f t="shared" si="1174"/>
        <v>1</v>
      </c>
      <c r="H2074" s="154">
        <f t="shared" ref="H2074:H2075" si="1175">E2074/G2074</f>
        <v>7.99</v>
      </c>
    </row>
    <row r="2075">
      <c r="A2075" s="156" t="s">
        <v>1409</v>
      </c>
      <c r="B2075" s="480"/>
      <c r="C2075" s="480"/>
      <c r="D2075" s="159">
        <v>19.99</v>
      </c>
      <c r="E2075" s="159">
        <v>7.99</v>
      </c>
      <c r="F2075" s="159">
        <f>D2075-E2075</f>
        <v>12</v>
      </c>
      <c r="G2075" s="156">
        <v>1.0</v>
      </c>
      <c r="H2075" s="159">
        <f t="shared" si="1175"/>
        <v>7.99</v>
      </c>
    </row>
    <row r="2076">
      <c r="A2076" s="72"/>
      <c r="B2076" s="1"/>
      <c r="C2076" s="1"/>
      <c r="D2076" s="71"/>
      <c r="E2076" s="71"/>
      <c r="F2076" s="71"/>
      <c r="G2076" s="39"/>
      <c r="H2076" s="71"/>
    </row>
    <row r="2077">
      <c r="A2077" s="104" t="s">
        <v>70</v>
      </c>
      <c r="B2077" s="104" t="s">
        <v>57</v>
      </c>
      <c r="C2077" s="243">
        <f>COUNTA(A2078)</f>
        <v>1</v>
      </c>
      <c r="D2077" s="492">
        <v>19.99</v>
      </c>
      <c r="E2077" s="492">
        <v>7.99</v>
      </c>
      <c r="F2077" s="492">
        <f t="shared" ref="F2077:F2078" si="1176">D2077-E2077</f>
        <v>12</v>
      </c>
      <c r="G2077" s="243">
        <f>SUM(G2078)</f>
        <v>1</v>
      </c>
      <c r="H2077" s="492">
        <f t="shared" ref="H2077:H2078" si="1177">E2077/G2077</f>
        <v>7.99</v>
      </c>
    </row>
    <row r="2078">
      <c r="A2078" s="108" t="s">
        <v>651</v>
      </c>
      <c r="B2078" s="475"/>
      <c r="C2078" s="475"/>
      <c r="D2078" s="111">
        <v>19.99</v>
      </c>
      <c r="E2078" s="111">
        <v>7.99</v>
      </c>
      <c r="F2078" s="111">
        <f t="shared" si="1176"/>
        <v>12</v>
      </c>
      <c r="G2078" s="109">
        <v>1.0</v>
      </c>
      <c r="H2078" s="111">
        <f t="shared" si="1177"/>
        <v>7.99</v>
      </c>
    </row>
    <row r="2079">
      <c r="A2079" s="72"/>
      <c r="B2079" s="1"/>
      <c r="C2079" s="1"/>
      <c r="D2079" s="71"/>
      <c r="E2079" s="71"/>
      <c r="F2079" s="71"/>
      <c r="G2079" s="39"/>
      <c r="H2079" s="71"/>
    </row>
    <row r="2080">
      <c r="A2080" s="213" t="s">
        <v>144</v>
      </c>
      <c r="B2080" s="485" t="s">
        <v>141</v>
      </c>
      <c r="C2080" s="485">
        <f>COUNTA(A2081)</f>
        <v>1</v>
      </c>
      <c r="D2080" s="215">
        <f t="shared" ref="D2080:G2080" si="1178">SUM(D2081)</f>
        <v>19.99</v>
      </c>
      <c r="E2080" s="215">
        <f t="shared" si="1178"/>
        <v>7.99</v>
      </c>
      <c r="F2080" s="215">
        <f t="shared" si="1178"/>
        <v>12</v>
      </c>
      <c r="G2080" s="213">
        <f t="shared" si="1178"/>
        <v>1</v>
      </c>
      <c r="H2080" s="215">
        <f t="shared" ref="H2080:H2081" si="1179">E2080/G2080</f>
        <v>7.99</v>
      </c>
    </row>
    <row r="2081">
      <c r="A2081" s="218" t="s">
        <v>771</v>
      </c>
      <c r="B2081" s="1"/>
      <c r="C2081" s="1"/>
      <c r="D2081" s="220">
        <v>19.99</v>
      </c>
      <c r="E2081" s="220">
        <v>7.99</v>
      </c>
      <c r="F2081" s="220">
        <f>D2081-E2081</f>
        <v>12</v>
      </c>
      <c r="G2081" s="217">
        <v>1.0</v>
      </c>
      <c r="H2081" s="220">
        <f t="shared" si="1179"/>
        <v>7.99</v>
      </c>
    </row>
    <row r="2082">
      <c r="A2082" s="72"/>
      <c r="B2082" s="1"/>
      <c r="C2082" s="1"/>
      <c r="D2082" s="71"/>
      <c r="E2082" s="71"/>
      <c r="F2082" s="71"/>
      <c r="G2082" s="39"/>
      <c r="H2082" s="71"/>
    </row>
    <row r="2083">
      <c r="A2083" s="117" t="s">
        <v>82</v>
      </c>
      <c r="B2083" s="117" t="s">
        <v>83</v>
      </c>
      <c r="C2083" s="530">
        <f>COUNTA(A2084)</f>
        <v>1</v>
      </c>
      <c r="D2083" s="119">
        <f t="shared" ref="D2083:G2083" si="1180">SUM(D2084)</f>
        <v>19.99</v>
      </c>
      <c r="E2083" s="119">
        <f t="shared" si="1180"/>
        <v>7.99</v>
      </c>
      <c r="F2083" s="119">
        <f t="shared" si="1180"/>
        <v>12</v>
      </c>
      <c r="G2083" s="117">
        <f t="shared" si="1180"/>
        <v>1</v>
      </c>
      <c r="H2083" s="119">
        <f t="shared" ref="H2083:H2084" si="1181">E2083/G2083</f>
        <v>7.99</v>
      </c>
    </row>
    <row r="2084">
      <c r="A2084" s="200" t="s">
        <v>677</v>
      </c>
      <c r="B2084" s="1"/>
      <c r="C2084" s="1"/>
      <c r="D2084" s="199">
        <v>19.99</v>
      </c>
      <c r="E2084" s="199">
        <v>7.99</v>
      </c>
      <c r="F2084" s="199">
        <f>D2084-E2084</f>
        <v>12</v>
      </c>
      <c r="G2084" s="196">
        <v>1.0</v>
      </c>
      <c r="H2084" s="199">
        <f t="shared" si="1181"/>
        <v>7.99</v>
      </c>
    </row>
    <row r="2085">
      <c r="A2085" s="72"/>
      <c r="B2085" s="1"/>
      <c r="C2085" s="1"/>
      <c r="D2085" s="71"/>
      <c r="E2085" s="71"/>
      <c r="F2085" s="71"/>
      <c r="G2085" s="39"/>
      <c r="H2085" s="71"/>
    </row>
    <row r="2086">
      <c r="A2086" s="43" t="s">
        <v>617</v>
      </c>
      <c r="B2086" s="43" t="s">
        <v>29</v>
      </c>
      <c r="C2086" s="44">
        <f>COUNTA(A2087)</f>
        <v>1</v>
      </c>
      <c r="D2086" s="47">
        <f t="shared" ref="D2086:G2086" si="1182">SUM(D2087)</f>
        <v>17.99</v>
      </c>
      <c r="E2086" s="47">
        <f t="shared" si="1182"/>
        <v>7.99</v>
      </c>
      <c r="F2086" s="47">
        <f t="shared" si="1182"/>
        <v>10</v>
      </c>
      <c r="G2086" s="43">
        <f t="shared" si="1182"/>
        <v>1</v>
      </c>
      <c r="H2086" s="47">
        <f t="shared" ref="H2086:H2087" si="1183">E2086/G2086</f>
        <v>7.99</v>
      </c>
    </row>
    <row r="2087">
      <c r="A2087" s="39" t="s">
        <v>1723</v>
      </c>
      <c r="B2087" s="1"/>
      <c r="C2087" s="1"/>
      <c r="D2087" s="71">
        <v>17.99</v>
      </c>
      <c r="E2087" s="71">
        <v>7.99</v>
      </c>
      <c r="F2087" s="71">
        <f>D2087-E2087</f>
        <v>10</v>
      </c>
      <c r="G2087" s="39">
        <v>1.0</v>
      </c>
      <c r="H2087" s="71">
        <f t="shared" si="1183"/>
        <v>7.99</v>
      </c>
    </row>
    <row r="2088">
      <c r="A2088" s="72"/>
      <c r="B2088" s="1"/>
      <c r="C2088" s="1"/>
      <c r="D2088" s="71"/>
      <c r="E2088" s="71"/>
      <c r="F2088" s="71"/>
      <c r="G2088" s="39"/>
      <c r="H2088" s="71"/>
    </row>
    <row r="2089">
      <c r="A2089" s="43" t="s">
        <v>346</v>
      </c>
      <c r="B2089" s="43" t="s">
        <v>325</v>
      </c>
      <c r="C2089" s="44">
        <f>COUNTA(A2090)</f>
        <v>1</v>
      </c>
      <c r="D2089" s="47">
        <f t="shared" ref="D2089:G2089" si="1184">SUM(D2090)</f>
        <v>15.99</v>
      </c>
      <c r="E2089" s="47">
        <f t="shared" si="1184"/>
        <v>7.99</v>
      </c>
      <c r="F2089" s="47">
        <f t="shared" si="1184"/>
        <v>8</v>
      </c>
      <c r="G2089" s="43">
        <f t="shared" si="1184"/>
        <v>1</v>
      </c>
      <c r="H2089" s="47">
        <f t="shared" ref="H2089:H2090" si="1185">E2089/G2089</f>
        <v>7.99</v>
      </c>
    </row>
    <row r="2090">
      <c r="A2090" s="390" t="s">
        <v>1074</v>
      </c>
      <c r="B2090" s="1"/>
      <c r="C2090" s="1"/>
      <c r="D2090" s="165">
        <v>15.99</v>
      </c>
      <c r="E2090" s="71">
        <v>7.99</v>
      </c>
      <c r="F2090" s="71">
        <f>D2090-E2090</f>
        <v>8</v>
      </c>
      <c r="G2090" s="39">
        <v>1.0</v>
      </c>
      <c r="H2090" s="71">
        <f t="shared" si="1185"/>
        <v>7.99</v>
      </c>
    </row>
    <row r="2091">
      <c r="A2091" s="72"/>
      <c r="B2091" s="1"/>
      <c r="C2091" s="1"/>
      <c r="D2091" s="71"/>
      <c r="E2091" s="71"/>
      <c r="F2091" s="71"/>
      <c r="G2091" s="39"/>
      <c r="H2091" s="71"/>
    </row>
    <row r="2092">
      <c r="A2092" s="43" t="s">
        <v>327</v>
      </c>
      <c r="B2092" s="43" t="s">
        <v>325</v>
      </c>
      <c r="C2092" s="44">
        <f>COUNTA(A2093)</f>
        <v>1</v>
      </c>
      <c r="D2092" s="47">
        <f t="shared" ref="D2092:G2092" si="1186">SUM(D2093)</f>
        <v>7.99</v>
      </c>
      <c r="E2092" s="47">
        <f t="shared" si="1186"/>
        <v>7.99</v>
      </c>
      <c r="F2092" s="47">
        <f t="shared" si="1186"/>
        <v>0</v>
      </c>
      <c r="G2092" s="43">
        <f t="shared" si="1186"/>
        <v>1</v>
      </c>
      <c r="H2092" s="47">
        <f t="shared" ref="H2092:H2093" si="1187">E2092/G2092</f>
        <v>7.99</v>
      </c>
    </row>
    <row r="2093">
      <c r="A2093" s="39" t="s">
        <v>1155</v>
      </c>
      <c r="B2093" s="1"/>
      <c r="C2093" s="1"/>
      <c r="D2093" s="71">
        <v>7.99</v>
      </c>
      <c r="E2093" s="71">
        <v>7.99</v>
      </c>
      <c r="F2093" s="71">
        <f>D2093-E2093</f>
        <v>0</v>
      </c>
      <c r="G2093" s="39">
        <v>1.0</v>
      </c>
      <c r="H2093" s="71">
        <f t="shared" si="1187"/>
        <v>7.99</v>
      </c>
    </row>
    <row r="2094">
      <c r="A2094" s="72"/>
      <c r="B2094" s="1"/>
      <c r="C2094" s="1"/>
      <c r="D2094" s="71"/>
      <c r="E2094" s="71"/>
      <c r="F2094" s="71"/>
      <c r="G2094" s="39"/>
      <c r="H2094" s="71"/>
    </row>
    <row r="2095">
      <c r="A2095" s="43" t="s">
        <v>618</v>
      </c>
      <c r="B2095" s="43" t="s">
        <v>29</v>
      </c>
      <c r="C2095" s="44">
        <f>COUNTA(A2096)</f>
        <v>1</v>
      </c>
      <c r="D2095" s="47">
        <f t="shared" ref="D2095:G2095" si="1188">SUM(D2096)</f>
        <v>36.99</v>
      </c>
      <c r="E2095" s="47">
        <f t="shared" si="1188"/>
        <v>8.44</v>
      </c>
      <c r="F2095" s="47">
        <f t="shared" si="1188"/>
        <v>28.55</v>
      </c>
      <c r="G2095" s="43">
        <f t="shared" si="1188"/>
        <v>1</v>
      </c>
      <c r="H2095" s="47">
        <f t="shared" ref="H2095:H2096" si="1189">E2095/G2095</f>
        <v>8.44</v>
      </c>
    </row>
    <row r="2096">
      <c r="A2096" s="39" t="s">
        <v>1596</v>
      </c>
      <c r="B2096" s="1"/>
      <c r="C2096" s="1"/>
      <c r="D2096" s="71">
        <v>36.99</v>
      </c>
      <c r="E2096" s="71">
        <v>8.44</v>
      </c>
      <c r="F2096" s="71">
        <f>D2096-E2096</f>
        <v>28.55</v>
      </c>
      <c r="G2096" s="39">
        <v>1.0</v>
      </c>
      <c r="H2096" s="71">
        <f t="shared" si="1189"/>
        <v>8.44</v>
      </c>
    </row>
    <row r="2097">
      <c r="A2097" s="72"/>
      <c r="B2097" s="1"/>
      <c r="C2097" s="1"/>
      <c r="D2097" s="71"/>
      <c r="E2097" s="71"/>
      <c r="F2097" s="71"/>
      <c r="G2097" s="39"/>
      <c r="H2097" s="71"/>
    </row>
    <row r="2098">
      <c r="A2098" s="43" t="s">
        <v>158</v>
      </c>
      <c r="B2098" s="43" t="s">
        <v>159</v>
      </c>
      <c r="C2098" s="44">
        <f>COUNTA(A2099)</f>
        <v>1</v>
      </c>
      <c r="D2098" s="47">
        <f t="shared" ref="D2098:G2098" si="1190">SUM(D2099)</f>
        <v>22.98</v>
      </c>
      <c r="E2098" s="47">
        <f t="shared" si="1190"/>
        <v>8.98</v>
      </c>
      <c r="F2098" s="47">
        <f t="shared" si="1190"/>
        <v>14</v>
      </c>
      <c r="G2098" s="43">
        <f t="shared" si="1190"/>
        <v>1</v>
      </c>
      <c r="H2098" s="47">
        <f t="shared" ref="H2098:H2099" si="1191">E2098/G2098</f>
        <v>8.98</v>
      </c>
    </row>
    <row r="2099">
      <c r="A2099" s="39" t="s">
        <v>787</v>
      </c>
      <c r="B2099" s="1"/>
      <c r="C2099" s="1"/>
      <c r="D2099" s="71">
        <v>22.98</v>
      </c>
      <c r="E2099" s="71">
        <v>8.98</v>
      </c>
      <c r="F2099" s="71">
        <f>D2099-E2099</f>
        <v>14</v>
      </c>
      <c r="G2099" s="39">
        <v>1.0</v>
      </c>
      <c r="H2099" s="71">
        <f t="shared" si="1191"/>
        <v>8.98</v>
      </c>
    </row>
    <row r="2100">
      <c r="A2100" s="72"/>
      <c r="B2100" s="1"/>
      <c r="C2100" s="1"/>
      <c r="D2100" s="71"/>
      <c r="E2100" s="71"/>
      <c r="F2100" s="71"/>
      <c r="G2100" s="39"/>
      <c r="H2100" s="71"/>
    </row>
    <row r="2101">
      <c r="A2101" s="43" t="s">
        <v>621</v>
      </c>
      <c r="B2101" s="43" t="s">
        <v>29</v>
      </c>
      <c r="C2101" s="44">
        <f>COUNTA(A2102)</f>
        <v>1</v>
      </c>
      <c r="D2101" s="47">
        <f t="shared" ref="D2101:G2101" si="1192">SUM(D2102)</f>
        <v>14.99</v>
      </c>
      <c r="E2101" s="47">
        <f t="shared" si="1192"/>
        <v>8.99</v>
      </c>
      <c r="F2101" s="47">
        <f t="shared" si="1192"/>
        <v>6</v>
      </c>
      <c r="G2101" s="43">
        <f t="shared" si="1192"/>
        <v>1</v>
      </c>
      <c r="H2101" s="47">
        <f t="shared" ref="H2101:H2102" si="1193">E2101/G2101</f>
        <v>8.99</v>
      </c>
    </row>
    <row r="2102">
      <c r="A2102" s="39" t="s">
        <v>1582</v>
      </c>
      <c r="B2102" s="1"/>
      <c r="C2102" s="1"/>
      <c r="D2102" s="71">
        <v>14.99</v>
      </c>
      <c r="E2102" s="71">
        <v>8.99</v>
      </c>
      <c r="F2102" s="71">
        <f>D2102-E2102</f>
        <v>6</v>
      </c>
      <c r="G2102" s="39">
        <v>1.0</v>
      </c>
      <c r="H2102" s="71">
        <f t="shared" si="1193"/>
        <v>8.99</v>
      </c>
    </row>
    <row r="2103">
      <c r="A2103" s="72"/>
      <c r="B2103" s="1"/>
      <c r="C2103" s="1"/>
      <c r="D2103" s="71"/>
      <c r="E2103" s="71"/>
      <c r="F2103" s="71"/>
      <c r="G2103" s="39"/>
      <c r="H2103" s="71"/>
    </row>
    <row r="2104">
      <c r="A2104" s="246" t="s">
        <v>446</v>
      </c>
      <c r="B2104" s="246" t="s">
        <v>443</v>
      </c>
      <c r="C2104" s="493">
        <f>COUNTA(A2105)</f>
        <v>1</v>
      </c>
      <c r="D2104" s="248">
        <f t="shared" ref="D2104:G2104" si="1194">SUM(D2105)</f>
        <v>12.99</v>
      </c>
      <c r="E2104" s="248">
        <f t="shared" si="1194"/>
        <v>9.09</v>
      </c>
      <c r="F2104" s="248">
        <f t="shared" si="1194"/>
        <v>3.9</v>
      </c>
      <c r="G2104" s="246">
        <f t="shared" si="1194"/>
        <v>1</v>
      </c>
      <c r="H2104" s="248">
        <f t="shared" ref="H2104:H2105" si="1195">E2104/G2104</f>
        <v>9.09</v>
      </c>
    </row>
    <row r="2105">
      <c r="A2105" s="250" t="s">
        <v>1389</v>
      </c>
      <c r="B2105" s="526"/>
      <c r="C2105" s="526"/>
      <c r="D2105" s="253">
        <v>12.99</v>
      </c>
      <c r="E2105" s="253">
        <v>9.09</v>
      </c>
      <c r="F2105" s="253">
        <f>D2105-E2105</f>
        <v>3.9</v>
      </c>
      <c r="G2105" s="250">
        <v>1.0</v>
      </c>
      <c r="H2105" s="253">
        <f t="shared" si="1195"/>
        <v>9.09</v>
      </c>
    </row>
    <row r="2106">
      <c r="A2106" s="72"/>
      <c r="B2106" s="1"/>
      <c r="C2106" s="1"/>
      <c r="D2106" s="71"/>
      <c r="E2106" s="71"/>
      <c r="F2106" s="71"/>
      <c r="G2106" s="39"/>
      <c r="H2106" s="71"/>
    </row>
    <row r="2107">
      <c r="A2107" s="43" t="s">
        <v>249</v>
      </c>
      <c r="B2107" s="43" t="s">
        <v>25</v>
      </c>
      <c r="C2107" s="44">
        <f>COUNTA(A2108)</f>
        <v>1</v>
      </c>
      <c r="D2107" s="47">
        <f t="shared" ref="D2107:G2107" si="1196">SUM(D2108)</f>
        <v>24.99</v>
      </c>
      <c r="E2107" s="47">
        <f t="shared" si="1196"/>
        <v>9.99</v>
      </c>
      <c r="F2107" s="47">
        <f t="shared" si="1196"/>
        <v>15</v>
      </c>
      <c r="G2107" s="43">
        <f t="shared" si="1196"/>
        <v>1</v>
      </c>
      <c r="H2107" s="47">
        <f t="shared" ref="H2107:H2108" si="1197">E2107/G2107</f>
        <v>9.99</v>
      </c>
    </row>
    <row r="2108">
      <c r="A2108" s="39" t="s">
        <v>968</v>
      </c>
      <c r="B2108" s="1"/>
      <c r="C2108" s="1"/>
      <c r="D2108" s="71">
        <v>24.99</v>
      </c>
      <c r="E2108" s="71">
        <v>9.99</v>
      </c>
      <c r="F2108" s="71">
        <f>D2108-E2108</f>
        <v>15</v>
      </c>
      <c r="G2108" s="39">
        <v>1.0</v>
      </c>
      <c r="H2108" s="71">
        <f t="shared" si="1197"/>
        <v>9.99</v>
      </c>
    </row>
    <row r="2109">
      <c r="A2109" s="72"/>
      <c r="B2109" s="1"/>
      <c r="C2109" s="1"/>
      <c r="D2109" s="71"/>
      <c r="E2109" s="71"/>
      <c r="F2109" s="71"/>
      <c r="G2109" s="39"/>
      <c r="H2109" s="71"/>
    </row>
    <row r="2110">
      <c r="A2110" s="43" t="s">
        <v>250</v>
      </c>
      <c r="B2110" s="43" t="s">
        <v>25</v>
      </c>
      <c r="C2110" s="44">
        <f>COUNTA(A2111)</f>
        <v>1</v>
      </c>
      <c r="D2110" s="47">
        <f t="shared" ref="D2110:G2110" si="1198">SUM(D2111)</f>
        <v>19.99</v>
      </c>
      <c r="E2110" s="47">
        <f t="shared" si="1198"/>
        <v>9.99</v>
      </c>
      <c r="F2110" s="47">
        <f t="shared" si="1198"/>
        <v>10</v>
      </c>
      <c r="G2110" s="43">
        <f t="shared" si="1198"/>
        <v>1</v>
      </c>
      <c r="H2110" s="47">
        <f t="shared" ref="H2110:H2111" si="1199">E2110/G2110</f>
        <v>9.99</v>
      </c>
    </row>
    <row r="2111">
      <c r="A2111" s="72" t="s">
        <v>959</v>
      </c>
      <c r="B2111" s="1"/>
      <c r="C2111" s="1"/>
      <c r="D2111" s="71">
        <v>19.99</v>
      </c>
      <c r="E2111" s="71">
        <v>9.99</v>
      </c>
      <c r="F2111" s="71">
        <f>D2111-E2111</f>
        <v>10</v>
      </c>
      <c r="G2111" s="39">
        <v>1.0</v>
      </c>
      <c r="H2111" s="71">
        <f t="shared" si="1199"/>
        <v>9.99</v>
      </c>
    </row>
    <row r="2112">
      <c r="A2112" s="72"/>
      <c r="B2112" s="1"/>
      <c r="C2112" s="1"/>
      <c r="D2112" s="71"/>
      <c r="E2112" s="71"/>
      <c r="F2112" s="71"/>
      <c r="G2112" s="39"/>
      <c r="H2112" s="71"/>
    </row>
    <row r="2113">
      <c r="A2113" s="43" t="s">
        <v>550</v>
      </c>
      <c r="B2113" s="69" t="s">
        <v>29</v>
      </c>
      <c r="C2113" s="44">
        <f>COUNTA(A2114)</f>
        <v>1</v>
      </c>
      <c r="D2113" s="47">
        <f t="shared" ref="D2113:G2113" si="1200">SUM(D2114)</f>
        <v>9.99</v>
      </c>
      <c r="E2113" s="47">
        <f t="shared" si="1200"/>
        <v>9.99</v>
      </c>
      <c r="F2113" s="47">
        <f t="shared" si="1200"/>
        <v>0</v>
      </c>
      <c r="G2113" s="43">
        <f t="shared" si="1200"/>
        <v>1</v>
      </c>
      <c r="H2113" s="47">
        <f t="shared" ref="H2113:H2114" si="1201">E2113/G2113</f>
        <v>9.99</v>
      </c>
    </row>
    <row r="2114">
      <c r="A2114" s="72" t="s">
        <v>1464</v>
      </c>
      <c r="B2114" s="1"/>
      <c r="C2114" s="1"/>
      <c r="D2114" s="71">
        <v>9.99</v>
      </c>
      <c r="E2114" s="71">
        <v>9.99</v>
      </c>
      <c r="F2114" s="71">
        <f>D2114-E2114</f>
        <v>0</v>
      </c>
      <c r="G2114" s="39">
        <v>1.0</v>
      </c>
      <c r="H2114" s="71">
        <f t="shared" si="1201"/>
        <v>9.99</v>
      </c>
    </row>
    <row r="2115">
      <c r="A2115" s="72"/>
      <c r="B2115" s="1"/>
      <c r="C2115" s="1"/>
      <c r="D2115" s="71"/>
      <c r="E2115" s="71"/>
      <c r="F2115" s="71"/>
      <c r="G2115" s="39"/>
      <c r="H2115" s="71"/>
    </row>
    <row r="2116">
      <c r="A2116" s="43" t="s">
        <v>575</v>
      </c>
      <c r="B2116" s="43" t="s">
        <v>29</v>
      </c>
      <c r="C2116" s="44">
        <f>COUNTA(A2117)</f>
        <v>1</v>
      </c>
      <c r="D2116" s="47">
        <f t="shared" ref="D2116:G2116" si="1202">SUM(D2117)</f>
        <v>9.99</v>
      </c>
      <c r="E2116" s="47">
        <f t="shared" si="1202"/>
        <v>9.99</v>
      </c>
      <c r="F2116" s="47">
        <f t="shared" si="1202"/>
        <v>0</v>
      </c>
      <c r="G2116" s="43">
        <f t="shared" si="1202"/>
        <v>1</v>
      </c>
      <c r="H2116" s="47">
        <f t="shared" ref="H2116:H2117" si="1203">E2116/G2116</f>
        <v>9.99</v>
      </c>
    </row>
    <row r="2117">
      <c r="A2117" s="39" t="s">
        <v>1487</v>
      </c>
      <c r="B2117" s="1"/>
      <c r="C2117" s="1"/>
      <c r="D2117" s="71">
        <v>9.99</v>
      </c>
      <c r="E2117" s="71">
        <v>9.99</v>
      </c>
      <c r="F2117" s="71">
        <f>D2117-E2117</f>
        <v>0</v>
      </c>
      <c r="G2117" s="39">
        <v>1.0</v>
      </c>
      <c r="H2117" s="71">
        <f t="shared" si="1203"/>
        <v>9.99</v>
      </c>
    </row>
    <row r="2118">
      <c r="A2118" s="72"/>
      <c r="B2118" s="1"/>
      <c r="C2118" s="1"/>
      <c r="D2118" s="71"/>
      <c r="E2118" s="71"/>
      <c r="F2118" s="71"/>
      <c r="G2118" s="39"/>
      <c r="H2118" s="71"/>
    </row>
    <row r="2119">
      <c r="A2119" s="43" t="s">
        <v>206</v>
      </c>
      <c r="B2119" s="43" t="s">
        <v>25</v>
      </c>
      <c r="C2119" s="44">
        <f>COUNTA(A2120)</f>
        <v>1</v>
      </c>
      <c r="D2119" s="47">
        <f t="shared" ref="D2119:G2119" si="1204">SUM(D2120)</f>
        <v>9.99</v>
      </c>
      <c r="E2119" s="47">
        <f t="shared" si="1204"/>
        <v>9.99</v>
      </c>
      <c r="F2119" s="47">
        <f t="shared" si="1204"/>
        <v>0</v>
      </c>
      <c r="G2119" s="43">
        <f t="shared" si="1204"/>
        <v>1</v>
      </c>
      <c r="H2119" s="47">
        <f t="shared" ref="H2119:H2120" si="1205">E2119/G2119</f>
        <v>9.99</v>
      </c>
    </row>
    <row r="2120">
      <c r="A2120" s="39" t="s">
        <v>892</v>
      </c>
      <c r="B2120" s="1"/>
      <c r="C2120" s="1"/>
      <c r="D2120" s="71">
        <v>9.99</v>
      </c>
      <c r="E2120" s="71">
        <v>9.99</v>
      </c>
      <c r="F2120" s="71">
        <f>D2120-E2120</f>
        <v>0</v>
      </c>
      <c r="G2120" s="39">
        <v>1.0</v>
      </c>
      <c r="H2120" s="71">
        <f t="shared" si="1205"/>
        <v>9.99</v>
      </c>
    </row>
    <row r="2121">
      <c r="A2121" s="72"/>
      <c r="B2121" s="1"/>
      <c r="C2121" s="1"/>
      <c r="D2121" s="71"/>
      <c r="E2121" s="71"/>
      <c r="F2121" s="71"/>
      <c r="G2121" s="39"/>
      <c r="H2121" s="71"/>
    </row>
    <row r="2122">
      <c r="A2122" s="43" t="s">
        <v>236</v>
      </c>
      <c r="B2122" s="43" t="s">
        <v>25</v>
      </c>
      <c r="C2122" s="44">
        <f>COUNTA(A2123)</f>
        <v>1</v>
      </c>
      <c r="D2122" s="47">
        <f t="shared" ref="D2122:G2122" si="1206">SUM(D2123)</f>
        <v>9.99</v>
      </c>
      <c r="E2122" s="47">
        <f t="shared" si="1206"/>
        <v>9.99</v>
      </c>
      <c r="F2122" s="47">
        <f t="shared" si="1206"/>
        <v>0</v>
      </c>
      <c r="G2122" s="43">
        <f t="shared" si="1206"/>
        <v>1</v>
      </c>
      <c r="H2122" s="47">
        <f t="shared" ref="H2122:H2123" si="1207">E2122/G2122</f>
        <v>9.99</v>
      </c>
    </row>
    <row r="2123">
      <c r="A2123" s="72" t="s">
        <v>868</v>
      </c>
      <c r="B2123" s="1"/>
      <c r="C2123" s="1"/>
      <c r="D2123" s="71">
        <v>9.99</v>
      </c>
      <c r="E2123" s="71">
        <v>9.99</v>
      </c>
      <c r="F2123" s="71">
        <f>D2123-E2123</f>
        <v>0</v>
      </c>
      <c r="G2123" s="39">
        <v>1.0</v>
      </c>
      <c r="H2123" s="71">
        <f t="shared" si="1207"/>
        <v>9.99</v>
      </c>
    </row>
    <row r="2124">
      <c r="A2124" s="72"/>
      <c r="B2124" s="1"/>
      <c r="C2124" s="1"/>
      <c r="D2124" s="71"/>
      <c r="E2124" s="71"/>
      <c r="F2124" s="71"/>
      <c r="G2124" s="39"/>
      <c r="H2124" s="71"/>
    </row>
    <row r="2125">
      <c r="A2125" s="53" t="s">
        <v>280</v>
      </c>
      <c r="B2125" s="75" t="s">
        <v>265</v>
      </c>
      <c r="C2125" s="75">
        <f>COUNTA(A2126)</f>
        <v>1</v>
      </c>
      <c r="D2125" s="76">
        <f t="shared" ref="D2125:G2125" si="1208">SUM(D2126)</f>
        <v>9.99</v>
      </c>
      <c r="E2125" s="76">
        <f t="shared" si="1208"/>
        <v>9.99</v>
      </c>
      <c r="F2125" s="76">
        <f t="shared" si="1208"/>
        <v>0</v>
      </c>
      <c r="G2125" s="53">
        <f t="shared" si="1208"/>
        <v>1</v>
      </c>
      <c r="H2125" s="76">
        <f t="shared" ref="H2125:H2126" si="1209">E2125/G2125</f>
        <v>9.99</v>
      </c>
    </row>
    <row r="2126">
      <c r="A2126" s="79" t="s">
        <v>1005</v>
      </c>
      <c r="B2126" s="1"/>
      <c r="C2126" s="1"/>
      <c r="D2126" s="52">
        <v>9.99</v>
      </c>
      <c r="E2126" s="52">
        <v>9.99</v>
      </c>
      <c r="F2126" s="52">
        <f>D2126-E2126</f>
        <v>0</v>
      </c>
      <c r="G2126" s="79">
        <v>1.0</v>
      </c>
      <c r="H2126" s="52">
        <f t="shared" si="1209"/>
        <v>9.99</v>
      </c>
    </row>
    <row r="2127">
      <c r="A2127" s="72"/>
      <c r="B2127" s="1"/>
      <c r="C2127" s="1"/>
      <c r="D2127" s="71"/>
      <c r="E2127" s="71"/>
      <c r="F2127" s="71"/>
      <c r="G2127" s="39"/>
      <c r="H2127" s="71"/>
    </row>
    <row r="2128">
      <c r="A2128" s="53" t="s">
        <v>310</v>
      </c>
      <c r="B2128" s="53" t="s">
        <v>311</v>
      </c>
      <c r="C2128" s="75">
        <f>COUNTA(A2129)</f>
        <v>1</v>
      </c>
      <c r="D2128" s="76">
        <f t="shared" ref="D2128:G2128" si="1210">SUM(D2129)</f>
        <v>29.99</v>
      </c>
      <c r="E2128" s="76">
        <f t="shared" si="1210"/>
        <v>10.99</v>
      </c>
      <c r="F2128" s="76">
        <f t="shared" si="1210"/>
        <v>19</v>
      </c>
      <c r="G2128" s="53">
        <f t="shared" si="1210"/>
        <v>1</v>
      </c>
      <c r="H2128" s="76">
        <f t="shared" ref="H2128:H2129" si="1211">E2128/G2128</f>
        <v>10.99</v>
      </c>
    </row>
    <row r="2129">
      <c r="A2129" s="79" t="s">
        <v>1052</v>
      </c>
      <c r="B2129" s="1"/>
      <c r="C2129" s="1"/>
      <c r="D2129" s="52">
        <v>29.99</v>
      </c>
      <c r="E2129" s="52">
        <v>10.99</v>
      </c>
      <c r="F2129" s="52">
        <f>D2129-E2129</f>
        <v>19</v>
      </c>
      <c r="G2129" s="49">
        <v>1.0</v>
      </c>
      <c r="H2129" s="52">
        <f t="shared" si="1211"/>
        <v>10.99</v>
      </c>
    </row>
    <row r="2130">
      <c r="A2130" s="72"/>
      <c r="B2130" s="1"/>
      <c r="C2130" s="1"/>
      <c r="D2130" s="71"/>
      <c r="E2130" s="71"/>
      <c r="F2130" s="71"/>
      <c r="G2130" s="39"/>
      <c r="H2130" s="71"/>
    </row>
    <row r="2131">
      <c r="A2131" s="485" t="s">
        <v>146</v>
      </c>
      <c r="B2131" s="485" t="s">
        <v>141</v>
      </c>
      <c r="C2131" s="485">
        <f>COUNTA(A2132)</f>
        <v>1</v>
      </c>
      <c r="D2131" s="537">
        <f t="shared" ref="D2131:G2131" si="1212">SUM(D2132)</f>
        <v>16.99</v>
      </c>
      <c r="E2131" s="537">
        <f t="shared" si="1212"/>
        <v>11.04</v>
      </c>
      <c r="F2131" s="537">
        <f t="shared" si="1212"/>
        <v>5.95</v>
      </c>
      <c r="G2131" s="213">
        <f t="shared" si="1212"/>
        <v>1</v>
      </c>
      <c r="H2131" s="537">
        <f t="shared" ref="H2131:H2132" si="1213">E2131/G2131</f>
        <v>11.04</v>
      </c>
    </row>
    <row r="2132">
      <c r="A2132" s="515" t="s">
        <v>775</v>
      </c>
      <c r="B2132" s="538"/>
      <c r="C2132" s="538"/>
      <c r="D2132" s="520">
        <v>16.99</v>
      </c>
      <c r="E2132" s="520">
        <v>11.04</v>
      </c>
      <c r="F2132" s="520">
        <f>D2132-E2132</f>
        <v>5.95</v>
      </c>
      <c r="G2132" s="218">
        <v>1.0</v>
      </c>
      <c r="H2132" s="520">
        <f t="shared" si="1213"/>
        <v>11.04</v>
      </c>
    </row>
    <row r="2133">
      <c r="A2133" s="72"/>
      <c r="B2133" s="1"/>
      <c r="C2133" s="1"/>
      <c r="D2133" s="71"/>
      <c r="E2133" s="71"/>
      <c r="F2133" s="71"/>
      <c r="G2133" s="39"/>
      <c r="H2133" s="71"/>
    </row>
    <row r="2134">
      <c r="A2134" s="201" t="s">
        <v>389</v>
      </c>
      <c r="B2134" s="201" t="s">
        <v>384</v>
      </c>
      <c r="C2134" s="204">
        <f>COUNTA(A2135)</f>
        <v>1</v>
      </c>
      <c r="D2134" s="203">
        <f t="shared" ref="D2134:G2134" si="1214">SUM(D2135)</f>
        <v>44.99</v>
      </c>
      <c r="E2134" s="203">
        <f t="shared" si="1214"/>
        <v>11.24</v>
      </c>
      <c r="F2134" s="203">
        <f t="shared" si="1214"/>
        <v>33.75</v>
      </c>
      <c r="G2134" s="201">
        <f t="shared" si="1214"/>
        <v>1</v>
      </c>
      <c r="H2134" s="203">
        <f t="shared" ref="H2134:H2135" si="1215">E2134/G2134</f>
        <v>11.24</v>
      </c>
    </row>
    <row r="2135">
      <c r="A2135" s="471" t="s">
        <v>1325</v>
      </c>
      <c r="B2135" s="504"/>
      <c r="C2135" s="504"/>
      <c r="D2135" s="473">
        <v>44.99</v>
      </c>
      <c r="E2135" s="473">
        <v>11.24</v>
      </c>
      <c r="F2135" s="473">
        <f>D2135-E2135</f>
        <v>33.75</v>
      </c>
      <c r="G2135" s="471">
        <v>1.0</v>
      </c>
      <c r="H2135" s="473">
        <f t="shared" si="1215"/>
        <v>11.24</v>
      </c>
    </row>
    <row r="2136">
      <c r="A2136" s="72"/>
      <c r="B2136" s="1"/>
      <c r="C2136" s="1"/>
      <c r="D2136" s="71"/>
      <c r="E2136" s="71"/>
      <c r="F2136" s="71"/>
      <c r="G2136" s="39"/>
      <c r="H2136" s="71"/>
    </row>
    <row r="2137">
      <c r="A2137" s="125" t="s">
        <v>85</v>
      </c>
      <c r="B2137" s="125" t="s">
        <v>86</v>
      </c>
      <c r="C2137" s="539">
        <f>COUNTA(A2138)</f>
        <v>1</v>
      </c>
      <c r="D2137" s="127">
        <f t="shared" ref="D2137:G2137" si="1216">SUM(D2138)</f>
        <v>14.49</v>
      </c>
      <c r="E2137" s="127">
        <f t="shared" si="1216"/>
        <v>11.59</v>
      </c>
      <c r="F2137" s="127">
        <f t="shared" si="1216"/>
        <v>2.9</v>
      </c>
      <c r="G2137" s="125">
        <f t="shared" si="1216"/>
        <v>1</v>
      </c>
      <c r="H2137" s="127">
        <f t="shared" ref="H2137:H2138" si="1217">E2137/G2137</f>
        <v>11.59</v>
      </c>
    </row>
    <row r="2138">
      <c r="A2138" s="540" t="s">
        <v>678</v>
      </c>
      <c r="B2138" s="541"/>
      <c r="C2138" s="541"/>
      <c r="D2138" s="542">
        <v>14.49</v>
      </c>
      <c r="E2138" s="542">
        <v>11.59</v>
      </c>
      <c r="F2138" s="542">
        <f>D2138-E2138</f>
        <v>2.9</v>
      </c>
      <c r="G2138" s="540">
        <v>1.0</v>
      </c>
      <c r="H2138" s="542">
        <f t="shared" si="1217"/>
        <v>11.59</v>
      </c>
    </row>
    <row r="2139">
      <c r="A2139" s="72"/>
      <c r="B2139" s="1"/>
      <c r="C2139" s="1"/>
      <c r="D2139" s="71"/>
      <c r="E2139" s="71"/>
      <c r="F2139" s="71"/>
      <c r="G2139" s="39"/>
      <c r="H2139" s="71"/>
    </row>
    <row r="2140">
      <c r="A2140" s="53" t="s">
        <v>281</v>
      </c>
      <c r="B2140" s="53" t="s">
        <v>265</v>
      </c>
      <c r="C2140" s="75">
        <f>COUNTA(A2141)</f>
        <v>1</v>
      </c>
      <c r="D2140" s="76">
        <f t="shared" ref="D2140:G2140" si="1218">SUM(D2141)</f>
        <v>29.99</v>
      </c>
      <c r="E2140" s="76">
        <f t="shared" si="1218"/>
        <v>11.99</v>
      </c>
      <c r="F2140" s="76">
        <f t="shared" si="1218"/>
        <v>18</v>
      </c>
      <c r="G2140" s="53">
        <f t="shared" si="1218"/>
        <v>1</v>
      </c>
      <c r="H2140" s="76">
        <f t="shared" ref="H2140:H2141" si="1219">E2140/G2140</f>
        <v>11.99</v>
      </c>
    </row>
    <row r="2141">
      <c r="A2141" s="79" t="s">
        <v>1017</v>
      </c>
      <c r="B2141" s="1"/>
      <c r="C2141" s="1"/>
      <c r="D2141" s="52">
        <v>29.99</v>
      </c>
      <c r="E2141" s="52">
        <v>11.99</v>
      </c>
      <c r="F2141" s="52">
        <f>D2141-E2141</f>
        <v>18</v>
      </c>
      <c r="G2141" s="79">
        <v>1.0</v>
      </c>
      <c r="H2141" s="52">
        <f t="shared" si="1219"/>
        <v>11.99</v>
      </c>
    </row>
    <row r="2142">
      <c r="A2142" s="72"/>
      <c r="B2142" s="1"/>
      <c r="C2142" s="1"/>
      <c r="D2142" s="71"/>
      <c r="E2142" s="71"/>
      <c r="F2142" s="71"/>
      <c r="G2142" s="39"/>
      <c r="H2142" s="71"/>
    </row>
    <row r="2143">
      <c r="A2143" s="43" t="s">
        <v>560</v>
      </c>
      <c r="B2143" s="69" t="s">
        <v>29</v>
      </c>
      <c r="C2143" s="44">
        <f>COUNTA(A2144)</f>
        <v>1</v>
      </c>
      <c r="D2143" s="47">
        <f t="shared" ref="D2143:G2143" si="1220">SUM(D2144)</f>
        <v>12</v>
      </c>
      <c r="E2143" s="47">
        <f t="shared" si="1220"/>
        <v>12</v>
      </c>
      <c r="F2143" s="47">
        <f t="shared" si="1220"/>
        <v>0</v>
      </c>
      <c r="G2143" s="43">
        <f t="shared" si="1220"/>
        <v>1</v>
      </c>
      <c r="H2143" s="47">
        <f t="shared" ref="H2143:H2144" si="1221">E2143/G2143</f>
        <v>12</v>
      </c>
    </row>
    <row r="2144">
      <c r="A2144" s="39" t="s">
        <v>1493</v>
      </c>
      <c r="B2144" s="1"/>
      <c r="C2144" s="1"/>
      <c r="D2144" s="71">
        <v>12.0</v>
      </c>
      <c r="E2144" s="71">
        <v>12.0</v>
      </c>
      <c r="F2144" s="71">
        <f>D2144-E2144</f>
        <v>0</v>
      </c>
      <c r="G2144" s="39">
        <v>1.0</v>
      </c>
      <c r="H2144" s="71">
        <f t="shared" si="1221"/>
        <v>12</v>
      </c>
    </row>
    <row r="2145">
      <c r="A2145" s="72"/>
      <c r="B2145" s="1"/>
      <c r="C2145" s="1"/>
      <c r="D2145" s="71"/>
      <c r="E2145" s="71"/>
      <c r="F2145" s="71"/>
      <c r="G2145" s="39"/>
      <c r="H2145" s="71"/>
    </row>
    <row r="2146">
      <c r="A2146" s="104" t="s">
        <v>76</v>
      </c>
      <c r="B2146" s="106" t="s">
        <v>57</v>
      </c>
      <c r="C2146" s="243">
        <f>COUNTA(A2147)</f>
        <v>1</v>
      </c>
      <c r="D2146" s="106">
        <f t="shared" ref="D2146:G2146" si="1222">SUM(D2147)</f>
        <v>24.99</v>
      </c>
      <c r="E2146" s="106">
        <f t="shared" si="1222"/>
        <v>12.49</v>
      </c>
      <c r="F2146" s="106">
        <f t="shared" si="1222"/>
        <v>12.5</v>
      </c>
      <c r="G2146" s="104">
        <f t="shared" si="1222"/>
        <v>1</v>
      </c>
      <c r="H2146" s="106">
        <f t="shared" ref="H2146:H2147" si="1223">E2146/G2146</f>
        <v>12.49</v>
      </c>
    </row>
    <row r="2147">
      <c r="A2147" s="109" t="s">
        <v>668</v>
      </c>
      <c r="B2147" s="475"/>
      <c r="C2147" s="475"/>
      <c r="D2147" s="111">
        <v>24.99</v>
      </c>
      <c r="E2147" s="111">
        <v>12.49</v>
      </c>
      <c r="F2147" s="111">
        <f>D2147-E2147</f>
        <v>12.5</v>
      </c>
      <c r="G2147" s="108">
        <v>1.0</v>
      </c>
      <c r="H2147" s="111">
        <f t="shared" si="1223"/>
        <v>12.49</v>
      </c>
    </row>
    <row r="2148">
      <c r="A2148" s="72"/>
      <c r="B2148" s="1"/>
      <c r="C2148" s="1"/>
      <c r="D2148" s="71"/>
      <c r="E2148" s="71"/>
      <c r="F2148" s="71"/>
      <c r="G2148" s="39"/>
      <c r="H2148" s="71"/>
    </row>
    <row r="2149">
      <c r="A2149" s="43" t="s">
        <v>414</v>
      </c>
      <c r="B2149" s="43" t="s">
        <v>400</v>
      </c>
      <c r="C2149" s="44">
        <f>COUNTA(A2150)</f>
        <v>1</v>
      </c>
      <c r="D2149" s="47">
        <f t="shared" ref="D2149:G2149" si="1224">SUM(D2150)</f>
        <v>19.99</v>
      </c>
      <c r="E2149" s="47">
        <f t="shared" si="1224"/>
        <v>12.99</v>
      </c>
      <c r="F2149" s="47">
        <f t="shared" si="1224"/>
        <v>7</v>
      </c>
      <c r="G2149" s="43">
        <f t="shared" si="1224"/>
        <v>1</v>
      </c>
      <c r="H2149" s="47">
        <f t="shared" ref="H2149:H2150" si="1225">E2149/G2149</f>
        <v>12.99</v>
      </c>
    </row>
    <row r="2150">
      <c r="A2150" s="39" t="s">
        <v>1350</v>
      </c>
      <c r="B2150" s="1"/>
      <c r="C2150" s="1"/>
      <c r="D2150" s="71">
        <v>19.99</v>
      </c>
      <c r="E2150" s="71">
        <v>12.99</v>
      </c>
      <c r="F2150" s="71">
        <f>D2150-E2150</f>
        <v>7</v>
      </c>
      <c r="G2150" s="39">
        <v>1.0</v>
      </c>
      <c r="H2150" s="71">
        <f t="shared" si="1225"/>
        <v>12.99</v>
      </c>
    </row>
    <row r="2151">
      <c r="A2151" s="72"/>
      <c r="B2151" s="1"/>
      <c r="C2151" s="1"/>
      <c r="D2151" s="71"/>
      <c r="E2151" s="71"/>
      <c r="F2151" s="71"/>
      <c r="G2151" s="39"/>
      <c r="H2151" s="71"/>
    </row>
    <row r="2152">
      <c r="A2152" s="43" t="s">
        <v>539</v>
      </c>
      <c r="B2152" s="69" t="s">
        <v>29</v>
      </c>
      <c r="C2152" s="44">
        <f>COUNTA(A2153)</f>
        <v>1</v>
      </c>
      <c r="D2152" s="47">
        <f t="shared" ref="D2152:G2152" si="1226">SUM(D2153)</f>
        <v>19.99</v>
      </c>
      <c r="E2152" s="47">
        <f t="shared" si="1226"/>
        <v>13.99</v>
      </c>
      <c r="F2152" s="47">
        <f t="shared" si="1226"/>
        <v>6</v>
      </c>
      <c r="G2152" s="43">
        <f t="shared" si="1226"/>
        <v>1</v>
      </c>
      <c r="H2152" s="47">
        <f t="shared" ref="H2152:H2153" si="1227">E2152/G2152</f>
        <v>13.99</v>
      </c>
    </row>
    <row r="2153">
      <c r="A2153" s="39" t="s">
        <v>1801</v>
      </c>
      <c r="B2153" s="1"/>
      <c r="C2153" s="1"/>
      <c r="D2153" s="71">
        <v>19.99</v>
      </c>
      <c r="E2153" s="71">
        <v>13.99</v>
      </c>
      <c r="F2153" s="71">
        <f>D2153-E2153</f>
        <v>6</v>
      </c>
      <c r="G2153" s="39">
        <v>1.0</v>
      </c>
      <c r="H2153" s="71">
        <f t="shared" si="1227"/>
        <v>13.99</v>
      </c>
    </row>
    <row r="2154">
      <c r="A2154" s="72"/>
      <c r="B2154" s="1"/>
      <c r="C2154" s="1"/>
      <c r="D2154" s="71"/>
      <c r="E2154" s="71"/>
      <c r="F2154" s="71"/>
      <c r="G2154" s="39"/>
      <c r="H2154" s="71"/>
    </row>
    <row r="2155">
      <c r="A2155" s="43" t="s">
        <v>309</v>
      </c>
      <c r="B2155" s="43" t="s">
        <v>308</v>
      </c>
      <c r="C2155" s="44">
        <f>COUNTA(A2156)</f>
        <v>1</v>
      </c>
      <c r="D2155" s="47">
        <f t="shared" ref="D2155:G2155" si="1228">SUM(D2156)</f>
        <v>19.99</v>
      </c>
      <c r="E2155" s="47">
        <f t="shared" si="1228"/>
        <v>13.99</v>
      </c>
      <c r="F2155" s="47">
        <f t="shared" si="1228"/>
        <v>6</v>
      </c>
      <c r="G2155" s="43">
        <f t="shared" si="1228"/>
        <v>1</v>
      </c>
      <c r="H2155" s="47">
        <f t="shared" ref="H2155:H2156" si="1229">E2155/G2155</f>
        <v>13.99</v>
      </c>
    </row>
    <row r="2156">
      <c r="A2156" s="39" t="s">
        <v>1051</v>
      </c>
      <c r="B2156" s="1"/>
      <c r="C2156" s="1"/>
      <c r="D2156" s="71">
        <v>19.99</v>
      </c>
      <c r="E2156" s="71">
        <v>13.99</v>
      </c>
      <c r="F2156" s="71">
        <f>D2156-E2156</f>
        <v>6</v>
      </c>
      <c r="G2156" s="39">
        <v>1.0</v>
      </c>
      <c r="H2156" s="71">
        <f t="shared" si="1229"/>
        <v>13.99</v>
      </c>
    </row>
    <row r="2157">
      <c r="A2157" s="72"/>
      <c r="B2157" s="1"/>
      <c r="C2157" s="1"/>
      <c r="D2157" s="71"/>
      <c r="E2157" s="71"/>
      <c r="F2157" s="71"/>
      <c r="G2157" s="39"/>
      <c r="H2157" s="71"/>
    </row>
    <row r="2158">
      <c r="A2158" s="43" t="s">
        <v>410</v>
      </c>
      <c r="B2158" s="43" t="s">
        <v>400</v>
      </c>
      <c r="C2158" s="44">
        <f>COUNTA(A2159)</f>
        <v>1</v>
      </c>
      <c r="D2158" s="47">
        <f t="shared" ref="D2158:G2158" si="1230">SUM(D2159)</f>
        <v>24.99</v>
      </c>
      <c r="E2158" s="47">
        <f t="shared" si="1230"/>
        <v>14.99</v>
      </c>
      <c r="F2158" s="47">
        <f t="shared" si="1230"/>
        <v>10</v>
      </c>
      <c r="G2158" s="43">
        <f t="shared" si="1230"/>
        <v>1</v>
      </c>
      <c r="H2158" s="47">
        <f t="shared" ref="H2158:H2159" si="1231">E2158/G2158</f>
        <v>14.99</v>
      </c>
    </row>
    <row r="2159">
      <c r="A2159" s="39" t="s">
        <v>1349</v>
      </c>
      <c r="B2159" s="1"/>
      <c r="C2159" s="1"/>
      <c r="D2159" s="71">
        <v>24.99</v>
      </c>
      <c r="E2159" s="71">
        <v>14.99</v>
      </c>
      <c r="F2159" s="71">
        <f>D2159-E2159</f>
        <v>10</v>
      </c>
      <c r="G2159" s="39">
        <v>1.0</v>
      </c>
      <c r="H2159" s="71">
        <f t="shared" si="1231"/>
        <v>14.99</v>
      </c>
    </row>
    <row r="2160">
      <c r="A2160" s="132"/>
      <c r="B2160" s="543"/>
      <c r="C2160" s="543"/>
      <c r="D2160" s="133"/>
      <c r="E2160" s="133"/>
      <c r="F2160" s="133"/>
      <c r="G2160" s="132"/>
      <c r="H2160" s="133"/>
    </row>
    <row r="2161">
      <c r="A2161" s="43" t="s">
        <v>535</v>
      </c>
      <c r="B2161" s="69" t="s">
        <v>29</v>
      </c>
      <c r="C2161" s="44">
        <f>COUNTA(A2162)</f>
        <v>1</v>
      </c>
      <c r="D2161" s="47">
        <f t="shared" ref="D2161:G2161" si="1232">SUM(D2162)</f>
        <v>19.99</v>
      </c>
      <c r="E2161" s="47">
        <f t="shared" si="1232"/>
        <v>14.99</v>
      </c>
      <c r="F2161" s="47">
        <f t="shared" si="1232"/>
        <v>5</v>
      </c>
      <c r="G2161" s="43">
        <f t="shared" si="1232"/>
        <v>1</v>
      </c>
      <c r="H2161" s="47">
        <f t="shared" ref="H2161:H2162" si="1233">E2161/G2161</f>
        <v>14.99</v>
      </c>
    </row>
    <row r="2162">
      <c r="A2162" s="39" t="s">
        <v>1724</v>
      </c>
      <c r="B2162" s="1"/>
      <c r="C2162" s="1"/>
      <c r="D2162" s="71">
        <v>19.99</v>
      </c>
      <c r="E2162" s="71">
        <v>14.99</v>
      </c>
      <c r="F2162" s="71">
        <f>D2162-E2162</f>
        <v>5</v>
      </c>
      <c r="G2162" s="39">
        <v>1.0</v>
      </c>
      <c r="H2162" s="71">
        <f t="shared" si="1233"/>
        <v>14.99</v>
      </c>
    </row>
    <row r="2163">
      <c r="A2163" s="132"/>
      <c r="B2163" s="543"/>
      <c r="C2163" s="543"/>
      <c r="D2163" s="133"/>
      <c r="E2163" s="133"/>
      <c r="F2163" s="133"/>
      <c r="G2163" s="132"/>
      <c r="H2163" s="133"/>
    </row>
    <row r="2164">
      <c r="A2164" s="152" t="s">
        <v>463</v>
      </c>
      <c r="B2164" s="152" t="s">
        <v>455</v>
      </c>
      <c r="C2164" s="255">
        <f>COUNTA(A2165)</f>
        <v>1</v>
      </c>
      <c r="D2164" s="154">
        <f t="shared" ref="D2164:G2164" si="1234">SUM(D2165)</f>
        <v>19.99</v>
      </c>
      <c r="E2164" s="154">
        <f t="shared" si="1234"/>
        <v>14.99</v>
      </c>
      <c r="F2164" s="154">
        <f t="shared" si="1234"/>
        <v>5</v>
      </c>
      <c r="G2164" s="152">
        <f t="shared" si="1234"/>
        <v>1</v>
      </c>
      <c r="H2164" s="154">
        <f t="shared" ref="H2164:H2165" si="1235">E2164/G2164</f>
        <v>14.99</v>
      </c>
    </row>
    <row r="2165">
      <c r="A2165" s="156" t="s">
        <v>1429</v>
      </c>
      <c r="B2165" s="480"/>
      <c r="C2165" s="480"/>
      <c r="D2165" s="159">
        <v>19.99</v>
      </c>
      <c r="E2165" s="159">
        <v>14.99</v>
      </c>
      <c r="F2165" s="159">
        <f>D2165-E2165</f>
        <v>5</v>
      </c>
      <c r="G2165" s="156">
        <v>1.0</v>
      </c>
      <c r="H2165" s="159">
        <f t="shared" si="1235"/>
        <v>14.99</v>
      </c>
    </row>
    <row r="2166">
      <c r="A2166" s="132"/>
      <c r="B2166" s="543"/>
      <c r="C2166" s="543"/>
      <c r="D2166" s="133"/>
      <c r="E2166" s="133"/>
      <c r="F2166" s="133"/>
      <c r="G2166" s="132"/>
      <c r="H2166" s="133"/>
    </row>
    <row r="2167">
      <c r="A2167" s="43" t="s">
        <v>584</v>
      </c>
      <c r="B2167" s="43" t="s">
        <v>29</v>
      </c>
      <c r="C2167" s="44">
        <f>COUNTA(A2168)</f>
        <v>1</v>
      </c>
      <c r="D2167" s="47">
        <f t="shared" ref="D2167:G2167" si="1236">SUM(D2168)</f>
        <v>33.98</v>
      </c>
      <c r="E2167" s="47">
        <f t="shared" si="1236"/>
        <v>15.49</v>
      </c>
      <c r="F2167" s="47">
        <f t="shared" si="1236"/>
        <v>18.49</v>
      </c>
      <c r="G2167" s="43">
        <f t="shared" si="1236"/>
        <v>1</v>
      </c>
      <c r="H2167" s="47">
        <f t="shared" ref="H2167:H2168" si="1237">E2167/G2167</f>
        <v>15.49</v>
      </c>
    </row>
    <row r="2168">
      <c r="A2168" s="39" t="s">
        <v>1550</v>
      </c>
      <c r="B2168" s="1"/>
      <c r="C2168" s="1"/>
      <c r="D2168" s="71">
        <v>33.98</v>
      </c>
      <c r="E2168" s="71">
        <v>15.49</v>
      </c>
      <c r="F2168" s="71">
        <f>D2168-E2168</f>
        <v>18.49</v>
      </c>
      <c r="G2168" s="39">
        <v>1.0</v>
      </c>
      <c r="H2168" s="71">
        <f t="shared" si="1237"/>
        <v>15.49</v>
      </c>
    </row>
    <row r="2169">
      <c r="A2169" s="132"/>
      <c r="B2169" s="543"/>
      <c r="C2169" s="543"/>
      <c r="D2169" s="133"/>
      <c r="E2169" s="133"/>
      <c r="F2169" s="133"/>
      <c r="G2169" s="132"/>
      <c r="H2169" s="133"/>
    </row>
    <row r="2170">
      <c r="A2170" s="102" t="s">
        <v>303</v>
      </c>
      <c r="B2170" s="102" t="s">
        <v>291</v>
      </c>
      <c r="C2170" s="103">
        <f>COUNTA(A2171)</f>
        <v>1</v>
      </c>
      <c r="D2170" s="170">
        <f t="shared" ref="D2170:G2170" si="1238">SUM(D2171)</f>
        <v>24.99</v>
      </c>
      <c r="E2170" s="170">
        <f t="shared" si="1238"/>
        <v>16.24</v>
      </c>
      <c r="F2170" s="170">
        <f t="shared" si="1238"/>
        <v>8.75</v>
      </c>
      <c r="G2170" s="102">
        <f t="shared" si="1238"/>
        <v>1</v>
      </c>
      <c r="H2170" s="170">
        <f t="shared" ref="H2170:H2171" si="1239">E2170/G2170</f>
        <v>16.24</v>
      </c>
    </row>
    <row r="2171">
      <c r="A2171" s="25" t="s">
        <v>1802</v>
      </c>
      <c r="B2171" s="1"/>
      <c r="C2171" s="1"/>
      <c r="D2171" s="26">
        <v>24.99</v>
      </c>
      <c r="E2171" s="26">
        <v>16.24</v>
      </c>
      <c r="F2171" s="26">
        <f>D2171-E2171</f>
        <v>8.75</v>
      </c>
      <c r="G2171" s="25">
        <v>1.0</v>
      </c>
      <c r="H2171" s="26">
        <f t="shared" si="1239"/>
        <v>16.24</v>
      </c>
    </row>
    <row r="2172">
      <c r="A2172" s="132"/>
      <c r="B2172" s="543"/>
      <c r="C2172" s="543"/>
      <c r="D2172" s="133"/>
      <c r="E2172" s="133"/>
      <c r="F2172" s="133"/>
      <c r="G2172" s="132"/>
      <c r="H2172" s="133"/>
    </row>
    <row r="2173">
      <c r="A2173" s="43" t="s">
        <v>552</v>
      </c>
      <c r="B2173" s="69" t="s">
        <v>29</v>
      </c>
      <c r="C2173" s="44">
        <f>COUNTA(A2174)</f>
        <v>1</v>
      </c>
      <c r="D2173" s="46">
        <f t="shared" ref="D2173:G2173" si="1240">SUM(D2174)</f>
        <v>29.99</v>
      </c>
      <c r="E2173" s="46">
        <f t="shared" si="1240"/>
        <v>17.99</v>
      </c>
      <c r="F2173" s="47">
        <f t="shared" si="1240"/>
        <v>12</v>
      </c>
      <c r="G2173" s="43">
        <f t="shared" si="1240"/>
        <v>1</v>
      </c>
      <c r="H2173" s="46">
        <f t="shared" ref="H2173:H2174" si="1241">E2173/G2173</f>
        <v>17.99</v>
      </c>
    </row>
    <row r="2174">
      <c r="A2174" s="72" t="s">
        <v>1739</v>
      </c>
      <c r="B2174" s="1"/>
      <c r="C2174" s="1"/>
      <c r="D2174" s="42">
        <v>29.99</v>
      </c>
      <c r="E2174" s="42">
        <v>17.99</v>
      </c>
      <c r="F2174" s="71">
        <f>D2174-E2174</f>
        <v>12</v>
      </c>
      <c r="G2174" s="39">
        <v>1.0</v>
      </c>
      <c r="H2174" s="71">
        <f t="shared" si="1241"/>
        <v>17.99</v>
      </c>
    </row>
    <row r="2175">
      <c r="A2175" s="132"/>
      <c r="B2175" s="543"/>
      <c r="C2175" s="543"/>
      <c r="D2175" s="133"/>
      <c r="E2175" s="133"/>
      <c r="F2175" s="133"/>
      <c r="G2175" s="132"/>
      <c r="H2175" s="133"/>
    </row>
    <row r="2176">
      <c r="A2176" s="43" t="s">
        <v>340</v>
      </c>
      <c r="B2176" s="43" t="s">
        <v>325</v>
      </c>
      <c r="C2176" s="44">
        <f>COUNTA(A2177)</f>
        <v>1</v>
      </c>
      <c r="D2176" s="47">
        <f t="shared" ref="D2176:G2176" si="1242">SUM(D2177)</f>
        <v>79.98</v>
      </c>
      <c r="E2176" s="47">
        <f t="shared" si="1242"/>
        <v>18.98</v>
      </c>
      <c r="F2176" s="47">
        <f t="shared" si="1242"/>
        <v>61</v>
      </c>
      <c r="G2176" s="43">
        <f t="shared" si="1242"/>
        <v>1</v>
      </c>
      <c r="H2176" s="47">
        <f t="shared" ref="H2176:H2177" si="1243">E2176/G2176</f>
        <v>18.98</v>
      </c>
    </row>
    <row r="2177">
      <c r="A2177" s="72" t="s">
        <v>1172</v>
      </c>
      <c r="B2177" s="1"/>
      <c r="C2177" s="1"/>
      <c r="D2177" s="71">
        <v>79.98</v>
      </c>
      <c r="E2177" s="71">
        <v>18.98</v>
      </c>
      <c r="F2177" s="71">
        <f>D2177-E2177</f>
        <v>61</v>
      </c>
      <c r="G2177" s="39">
        <v>1.0</v>
      </c>
      <c r="H2177" s="71">
        <f t="shared" si="1243"/>
        <v>18.98</v>
      </c>
    </row>
    <row r="2178">
      <c r="A2178" s="132"/>
      <c r="B2178" s="543"/>
      <c r="C2178" s="543"/>
      <c r="D2178" s="133"/>
      <c r="E2178" s="133"/>
      <c r="F2178" s="133"/>
      <c r="G2178" s="132"/>
      <c r="H2178" s="133"/>
    </row>
    <row r="2179">
      <c r="A2179" s="152" t="s">
        <v>466</v>
      </c>
      <c r="B2179" s="152" t="s">
        <v>455</v>
      </c>
      <c r="C2179" s="255">
        <f>COUNTA(A2180)</f>
        <v>1</v>
      </c>
      <c r="D2179" s="154">
        <f t="shared" ref="D2179:G2179" si="1244">SUM(D2180)</f>
        <v>39.99</v>
      </c>
      <c r="E2179" s="154">
        <f t="shared" si="1244"/>
        <v>19.99</v>
      </c>
      <c r="F2179" s="154">
        <f t="shared" si="1244"/>
        <v>20</v>
      </c>
      <c r="G2179" s="152">
        <f t="shared" si="1244"/>
        <v>1</v>
      </c>
      <c r="H2179" s="154">
        <f t="shared" ref="H2179:H2180" si="1245">E2179/G2179</f>
        <v>19.99</v>
      </c>
    </row>
    <row r="2180">
      <c r="A2180" s="156" t="s">
        <v>1421</v>
      </c>
      <c r="B2180" s="486"/>
      <c r="C2180" s="486"/>
      <c r="D2180" s="159">
        <v>39.99</v>
      </c>
      <c r="E2180" s="159">
        <v>19.99</v>
      </c>
      <c r="F2180" s="159">
        <f>D2180-E2180</f>
        <v>20</v>
      </c>
      <c r="G2180" s="156">
        <v>1.0</v>
      </c>
      <c r="H2180" s="159">
        <f t="shared" si="1245"/>
        <v>19.99</v>
      </c>
    </row>
    <row r="2181">
      <c r="A2181" s="39"/>
      <c r="B2181" s="1"/>
      <c r="C2181" s="1"/>
      <c r="D2181" s="71"/>
      <c r="E2181" s="71"/>
      <c r="F2181" s="71"/>
      <c r="G2181" s="39"/>
      <c r="H2181" s="71"/>
    </row>
    <row r="2182">
      <c r="A2182" s="102" t="s">
        <v>391</v>
      </c>
      <c r="B2182" s="102" t="s">
        <v>392</v>
      </c>
      <c r="C2182" s="103">
        <f>COUNTA(A2183)</f>
        <v>1</v>
      </c>
      <c r="D2182" s="170">
        <f t="shared" ref="D2182:G2182" si="1246">SUM(D2183)</f>
        <v>39.99</v>
      </c>
      <c r="E2182" s="170">
        <f t="shared" si="1246"/>
        <v>19.99</v>
      </c>
      <c r="F2182" s="170">
        <f t="shared" si="1246"/>
        <v>20</v>
      </c>
      <c r="G2182" s="102">
        <f t="shared" si="1246"/>
        <v>1</v>
      </c>
      <c r="H2182" s="170">
        <f t="shared" ref="H2182:H2183" si="1247">E2182/G2182</f>
        <v>19.99</v>
      </c>
    </row>
    <row r="2183">
      <c r="A2183" s="25" t="s">
        <v>1328</v>
      </c>
      <c r="B2183" s="1"/>
      <c r="C2183" s="1"/>
      <c r="D2183" s="26">
        <v>39.99</v>
      </c>
      <c r="E2183" s="26">
        <v>19.99</v>
      </c>
      <c r="F2183" s="26">
        <f>D2183-E2183</f>
        <v>20</v>
      </c>
      <c r="G2183" s="35">
        <v>1.0</v>
      </c>
      <c r="H2183" s="26">
        <f t="shared" si="1247"/>
        <v>19.99</v>
      </c>
    </row>
    <row r="2184">
      <c r="A2184" s="39"/>
      <c r="B2184" s="1"/>
      <c r="C2184" s="1"/>
      <c r="D2184" s="71"/>
      <c r="E2184" s="71"/>
      <c r="F2184" s="71"/>
      <c r="G2184" s="39"/>
      <c r="H2184" s="71"/>
    </row>
    <row r="2185">
      <c r="A2185" s="43" t="s">
        <v>586</v>
      </c>
      <c r="B2185" s="43" t="s">
        <v>29</v>
      </c>
      <c r="C2185" s="44">
        <f>COUNTA(A2186)</f>
        <v>1</v>
      </c>
      <c r="D2185" s="47">
        <f t="shared" ref="D2185:G2185" si="1248">SUM(D2186)</f>
        <v>24.99</v>
      </c>
      <c r="E2185" s="47">
        <f t="shared" si="1248"/>
        <v>19.99</v>
      </c>
      <c r="F2185" s="47">
        <f t="shared" si="1248"/>
        <v>5</v>
      </c>
      <c r="G2185" s="43">
        <f t="shared" si="1248"/>
        <v>1</v>
      </c>
      <c r="H2185" s="47">
        <f t="shared" ref="H2185:H2186" si="1249">E2185/G2185</f>
        <v>19.99</v>
      </c>
    </row>
    <row r="2186">
      <c r="A2186" s="39" t="s">
        <v>1716</v>
      </c>
      <c r="B2186" s="1"/>
      <c r="C2186" s="1"/>
      <c r="D2186" s="71">
        <v>24.99</v>
      </c>
      <c r="E2186" s="71">
        <v>19.99</v>
      </c>
      <c r="F2186" s="71">
        <f>D2186-E2186</f>
        <v>5</v>
      </c>
      <c r="G2186" s="39">
        <v>1.0</v>
      </c>
      <c r="H2186" s="71">
        <f t="shared" si="1249"/>
        <v>19.99</v>
      </c>
    </row>
    <row r="2187">
      <c r="A2187" s="39"/>
      <c r="B2187" s="1"/>
      <c r="C2187" s="1"/>
      <c r="D2187" s="71"/>
      <c r="E2187" s="71"/>
      <c r="F2187" s="71"/>
      <c r="G2187" s="39"/>
      <c r="H2187" s="71"/>
    </row>
    <row r="2188">
      <c r="A2188" s="102" t="s">
        <v>301</v>
      </c>
      <c r="B2188" s="102" t="s">
        <v>291</v>
      </c>
      <c r="C2188" s="103">
        <f>COUNTA(A2189)</f>
        <v>1</v>
      </c>
      <c r="D2188" s="170">
        <f t="shared" ref="D2188:G2188" si="1250">SUM(D2189)</f>
        <v>19.99</v>
      </c>
      <c r="E2188" s="170">
        <f t="shared" si="1250"/>
        <v>19.99</v>
      </c>
      <c r="F2188" s="170">
        <f t="shared" si="1250"/>
        <v>0</v>
      </c>
      <c r="G2188" s="102">
        <f t="shared" si="1250"/>
        <v>1</v>
      </c>
      <c r="H2188" s="170">
        <f t="shared" ref="H2188:H2189" si="1251">E2188/G2188</f>
        <v>19.99</v>
      </c>
    </row>
    <row r="2189">
      <c r="A2189" s="25" t="s">
        <v>1047</v>
      </c>
      <c r="B2189" s="1"/>
      <c r="C2189" s="1"/>
      <c r="D2189" s="26">
        <v>19.99</v>
      </c>
      <c r="E2189" s="26">
        <v>19.99</v>
      </c>
      <c r="F2189" s="26">
        <f>D2189-E2189</f>
        <v>0</v>
      </c>
      <c r="G2189" s="25">
        <v>1.0</v>
      </c>
      <c r="H2189" s="26">
        <f t="shared" si="1251"/>
        <v>19.99</v>
      </c>
    </row>
    <row r="2190">
      <c r="A2190" s="39"/>
      <c r="B2190" s="1"/>
      <c r="C2190" s="1"/>
      <c r="D2190" s="71"/>
      <c r="E2190" s="71"/>
      <c r="F2190" s="71"/>
      <c r="G2190" s="39"/>
      <c r="H2190" s="71"/>
    </row>
    <row r="2191">
      <c r="A2191" s="43" t="s">
        <v>228</v>
      </c>
      <c r="B2191" s="43" t="s">
        <v>25</v>
      </c>
      <c r="C2191" s="44">
        <f>COUNTA(A2192)</f>
        <v>1</v>
      </c>
      <c r="D2191" s="47">
        <f t="shared" ref="D2191:G2191" si="1252">SUM(D2192)</f>
        <v>28.49</v>
      </c>
      <c r="E2191" s="47">
        <f t="shared" si="1252"/>
        <v>28.49</v>
      </c>
      <c r="F2191" s="47">
        <f t="shared" si="1252"/>
        <v>0</v>
      </c>
      <c r="G2191" s="43">
        <f t="shared" si="1252"/>
        <v>1</v>
      </c>
      <c r="H2191" s="47">
        <f t="shared" ref="H2191:H2192" si="1253">E2191/G2191</f>
        <v>28.49</v>
      </c>
    </row>
    <row r="2192">
      <c r="A2192" s="39" t="s">
        <v>916</v>
      </c>
      <c r="B2192" s="1"/>
      <c r="C2192" s="1"/>
      <c r="D2192" s="71">
        <v>28.49</v>
      </c>
      <c r="E2192" s="71">
        <v>28.49</v>
      </c>
      <c r="F2192" s="71">
        <f>D2192-E2192</f>
        <v>0</v>
      </c>
      <c r="G2192" s="39">
        <v>1.0</v>
      </c>
      <c r="H2192" s="71">
        <f t="shared" si="1253"/>
        <v>28.49</v>
      </c>
    </row>
    <row r="2193">
      <c r="A2193" s="39"/>
      <c r="B2193" s="1"/>
      <c r="C2193" s="1"/>
      <c r="D2193" s="71"/>
      <c r="E2193" s="71"/>
      <c r="F2193" s="71"/>
      <c r="G2193" s="39"/>
      <c r="H2193" s="71"/>
    </row>
    <row r="2194">
      <c r="A2194" s="53" t="s">
        <v>154</v>
      </c>
      <c r="B2194" s="53" t="s">
        <v>153</v>
      </c>
      <c r="C2194" s="75">
        <f>COUNTA(A2195)</f>
        <v>1</v>
      </c>
      <c r="D2194" s="76">
        <f t="shared" ref="D2194:G2194" si="1254">SUM(D2195)</f>
        <v>29.99</v>
      </c>
      <c r="E2194" s="76">
        <f t="shared" si="1254"/>
        <v>29.99</v>
      </c>
      <c r="F2194" s="76">
        <f t="shared" si="1254"/>
        <v>0</v>
      </c>
      <c r="G2194" s="53">
        <f t="shared" si="1254"/>
        <v>1</v>
      </c>
      <c r="H2194" s="76">
        <f t="shared" ref="H2194:H2195" si="1255">E2194/G2194</f>
        <v>29.99</v>
      </c>
    </row>
    <row r="2195">
      <c r="A2195" s="79" t="s">
        <v>785</v>
      </c>
      <c r="B2195" s="1"/>
      <c r="C2195" s="1"/>
      <c r="D2195" s="52">
        <v>29.99</v>
      </c>
      <c r="E2195" s="52">
        <v>29.99</v>
      </c>
      <c r="F2195" s="52">
        <f>D2195-E2195</f>
        <v>0</v>
      </c>
      <c r="G2195" s="79">
        <v>1.0</v>
      </c>
      <c r="H2195" s="52">
        <f t="shared" si="1255"/>
        <v>29.99</v>
      </c>
    </row>
  </sheetData>
  <hyperlinks>
    <hyperlink r:id="rId1" ref="A1531"/>
    <hyperlink r:id="rId2" ref="A1689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1.63"/>
    <col customWidth="1" min="2" max="2" width="8.75"/>
    <col customWidth="1" min="3" max="3" width="8.88"/>
    <col customWidth="1" min="4" max="4" width="23.5"/>
    <col customWidth="1" min="8" max="8" width="20.38"/>
  </cols>
  <sheetData>
    <row r="1">
      <c r="A1" s="544" t="s">
        <v>5</v>
      </c>
      <c r="B1" s="418" t="s">
        <v>42</v>
      </c>
      <c r="C1" s="418" t="s">
        <v>16</v>
      </c>
      <c r="D1" s="1"/>
      <c r="E1" s="1"/>
      <c r="F1" s="1"/>
      <c r="G1" s="1"/>
      <c r="H1" s="1"/>
    </row>
    <row r="2">
      <c r="A2" s="545" t="s">
        <v>360</v>
      </c>
      <c r="B2" s="282">
        <v>12.0</v>
      </c>
      <c r="C2" s="282">
        <v>1500.0</v>
      </c>
      <c r="D2" s="1"/>
      <c r="E2" s="1"/>
      <c r="F2" s="1"/>
      <c r="G2" s="1"/>
      <c r="H2" s="1"/>
    </row>
    <row r="3">
      <c r="A3" s="545" t="s">
        <v>563</v>
      </c>
      <c r="B3" s="545">
        <v>15.0</v>
      </c>
      <c r="C3" s="282">
        <v>890.0</v>
      </c>
      <c r="D3" s="1"/>
      <c r="E3" s="1"/>
      <c r="F3" s="1"/>
      <c r="G3" s="1"/>
      <c r="H3" s="1"/>
    </row>
    <row r="4">
      <c r="A4" s="282" t="s">
        <v>549</v>
      </c>
      <c r="B4" s="545">
        <v>18.0</v>
      </c>
      <c r="C4" s="282">
        <v>853.0</v>
      </c>
      <c r="D4" s="1"/>
      <c r="E4" s="1"/>
      <c r="F4" s="1"/>
      <c r="G4" s="1"/>
      <c r="H4" s="1"/>
    </row>
    <row r="5">
      <c r="A5" s="545" t="s">
        <v>361</v>
      </c>
      <c r="B5" s="282">
        <v>20.0</v>
      </c>
      <c r="C5" s="282">
        <v>507.0</v>
      </c>
      <c r="D5" s="1"/>
      <c r="E5" s="1"/>
      <c r="F5" s="1"/>
      <c r="G5" s="1"/>
      <c r="H5" s="1"/>
    </row>
    <row r="6">
      <c r="A6" s="545" t="s">
        <v>432</v>
      </c>
      <c r="B6" s="545">
        <v>6.0</v>
      </c>
      <c r="C6" s="282">
        <v>480.0</v>
      </c>
      <c r="D6" s="1"/>
      <c r="E6" s="1"/>
      <c r="F6" s="1"/>
      <c r="G6" s="1"/>
      <c r="H6" s="1"/>
    </row>
    <row r="7">
      <c r="A7" s="545" t="s">
        <v>135</v>
      </c>
      <c r="B7" s="545">
        <v>15.0</v>
      </c>
      <c r="C7" s="282">
        <v>478.0</v>
      </c>
      <c r="D7" s="1"/>
      <c r="E7" s="1"/>
      <c r="F7" s="1"/>
      <c r="G7" s="1"/>
      <c r="H7" s="1"/>
    </row>
    <row r="8">
      <c r="A8" s="545" t="s">
        <v>532</v>
      </c>
      <c r="B8" s="545">
        <v>6.0</v>
      </c>
      <c r="C8" s="282">
        <v>446.0</v>
      </c>
      <c r="D8" s="1"/>
      <c r="E8" s="1"/>
      <c r="F8" s="1"/>
      <c r="G8" s="1"/>
      <c r="H8" s="1"/>
    </row>
    <row r="9">
      <c r="A9" s="545" t="s">
        <v>606</v>
      </c>
      <c r="B9" s="545">
        <v>9.0</v>
      </c>
      <c r="C9" s="282">
        <v>433.0</v>
      </c>
      <c r="D9" s="1"/>
      <c r="E9" s="1"/>
      <c r="F9" s="1"/>
      <c r="G9" s="1"/>
      <c r="H9" s="1"/>
    </row>
    <row r="10">
      <c r="A10" s="545" t="s">
        <v>512</v>
      </c>
      <c r="B10" s="545">
        <v>5.0</v>
      </c>
      <c r="C10" s="282">
        <v>340.0</v>
      </c>
      <c r="D10" s="1"/>
      <c r="E10" s="1"/>
      <c r="F10" s="1"/>
      <c r="G10" s="1"/>
      <c r="H10" s="1"/>
    </row>
    <row r="11">
      <c r="A11" s="545" t="s">
        <v>365</v>
      </c>
      <c r="B11" s="545">
        <v>23.0</v>
      </c>
      <c r="C11" s="282">
        <v>324.0</v>
      </c>
      <c r="D11" s="1"/>
      <c r="E11" s="1"/>
      <c r="F11" s="1"/>
      <c r="G11" s="1"/>
      <c r="H11" s="1"/>
    </row>
    <row r="12">
      <c r="A12" s="546" t="s">
        <v>179</v>
      </c>
      <c r="B12" s="546">
        <v>6.0</v>
      </c>
      <c r="C12" s="547">
        <v>317.0</v>
      </c>
      <c r="D12" s="1"/>
      <c r="E12" s="1"/>
      <c r="F12" s="1"/>
      <c r="G12" s="1"/>
      <c r="H12" s="1"/>
    </row>
    <row r="13">
      <c r="A13" s="546" t="s">
        <v>334</v>
      </c>
      <c r="B13" s="546">
        <v>62.0</v>
      </c>
      <c r="C13" s="547">
        <v>269.0</v>
      </c>
      <c r="D13" s="1"/>
      <c r="E13" s="1"/>
      <c r="F13" s="1"/>
      <c r="G13" s="1"/>
      <c r="H13" s="1"/>
    </row>
    <row r="14">
      <c r="A14" s="547" t="s">
        <v>581</v>
      </c>
      <c r="B14" s="547">
        <v>1.0</v>
      </c>
      <c r="C14" s="547">
        <v>260.0</v>
      </c>
      <c r="D14" s="1"/>
      <c r="E14" s="1"/>
      <c r="F14" s="1"/>
      <c r="G14" s="1"/>
      <c r="H14" s="1"/>
    </row>
    <row r="15">
      <c r="A15" s="546" t="s">
        <v>93</v>
      </c>
      <c r="B15" s="546">
        <v>2.0</v>
      </c>
      <c r="C15" s="547">
        <v>208.0</v>
      </c>
      <c r="D15" s="1"/>
      <c r="E15" s="1"/>
      <c r="F15" s="1"/>
      <c r="G15" s="1"/>
      <c r="H15" s="1"/>
    </row>
    <row r="16">
      <c r="A16" s="547" t="s">
        <v>344</v>
      </c>
      <c r="B16" s="547">
        <v>29.0</v>
      </c>
      <c r="C16" s="547">
        <v>198.0</v>
      </c>
      <c r="D16" s="1"/>
      <c r="E16" s="1"/>
      <c r="F16" s="1"/>
      <c r="G16" s="1"/>
      <c r="H16" s="1"/>
    </row>
    <row r="17">
      <c r="A17" s="546" t="s">
        <v>611</v>
      </c>
      <c r="B17" s="546">
        <v>14.0</v>
      </c>
      <c r="C17" s="547">
        <v>198.0</v>
      </c>
      <c r="D17" s="1"/>
      <c r="E17" s="1"/>
      <c r="F17" s="1"/>
      <c r="G17" s="1"/>
      <c r="H17" s="1"/>
    </row>
    <row r="18">
      <c r="A18" s="546" t="s">
        <v>112</v>
      </c>
      <c r="B18" s="546">
        <v>1.0</v>
      </c>
      <c r="C18" s="547">
        <v>195.0</v>
      </c>
      <c r="D18" s="1"/>
      <c r="E18" s="1"/>
      <c r="F18" s="1"/>
      <c r="G18" s="1"/>
      <c r="H18" s="1"/>
    </row>
    <row r="19">
      <c r="A19" s="546" t="s">
        <v>288</v>
      </c>
      <c r="B19" s="546">
        <v>5.0</v>
      </c>
      <c r="C19" s="547">
        <v>183.0</v>
      </c>
      <c r="D19" s="1"/>
      <c r="E19" s="1"/>
      <c r="F19" s="1"/>
      <c r="G19" s="1"/>
      <c r="H19" s="1"/>
    </row>
    <row r="20">
      <c r="A20" s="546" t="s">
        <v>385</v>
      </c>
      <c r="B20" s="546">
        <v>3.0</v>
      </c>
      <c r="C20" s="547">
        <v>169.0</v>
      </c>
      <c r="D20" s="1"/>
      <c r="E20" s="1"/>
      <c r="F20" s="1"/>
      <c r="G20" s="1"/>
      <c r="H20" s="1"/>
    </row>
    <row r="21">
      <c r="A21" s="547" t="s">
        <v>244</v>
      </c>
      <c r="B21" s="547">
        <v>17.0</v>
      </c>
      <c r="C21" s="547">
        <v>159.0</v>
      </c>
      <c r="D21" s="1"/>
      <c r="E21" s="1"/>
      <c r="F21" s="1"/>
      <c r="G21" s="1"/>
      <c r="H21" s="1"/>
    </row>
    <row r="22">
      <c r="A22" s="546" t="s">
        <v>557</v>
      </c>
      <c r="B22" s="546">
        <v>5.0</v>
      </c>
      <c r="C22" s="547">
        <v>158.0</v>
      </c>
      <c r="D22" s="1"/>
      <c r="E22" s="1"/>
      <c r="F22" s="1"/>
      <c r="G22" s="1"/>
      <c r="H22" s="1"/>
    </row>
    <row r="23">
      <c r="A23" s="547" t="s">
        <v>369</v>
      </c>
      <c r="B23" s="546">
        <v>16.0</v>
      </c>
      <c r="C23" s="547">
        <v>149.0</v>
      </c>
      <c r="D23" s="1"/>
      <c r="E23" s="1"/>
      <c r="F23" s="1"/>
      <c r="G23" s="1"/>
      <c r="H23" s="1"/>
    </row>
    <row r="24">
      <c r="A24" s="546" t="s">
        <v>108</v>
      </c>
      <c r="B24" s="546">
        <v>13.0</v>
      </c>
      <c r="C24" s="547">
        <v>149.0</v>
      </c>
      <c r="D24" s="1"/>
      <c r="E24" s="1"/>
      <c r="F24" s="1"/>
      <c r="G24" s="1"/>
      <c r="H24" s="1"/>
    </row>
    <row r="25">
      <c r="A25" s="546" t="s">
        <v>506</v>
      </c>
      <c r="B25" s="546">
        <v>1.0</v>
      </c>
      <c r="C25" s="547">
        <v>147.0</v>
      </c>
      <c r="D25" s="1"/>
      <c r="E25" s="1"/>
      <c r="F25" s="1"/>
      <c r="G25" s="1"/>
      <c r="H25" s="1"/>
    </row>
    <row r="26">
      <c r="A26" s="546" t="s">
        <v>570</v>
      </c>
      <c r="B26" s="546">
        <v>5.0</v>
      </c>
      <c r="C26" s="547">
        <v>138.0</v>
      </c>
      <c r="D26" s="1"/>
      <c r="E26" s="1"/>
      <c r="F26" s="1"/>
      <c r="G26" s="1"/>
      <c r="H26" s="1"/>
    </row>
    <row r="27">
      <c r="A27" s="546" t="s">
        <v>136</v>
      </c>
      <c r="B27" s="546">
        <v>2.0</v>
      </c>
      <c r="C27" s="547">
        <v>134.0</v>
      </c>
      <c r="D27" s="1"/>
      <c r="E27" s="1"/>
      <c r="F27" s="1"/>
      <c r="G27" s="1"/>
      <c r="H27" s="1"/>
    </row>
    <row r="28">
      <c r="A28" s="546" t="s">
        <v>418</v>
      </c>
      <c r="B28" s="546">
        <v>1.0</v>
      </c>
      <c r="C28" s="547">
        <v>126.0</v>
      </c>
      <c r="D28" s="1"/>
      <c r="E28" s="1"/>
      <c r="F28" s="1"/>
      <c r="G28" s="1"/>
      <c r="H28" s="1"/>
    </row>
    <row r="29">
      <c r="A29" s="546" t="s">
        <v>497</v>
      </c>
      <c r="B29" s="546">
        <v>5.0</v>
      </c>
      <c r="C29" s="547">
        <v>124.0</v>
      </c>
      <c r="D29" s="1"/>
      <c r="E29" s="1"/>
      <c r="F29" s="1"/>
      <c r="G29" s="1"/>
      <c r="H29" s="1"/>
    </row>
    <row r="30">
      <c r="A30" s="546" t="s">
        <v>137</v>
      </c>
      <c r="B30" s="546">
        <v>3.0</v>
      </c>
      <c r="C30" s="547">
        <v>117.0</v>
      </c>
      <c r="D30" s="1"/>
      <c r="E30" s="1"/>
      <c r="F30" s="1"/>
      <c r="G30" s="1"/>
      <c r="H30" s="1"/>
    </row>
    <row r="31">
      <c r="A31" s="547" t="s">
        <v>509</v>
      </c>
      <c r="B31" s="546">
        <v>7.0</v>
      </c>
      <c r="C31" s="547">
        <v>116.0</v>
      </c>
      <c r="D31" s="1"/>
      <c r="E31" s="1"/>
      <c r="F31" s="1"/>
      <c r="G31" s="1"/>
      <c r="H31" s="1"/>
    </row>
    <row r="32">
      <c r="A32" s="546" t="s">
        <v>589</v>
      </c>
      <c r="B32" s="546">
        <v>3.0</v>
      </c>
      <c r="C32" s="547">
        <v>113.0</v>
      </c>
      <c r="D32" s="1"/>
      <c r="E32" s="1"/>
      <c r="F32" s="1"/>
      <c r="G32" s="1"/>
      <c r="H32" s="1"/>
    </row>
    <row r="33">
      <c r="A33" s="546" t="s">
        <v>495</v>
      </c>
      <c r="B33" s="546">
        <v>1.0</v>
      </c>
      <c r="C33" s="547">
        <v>93.0</v>
      </c>
      <c r="D33" s="1"/>
      <c r="E33" s="1"/>
      <c r="F33" s="1"/>
      <c r="G33" s="1"/>
      <c r="H33" s="1"/>
    </row>
    <row r="34">
      <c r="A34" s="546" t="s">
        <v>401</v>
      </c>
      <c r="B34" s="546">
        <v>2.0</v>
      </c>
      <c r="C34" s="547">
        <v>93.0</v>
      </c>
      <c r="D34" s="1"/>
      <c r="E34" s="1"/>
      <c r="F34" s="1"/>
      <c r="G34" s="1"/>
      <c r="H34" s="1"/>
    </row>
    <row r="35">
      <c r="A35" s="546" t="s">
        <v>195</v>
      </c>
      <c r="B35" s="546">
        <v>5.0</v>
      </c>
      <c r="C35" s="547">
        <v>92.0</v>
      </c>
      <c r="D35" s="1"/>
      <c r="E35" s="1"/>
      <c r="F35" s="1"/>
      <c r="G35" s="1"/>
      <c r="H35" s="1"/>
    </row>
    <row r="36">
      <c r="A36" s="546" t="s">
        <v>345</v>
      </c>
      <c r="B36" s="546">
        <v>4.0</v>
      </c>
      <c r="C36" s="547">
        <v>88.0</v>
      </c>
      <c r="D36" s="1"/>
      <c r="E36" s="1"/>
      <c r="F36" s="1"/>
      <c r="G36" s="1"/>
      <c r="H36" s="1"/>
    </row>
    <row r="37">
      <c r="A37" s="546" t="s">
        <v>96</v>
      </c>
      <c r="B37" s="546">
        <v>3.0</v>
      </c>
      <c r="C37" s="547">
        <v>88.0</v>
      </c>
      <c r="D37" s="1"/>
      <c r="E37" s="1"/>
      <c r="F37" s="1"/>
      <c r="G37" s="1"/>
      <c r="H37" s="1"/>
    </row>
    <row r="38">
      <c r="A38" s="546" t="s">
        <v>358</v>
      </c>
      <c r="B38" s="546">
        <v>2.0</v>
      </c>
      <c r="C38" s="547">
        <v>83.0</v>
      </c>
      <c r="D38" s="1"/>
      <c r="E38" s="1"/>
      <c r="F38" s="1"/>
      <c r="G38" s="1"/>
      <c r="H38" s="1"/>
    </row>
    <row r="39">
      <c r="A39" s="546" t="s">
        <v>367</v>
      </c>
      <c r="B39" s="546">
        <v>2.0</v>
      </c>
      <c r="C39" s="547">
        <v>78.0</v>
      </c>
      <c r="D39" s="1"/>
      <c r="E39" s="1"/>
      <c r="F39" s="1"/>
      <c r="G39" s="1"/>
      <c r="H39" s="1"/>
    </row>
    <row r="40">
      <c r="A40" s="546" t="s">
        <v>622</v>
      </c>
      <c r="B40" s="546">
        <v>4.0</v>
      </c>
      <c r="C40" s="547">
        <v>77.0</v>
      </c>
      <c r="D40" s="1"/>
      <c r="E40" s="1"/>
      <c r="F40" s="1"/>
      <c r="G40" s="1"/>
      <c r="H40" s="1"/>
    </row>
    <row r="41">
      <c r="A41" s="546" t="s">
        <v>593</v>
      </c>
      <c r="B41" s="547">
        <v>5.0</v>
      </c>
      <c r="C41" s="547">
        <v>76.0</v>
      </c>
      <c r="D41" s="1"/>
      <c r="E41" s="1"/>
      <c r="F41" s="1"/>
      <c r="G41" s="1"/>
      <c r="H41" s="1"/>
    </row>
    <row r="42">
      <c r="A42" s="546" t="s">
        <v>331</v>
      </c>
      <c r="B42" s="547">
        <v>15.0</v>
      </c>
      <c r="C42" s="547">
        <v>74.0</v>
      </c>
      <c r="D42" s="1"/>
      <c r="E42" s="1"/>
      <c r="F42" s="1"/>
      <c r="G42" s="1"/>
      <c r="H42" s="1"/>
    </row>
    <row r="43">
      <c r="A43" s="546" t="s">
        <v>182</v>
      </c>
      <c r="B43" s="547">
        <v>4.0</v>
      </c>
      <c r="C43" s="547">
        <v>73.0</v>
      </c>
      <c r="D43" s="1"/>
      <c r="E43" s="1"/>
      <c r="F43" s="1"/>
      <c r="G43" s="1"/>
      <c r="H43" s="1"/>
    </row>
    <row r="44">
      <c r="A44" s="546" t="s">
        <v>237</v>
      </c>
      <c r="B44" s="546">
        <v>3.0</v>
      </c>
      <c r="C44" s="547">
        <v>72.0</v>
      </c>
      <c r="D44" s="1"/>
      <c r="E44" s="1"/>
      <c r="F44" s="1"/>
      <c r="G44" s="1"/>
      <c r="H44" s="1"/>
    </row>
    <row r="45">
      <c r="A45" s="546" t="s">
        <v>626</v>
      </c>
      <c r="B45" s="546">
        <v>1.0</v>
      </c>
      <c r="C45" s="547">
        <v>71.0</v>
      </c>
      <c r="D45" s="1"/>
      <c r="E45" s="1"/>
      <c r="F45" s="1"/>
      <c r="G45" s="1"/>
      <c r="H45" s="1"/>
    </row>
    <row r="46">
      <c r="A46" s="546" t="s">
        <v>200</v>
      </c>
      <c r="B46" s="546">
        <v>1.0</v>
      </c>
      <c r="C46" s="547">
        <v>70.0</v>
      </c>
      <c r="D46" s="1"/>
      <c r="E46" s="1"/>
      <c r="F46" s="1"/>
      <c r="G46" s="1"/>
      <c r="H46" s="1"/>
    </row>
    <row r="47">
      <c r="A47" s="546" t="s">
        <v>122</v>
      </c>
      <c r="B47" s="546">
        <v>2.0</v>
      </c>
      <c r="C47" s="547">
        <v>70.0</v>
      </c>
      <c r="D47" s="1"/>
      <c r="E47" s="1"/>
      <c r="F47" s="1"/>
      <c r="G47" s="1"/>
      <c r="H47" s="1"/>
    </row>
    <row r="48">
      <c r="A48" s="546" t="s">
        <v>203</v>
      </c>
      <c r="B48" s="546">
        <v>3.0</v>
      </c>
      <c r="C48" s="547">
        <v>69.0</v>
      </c>
      <c r="D48" s="1"/>
      <c r="E48" s="1"/>
      <c r="F48" s="1"/>
      <c r="G48" s="1"/>
      <c r="H48" s="1"/>
    </row>
    <row r="49">
      <c r="A49" s="546" t="s">
        <v>338</v>
      </c>
      <c r="B49" s="546">
        <v>6.0</v>
      </c>
      <c r="C49" s="547">
        <v>69.0</v>
      </c>
      <c r="D49" s="1"/>
      <c r="E49" s="1"/>
      <c r="F49" s="1"/>
      <c r="G49" s="1"/>
      <c r="H49" s="1"/>
    </row>
    <row r="50">
      <c r="A50" s="546" t="s">
        <v>580</v>
      </c>
      <c r="B50" s="546">
        <v>1.0</v>
      </c>
      <c r="C50" s="547">
        <v>65.0</v>
      </c>
      <c r="D50" s="1"/>
      <c r="E50" s="1"/>
      <c r="F50" s="1"/>
      <c r="G50" s="1"/>
      <c r="H50" s="1"/>
    </row>
    <row r="51">
      <c r="A51" s="546" t="s">
        <v>56</v>
      </c>
      <c r="B51" s="546">
        <v>1.0</v>
      </c>
      <c r="C51" s="547">
        <v>65.0</v>
      </c>
      <c r="D51" s="1"/>
      <c r="E51" s="1"/>
      <c r="F51" s="1"/>
      <c r="G51" s="1"/>
      <c r="H51" s="1"/>
    </row>
    <row r="52">
      <c r="A52" s="546" t="s">
        <v>230</v>
      </c>
      <c r="B52" s="546">
        <v>1.0</v>
      </c>
      <c r="C52" s="547">
        <v>60.0</v>
      </c>
      <c r="D52" s="1"/>
      <c r="E52" s="1"/>
      <c r="F52" s="1"/>
      <c r="G52" s="1"/>
      <c r="H52" s="1"/>
    </row>
    <row r="53">
      <c r="A53" s="546" t="s">
        <v>632</v>
      </c>
      <c r="B53" s="546">
        <v>5.0</v>
      </c>
      <c r="C53" s="547">
        <v>59.0</v>
      </c>
      <c r="D53" s="1"/>
      <c r="E53" s="1"/>
      <c r="F53" s="1"/>
      <c r="G53" s="1"/>
      <c r="H53" s="1"/>
    </row>
    <row r="54">
      <c r="A54" s="546" t="s">
        <v>498</v>
      </c>
      <c r="B54" s="546">
        <v>3.0</v>
      </c>
      <c r="C54" s="547">
        <v>58.0</v>
      </c>
      <c r="D54" s="1"/>
      <c r="E54" s="1"/>
      <c r="F54" s="1"/>
      <c r="G54" s="1"/>
      <c r="H54" s="1"/>
    </row>
    <row r="55">
      <c r="A55" s="546" t="s">
        <v>373</v>
      </c>
      <c r="B55" s="546">
        <v>2.0</v>
      </c>
      <c r="C55" s="547">
        <v>57.0</v>
      </c>
      <c r="D55" s="1"/>
      <c r="E55" s="1"/>
      <c r="F55" s="1"/>
      <c r="G55" s="1"/>
      <c r="H55" s="1"/>
    </row>
    <row r="56">
      <c r="A56" s="546" t="s">
        <v>186</v>
      </c>
      <c r="B56" s="546">
        <v>4.0</v>
      </c>
      <c r="C56" s="547">
        <v>57.0</v>
      </c>
      <c r="D56" s="1"/>
      <c r="E56" s="1"/>
      <c r="F56" s="1"/>
      <c r="G56" s="1"/>
      <c r="H56" s="1"/>
    </row>
    <row r="57">
      <c r="A57" s="287" t="s">
        <v>212</v>
      </c>
      <c r="B57" s="287">
        <v>2.0</v>
      </c>
      <c r="C57" s="287">
        <v>56.0</v>
      </c>
      <c r="D57" s="1"/>
      <c r="E57" s="1"/>
      <c r="F57" s="1"/>
      <c r="G57" s="1"/>
      <c r="H57" s="1"/>
    </row>
    <row r="58">
      <c r="A58" s="286" t="s">
        <v>74</v>
      </c>
      <c r="B58" s="286">
        <v>1.0</v>
      </c>
      <c r="C58" s="287">
        <v>55.0</v>
      </c>
      <c r="D58" s="1"/>
      <c r="E58" s="1"/>
      <c r="F58" s="1"/>
      <c r="G58" s="1"/>
      <c r="H58" s="1"/>
    </row>
    <row r="59">
      <c r="A59" s="286" t="s">
        <v>100</v>
      </c>
      <c r="B59" s="286">
        <v>1.0</v>
      </c>
      <c r="C59" s="287">
        <v>54.0</v>
      </c>
      <c r="D59" s="1"/>
      <c r="E59" s="1"/>
      <c r="F59" s="1"/>
      <c r="G59" s="1"/>
      <c r="H59" s="1"/>
    </row>
    <row r="60">
      <c r="A60" s="286" t="s">
        <v>319</v>
      </c>
      <c r="B60" s="286">
        <v>2.0</v>
      </c>
      <c r="C60" s="287">
        <v>54.0</v>
      </c>
      <c r="D60" s="1"/>
      <c r="E60" s="1"/>
      <c r="F60" s="1"/>
      <c r="G60" s="1"/>
      <c r="H60" s="1"/>
    </row>
    <row r="61">
      <c r="A61" s="286" t="s">
        <v>109</v>
      </c>
      <c r="B61" s="286">
        <v>2.0</v>
      </c>
      <c r="C61" s="287">
        <v>54.0</v>
      </c>
      <c r="D61" s="1"/>
      <c r="E61" s="1"/>
      <c r="F61" s="1"/>
      <c r="G61" s="1"/>
      <c r="H61" s="1"/>
    </row>
    <row r="62">
      <c r="A62" s="286" t="s">
        <v>290</v>
      </c>
      <c r="B62" s="286">
        <v>2.0</v>
      </c>
      <c r="C62" s="287">
        <v>54.0</v>
      </c>
      <c r="D62" s="1"/>
      <c r="E62" s="1"/>
      <c r="F62" s="1"/>
      <c r="G62" s="1"/>
      <c r="H62" s="1"/>
    </row>
    <row r="63">
      <c r="A63" s="286" t="s">
        <v>603</v>
      </c>
      <c r="B63" s="287">
        <v>3.0</v>
      </c>
      <c r="C63" s="287">
        <v>53.0</v>
      </c>
      <c r="D63" s="1"/>
      <c r="E63" s="1"/>
      <c r="F63" s="1"/>
      <c r="G63" s="1"/>
      <c r="H63" s="1"/>
    </row>
    <row r="64">
      <c r="A64" s="286" t="s">
        <v>111</v>
      </c>
      <c r="B64" s="286">
        <v>2.0</v>
      </c>
      <c r="C64" s="287">
        <v>51.0</v>
      </c>
      <c r="D64" s="1"/>
      <c r="E64" s="1"/>
      <c r="F64" s="1"/>
      <c r="G64" s="1"/>
      <c r="H64" s="1"/>
    </row>
    <row r="65">
      <c r="A65" s="286" t="s">
        <v>517</v>
      </c>
      <c r="B65" s="286">
        <v>5.0</v>
      </c>
      <c r="C65" s="287">
        <v>51.0</v>
      </c>
      <c r="D65" s="1"/>
      <c r="E65" s="1"/>
      <c r="F65" s="1"/>
      <c r="G65" s="1"/>
      <c r="H65" s="1"/>
    </row>
    <row r="66">
      <c r="A66" s="286" t="s">
        <v>429</v>
      </c>
      <c r="B66" s="286">
        <v>1.0</v>
      </c>
      <c r="C66" s="287">
        <v>50.0</v>
      </c>
      <c r="D66" s="1"/>
      <c r="E66" s="1"/>
      <c r="F66" s="1"/>
      <c r="G66" s="1"/>
      <c r="H66" s="1"/>
    </row>
    <row r="67">
      <c r="A67" s="286" t="s">
        <v>238</v>
      </c>
      <c r="B67" s="286">
        <v>1.0</v>
      </c>
      <c r="C67" s="287">
        <v>50.0</v>
      </c>
      <c r="D67" s="1"/>
      <c r="E67" s="1"/>
      <c r="F67" s="1"/>
      <c r="G67" s="1"/>
      <c r="H67" s="1"/>
    </row>
    <row r="68">
      <c r="A68" s="286" t="s">
        <v>462</v>
      </c>
      <c r="B68" s="286">
        <v>1.0</v>
      </c>
      <c r="C68" s="287">
        <v>49.0</v>
      </c>
      <c r="D68" s="1"/>
      <c r="E68" s="1"/>
      <c r="F68" s="1"/>
      <c r="G68" s="1"/>
      <c r="H68" s="1"/>
    </row>
    <row r="69">
      <c r="A69" s="286" t="s">
        <v>283</v>
      </c>
      <c r="B69" s="286">
        <v>4.0</v>
      </c>
      <c r="C69" s="287">
        <v>48.0</v>
      </c>
      <c r="D69" s="1"/>
      <c r="E69" s="1"/>
      <c r="F69" s="1"/>
      <c r="G69" s="1"/>
      <c r="H69" s="1"/>
    </row>
    <row r="70">
      <c r="A70" s="286" t="s">
        <v>226</v>
      </c>
      <c r="B70" s="286">
        <v>4.0</v>
      </c>
      <c r="C70" s="287">
        <v>47.0</v>
      </c>
      <c r="D70" s="1"/>
      <c r="E70" s="1"/>
      <c r="F70" s="1"/>
      <c r="G70" s="1"/>
      <c r="H70" s="1"/>
    </row>
    <row r="71">
      <c r="A71" s="286" t="s">
        <v>185</v>
      </c>
      <c r="B71" s="286">
        <v>2.0</v>
      </c>
      <c r="C71" s="287">
        <v>46.0</v>
      </c>
      <c r="D71" s="1"/>
      <c r="E71" s="1"/>
      <c r="F71" s="1"/>
      <c r="G71" s="1"/>
      <c r="H71" s="1"/>
    </row>
    <row r="72">
      <c r="A72" s="286" t="s">
        <v>569</v>
      </c>
      <c r="B72" s="286">
        <v>2.0</v>
      </c>
      <c r="C72" s="287">
        <v>46.0</v>
      </c>
      <c r="D72" s="1"/>
      <c r="E72" s="1"/>
      <c r="F72" s="1"/>
      <c r="G72" s="1"/>
      <c r="H72" s="1"/>
    </row>
    <row r="73">
      <c r="A73" s="287" t="s">
        <v>152</v>
      </c>
      <c r="B73" s="287">
        <v>1.0</v>
      </c>
      <c r="C73" s="287">
        <v>45.0</v>
      </c>
      <c r="D73" s="1"/>
      <c r="E73" s="1"/>
      <c r="F73" s="1"/>
      <c r="G73" s="1"/>
      <c r="H73" s="1"/>
    </row>
    <row r="74">
      <c r="A74" s="286" t="s">
        <v>267</v>
      </c>
      <c r="B74" s="286">
        <v>1.0</v>
      </c>
      <c r="C74" s="287">
        <v>45.0</v>
      </c>
      <c r="D74" s="1"/>
      <c r="E74" s="1"/>
      <c r="F74" s="1"/>
      <c r="G74" s="1"/>
      <c r="H74" s="1"/>
    </row>
    <row r="75">
      <c r="A75" s="286" t="s">
        <v>336</v>
      </c>
      <c r="B75" s="286">
        <v>1.0</v>
      </c>
      <c r="C75" s="287">
        <v>45.0</v>
      </c>
      <c r="D75" s="1"/>
      <c r="E75" s="1"/>
      <c r="F75" s="1"/>
      <c r="G75" s="1"/>
      <c r="H75" s="1"/>
    </row>
    <row r="76">
      <c r="A76" s="286" t="s">
        <v>256</v>
      </c>
      <c r="B76" s="286">
        <v>1.0</v>
      </c>
      <c r="C76" s="287">
        <v>43.0</v>
      </c>
      <c r="D76" s="1"/>
      <c r="E76" s="1"/>
      <c r="F76" s="1"/>
      <c r="G76" s="1"/>
      <c r="H76" s="1"/>
    </row>
    <row r="77">
      <c r="A77" s="287" t="s">
        <v>240</v>
      </c>
      <c r="B77" s="287">
        <v>8.0</v>
      </c>
      <c r="C77" s="287">
        <v>43.0</v>
      </c>
      <c r="D77" s="1"/>
      <c r="E77" s="1"/>
      <c r="F77" s="1"/>
      <c r="G77" s="1"/>
      <c r="H77" s="1"/>
    </row>
    <row r="78">
      <c r="A78" s="286" t="s">
        <v>266</v>
      </c>
      <c r="B78" s="286">
        <v>5.0</v>
      </c>
      <c r="C78" s="287">
        <v>43.0</v>
      </c>
      <c r="D78" s="1"/>
      <c r="E78" s="1"/>
      <c r="F78" s="1"/>
      <c r="G78" s="1"/>
      <c r="H78" s="1"/>
    </row>
    <row r="79">
      <c r="A79" s="286" t="s">
        <v>184</v>
      </c>
      <c r="B79" s="286">
        <v>1.0</v>
      </c>
      <c r="C79" s="287">
        <v>42.0</v>
      </c>
      <c r="D79" s="1"/>
      <c r="E79" s="1"/>
      <c r="F79" s="1"/>
      <c r="G79" s="1"/>
      <c r="H79" s="1"/>
    </row>
    <row r="80">
      <c r="A80" s="286" t="s">
        <v>393</v>
      </c>
      <c r="B80" s="287">
        <v>2.0</v>
      </c>
      <c r="C80" s="287">
        <v>42.0</v>
      </c>
      <c r="D80" s="1"/>
      <c r="E80" s="1"/>
      <c r="F80" s="1"/>
      <c r="G80" s="1"/>
      <c r="H80" s="1"/>
    </row>
    <row r="81">
      <c r="A81" s="286" t="s">
        <v>211</v>
      </c>
      <c r="B81" s="286">
        <v>4.0</v>
      </c>
      <c r="C81" s="287">
        <v>42.0</v>
      </c>
      <c r="D81" s="1"/>
      <c r="E81" s="1"/>
      <c r="F81" s="1"/>
      <c r="G81" s="1"/>
      <c r="H81" s="1"/>
    </row>
    <row r="82">
      <c r="A82" s="286" t="s">
        <v>574</v>
      </c>
      <c r="B82" s="286">
        <v>2.0</v>
      </c>
      <c r="C82" s="287">
        <v>41.0</v>
      </c>
      <c r="D82" s="1"/>
      <c r="E82" s="1"/>
      <c r="F82" s="1"/>
      <c r="G82" s="1"/>
      <c r="H82" s="1"/>
    </row>
    <row r="83">
      <c r="A83" s="286" t="s">
        <v>541</v>
      </c>
      <c r="B83" s="286">
        <v>1.0</v>
      </c>
      <c r="C83" s="287">
        <v>40.0</v>
      </c>
      <c r="D83" s="1"/>
      <c r="E83" s="1"/>
      <c r="F83" s="1"/>
      <c r="G83" s="1"/>
      <c r="H83" s="1"/>
    </row>
    <row r="84">
      <c r="A84" s="286" t="s">
        <v>542</v>
      </c>
      <c r="B84" s="286">
        <v>1.0</v>
      </c>
      <c r="C84" s="287">
        <v>40.0</v>
      </c>
      <c r="D84" s="1"/>
      <c r="E84" s="1"/>
      <c r="F84" s="1"/>
      <c r="G84" s="1"/>
      <c r="H84" s="1"/>
    </row>
    <row r="85">
      <c r="A85" s="286" t="s">
        <v>293</v>
      </c>
      <c r="B85" s="286">
        <v>2.0</v>
      </c>
      <c r="C85" s="287">
        <v>40.0</v>
      </c>
      <c r="D85" s="1"/>
      <c r="E85" s="1"/>
      <c r="F85" s="1"/>
      <c r="G85" s="1"/>
      <c r="H85" s="1"/>
    </row>
    <row r="86">
      <c r="A86" s="286" t="s">
        <v>306</v>
      </c>
      <c r="B86" s="286">
        <v>1.0</v>
      </c>
      <c r="C86" s="287">
        <v>40.0</v>
      </c>
      <c r="D86" s="1"/>
      <c r="E86" s="1"/>
      <c r="F86" s="1"/>
      <c r="G86" s="1"/>
      <c r="H86" s="1"/>
    </row>
    <row r="87">
      <c r="A87" s="286" t="s">
        <v>217</v>
      </c>
      <c r="B87" s="286">
        <v>2.0</v>
      </c>
      <c r="C87" s="287">
        <v>39.0</v>
      </c>
      <c r="D87" s="1"/>
      <c r="E87" s="1"/>
      <c r="F87" s="1"/>
      <c r="G87" s="1"/>
      <c r="H87" s="1"/>
    </row>
    <row r="88">
      <c r="A88" s="286" t="s">
        <v>254</v>
      </c>
      <c r="B88" s="286">
        <v>3.0</v>
      </c>
      <c r="C88" s="287">
        <v>39.0</v>
      </c>
      <c r="D88" s="1"/>
      <c r="E88" s="1"/>
      <c r="F88" s="1"/>
      <c r="G88" s="1"/>
      <c r="H88" s="1"/>
    </row>
    <row r="89">
      <c r="A89" s="286" t="s">
        <v>104</v>
      </c>
      <c r="B89" s="286">
        <v>1.0</v>
      </c>
      <c r="C89" s="287">
        <v>37.0</v>
      </c>
      <c r="D89" s="1"/>
      <c r="E89" s="1"/>
      <c r="F89" s="1"/>
      <c r="G89" s="1"/>
      <c r="H89" s="1"/>
    </row>
    <row r="90">
      <c r="A90" s="286" t="s">
        <v>544</v>
      </c>
      <c r="B90" s="286">
        <v>2.0</v>
      </c>
      <c r="C90" s="287">
        <v>37.0</v>
      </c>
      <c r="D90" s="1"/>
      <c r="E90" s="1"/>
      <c r="F90" s="1"/>
      <c r="G90" s="1"/>
      <c r="H90" s="1"/>
    </row>
    <row r="91">
      <c r="A91" s="286" t="s">
        <v>129</v>
      </c>
      <c r="B91" s="286">
        <v>1.0</v>
      </c>
      <c r="C91" s="287">
        <v>36.0</v>
      </c>
      <c r="D91" s="1"/>
      <c r="E91" s="1"/>
      <c r="F91" s="1"/>
      <c r="G91" s="1"/>
      <c r="H91" s="1"/>
    </row>
    <row r="92">
      <c r="A92" s="286" t="s">
        <v>81</v>
      </c>
      <c r="B92" s="286">
        <v>3.0</v>
      </c>
      <c r="C92" s="287">
        <v>36.0</v>
      </c>
      <c r="D92" s="1"/>
      <c r="E92" s="1"/>
      <c r="F92" s="1"/>
      <c r="G92" s="1"/>
      <c r="H92" s="1"/>
    </row>
    <row r="93">
      <c r="A93" s="286" t="s">
        <v>558</v>
      </c>
      <c r="B93" s="286">
        <v>1.0</v>
      </c>
      <c r="C93" s="287">
        <v>35.0</v>
      </c>
      <c r="D93" s="1"/>
      <c r="E93" s="1"/>
      <c r="F93" s="1"/>
      <c r="G93" s="1"/>
      <c r="H93" s="1"/>
    </row>
    <row r="94">
      <c r="A94" s="286" t="s">
        <v>312</v>
      </c>
      <c r="B94" s="286">
        <v>1.0</v>
      </c>
      <c r="C94" s="287">
        <v>35.0</v>
      </c>
      <c r="D94" s="1"/>
      <c r="E94" s="1"/>
      <c r="F94" s="1"/>
      <c r="G94" s="1"/>
      <c r="H94" s="1"/>
    </row>
    <row r="95">
      <c r="A95" s="286" t="s">
        <v>435</v>
      </c>
      <c r="B95" s="286">
        <v>3.0</v>
      </c>
      <c r="C95" s="287">
        <v>35.0</v>
      </c>
      <c r="D95" s="1"/>
      <c r="E95" s="1"/>
      <c r="F95" s="1"/>
      <c r="G95" s="1"/>
      <c r="H95" s="1"/>
    </row>
    <row r="96">
      <c r="A96" s="286" t="s">
        <v>145</v>
      </c>
      <c r="B96" s="286">
        <v>1.0</v>
      </c>
      <c r="C96" s="287">
        <v>35.0</v>
      </c>
      <c r="D96" s="1"/>
      <c r="E96" s="1"/>
      <c r="F96" s="1"/>
      <c r="G96" s="1"/>
      <c r="H96" s="1"/>
    </row>
    <row r="97">
      <c r="A97" s="286" t="s">
        <v>594</v>
      </c>
      <c r="B97" s="286">
        <v>2.0</v>
      </c>
      <c r="C97" s="287">
        <v>35.0</v>
      </c>
      <c r="D97" s="1"/>
      <c r="E97" s="1"/>
      <c r="F97" s="1"/>
      <c r="G97" s="1"/>
      <c r="H97" s="1"/>
    </row>
    <row r="98">
      <c r="A98" s="286" t="s">
        <v>607</v>
      </c>
      <c r="B98" s="286">
        <v>1.0</v>
      </c>
      <c r="C98" s="287">
        <v>35.0</v>
      </c>
      <c r="D98" s="1"/>
      <c r="E98" s="1"/>
      <c r="F98" s="1"/>
      <c r="G98" s="1"/>
      <c r="H98" s="1"/>
    </row>
    <row r="99">
      <c r="A99" s="286" t="s">
        <v>629</v>
      </c>
      <c r="B99" s="286">
        <v>2.0</v>
      </c>
      <c r="C99" s="287">
        <v>35.0</v>
      </c>
      <c r="D99" s="1"/>
      <c r="E99" s="1"/>
      <c r="F99" s="1"/>
      <c r="G99" s="1"/>
      <c r="H99" s="1"/>
    </row>
    <row r="100">
      <c r="A100" s="286" t="s">
        <v>342</v>
      </c>
      <c r="B100" s="286">
        <v>2.0</v>
      </c>
      <c r="C100" s="287">
        <v>35.0</v>
      </c>
      <c r="D100" s="1"/>
      <c r="E100" s="1"/>
      <c r="F100" s="1"/>
      <c r="G100" s="1"/>
      <c r="H100" s="1"/>
    </row>
    <row r="101">
      <c r="A101" s="286" t="s">
        <v>335</v>
      </c>
      <c r="B101" s="286">
        <v>3.0</v>
      </c>
      <c r="C101" s="287">
        <v>35.0</v>
      </c>
      <c r="D101" s="1"/>
      <c r="E101" s="1"/>
      <c r="F101" s="1"/>
      <c r="G101" s="1"/>
      <c r="H101" s="1"/>
    </row>
    <row r="102">
      <c r="A102" s="273" t="s">
        <v>640</v>
      </c>
      <c r="B102" s="273">
        <v>2.0</v>
      </c>
      <c r="C102" s="270">
        <v>34.0</v>
      </c>
      <c r="D102" s="1"/>
      <c r="E102" s="1"/>
      <c r="F102" s="1"/>
      <c r="G102" s="1"/>
      <c r="H102" s="1"/>
    </row>
    <row r="103">
      <c r="A103" s="273" t="s">
        <v>456</v>
      </c>
      <c r="B103" s="273">
        <v>2.0</v>
      </c>
      <c r="C103" s="270">
        <v>34.0</v>
      </c>
      <c r="D103" s="1"/>
      <c r="E103" s="1"/>
      <c r="F103" s="1"/>
      <c r="G103" s="1"/>
      <c r="H103" s="1"/>
    </row>
    <row r="104">
      <c r="A104" s="25" t="s">
        <v>235</v>
      </c>
      <c r="B104" s="25">
        <v>4.0</v>
      </c>
      <c r="C104" s="35">
        <v>34.0</v>
      </c>
      <c r="D104" s="1"/>
      <c r="E104" s="1"/>
      <c r="F104" s="1"/>
      <c r="G104" s="1"/>
      <c r="H104" s="1"/>
    </row>
    <row r="105">
      <c r="A105" s="25" t="s">
        <v>35</v>
      </c>
      <c r="B105" s="35">
        <v>3.0</v>
      </c>
      <c r="C105" s="35">
        <v>33.0</v>
      </c>
      <c r="D105" s="1"/>
      <c r="E105" s="1"/>
      <c r="F105" s="1"/>
      <c r="G105" s="1"/>
      <c r="H105" s="1"/>
    </row>
    <row r="106">
      <c r="A106" s="25" t="s">
        <v>635</v>
      </c>
      <c r="B106" s="25">
        <v>3.0</v>
      </c>
      <c r="C106" s="35">
        <v>32.0</v>
      </c>
      <c r="D106" s="1"/>
      <c r="E106" s="1"/>
      <c r="F106" s="1"/>
      <c r="G106" s="1"/>
      <c r="H106" s="1"/>
    </row>
    <row r="107">
      <c r="A107" s="25" t="s">
        <v>115</v>
      </c>
      <c r="B107" s="25">
        <v>1.0</v>
      </c>
      <c r="C107" s="35">
        <v>30.0</v>
      </c>
      <c r="D107" s="1"/>
      <c r="E107" s="1"/>
      <c r="F107" s="1"/>
      <c r="G107" s="1"/>
      <c r="H107" s="1"/>
    </row>
    <row r="108">
      <c r="A108" s="25" t="s">
        <v>143</v>
      </c>
      <c r="B108" s="25">
        <v>1.0</v>
      </c>
      <c r="C108" s="35">
        <v>30.0</v>
      </c>
      <c r="D108" s="1"/>
      <c r="E108" s="1"/>
      <c r="F108" s="1"/>
      <c r="G108" s="1"/>
      <c r="H108" s="1"/>
    </row>
    <row r="109">
      <c r="A109" s="25" t="s">
        <v>130</v>
      </c>
      <c r="B109" s="25">
        <v>1.0</v>
      </c>
      <c r="C109" s="35">
        <v>29.0</v>
      </c>
      <c r="D109" s="1"/>
      <c r="E109" s="1"/>
      <c r="F109" s="1"/>
      <c r="G109" s="1"/>
      <c r="H109" s="1"/>
    </row>
    <row r="110">
      <c r="A110" s="25" t="s">
        <v>197</v>
      </c>
      <c r="B110" s="35">
        <v>4.0</v>
      </c>
      <c r="C110" s="35">
        <v>29.0</v>
      </c>
      <c r="D110" s="1"/>
      <c r="E110" s="1"/>
      <c r="F110" s="1"/>
      <c r="G110" s="1"/>
      <c r="H110" s="1"/>
    </row>
    <row r="111">
      <c r="A111" s="25" t="s">
        <v>572</v>
      </c>
      <c r="B111" s="25">
        <v>1.0</v>
      </c>
      <c r="C111" s="35">
        <v>29.0</v>
      </c>
      <c r="D111" s="1"/>
      <c r="E111" s="1"/>
      <c r="F111" s="1"/>
      <c r="G111" s="1"/>
      <c r="H111" s="1"/>
    </row>
    <row r="112">
      <c r="A112" s="35" t="s">
        <v>89</v>
      </c>
      <c r="B112" s="35">
        <v>1.0</v>
      </c>
      <c r="C112" s="35">
        <v>28.0</v>
      </c>
      <c r="D112" s="1"/>
      <c r="E112" s="1"/>
      <c r="F112" s="1"/>
      <c r="G112" s="1"/>
      <c r="H112" s="1"/>
    </row>
    <row r="113">
      <c r="A113" s="25" t="s">
        <v>420</v>
      </c>
      <c r="B113" s="25">
        <v>2.0</v>
      </c>
      <c r="C113" s="35">
        <v>27.0</v>
      </c>
      <c r="D113" s="1"/>
      <c r="E113" s="1"/>
      <c r="F113" s="1"/>
      <c r="G113" s="1"/>
      <c r="H113" s="1"/>
    </row>
    <row r="114">
      <c r="A114" s="25" t="s">
        <v>102</v>
      </c>
      <c r="B114" s="25">
        <v>2.0</v>
      </c>
      <c r="C114" s="35">
        <v>26.0</v>
      </c>
      <c r="D114" s="1"/>
      <c r="E114" s="1"/>
      <c r="F114" s="1"/>
      <c r="G114" s="1"/>
      <c r="H114" s="1"/>
    </row>
    <row r="115">
      <c r="A115" s="25" t="s">
        <v>94</v>
      </c>
      <c r="B115" s="25">
        <v>3.0</v>
      </c>
      <c r="C115" s="35">
        <v>26.0</v>
      </c>
      <c r="D115" s="1"/>
      <c r="E115" s="1"/>
      <c r="F115" s="1"/>
      <c r="G115" s="1"/>
      <c r="H115" s="1"/>
    </row>
    <row r="116">
      <c r="A116" s="25" t="s">
        <v>592</v>
      </c>
      <c r="B116" s="25">
        <v>2.0</v>
      </c>
      <c r="C116" s="35">
        <v>26.0</v>
      </c>
      <c r="D116" s="1"/>
      <c r="E116" s="1"/>
      <c r="F116" s="1"/>
      <c r="G116" s="1"/>
      <c r="H116" s="1"/>
    </row>
    <row r="117">
      <c r="A117" s="94" t="s">
        <v>493</v>
      </c>
      <c r="B117" s="94">
        <v>1.0</v>
      </c>
      <c r="C117" s="101">
        <v>25.0</v>
      </c>
      <c r="D117" s="1"/>
      <c r="E117" s="1"/>
      <c r="F117" s="1"/>
      <c r="G117" s="1"/>
      <c r="H117" s="1"/>
    </row>
    <row r="118">
      <c r="A118" s="94" t="s">
        <v>519</v>
      </c>
      <c r="B118" s="94">
        <v>1.0</v>
      </c>
      <c r="C118" s="101">
        <v>25.0</v>
      </c>
      <c r="D118" s="1"/>
      <c r="E118" s="1"/>
      <c r="F118" s="1"/>
      <c r="G118" s="1"/>
      <c r="H118" s="1"/>
    </row>
    <row r="119">
      <c r="A119" s="379" t="s">
        <v>134</v>
      </c>
      <c r="B119" s="25">
        <v>1.0</v>
      </c>
      <c r="C119" s="101">
        <v>25.0</v>
      </c>
      <c r="D119" s="1"/>
      <c r="E119" s="1"/>
      <c r="F119" s="1"/>
      <c r="G119" s="1"/>
      <c r="H119" s="1"/>
    </row>
    <row r="120">
      <c r="A120" s="94" t="s">
        <v>273</v>
      </c>
      <c r="B120" s="94">
        <v>1.0</v>
      </c>
      <c r="C120" s="101">
        <v>25.0</v>
      </c>
      <c r="D120" s="1"/>
      <c r="E120" s="1"/>
      <c r="F120" s="1"/>
      <c r="G120" s="1"/>
      <c r="H120" s="1"/>
    </row>
    <row r="121">
      <c r="A121" s="94" t="s">
        <v>324</v>
      </c>
      <c r="B121" s="94">
        <v>1.0</v>
      </c>
      <c r="C121" s="101">
        <v>25.0</v>
      </c>
      <c r="D121" s="1"/>
      <c r="E121" s="1"/>
      <c r="F121" s="1"/>
      <c r="G121" s="1"/>
      <c r="H121" s="1"/>
    </row>
    <row r="122">
      <c r="A122" s="35" t="s">
        <v>69</v>
      </c>
      <c r="B122" s="35">
        <v>2.0</v>
      </c>
      <c r="C122" s="101">
        <v>25.0</v>
      </c>
      <c r="D122" s="1"/>
      <c r="E122" s="1"/>
      <c r="F122" s="1"/>
      <c r="G122" s="1"/>
      <c r="H122" s="1"/>
    </row>
    <row r="123">
      <c r="A123" s="94" t="s">
        <v>180</v>
      </c>
      <c r="B123" s="94">
        <v>1.0</v>
      </c>
      <c r="C123" s="101">
        <v>25.0</v>
      </c>
      <c r="D123" s="1"/>
      <c r="E123" s="1"/>
      <c r="F123" s="1"/>
      <c r="G123" s="1"/>
      <c r="H123" s="1"/>
    </row>
    <row r="124">
      <c r="A124" s="94" t="s">
        <v>231</v>
      </c>
      <c r="B124" s="94">
        <v>1.0</v>
      </c>
      <c r="C124" s="101">
        <v>25.0</v>
      </c>
      <c r="D124" s="1"/>
      <c r="E124" s="1"/>
      <c r="F124" s="1"/>
      <c r="G124" s="1"/>
      <c r="H124" s="1"/>
    </row>
    <row r="125">
      <c r="A125" s="25" t="s">
        <v>106</v>
      </c>
      <c r="B125" s="25">
        <v>2.0</v>
      </c>
      <c r="C125" s="101">
        <v>25.0</v>
      </c>
      <c r="D125" s="1"/>
      <c r="E125" s="1"/>
      <c r="F125" s="1"/>
      <c r="G125" s="1"/>
      <c r="H125" s="1"/>
    </row>
    <row r="126">
      <c r="A126" s="25" t="s">
        <v>174</v>
      </c>
      <c r="B126" s="25">
        <v>1.0</v>
      </c>
      <c r="C126" s="35">
        <v>25.0</v>
      </c>
      <c r="D126" s="1"/>
      <c r="E126" s="1"/>
      <c r="F126" s="1"/>
      <c r="G126" s="1"/>
      <c r="H126" s="1"/>
    </row>
    <row r="127">
      <c r="A127" s="25" t="s">
        <v>556</v>
      </c>
      <c r="B127" s="25">
        <v>4.0</v>
      </c>
      <c r="C127" s="35">
        <v>25.0</v>
      </c>
      <c r="D127" s="1"/>
      <c r="E127" s="1"/>
      <c r="F127" s="1"/>
      <c r="G127" s="1"/>
      <c r="H127" s="1"/>
    </row>
    <row r="128">
      <c r="A128" s="25" t="s">
        <v>66</v>
      </c>
      <c r="B128" s="25">
        <v>1.0</v>
      </c>
      <c r="C128" s="35">
        <v>24.0</v>
      </c>
      <c r="D128" s="1"/>
      <c r="E128" s="1"/>
      <c r="F128" s="1"/>
      <c r="G128" s="1"/>
      <c r="H128" s="1"/>
    </row>
    <row r="129">
      <c r="A129" s="25" t="s">
        <v>218</v>
      </c>
      <c r="B129" s="25">
        <v>2.0</v>
      </c>
      <c r="C129" s="35">
        <v>24.0</v>
      </c>
      <c r="D129" s="1"/>
      <c r="E129" s="1"/>
      <c r="F129" s="1"/>
      <c r="G129" s="1"/>
      <c r="H129" s="1"/>
    </row>
    <row r="130">
      <c r="A130" s="25" t="s">
        <v>637</v>
      </c>
      <c r="B130" s="25">
        <v>1.0</v>
      </c>
      <c r="C130" s="35">
        <v>24.0</v>
      </c>
      <c r="D130" s="1"/>
      <c r="E130" s="1"/>
      <c r="F130" s="1"/>
      <c r="G130" s="1"/>
      <c r="H130" s="1"/>
    </row>
    <row r="131">
      <c r="A131" s="25" t="s">
        <v>404</v>
      </c>
      <c r="B131" s="25">
        <v>1.0</v>
      </c>
      <c r="C131" s="35">
        <v>24.0</v>
      </c>
      <c r="D131" s="1"/>
      <c r="E131" s="1"/>
      <c r="F131" s="1"/>
      <c r="G131" s="1"/>
      <c r="H131" s="1"/>
    </row>
    <row r="132">
      <c r="A132" s="25" t="s">
        <v>71</v>
      </c>
      <c r="B132" s="25">
        <v>1.0</v>
      </c>
      <c r="C132" s="35">
        <v>24.0</v>
      </c>
      <c r="D132" s="1"/>
      <c r="E132" s="1"/>
      <c r="F132" s="1"/>
      <c r="G132" s="1"/>
      <c r="H132" s="1"/>
    </row>
    <row r="133">
      <c r="A133" s="25" t="s">
        <v>467</v>
      </c>
      <c r="B133" s="35">
        <v>4.0</v>
      </c>
      <c r="C133" s="35">
        <v>24.0</v>
      </c>
      <c r="D133" s="1"/>
      <c r="E133" s="1"/>
      <c r="F133" s="1"/>
      <c r="G133" s="1"/>
      <c r="H133" s="1"/>
    </row>
    <row r="134">
      <c r="A134" s="35" t="s">
        <v>411</v>
      </c>
      <c r="B134" s="35">
        <v>1.0</v>
      </c>
      <c r="C134" s="35">
        <v>23.0</v>
      </c>
      <c r="D134" s="1"/>
      <c r="E134" s="1"/>
      <c r="F134" s="1"/>
      <c r="G134" s="1"/>
      <c r="H134" s="1"/>
    </row>
    <row r="135">
      <c r="A135" s="25" t="s">
        <v>395</v>
      </c>
      <c r="B135" s="35">
        <v>2.0</v>
      </c>
      <c r="C135" s="35">
        <v>23.0</v>
      </c>
      <c r="D135" s="1"/>
      <c r="E135" s="1"/>
      <c r="F135" s="1"/>
      <c r="G135" s="1"/>
      <c r="H135" s="1"/>
    </row>
    <row r="136">
      <c r="A136" s="25" t="s">
        <v>300</v>
      </c>
      <c r="B136" s="25">
        <v>1.0</v>
      </c>
      <c r="C136" s="35">
        <v>23.0</v>
      </c>
      <c r="D136" s="1"/>
      <c r="E136" s="1"/>
      <c r="F136" s="1"/>
      <c r="G136" s="1"/>
      <c r="H136" s="1"/>
    </row>
    <row r="137">
      <c r="A137" s="35" t="s">
        <v>627</v>
      </c>
      <c r="B137" s="35">
        <v>2.0</v>
      </c>
      <c r="C137" s="35">
        <v>23.0</v>
      </c>
      <c r="D137" s="1"/>
      <c r="E137" s="1"/>
      <c r="F137" s="1"/>
      <c r="G137" s="1"/>
      <c r="H137" s="1"/>
    </row>
    <row r="138">
      <c r="A138" s="35" t="s">
        <v>357</v>
      </c>
      <c r="B138" s="35">
        <v>1.0</v>
      </c>
      <c r="C138" s="35">
        <v>22.0</v>
      </c>
      <c r="D138" s="1"/>
      <c r="E138" s="1"/>
      <c r="F138" s="1"/>
      <c r="G138" s="1"/>
      <c r="H138" s="1"/>
    </row>
    <row r="139">
      <c r="A139" s="25" t="s">
        <v>482</v>
      </c>
      <c r="B139" s="25">
        <v>1.0</v>
      </c>
      <c r="C139" s="35">
        <v>21.0</v>
      </c>
      <c r="D139" s="1"/>
      <c r="E139" s="1"/>
      <c r="F139" s="1"/>
      <c r="G139" s="1"/>
      <c r="H139" s="1"/>
    </row>
    <row r="140">
      <c r="A140" s="25" t="s">
        <v>408</v>
      </c>
      <c r="B140" s="25">
        <v>1.0</v>
      </c>
      <c r="C140" s="35">
        <v>20.0</v>
      </c>
      <c r="D140" s="1"/>
      <c r="E140" s="1"/>
      <c r="F140" s="1"/>
      <c r="G140" s="1"/>
      <c r="H140" s="1"/>
    </row>
    <row r="141">
      <c r="A141" s="25" t="s">
        <v>387</v>
      </c>
      <c r="B141" s="25">
        <v>2.0</v>
      </c>
      <c r="C141" s="35">
        <v>20.0</v>
      </c>
      <c r="D141" s="1"/>
      <c r="E141" s="1"/>
      <c r="F141" s="1"/>
      <c r="G141" s="1"/>
      <c r="H141" s="1"/>
    </row>
    <row r="142">
      <c r="A142" s="25" t="s">
        <v>533</v>
      </c>
      <c r="B142" s="25">
        <v>1.0</v>
      </c>
      <c r="C142" s="35">
        <v>20.0</v>
      </c>
      <c r="D142" s="1"/>
      <c r="E142" s="1"/>
      <c r="F142" s="1"/>
      <c r="G142" s="1"/>
      <c r="H142" s="1"/>
    </row>
    <row r="143">
      <c r="A143" s="25" t="s">
        <v>547</v>
      </c>
      <c r="B143" s="25">
        <v>1.0</v>
      </c>
      <c r="C143" s="35">
        <v>20.0</v>
      </c>
      <c r="D143" s="1"/>
      <c r="E143" s="1"/>
      <c r="F143" s="1"/>
      <c r="G143" s="1"/>
      <c r="H143" s="1"/>
    </row>
    <row r="144">
      <c r="A144" s="25" t="s">
        <v>440</v>
      </c>
      <c r="B144" s="35">
        <v>2.0</v>
      </c>
      <c r="C144" s="35">
        <v>20.0</v>
      </c>
      <c r="D144" s="1"/>
      <c r="E144" s="1"/>
      <c r="F144" s="1"/>
      <c r="G144" s="1"/>
      <c r="H144" s="1"/>
    </row>
    <row r="145">
      <c r="A145" s="25" t="s">
        <v>181</v>
      </c>
      <c r="B145" s="25">
        <v>1.0</v>
      </c>
      <c r="C145" s="35">
        <v>20.0</v>
      </c>
      <c r="D145" s="1"/>
      <c r="E145" s="1"/>
      <c r="F145" s="1"/>
      <c r="G145" s="1"/>
      <c r="H145" s="1"/>
    </row>
    <row r="146">
      <c r="A146" s="25" t="s">
        <v>567</v>
      </c>
      <c r="B146" s="25">
        <v>1.0</v>
      </c>
      <c r="C146" s="35">
        <v>20.0</v>
      </c>
      <c r="D146" s="1"/>
      <c r="E146" s="1"/>
      <c r="F146" s="1"/>
      <c r="G146" s="1"/>
      <c r="H146" s="1"/>
    </row>
    <row r="147">
      <c r="A147" s="25" t="s">
        <v>274</v>
      </c>
      <c r="B147" s="25">
        <v>1.0</v>
      </c>
      <c r="C147" s="35">
        <v>20.0</v>
      </c>
      <c r="D147" s="1"/>
      <c r="E147" s="1"/>
      <c r="F147" s="1"/>
      <c r="G147" s="1"/>
      <c r="H147" s="1"/>
    </row>
    <row r="148">
      <c r="A148" s="25" t="s">
        <v>295</v>
      </c>
      <c r="B148" s="25">
        <v>1.0</v>
      </c>
      <c r="C148" s="35">
        <v>20.0</v>
      </c>
      <c r="D148" s="1"/>
      <c r="E148" s="1"/>
      <c r="F148" s="1"/>
      <c r="G148" s="1"/>
      <c r="H148" s="1"/>
    </row>
    <row r="149">
      <c r="A149" s="25" t="s">
        <v>371</v>
      </c>
      <c r="B149" s="25">
        <v>2.0</v>
      </c>
      <c r="C149" s="35">
        <v>20.0</v>
      </c>
      <c r="D149" s="1"/>
      <c r="E149" s="1"/>
      <c r="F149" s="1"/>
      <c r="G149" s="1"/>
      <c r="H149" s="1"/>
    </row>
    <row r="150">
      <c r="A150" s="25" t="s">
        <v>374</v>
      </c>
      <c r="B150" s="25">
        <v>1.0</v>
      </c>
      <c r="C150" s="35">
        <v>20.0</v>
      </c>
      <c r="D150" s="1"/>
      <c r="E150" s="1"/>
      <c r="F150" s="1"/>
      <c r="G150" s="1"/>
      <c r="H150" s="1"/>
    </row>
    <row r="151">
      <c r="A151" s="25" t="s">
        <v>67</v>
      </c>
      <c r="B151" s="25">
        <v>1.0</v>
      </c>
      <c r="C151" s="35">
        <v>20.0</v>
      </c>
      <c r="D151" s="1"/>
      <c r="E151" s="1"/>
      <c r="F151" s="1"/>
      <c r="G151" s="1"/>
      <c r="H151" s="1"/>
    </row>
    <row r="152">
      <c r="A152" s="25" t="s">
        <v>64</v>
      </c>
      <c r="B152" s="25">
        <v>1.0</v>
      </c>
      <c r="C152" s="35">
        <v>20.0</v>
      </c>
      <c r="D152" s="1"/>
      <c r="E152" s="1"/>
      <c r="F152" s="1"/>
      <c r="G152" s="1"/>
      <c r="H152" s="1"/>
    </row>
    <row r="153">
      <c r="A153" s="25" t="s">
        <v>531</v>
      </c>
      <c r="B153" s="25">
        <v>2.0</v>
      </c>
      <c r="C153" s="35">
        <v>20.0</v>
      </c>
      <c r="D153" s="1"/>
      <c r="E153" s="1"/>
      <c r="F153" s="1"/>
      <c r="G153" s="1"/>
      <c r="H153" s="1"/>
    </row>
    <row r="154">
      <c r="A154" s="25" t="s">
        <v>521</v>
      </c>
      <c r="B154" s="25">
        <v>1.0</v>
      </c>
      <c r="C154" s="35">
        <v>19.0</v>
      </c>
      <c r="D154" s="1"/>
      <c r="E154" s="1"/>
      <c r="F154" s="1"/>
      <c r="G154" s="1"/>
      <c r="H154" s="1"/>
    </row>
    <row r="155">
      <c r="A155" s="25" t="s">
        <v>516</v>
      </c>
      <c r="B155" s="25">
        <v>2.0</v>
      </c>
      <c r="C155" s="35">
        <v>19.0</v>
      </c>
      <c r="D155" s="1"/>
      <c r="E155" s="1"/>
      <c r="F155" s="1"/>
      <c r="G155" s="1"/>
      <c r="H155" s="1"/>
    </row>
    <row r="156">
      <c r="A156" s="25" t="s">
        <v>330</v>
      </c>
      <c r="B156" s="25">
        <v>2.0</v>
      </c>
      <c r="C156" s="35">
        <v>19.0</v>
      </c>
      <c r="D156" s="1"/>
      <c r="E156" s="1"/>
      <c r="F156" s="1"/>
      <c r="G156" s="1"/>
      <c r="H156" s="1"/>
    </row>
    <row r="157">
      <c r="A157" s="25" t="s">
        <v>630</v>
      </c>
      <c r="B157" s="25">
        <v>1.0</v>
      </c>
      <c r="C157" s="35">
        <v>18.0</v>
      </c>
      <c r="D157" s="1"/>
      <c r="E157" s="1"/>
      <c r="F157" s="1"/>
      <c r="G157" s="1"/>
      <c r="H157" s="1"/>
    </row>
    <row r="158">
      <c r="A158" s="25" t="s">
        <v>215</v>
      </c>
      <c r="B158" s="25">
        <v>1.0</v>
      </c>
      <c r="C158" s="35">
        <v>18.0</v>
      </c>
      <c r="D158" s="1"/>
      <c r="E158" s="1"/>
      <c r="F158" s="1"/>
      <c r="G158" s="1"/>
      <c r="H158" s="1"/>
    </row>
    <row r="159">
      <c r="A159" s="25" t="s">
        <v>412</v>
      </c>
      <c r="B159" s="25">
        <v>2.0</v>
      </c>
      <c r="C159" s="35">
        <v>18.0</v>
      </c>
      <c r="D159" s="1"/>
      <c r="E159" s="1"/>
      <c r="F159" s="1"/>
      <c r="G159" s="1"/>
      <c r="H159" s="1"/>
    </row>
    <row r="160">
      <c r="A160" s="25" t="s">
        <v>476</v>
      </c>
      <c r="B160" s="25">
        <v>3.0</v>
      </c>
      <c r="C160" s="35">
        <v>17.0</v>
      </c>
      <c r="D160" s="1"/>
      <c r="E160" s="1"/>
      <c r="F160" s="1"/>
      <c r="G160" s="1"/>
      <c r="H160" s="1"/>
    </row>
    <row r="161">
      <c r="A161" s="25" t="s">
        <v>155</v>
      </c>
      <c r="B161" s="25">
        <v>1.0</v>
      </c>
      <c r="C161" s="35">
        <v>17.0</v>
      </c>
      <c r="D161" s="1"/>
      <c r="E161" s="1"/>
      <c r="F161" s="1"/>
      <c r="G161" s="1"/>
      <c r="H161" s="1"/>
    </row>
    <row r="162">
      <c r="A162" s="25" t="s">
        <v>234</v>
      </c>
      <c r="B162" s="25">
        <v>4.0</v>
      </c>
      <c r="C162" s="35">
        <v>17.0</v>
      </c>
      <c r="D162" s="1"/>
      <c r="E162" s="1"/>
      <c r="F162" s="1"/>
      <c r="G162" s="1"/>
      <c r="H162" s="1"/>
    </row>
    <row r="163">
      <c r="A163" s="25" t="s">
        <v>397</v>
      </c>
      <c r="B163" s="35">
        <v>2.0</v>
      </c>
      <c r="C163" s="35">
        <v>17.0</v>
      </c>
      <c r="D163" s="1"/>
      <c r="E163" s="1"/>
      <c r="F163" s="1"/>
      <c r="G163" s="1"/>
      <c r="H163" s="1"/>
    </row>
    <row r="164">
      <c r="A164" s="25" t="s">
        <v>91</v>
      </c>
      <c r="B164" s="25">
        <v>1.0</v>
      </c>
      <c r="C164" s="35">
        <v>16.0</v>
      </c>
      <c r="D164" s="1"/>
      <c r="E164" s="1"/>
      <c r="F164" s="1"/>
      <c r="G164" s="1"/>
      <c r="H164" s="1"/>
    </row>
    <row r="165">
      <c r="A165" s="25" t="s">
        <v>566</v>
      </c>
      <c r="B165" s="25">
        <v>2.0</v>
      </c>
      <c r="C165" s="35">
        <v>16.0</v>
      </c>
      <c r="D165" s="1"/>
      <c r="E165" s="1"/>
      <c r="F165" s="1"/>
      <c r="G165" s="1"/>
      <c r="H165" s="1"/>
    </row>
    <row r="166">
      <c r="A166" s="25" t="s">
        <v>490</v>
      </c>
      <c r="B166" s="25">
        <v>2.0</v>
      </c>
      <c r="C166" s="35">
        <v>16.0</v>
      </c>
      <c r="D166" s="1"/>
      <c r="E166" s="1"/>
      <c r="F166" s="1"/>
      <c r="G166" s="1"/>
      <c r="H166" s="1"/>
    </row>
    <row r="167">
      <c r="A167" s="25" t="s">
        <v>314</v>
      </c>
      <c r="B167" s="25">
        <v>2.0</v>
      </c>
      <c r="C167" s="35">
        <v>16.0</v>
      </c>
      <c r="D167" s="1"/>
      <c r="E167" s="1"/>
      <c r="F167" s="1"/>
      <c r="G167" s="1"/>
      <c r="H167" s="1"/>
    </row>
    <row r="168">
      <c r="A168" s="94" t="s">
        <v>526</v>
      </c>
      <c r="B168" s="94">
        <v>2.0</v>
      </c>
      <c r="C168" s="35">
        <v>16.0</v>
      </c>
      <c r="D168" s="1"/>
      <c r="E168" s="1"/>
      <c r="F168" s="1"/>
      <c r="G168" s="1"/>
      <c r="H168" s="1"/>
    </row>
    <row r="169">
      <c r="A169" s="94" t="s">
        <v>246</v>
      </c>
      <c r="B169" s="94">
        <v>2.0</v>
      </c>
      <c r="C169" s="35">
        <v>16.0</v>
      </c>
      <c r="D169" s="1"/>
      <c r="E169" s="1"/>
      <c r="F169" s="1"/>
      <c r="G169" s="1"/>
      <c r="H169" s="1"/>
    </row>
    <row r="170">
      <c r="A170" s="33" t="s">
        <v>216</v>
      </c>
      <c r="B170" s="94">
        <v>1.0</v>
      </c>
      <c r="C170" s="101">
        <v>15.0</v>
      </c>
      <c r="D170" s="1"/>
      <c r="E170" s="1"/>
      <c r="F170" s="1"/>
      <c r="G170" s="1"/>
      <c r="H170" s="1"/>
    </row>
    <row r="171">
      <c r="A171" s="25" t="s">
        <v>451</v>
      </c>
      <c r="B171" s="25">
        <v>1.0</v>
      </c>
      <c r="C171" s="35">
        <v>15.0</v>
      </c>
      <c r="D171" s="1"/>
      <c r="E171" s="1"/>
      <c r="F171" s="1"/>
      <c r="G171" s="1"/>
      <c r="H171" s="1"/>
    </row>
    <row r="172">
      <c r="A172" s="25" t="s">
        <v>287</v>
      </c>
      <c r="B172" s="25">
        <v>2.0</v>
      </c>
      <c r="C172" s="35">
        <v>15.0</v>
      </c>
      <c r="D172" s="1"/>
      <c r="E172" s="1"/>
      <c r="F172" s="1"/>
      <c r="G172" s="1"/>
      <c r="H172" s="1"/>
    </row>
    <row r="173">
      <c r="A173" s="25" t="s">
        <v>207</v>
      </c>
      <c r="B173" s="25">
        <v>1.0</v>
      </c>
      <c r="C173" s="35">
        <v>15.0</v>
      </c>
      <c r="D173" s="1"/>
      <c r="E173" s="1"/>
      <c r="F173" s="1"/>
      <c r="G173" s="1"/>
      <c r="H173" s="1"/>
    </row>
    <row r="174">
      <c r="A174" s="25" t="s">
        <v>101</v>
      </c>
      <c r="B174" s="25">
        <v>1.0</v>
      </c>
      <c r="C174" s="35">
        <v>15.0</v>
      </c>
      <c r="D174" s="1"/>
      <c r="E174" s="1"/>
      <c r="F174" s="1"/>
      <c r="G174" s="1"/>
      <c r="H174" s="1"/>
    </row>
    <row r="175">
      <c r="A175" s="25" t="s">
        <v>491</v>
      </c>
      <c r="B175" s="25">
        <v>1.0</v>
      </c>
      <c r="C175" s="35">
        <v>15.0</v>
      </c>
      <c r="D175" s="1"/>
      <c r="E175" s="1"/>
      <c r="F175" s="1"/>
      <c r="G175" s="1"/>
      <c r="H175" s="1"/>
    </row>
    <row r="176">
      <c r="A176" s="25" t="s">
        <v>247</v>
      </c>
      <c r="B176" s="25">
        <v>2.0</v>
      </c>
      <c r="C176" s="35">
        <v>15.0</v>
      </c>
      <c r="D176" s="1"/>
      <c r="E176" s="1"/>
      <c r="F176" s="1"/>
      <c r="G176" s="1"/>
      <c r="H176" s="1"/>
    </row>
    <row r="177">
      <c r="A177" s="25" t="s">
        <v>248</v>
      </c>
      <c r="B177" s="25">
        <v>2.0</v>
      </c>
      <c r="C177" s="35">
        <v>15.0</v>
      </c>
      <c r="D177" s="1"/>
      <c r="E177" s="1"/>
      <c r="F177" s="1"/>
      <c r="G177" s="1"/>
      <c r="H177" s="1"/>
    </row>
    <row r="178">
      <c r="A178" s="94" t="s">
        <v>553</v>
      </c>
      <c r="B178" s="94">
        <v>2.0</v>
      </c>
      <c r="C178" s="35">
        <v>15.0</v>
      </c>
      <c r="D178" s="1"/>
      <c r="E178" s="1"/>
      <c r="F178" s="1"/>
      <c r="G178" s="1"/>
      <c r="H178" s="1"/>
    </row>
    <row r="179">
      <c r="A179" s="25" t="s">
        <v>639</v>
      </c>
      <c r="B179" s="25">
        <v>2.0</v>
      </c>
      <c r="C179" s="35">
        <v>15.0</v>
      </c>
      <c r="D179" s="1"/>
      <c r="E179" s="1"/>
      <c r="F179" s="1"/>
      <c r="G179" s="1"/>
      <c r="H179" s="1"/>
    </row>
    <row r="180">
      <c r="A180" s="25" t="s">
        <v>339</v>
      </c>
      <c r="B180" s="25">
        <v>1.0</v>
      </c>
      <c r="C180" s="35">
        <v>14.0</v>
      </c>
      <c r="D180" s="1"/>
      <c r="E180" s="1"/>
      <c r="F180" s="1"/>
      <c r="G180" s="1"/>
      <c r="H180" s="1"/>
    </row>
    <row r="181">
      <c r="A181" s="25" t="s">
        <v>459</v>
      </c>
      <c r="B181" s="25">
        <v>1.0</v>
      </c>
      <c r="C181" s="35">
        <v>14.0</v>
      </c>
      <c r="D181" s="1"/>
      <c r="E181" s="1"/>
      <c r="F181" s="1"/>
      <c r="G181" s="1"/>
      <c r="H181" s="1"/>
    </row>
    <row r="182">
      <c r="A182" s="25" t="s">
        <v>525</v>
      </c>
      <c r="B182" s="25">
        <v>1.0</v>
      </c>
      <c r="C182" s="35">
        <v>14.0</v>
      </c>
      <c r="D182" s="1"/>
      <c r="E182" s="1"/>
      <c r="F182" s="1"/>
      <c r="G182" s="1"/>
      <c r="H182" s="1"/>
    </row>
    <row r="183">
      <c r="A183" s="25" t="s">
        <v>624</v>
      </c>
      <c r="B183" s="25">
        <v>1.0</v>
      </c>
      <c r="C183" s="35">
        <v>14.0</v>
      </c>
      <c r="D183" s="1"/>
      <c r="E183" s="1"/>
      <c r="F183" s="1"/>
      <c r="G183" s="1"/>
      <c r="H183" s="1"/>
    </row>
    <row r="184">
      <c r="A184" s="25" t="s">
        <v>351</v>
      </c>
      <c r="B184" s="25">
        <v>4.0</v>
      </c>
      <c r="C184" s="35">
        <v>14.0</v>
      </c>
      <c r="D184" s="1"/>
      <c r="E184" s="1"/>
      <c r="F184" s="1"/>
      <c r="G184" s="1"/>
      <c r="H184" s="1"/>
    </row>
    <row r="185">
      <c r="A185" s="25" t="s">
        <v>538</v>
      </c>
      <c r="B185" s="35">
        <v>2.0</v>
      </c>
      <c r="C185" s="35">
        <v>14.0</v>
      </c>
      <c r="D185" s="1"/>
      <c r="E185" s="1"/>
      <c r="F185" s="1"/>
      <c r="G185" s="1"/>
      <c r="H185" s="1"/>
    </row>
    <row r="186">
      <c r="A186" s="25" t="s">
        <v>349</v>
      </c>
      <c r="B186" s="25">
        <v>1.0</v>
      </c>
      <c r="C186" s="35">
        <v>14.0</v>
      </c>
      <c r="D186" s="1"/>
      <c r="E186" s="1"/>
      <c r="F186" s="1"/>
      <c r="G186" s="1"/>
      <c r="H186" s="1"/>
    </row>
    <row r="187">
      <c r="A187" s="33" t="s">
        <v>433</v>
      </c>
      <c r="B187" s="25">
        <v>1.0</v>
      </c>
      <c r="C187" s="35">
        <v>13.0</v>
      </c>
      <c r="D187" s="1"/>
      <c r="E187" s="1"/>
      <c r="F187" s="1"/>
      <c r="G187" s="1"/>
      <c r="H187" s="1"/>
    </row>
    <row r="188">
      <c r="A188" s="25" t="s">
        <v>282</v>
      </c>
      <c r="B188" s="25">
        <v>1.0</v>
      </c>
      <c r="C188" s="35">
        <v>13.0</v>
      </c>
      <c r="D188" s="1"/>
      <c r="E188" s="1"/>
      <c r="F188" s="1"/>
      <c r="G188" s="1"/>
      <c r="H188" s="1"/>
    </row>
    <row r="189">
      <c r="A189" s="25" t="s">
        <v>548</v>
      </c>
      <c r="B189" s="25">
        <v>1.0</v>
      </c>
      <c r="C189" s="35">
        <v>13.0</v>
      </c>
      <c r="D189" s="1"/>
      <c r="E189" s="1"/>
      <c r="F189" s="1"/>
      <c r="G189" s="1"/>
      <c r="H189" s="1"/>
    </row>
    <row r="190">
      <c r="A190" s="25" t="s">
        <v>113</v>
      </c>
      <c r="B190" s="25">
        <v>1.0</v>
      </c>
      <c r="C190" s="35">
        <v>13.0</v>
      </c>
      <c r="D190" s="1"/>
      <c r="E190" s="1"/>
      <c r="F190" s="1"/>
      <c r="G190" s="1"/>
      <c r="H190" s="1"/>
    </row>
    <row r="191">
      <c r="A191" s="25" t="s">
        <v>65</v>
      </c>
      <c r="B191" s="25">
        <v>2.0</v>
      </c>
      <c r="C191" s="35">
        <v>13.0</v>
      </c>
      <c r="D191" s="1"/>
      <c r="E191" s="1"/>
      <c r="F191" s="1"/>
      <c r="G191" s="1"/>
      <c r="H191" s="1"/>
    </row>
    <row r="192">
      <c r="A192" s="25" t="s">
        <v>577</v>
      </c>
      <c r="B192" s="25">
        <v>2.0</v>
      </c>
      <c r="C192" s="35">
        <v>13.0</v>
      </c>
      <c r="D192" s="1"/>
      <c r="E192" s="1"/>
      <c r="F192" s="1"/>
      <c r="G192" s="1"/>
      <c r="H192" s="1"/>
    </row>
    <row r="193">
      <c r="A193" s="25" t="s">
        <v>352</v>
      </c>
      <c r="B193" s="25">
        <v>3.0</v>
      </c>
      <c r="C193" s="35">
        <v>13.0</v>
      </c>
      <c r="D193" s="1"/>
      <c r="E193" s="1"/>
      <c r="F193" s="1"/>
      <c r="G193" s="1"/>
      <c r="H193" s="1"/>
    </row>
    <row r="194">
      <c r="A194" s="25" t="s">
        <v>565</v>
      </c>
      <c r="B194" s="25">
        <v>1.0</v>
      </c>
      <c r="C194" s="35">
        <v>12.0</v>
      </c>
      <c r="D194" s="1"/>
      <c r="E194" s="1"/>
      <c r="F194" s="1"/>
      <c r="G194" s="1"/>
      <c r="H194" s="1"/>
    </row>
    <row r="195">
      <c r="A195" s="25" t="s">
        <v>471</v>
      </c>
      <c r="B195" s="25">
        <v>3.0</v>
      </c>
      <c r="C195" s="35">
        <v>12.0</v>
      </c>
      <c r="D195" s="1"/>
      <c r="E195" s="1"/>
      <c r="F195" s="1"/>
      <c r="G195" s="1"/>
      <c r="H195" s="1"/>
    </row>
    <row r="196">
      <c r="A196" s="25" t="s">
        <v>588</v>
      </c>
      <c r="B196" s="25">
        <v>1.0</v>
      </c>
      <c r="C196" s="35">
        <v>12.0</v>
      </c>
      <c r="D196" s="1"/>
      <c r="E196" s="1"/>
      <c r="F196" s="1"/>
      <c r="G196" s="1"/>
      <c r="H196" s="1"/>
    </row>
    <row r="197">
      <c r="A197" s="35" t="s">
        <v>296</v>
      </c>
      <c r="B197" s="25">
        <v>1.0</v>
      </c>
      <c r="C197" s="35">
        <v>12.0</v>
      </c>
      <c r="D197" s="1"/>
      <c r="E197" s="1"/>
      <c r="F197" s="1"/>
      <c r="G197" s="1"/>
      <c r="H197" s="1"/>
    </row>
    <row r="198">
      <c r="A198" s="25" t="s">
        <v>198</v>
      </c>
      <c r="B198" s="25">
        <v>2.0</v>
      </c>
      <c r="C198" s="35">
        <v>12.0</v>
      </c>
      <c r="D198" s="1"/>
      <c r="E198" s="1"/>
      <c r="F198" s="1"/>
      <c r="G198" s="1"/>
      <c r="H198" s="1"/>
    </row>
    <row r="199">
      <c r="A199" s="25" t="s">
        <v>362</v>
      </c>
      <c r="B199" s="25">
        <v>3.0</v>
      </c>
      <c r="C199" s="35">
        <v>11.0</v>
      </c>
      <c r="D199" s="1"/>
      <c r="E199" s="1"/>
      <c r="F199" s="1"/>
      <c r="G199" s="1"/>
      <c r="H199" s="1"/>
    </row>
    <row r="200">
      <c r="A200" s="25" t="s">
        <v>461</v>
      </c>
      <c r="B200" s="25">
        <v>1.0</v>
      </c>
      <c r="C200" s="35">
        <v>11.0</v>
      </c>
      <c r="D200" s="1"/>
      <c r="E200" s="1"/>
      <c r="F200" s="1"/>
      <c r="G200" s="1"/>
      <c r="H200" s="1"/>
    </row>
    <row r="201">
      <c r="A201" s="25" t="s">
        <v>469</v>
      </c>
      <c r="B201" s="25">
        <v>1.0</v>
      </c>
      <c r="C201" s="35">
        <v>11.0</v>
      </c>
      <c r="D201" s="1"/>
      <c r="E201" s="1"/>
      <c r="F201" s="1"/>
      <c r="G201" s="1"/>
      <c r="H201" s="1"/>
    </row>
    <row r="202">
      <c r="A202" s="25" t="s">
        <v>209</v>
      </c>
      <c r="B202" s="25">
        <v>1.0</v>
      </c>
      <c r="C202" s="35">
        <v>11.0</v>
      </c>
      <c r="D202" s="1"/>
      <c r="E202" s="1"/>
      <c r="F202" s="1"/>
      <c r="G202" s="1"/>
      <c r="H202" s="1"/>
    </row>
    <row r="203">
      <c r="A203" s="35" t="s">
        <v>191</v>
      </c>
      <c r="B203" s="35">
        <v>2.0</v>
      </c>
      <c r="C203" s="35">
        <v>11.0</v>
      </c>
      <c r="D203" s="1"/>
      <c r="E203" s="1"/>
      <c r="F203" s="1"/>
      <c r="G203" s="1"/>
      <c r="H203" s="1"/>
    </row>
    <row r="204">
      <c r="A204" s="25" t="s">
        <v>407</v>
      </c>
      <c r="B204" s="25">
        <v>1.0</v>
      </c>
      <c r="C204" s="35">
        <v>11.0</v>
      </c>
      <c r="D204" s="1"/>
      <c r="E204" s="1"/>
      <c r="F204" s="1"/>
      <c r="G204" s="1"/>
      <c r="H204" s="1"/>
    </row>
    <row r="205">
      <c r="A205" s="25" t="s">
        <v>176</v>
      </c>
      <c r="B205" s="25">
        <v>1.0</v>
      </c>
      <c r="C205" s="35">
        <v>11.0</v>
      </c>
      <c r="D205" s="1"/>
      <c r="E205" s="1"/>
      <c r="F205" s="1"/>
      <c r="G205" s="1"/>
      <c r="H205" s="1"/>
    </row>
    <row r="206">
      <c r="A206" s="25" t="s">
        <v>343</v>
      </c>
      <c r="B206" s="25">
        <v>1.0</v>
      </c>
      <c r="C206" s="35">
        <v>11.0</v>
      </c>
      <c r="D206" s="1"/>
      <c r="E206" s="1"/>
      <c r="F206" s="1"/>
      <c r="G206" s="1"/>
      <c r="H206" s="1"/>
    </row>
    <row r="207">
      <c r="A207" s="25" t="s">
        <v>270</v>
      </c>
      <c r="B207" s="25">
        <v>1.0</v>
      </c>
      <c r="C207" s="35">
        <v>11.0</v>
      </c>
      <c r="D207" s="1"/>
      <c r="E207" s="1"/>
      <c r="F207" s="1"/>
      <c r="G207" s="1"/>
      <c r="H207" s="1"/>
    </row>
    <row r="208">
      <c r="A208" s="25" t="s">
        <v>612</v>
      </c>
      <c r="B208" s="25">
        <v>2.0</v>
      </c>
      <c r="C208" s="35">
        <v>11.0</v>
      </c>
      <c r="D208" s="1"/>
      <c r="E208" s="1"/>
      <c r="F208" s="1"/>
      <c r="G208" s="1"/>
      <c r="H208" s="1"/>
    </row>
    <row r="209">
      <c r="A209" s="25" t="s">
        <v>196</v>
      </c>
      <c r="B209" s="25">
        <v>2.0</v>
      </c>
      <c r="C209" s="35">
        <v>11.0</v>
      </c>
      <c r="D209" s="1"/>
      <c r="E209" s="1"/>
      <c r="F209" s="1"/>
      <c r="G209" s="1"/>
      <c r="H209" s="1"/>
    </row>
    <row r="210">
      <c r="A210" s="25" t="s">
        <v>571</v>
      </c>
      <c r="B210" s="25">
        <v>1.0</v>
      </c>
      <c r="C210" s="35">
        <v>10.0</v>
      </c>
      <c r="D210" s="1"/>
      <c r="E210" s="1"/>
      <c r="F210" s="1"/>
      <c r="G210" s="1"/>
      <c r="H210" s="1"/>
    </row>
    <row r="211">
      <c r="A211" s="25" t="s">
        <v>103</v>
      </c>
      <c r="B211" s="25">
        <v>1.0</v>
      </c>
      <c r="C211" s="35">
        <v>10.0</v>
      </c>
      <c r="D211" s="1"/>
      <c r="E211" s="1"/>
      <c r="F211" s="1"/>
      <c r="G211" s="1"/>
      <c r="H211" s="1"/>
    </row>
    <row r="212">
      <c r="A212" s="25" t="s">
        <v>169</v>
      </c>
      <c r="B212" s="25">
        <v>1.0</v>
      </c>
      <c r="C212" s="35">
        <v>10.0</v>
      </c>
      <c r="D212" s="1"/>
      <c r="E212" s="1"/>
      <c r="F212" s="1"/>
      <c r="G212" s="1"/>
      <c r="H212" s="1"/>
    </row>
    <row r="213">
      <c r="A213" s="25" t="s">
        <v>475</v>
      </c>
      <c r="B213" s="25">
        <v>1.0</v>
      </c>
      <c r="C213" s="35">
        <v>10.0</v>
      </c>
      <c r="D213" s="1"/>
      <c r="E213" s="1"/>
      <c r="F213" s="1"/>
      <c r="G213" s="1"/>
      <c r="H213" s="1"/>
    </row>
    <row r="214">
      <c r="A214" s="25" t="s">
        <v>75</v>
      </c>
      <c r="B214" s="25">
        <v>1.0</v>
      </c>
      <c r="C214" s="101">
        <v>10.0</v>
      </c>
      <c r="D214" s="1"/>
      <c r="E214" s="1"/>
      <c r="F214" s="1"/>
      <c r="G214" s="1"/>
      <c r="H214" s="1"/>
    </row>
    <row r="215">
      <c r="A215" s="25" t="s">
        <v>585</v>
      </c>
      <c r="B215" s="25">
        <v>1.0</v>
      </c>
      <c r="C215" s="101">
        <v>10.0</v>
      </c>
      <c r="D215" s="1"/>
      <c r="E215" s="1"/>
      <c r="F215" s="1"/>
      <c r="G215" s="1"/>
      <c r="H215" s="1"/>
    </row>
    <row r="216">
      <c r="A216" s="25" t="s">
        <v>590</v>
      </c>
      <c r="B216" s="25">
        <v>2.0</v>
      </c>
      <c r="C216" s="101">
        <v>10.0</v>
      </c>
      <c r="D216" s="1"/>
      <c r="E216" s="1"/>
      <c r="F216" s="1"/>
      <c r="G216" s="1"/>
      <c r="H216" s="1"/>
    </row>
    <row r="217">
      <c r="A217" s="25" t="s">
        <v>188</v>
      </c>
      <c r="B217" s="25">
        <v>1.0</v>
      </c>
      <c r="C217" s="101">
        <v>10.0</v>
      </c>
      <c r="D217" s="1"/>
      <c r="E217" s="1"/>
      <c r="F217" s="1"/>
      <c r="G217" s="1"/>
      <c r="H217" s="1"/>
    </row>
    <row r="218">
      <c r="A218" s="25" t="s">
        <v>214</v>
      </c>
      <c r="B218" s="25">
        <v>2.0</v>
      </c>
      <c r="C218" s="101">
        <v>10.0</v>
      </c>
      <c r="D218" s="1"/>
      <c r="E218" s="1"/>
      <c r="F218" s="1"/>
      <c r="G218" s="1"/>
      <c r="H218" s="1"/>
    </row>
    <row r="219">
      <c r="A219" s="25" t="s">
        <v>583</v>
      </c>
      <c r="B219" s="25">
        <v>1.0</v>
      </c>
      <c r="C219" s="101">
        <v>10.0</v>
      </c>
      <c r="D219" s="1"/>
      <c r="E219" s="1"/>
      <c r="F219" s="1"/>
      <c r="G219" s="1"/>
      <c r="H219" s="1"/>
    </row>
    <row r="220">
      <c r="A220" s="25" t="s">
        <v>125</v>
      </c>
      <c r="B220" s="25">
        <v>1.0</v>
      </c>
      <c r="C220" s="101">
        <v>10.0</v>
      </c>
      <c r="D220" s="1"/>
      <c r="E220" s="1"/>
      <c r="F220" s="1"/>
      <c r="G220" s="1"/>
      <c r="H220" s="1"/>
    </row>
    <row r="221">
      <c r="A221" s="25" t="s">
        <v>489</v>
      </c>
      <c r="B221" s="25">
        <v>2.0</v>
      </c>
      <c r="C221" s="101">
        <v>10.0</v>
      </c>
      <c r="D221" s="1"/>
      <c r="E221" s="1"/>
      <c r="F221" s="1"/>
      <c r="G221" s="1"/>
      <c r="H221" s="1"/>
    </row>
    <row r="222">
      <c r="A222" s="25" t="s">
        <v>620</v>
      </c>
      <c r="B222" s="25">
        <v>1.0</v>
      </c>
      <c r="C222" s="101">
        <v>10.0</v>
      </c>
      <c r="D222" s="1"/>
      <c r="E222" s="1"/>
      <c r="F222" s="1"/>
      <c r="G222" s="1"/>
      <c r="H222" s="1"/>
    </row>
    <row r="223">
      <c r="A223" s="25" t="s">
        <v>513</v>
      </c>
      <c r="B223" s="25">
        <v>1.0</v>
      </c>
      <c r="C223" s="101">
        <v>10.0</v>
      </c>
      <c r="D223" s="1"/>
      <c r="E223" s="1"/>
      <c r="F223" s="1"/>
      <c r="G223" s="1"/>
      <c r="H223" s="1"/>
    </row>
    <row r="224">
      <c r="A224" s="25" t="s">
        <v>458</v>
      </c>
      <c r="B224" s="25">
        <v>2.0</v>
      </c>
      <c r="C224" s="101">
        <v>10.0</v>
      </c>
      <c r="D224" s="1"/>
      <c r="E224" s="1"/>
      <c r="F224" s="1"/>
      <c r="G224" s="1"/>
      <c r="H224" s="1"/>
    </row>
    <row r="225">
      <c r="A225" s="25" t="s">
        <v>364</v>
      </c>
      <c r="B225" s="25">
        <v>1.0</v>
      </c>
      <c r="C225" s="101">
        <v>10.0</v>
      </c>
      <c r="D225" s="1"/>
      <c r="E225" s="1"/>
      <c r="F225" s="1"/>
      <c r="G225" s="1"/>
      <c r="H225" s="1"/>
    </row>
    <row r="226">
      <c r="A226" s="25" t="s">
        <v>633</v>
      </c>
      <c r="B226" s="25">
        <v>2.0</v>
      </c>
      <c r="C226" s="101">
        <v>10.0</v>
      </c>
      <c r="D226" s="1"/>
      <c r="E226" s="1"/>
      <c r="F226" s="1"/>
      <c r="G226" s="1"/>
      <c r="H226" s="1"/>
    </row>
    <row r="227">
      <c r="A227" s="25" t="s">
        <v>260</v>
      </c>
      <c r="B227" s="25">
        <v>3.0</v>
      </c>
      <c r="C227" s="101">
        <v>10.0</v>
      </c>
      <c r="D227" s="1"/>
      <c r="E227" s="1"/>
      <c r="F227" s="1"/>
      <c r="G227" s="1"/>
      <c r="H227" s="1"/>
    </row>
    <row r="228">
      <c r="A228" s="25" t="s">
        <v>616</v>
      </c>
      <c r="B228" s="25">
        <v>1.0</v>
      </c>
      <c r="C228" s="35">
        <v>9.0</v>
      </c>
      <c r="D228" s="1"/>
      <c r="E228" s="1"/>
      <c r="F228" s="1"/>
      <c r="G228" s="1"/>
      <c r="H228" s="1"/>
    </row>
    <row r="229">
      <c r="A229" s="25" t="s">
        <v>239</v>
      </c>
      <c r="B229" s="25">
        <v>1.0</v>
      </c>
      <c r="C229" s="35">
        <v>9.0</v>
      </c>
      <c r="D229" s="1"/>
      <c r="E229" s="1"/>
      <c r="F229" s="1"/>
      <c r="G229" s="1"/>
      <c r="H229" s="1"/>
    </row>
    <row r="230">
      <c r="A230" s="25" t="s">
        <v>317</v>
      </c>
      <c r="B230" s="25">
        <v>1.0</v>
      </c>
      <c r="C230" s="35">
        <v>9.0</v>
      </c>
      <c r="D230" s="1"/>
      <c r="E230" s="1"/>
      <c r="F230" s="1"/>
      <c r="G230" s="1"/>
      <c r="H230" s="1"/>
    </row>
    <row r="231">
      <c r="A231" s="25" t="s">
        <v>527</v>
      </c>
      <c r="B231" s="25">
        <v>1.0</v>
      </c>
      <c r="C231" s="35">
        <v>9.0</v>
      </c>
      <c r="D231" s="1"/>
      <c r="E231" s="1"/>
      <c r="F231" s="1"/>
      <c r="G231" s="1"/>
      <c r="H231" s="1"/>
    </row>
    <row r="232">
      <c r="A232" s="25" t="s">
        <v>164</v>
      </c>
      <c r="B232" s="25">
        <v>4.0</v>
      </c>
      <c r="C232" s="35">
        <v>9.0</v>
      </c>
      <c r="D232" s="1"/>
      <c r="E232" s="1"/>
      <c r="F232" s="1"/>
      <c r="G232" s="1"/>
      <c r="H232" s="1"/>
    </row>
    <row r="233">
      <c r="A233" s="25" t="s">
        <v>276</v>
      </c>
      <c r="B233" s="25">
        <v>1.0</v>
      </c>
      <c r="C233" s="35">
        <v>9.0</v>
      </c>
      <c r="D233" s="1"/>
      <c r="E233" s="1"/>
      <c r="F233" s="1"/>
      <c r="G233" s="1"/>
      <c r="H233" s="1"/>
    </row>
    <row r="234">
      <c r="A234" s="35" t="s">
        <v>582</v>
      </c>
      <c r="B234" s="25">
        <v>1.0</v>
      </c>
      <c r="C234" s="35">
        <v>9.0</v>
      </c>
      <c r="D234" s="1"/>
      <c r="E234" s="1"/>
      <c r="F234" s="1"/>
      <c r="G234" s="1"/>
      <c r="H234" s="1"/>
    </row>
    <row r="235">
      <c r="A235" s="25" t="s">
        <v>561</v>
      </c>
      <c r="B235" s="25">
        <v>1.0</v>
      </c>
      <c r="C235" s="35">
        <v>8.0</v>
      </c>
      <c r="D235" s="1"/>
      <c r="E235" s="1"/>
      <c r="F235" s="1"/>
      <c r="G235" s="1"/>
      <c r="H235" s="1"/>
    </row>
    <row r="236">
      <c r="A236" s="25" t="s">
        <v>323</v>
      </c>
      <c r="B236" s="25">
        <v>1.0</v>
      </c>
      <c r="C236" s="35">
        <v>8.0</v>
      </c>
      <c r="D236" s="1"/>
      <c r="E236" s="1"/>
      <c r="F236" s="1"/>
      <c r="G236" s="1"/>
      <c r="H236" s="1"/>
    </row>
    <row r="237">
      <c r="A237" s="25" t="s">
        <v>277</v>
      </c>
      <c r="B237" s="25">
        <v>1.0</v>
      </c>
      <c r="C237" s="35">
        <v>8.0</v>
      </c>
      <c r="D237" s="1"/>
      <c r="E237" s="1"/>
      <c r="F237" s="1"/>
      <c r="G237" s="1"/>
      <c r="H237" s="1"/>
    </row>
    <row r="238">
      <c r="A238" s="25" t="s">
        <v>377</v>
      </c>
      <c r="B238" s="25">
        <v>1.0</v>
      </c>
      <c r="C238" s="35">
        <v>8.0</v>
      </c>
      <c r="D238" s="1"/>
      <c r="E238" s="1"/>
      <c r="F238" s="1"/>
      <c r="G238" s="1"/>
      <c r="H238" s="1"/>
    </row>
    <row r="239">
      <c r="A239" s="35" t="s">
        <v>511</v>
      </c>
      <c r="B239" s="35">
        <v>1.0</v>
      </c>
      <c r="C239" s="35">
        <v>8.0</v>
      </c>
      <c r="D239" s="1"/>
      <c r="E239" s="1"/>
      <c r="F239" s="1"/>
      <c r="G239" s="1"/>
      <c r="H239" s="1"/>
    </row>
    <row r="240">
      <c r="A240" s="25" t="s">
        <v>530</v>
      </c>
      <c r="B240" s="25">
        <v>1.0</v>
      </c>
      <c r="C240" s="35">
        <v>8.0</v>
      </c>
      <c r="D240" s="1"/>
      <c r="E240" s="1"/>
      <c r="F240" s="1"/>
      <c r="G240" s="1"/>
      <c r="H240" s="1"/>
    </row>
    <row r="241">
      <c r="A241" s="25" t="s">
        <v>220</v>
      </c>
      <c r="B241" s="25">
        <v>2.0</v>
      </c>
      <c r="C241" s="35">
        <v>8.0</v>
      </c>
      <c r="D241" s="1"/>
      <c r="E241" s="1"/>
      <c r="F241" s="1"/>
      <c r="G241" s="1"/>
      <c r="H241" s="1"/>
    </row>
    <row r="242">
      <c r="A242" s="25" t="s">
        <v>263</v>
      </c>
      <c r="B242" s="25">
        <v>3.0</v>
      </c>
      <c r="C242" s="35">
        <v>8.0</v>
      </c>
      <c r="D242" s="1"/>
      <c r="E242" s="1"/>
      <c r="F242" s="1"/>
      <c r="G242" s="1"/>
      <c r="H242" s="1"/>
    </row>
    <row r="243">
      <c r="A243" s="25" t="s">
        <v>232</v>
      </c>
      <c r="B243" s="25">
        <v>1.0</v>
      </c>
      <c r="C243" s="35">
        <v>7.0</v>
      </c>
      <c r="D243" s="1"/>
      <c r="E243" s="1"/>
      <c r="F243" s="1"/>
      <c r="G243" s="1"/>
      <c r="H243" s="1"/>
    </row>
    <row r="244">
      <c r="A244" s="25" t="s">
        <v>350</v>
      </c>
      <c r="B244" s="25">
        <v>1.0</v>
      </c>
      <c r="C244" s="35">
        <v>7.0</v>
      </c>
      <c r="D244" s="1"/>
      <c r="E244" s="1"/>
      <c r="F244" s="1"/>
      <c r="G244" s="1"/>
      <c r="H244" s="1"/>
    </row>
    <row r="245">
      <c r="A245" s="25" t="s">
        <v>173</v>
      </c>
      <c r="B245" s="25">
        <v>2.0</v>
      </c>
      <c r="C245" s="35">
        <v>7.0</v>
      </c>
      <c r="D245" s="1"/>
      <c r="E245" s="1"/>
      <c r="F245" s="1"/>
      <c r="G245" s="1"/>
      <c r="H245" s="1"/>
    </row>
    <row r="246">
      <c r="A246" s="25" t="s">
        <v>494</v>
      </c>
      <c r="B246" s="25">
        <v>1.0</v>
      </c>
      <c r="C246" s="35">
        <v>7.0</v>
      </c>
      <c r="D246" s="1"/>
      <c r="E246" s="1"/>
      <c r="F246" s="1"/>
      <c r="G246" s="1"/>
      <c r="H246" s="1"/>
    </row>
    <row r="247">
      <c r="A247" s="33" t="s">
        <v>171</v>
      </c>
      <c r="B247" s="25">
        <v>1.0</v>
      </c>
      <c r="C247" s="35">
        <v>6.0</v>
      </c>
      <c r="D247" s="1"/>
      <c r="E247" s="1"/>
      <c r="F247" s="1"/>
      <c r="G247" s="1"/>
      <c r="H247" s="1"/>
    </row>
    <row r="248">
      <c r="A248" s="25" t="s">
        <v>578</v>
      </c>
      <c r="B248" s="25">
        <v>1.0</v>
      </c>
      <c r="C248" s="35">
        <v>6.0</v>
      </c>
      <c r="D248" s="1"/>
      <c r="E248" s="1"/>
      <c r="F248" s="1"/>
      <c r="G248" s="1"/>
      <c r="H248" s="1"/>
    </row>
    <row r="249">
      <c r="A249" s="25" t="s">
        <v>213</v>
      </c>
      <c r="B249" s="25">
        <v>1.0</v>
      </c>
      <c r="C249" s="35">
        <v>6.0</v>
      </c>
      <c r="D249" s="1"/>
      <c r="E249" s="1"/>
      <c r="F249" s="1"/>
      <c r="G249" s="1"/>
      <c r="H249" s="1"/>
    </row>
    <row r="250">
      <c r="A250" s="25" t="s">
        <v>147</v>
      </c>
      <c r="B250" s="25">
        <v>1.0</v>
      </c>
      <c r="C250" s="35">
        <v>6.0</v>
      </c>
      <c r="D250" s="1"/>
      <c r="E250" s="1"/>
      <c r="F250" s="1"/>
      <c r="G250" s="1"/>
      <c r="H250" s="1"/>
    </row>
    <row r="251">
      <c r="A251" s="33" t="s">
        <v>202</v>
      </c>
      <c r="B251" s="25">
        <v>1.0</v>
      </c>
      <c r="C251" s="35">
        <v>6.0</v>
      </c>
      <c r="D251" s="1"/>
      <c r="E251" s="1"/>
      <c r="F251" s="1"/>
      <c r="G251" s="1"/>
      <c r="H251" s="1"/>
    </row>
    <row r="252">
      <c r="A252" s="25" t="s">
        <v>183</v>
      </c>
      <c r="B252" s="25">
        <v>2.0</v>
      </c>
      <c r="C252" s="35">
        <v>6.0</v>
      </c>
      <c r="D252" s="1"/>
      <c r="E252" s="1"/>
      <c r="F252" s="1"/>
      <c r="G252" s="1"/>
      <c r="H252" s="1"/>
    </row>
    <row r="253">
      <c r="A253" s="25" t="s">
        <v>496</v>
      </c>
      <c r="B253" s="25">
        <v>1.0</v>
      </c>
      <c r="C253" s="35">
        <v>6.0</v>
      </c>
      <c r="D253" s="1"/>
      <c r="E253" s="1"/>
      <c r="F253" s="1"/>
      <c r="G253" s="1"/>
      <c r="H253" s="1"/>
    </row>
    <row r="254">
      <c r="A254" s="25" t="s">
        <v>73</v>
      </c>
      <c r="B254" s="25">
        <v>1.0</v>
      </c>
      <c r="C254" s="35">
        <v>6.0</v>
      </c>
      <c r="D254" s="1"/>
      <c r="E254" s="1"/>
      <c r="F254" s="1"/>
      <c r="G254" s="1"/>
      <c r="H254" s="1"/>
    </row>
    <row r="255">
      <c r="A255" s="25" t="s">
        <v>271</v>
      </c>
      <c r="B255" s="25">
        <v>1.0</v>
      </c>
      <c r="C255" s="35">
        <v>6.0</v>
      </c>
      <c r="D255" s="1"/>
      <c r="E255" s="1"/>
      <c r="F255" s="1"/>
      <c r="G255" s="1"/>
      <c r="H255" s="1"/>
    </row>
    <row r="256">
      <c r="A256" s="25" t="s">
        <v>609</v>
      </c>
      <c r="B256" s="35">
        <v>2.0</v>
      </c>
      <c r="C256" s="35">
        <v>6.0</v>
      </c>
      <c r="D256" s="1"/>
      <c r="E256" s="1"/>
      <c r="F256" s="1"/>
      <c r="G256" s="1"/>
      <c r="H256" s="1"/>
    </row>
    <row r="257">
      <c r="A257" s="25" t="s">
        <v>355</v>
      </c>
      <c r="B257" s="25">
        <v>1.0</v>
      </c>
      <c r="C257" s="35">
        <v>6.0</v>
      </c>
      <c r="D257" s="1"/>
      <c r="E257" s="1"/>
      <c r="F257" s="1"/>
      <c r="G257" s="1"/>
      <c r="H257" s="1"/>
    </row>
    <row r="258">
      <c r="A258" s="25" t="s">
        <v>643</v>
      </c>
      <c r="B258" s="25">
        <v>3.0</v>
      </c>
      <c r="C258" s="35">
        <v>6.0</v>
      </c>
      <c r="D258" s="1"/>
      <c r="E258" s="1"/>
      <c r="F258" s="1"/>
      <c r="G258" s="1"/>
      <c r="H258" s="1"/>
    </row>
    <row r="259">
      <c r="A259" s="25" t="s">
        <v>221</v>
      </c>
      <c r="B259" s="25">
        <v>6.0</v>
      </c>
      <c r="C259" s="35">
        <v>6.0</v>
      </c>
      <c r="D259" s="1"/>
      <c r="E259" s="1"/>
      <c r="F259" s="1"/>
      <c r="G259" s="1"/>
      <c r="H259" s="1"/>
    </row>
    <row r="260">
      <c r="A260" s="25" t="s">
        <v>175</v>
      </c>
      <c r="B260" s="25">
        <v>2.0</v>
      </c>
      <c r="C260" s="35">
        <v>6.0</v>
      </c>
      <c r="D260" s="1"/>
      <c r="E260" s="1"/>
      <c r="F260" s="1"/>
      <c r="G260" s="1"/>
      <c r="H260" s="1"/>
    </row>
    <row r="261">
      <c r="A261" s="25" t="s">
        <v>444</v>
      </c>
      <c r="B261" s="25">
        <v>1.0</v>
      </c>
      <c r="C261" s="35">
        <v>5.0</v>
      </c>
      <c r="D261" s="1"/>
      <c r="E261" s="1"/>
      <c r="F261" s="1"/>
      <c r="G261" s="1"/>
      <c r="H261" s="1"/>
    </row>
    <row r="262">
      <c r="A262" s="25" t="s">
        <v>383</v>
      </c>
      <c r="B262" s="25">
        <v>1.0</v>
      </c>
      <c r="C262" s="35">
        <v>5.0</v>
      </c>
      <c r="D262" s="1"/>
      <c r="E262" s="1"/>
      <c r="F262" s="1"/>
      <c r="G262" s="1"/>
      <c r="H262" s="1"/>
    </row>
    <row r="263">
      <c r="A263" s="25" t="s">
        <v>264</v>
      </c>
      <c r="B263" s="25">
        <v>1.0</v>
      </c>
      <c r="C263" s="35">
        <v>5.0</v>
      </c>
      <c r="D263" s="1"/>
      <c r="E263" s="1"/>
      <c r="F263" s="1"/>
      <c r="G263" s="1"/>
      <c r="H263" s="1"/>
    </row>
    <row r="264">
      <c r="A264" s="25" t="s">
        <v>99</v>
      </c>
      <c r="B264" s="25">
        <v>1.0</v>
      </c>
      <c r="C264" s="35">
        <v>5.0</v>
      </c>
      <c r="D264" s="1"/>
      <c r="E264" s="1"/>
      <c r="F264" s="1"/>
      <c r="G264" s="1"/>
      <c r="H264" s="1"/>
    </row>
    <row r="265">
      <c r="A265" s="25" t="s">
        <v>187</v>
      </c>
      <c r="B265" s="25">
        <v>1.0</v>
      </c>
      <c r="C265" s="35">
        <v>5.0</v>
      </c>
      <c r="D265" s="1"/>
      <c r="E265" s="1"/>
      <c r="F265" s="1"/>
      <c r="G265" s="1"/>
      <c r="H265" s="1"/>
    </row>
    <row r="266">
      <c r="A266" s="25" t="s">
        <v>210</v>
      </c>
      <c r="B266" s="25">
        <v>1.0</v>
      </c>
      <c r="C266" s="35">
        <v>5.0</v>
      </c>
      <c r="D266" s="1"/>
      <c r="E266" s="1"/>
      <c r="F266" s="1"/>
      <c r="G266" s="1"/>
      <c r="H266" s="1"/>
    </row>
    <row r="267">
      <c r="A267" s="25" t="s">
        <v>126</v>
      </c>
      <c r="B267" s="25">
        <v>1.0</v>
      </c>
      <c r="C267" s="35">
        <v>5.0</v>
      </c>
      <c r="D267" s="1"/>
      <c r="E267" s="1"/>
      <c r="F267" s="1"/>
      <c r="G267" s="1"/>
      <c r="H267" s="1"/>
    </row>
    <row r="268">
      <c r="A268" s="25" t="s">
        <v>356</v>
      </c>
      <c r="B268" s="25">
        <v>1.0</v>
      </c>
      <c r="C268" s="35">
        <v>5.0</v>
      </c>
      <c r="D268" s="1"/>
      <c r="E268" s="1"/>
      <c r="F268" s="1"/>
      <c r="G268" s="1"/>
      <c r="H268" s="1"/>
    </row>
    <row r="269">
      <c r="A269" s="25" t="s">
        <v>518</v>
      </c>
      <c r="B269" s="25">
        <v>1.0</v>
      </c>
      <c r="C269" s="35">
        <v>5.0</v>
      </c>
      <c r="D269" s="1"/>
      <c r="E269" s="1"/>
      <c r="F269" s="1"/>
      <c r="G269" s="1"/>
      <c r="H269" s="1"/>
    </row>
    <row r="270">
      <c r="A270" s="25" t="s">
        <v>178</v>
      </c>
      <c r="B270" s="25">
        <v>1.0</v>
      </c>
      <c r="C270" s="35">
        <v>5.0</v>
      </c>
      <c r="D270" s="1"/>
      <c r="E270" s="1"/>
      <c r="F270" s="1"/>
      <c r="G270" s="1"/>
      <c r="H270" s="1"/>
    </row>
    <row r="271">
      <c r="A271" s="25" t="s">
        <v>177</v>
      </c>
      <c r="B271" s="25">
        <v>1.0</v>
      </c>
      <c r="C271" s="35">
        <v>5.0</v>
      </c>
      <c r="D271" s="1"/>
      <c r="E271" s="1"/>
      <c r="F271" s="1"/>
      <c r="G271" s="1"/>
      <c r="H271" s="1"/>
    </row>
    <row r="272">
      <c r="A272" s="25" t="s">
        <v>297</v>
      </c>
      <c r="B272" s="25">
        <v>1.0</v>
      </c>
      <c r="C272" s="35">
        <v>5.0</v>
      </c>
      <c r="D272" s="1"/>
      <c r="E272" s="1"/>
      <c r="F272" s="1"/>
      <c r="G272" s="1"/>
      <c r="H272" s="1"/>
    </row>
    <row r="273">
      <c r="A273" s="25" t="s">
        <v>431</v>
      </c>
      <c r="B273" s="25">
        <v>1.0</v>
      </c>
      <c r="C273" s="35">
        <v>5.0</v>
      </c>
      <c r="D273" s="1"/>
      <c r="E273" s="1"/>
      <c r="F273" s="1"/>
      <c r="G273" s="1"/>
      <c r="H273" s="1"/>
    </row>
    <row r="274">
      <c r="A274" s="25" t="s">
        <v>427</v>
      </c>
      <c r="B274" s="25">
        <v>1.0</v>
      </c>
      <c r="C274" s="35">
        <v>5.0</v>
      </c>
      <c r="D274" s="1"/>
      <c r="E274" s="1"/>
      <c r="F274" s="1"/>
      <c r="G274" s="1"/>
      <c r="H274" s="1"/>
    </row>
    <row r="275">
      <c r="A275" s="25" t="s">
        <v>406</v>
      </c>
      <c r="B275" s="25">
        <v>1.0</v>
      </c>
      <c r="C275" s="35">
        <v>5.0</v>
      </c>
      <c r="D275" s="1"/>
      <c r="E275" s="1"/>
      <c r="F275" s="1"/>
      <c r="G275" s="1"/>
      <c r="H275" s="1"/>
    </row>
    <row r="276">
      <c r="A276" s="25" t="s">
        <v>448</v>
      </c>
      <c r="B276" s="25">
        <v>1.0</v>
      </c>
      <c r="C276" s="35">
        <v>5.0</v>
      </c>
      <c r="D276" s="1"/>
      <c r="E276" s="1"/>
      <c r="F276" s="1"/>
      <c r="G276" s="1"/>
      <c r="H276" s="1"/>
    </row>
    <row r="277">
      <c r="A277" s="25" t="s">
        <v>110</v>
      </c>
      <c r="B277" s="25">
        <v>1.0</v>
      </c>
      <c r="C277" s="35">
        <v>5.0</v>
      </c>
      <c r="D277" s="1"/>
      <c r="E277" s="1"/>
      <c r="F277" s="1"/>
      <c r="G277" s="1"/>
      <c r="H277" s="1"/>
    </row>
    <row r="278">
      <c r="A278" s="25" t="s">
        <v>555</v>
      </c>
      <c r="B278" s="25">
        <v>1.0</v>
      </c>
      <c r="C278" s="35">
        <v>5.0</v>
      </c>
      <c r="D278" s="1"/>
      <c r="E278" s="1"/>
      <c r="F278" s="1"/>
      <c r="G278" s="1"/>
      <c r="H278" s="1"/>
    </row>
    <row r="279">
      <c r="A279" s="25" t="s">
        <v>510</v>
      </c>
      <c r="B279" s="25">
        <v>1.0</v>
      </c>
      <c r="C279" s="35">
        <v>5.0</v>
      </c>
      <c r="D279" s="1"/>
      <c r="E279" s="1"/>
      <c r="F279" s="1"/>
      <c r="G279" s="1"/>
      <c r="H279" s="1"/>
    </row>
    <row r="280">
      <c r="A280" s="35" t="s">
        <v>149</v>
      </c>
      <c r="B280" s="35">
        <v>4.0</v>
      </c>
      <c r="C280" s="35">
        <v>5.0</v>
      </c>
      <c r="D280" s="1"/>
      <c r="E280" s="1"/>
      <c r="F280" s="1"/>
      <c r="G280" s="1"/>
      <c r="H280" s="1"/>
    </row>
    <row r="281">
      <c r="A281" s="25" t="s">
        <v>63</v>
      </c>
      <c r="B281" s="25">
        <v>1.0</v>
      </c>
      <c r="C281" s="35">
        <v>5.0</v>
      </c>
      <c r="D281" s="1"/>
      <c r="E281" s="1"/>
      <c r="F281" s="1"/>
      <c r="G281" s="1"/>
      <c r="H281" s="1"/>
    </row>
    <row r="282">
      <c r="A282" s="25" t="s">
        <v>545</v>
      </c>
      <c r="B282" s="25">
        <v>4.0</v>
      </c>
      <c r="C282" s="35">
        <v>5.0</v>
      </c>
      <c r="D282" s="1"/>
      <c r="E282" s="1"/>
      <c r="F282" s="1"/>
      <c r="G282" s="1"/>
      <c r="H282" s="1"/>
    </row>
    <row r="283">
      <c r="A283" s="25" t="s">
        <v>372</v>
      </c>
      <c r="B283" s="25">
        <v>1.0</v>
      </c>
      <c r="C283" s="35">
        <v>5.0</v>
      </c>
      <c r="D283" s="1"/>
      <c r="E283" s="1"/>
      <c r="F283" s="1"/>
      <c r="G283" s="1"/>
      <c r="H283" s="1"/>
    </row>
    <row r="284">
      <c r="A284" s="25" t="s">
        <v>307</v>
      </c>
      <c r="B284" s="25">
        <v>1.0</v>
      </c>
      <c r="C284" s="35">
        <v>5.0</v>
      </c>
      <c r="D284" s="1"/>
      <c r="E284" s="1"/>
      <c r="F284" s="1"/>
      <c r="G284" s="1"/>
      <c r="H284" s="1"/>
    </row>
    <row r="285">
      <c r="A285" s="25" t="s">
        <v>536</v>
      </c>
      <c r="B285" s="25">
        <v>1.0</v>
      </c>
      <c r="C285" s="35">
        <v>5.0</v>
      </c>
      <c r="D285" s="1"/>
      <c r="E285" s="1"/>
      <c r="F285" s="1"/>
      <c r="G285" s="1"/>
      <c r="H285" s="1"/>
    </row>
    <row r="286">
      <c r="A286" s="25" t="s">
        <v>225</v>
      </c>
      <c r="B286" s="25">
        <v>3.0</v>
      </c>
      <c r="C286" s="35">
        <v>5.0</v>
      </c>
      <c r="D286" s="1"/>
      <c r="E286" s="1"/>
      <c r="F286" s="1"/>
      <c r="G286" s="1"/>
      <c r="H286" s="1"/>
    </row>
    <row r="287">
      <c r="A287" s="25" t="s">
        <v>242</v>
      </c>
      <c r="B287" s="25">
        <v>4.0</v>
      </c>
      <c r="C287" s="35">
        <v>5.0</v>
      </c>
      <c r="D287" s="1"/>
      <c r="E287" s="1"/>
      <c r="F287" s="1"/>
      <c r="G287" s="1"/>
      <c r="H287" s="1"/>
    </row>
    <row r="288">
      <c r="A288" s="25" t="s">
        <v>227</v>
      </c>
      <c r="B288" s="25">
        <v>4.0</v>
      </c>
      <c r="C288" s="35">
        <v>5.0</v>
      </c>
      <c r="D288" s="1"/>
      <c r="E288" s="1"/>
      <c r="F288" s="1"/>
      <c r="G288" s="1"/>
      <c r="H288" s="1"/>
    </row>
    <row r="289">
      <c r="A289" s="25" t="s">
        <v>119</v>
      </c>
      <c r="B289" s="25">
        <v>1.0</v>
      </c>
      <c r="C289" s="35">
        <v>5.0</v>
      </c>
      <c r="D289" s="1"/>
      <c r="E289" s="1"/>
      <c r="F289" s="1"/>
      <c r="G289" s="1"/>
      <c r="H289" s="1"/>
    </row>
    <row r="290">
      <c r="A290" s="25" t="s">
        <v>564</v>
      </c>
      <c r="B290" s="25">
        <v>4.0</v>
      </c>
      <c r="C290" s="35">
        <v>5.0</v>
      </c>
      <c r="D290" s="1"/>
      <c r="E290" s="1"/>
      <c r="F290" s="1"/>
      <c r="G290" s="1"/>
      <c r="H290" s="1"/>
    </row>
    <row r="291">
      <c r="A291" s="25" t="s">
        <v>223</v>
      </c>
      <c r="B291" s="25">
        <v>1.0</v>
      </c>
      <c r="C291" s="35">
        <v>5.0</v>
      </c>
      <c r="D291" s="1"/>
      <c r="E291" s="1"/>
      <c r="F291" s="1"/>
      <c r="G291" s="1"/>
      <c r="H291" s="1"/>
    </row>
    <row r="292">
      <c r="A292" s="25" t="s">
        <v>370</v>
      </c>
      <c r="B292" s="25">
        <v>3.0</v>
      </c>
      <c r="C292" s="35">
        <v>5.0</v>
      </c>
      <c r="D292" s="1"/>
      <c r="E292" s="1"/>
      <c r="F292" s="1"/>
      <c r="G292" s="1"/>
      <c r="H292" s="1"/>
    </row>
    <row r="293">
      <c r="A293" s="25" t="s">
        <v>573</v>
      </c>
      <c r="B293" s="25">
        <v>2.0</v>
      </c>
      <c r="C293" s="35">
        <v>5.0</v>
      </c>
      <c r="D293" s="1"/>
      <c r="E293" s="1"/>
      <c r="F293" s="1"/>
      <c r="G293" s="1"/>
      <c r="H293" s="1"/>
    </row>
    <row r="294">
      <c r="A294" s="25" t="s">
        <v>193</v>
      </c>
      <c r="B294" s="25">
        <v>4.0</v>
      </c>
      <c r="C294" s="35">
        <v>5.0</v>
      </c>
      <c r="D294" s="1"/>
      <c r="E294" s="1"/>
      <c r="F294" s="1"/>
      <c r="G294" s="1"/>
      <c r="H294" s="1"/>
    </row>
    <row r="295">
      <c r="A295" s="264" t="s">
        <v>551</v>
      </c>
      <c r="B295" s="25">
        <v>2.0</v>
      </c>
      <c r="C295" s="35">
        <v>4.0</v>
      </c>
      <c r="D295" s="1"/>
      <c r="E295" s="1"/>
      <c r="F295" s="1"/>
      <c r="G295" s="1"/>
      <c r="H295" s="1"/>
    </row>
    <row r="296">
      <c r="A296" s="86" t="s">
        <v>484</v>
      </c>
      <c r="B296" s="35">
        <v>1.0</v>
      </c>
      <c r="C296" s="35">
        <v>4.0</v>
      </c>
      <c r="D296" s="1"/>
      <c r="E296" s="1"/>
      <c r="F296" s="1"/>
      <c r="G296" s="1"/>
      <c r="H296" s="1"/>
    </row>
    <row r="297">
      <c r="A297" s="35" t="s">
        <v>474</v>
      </c>
      <c r="B297" s="25">
        <v>1.0</v>
      </c>
      <c r="C297" s="35">
        <v>4.0</v>
      </c>
      <c r="D297" s="1"/>
      <c r="E297" s="1"/>
      <c r="F297" s="1"/>
      <c r="G297" s="1"/>
      <c r="H297" s="1"/>
    </row>
    <row r="298">
      <c r="A298" s="25" t="s">
        <v>442</v>
      </c>
      <c r="B298" s="25">
        <v>1.0</v>
      </c>
      <c r="C298" s="35">
        <v>4.0</v>
      </c>
      <c r="D298" s="1"/>
      <c r="E298" s="1"/>
      <c r="F298" s="1"/>
      <c r="G298" s="1"/>
      <c r="H298" s="1"/>
    </row>
    <row r="299">
      <c r="A299" s="25" t="s">
        <v>258</v>
      </c>
      <c r="B299" s="25">
        <v>1.0</v>
      </c>
      <c r="C299" s="35">
        <v>4.0</v>
      </c>
      <c r="D299" s="1"/>
      <c r="E299" s="1"/>
      <c r="F299" s="1"/>
      <c r="G299" s="1"/>
      <c r="H299" s="1"/>
    </row>
    <row r="300">
      <c r="A300" s="25" t="s">
        <v>77</v>
      </c>
      <c r="B300" s="25">
        <v>1.0</v>
      </c>
      <c r="C300" s="35">
        <v>4.0</v>
      </c>
      <c r="D300" s="1"/>
      <c r="E300" s="1"/>
      <c r="F300" s="1"/>
      <c r="G300" s="1"/>
      <c r="H300" s="1"/>
    </row>
    <row r="301">
      <c r="A301" s="25" t="s">
        <v>299</v>
      </c>
      <c r="B301" s="25">
        <v>1.0</v>
      </c>
      <c r="C301" s="35">
        <v>4.0</v>
      </c>
      <c r="D301" s="1"/>
      <c r="E301" s="1"/>
      <c r="F301" s="1"/>
      <c r="G301" s="1"/>
      <c r="H301" s="1"/>
    </row>
    <row r="302">
      <c r="A302" s="25" t="s">
        <v>328</v>
      </c>
      <c r="B302" s="25">
        <v>1.0</v>
      </c>
      <c r="C302" s="35">
        <v>4.0</v>
      </c>
      <c r="D302" s="1"/>
      <c r="E302" s="1"/>
      <c r="F302" s="1"/>
      <c r="G302" s="1"/>
      <c r="H302" s="1"/>
    </row>
    <row r="303">
      <c r="A303" s="25" t="s">
        <v>120</v>
      </c>
      <c r="B303" s="25">
        <v>1.0</v>
      </c>
      <c r="C303" s="35">
        <v>4.0</v>
      </c>
      <c r="D303" s="1"/>
      <c r="E303" s="1"/>
      <c r="F303" s="1"/>
      <c r="G303" s="1"/>
      <c r="H303" s="1"/>
    </row>
    <row r="304">
      <c r="A304" s="25" t="s">
        <v>302</v>
      </c>
      <c r="B304" s="25">
        <v>1.0</v>
      </c>
      <c r="C304" s="35">
        <v>4.0</v>
      </c>
      <c r="D304" s="1"/>
      <c r="E304" s="1"/>
      <c r="F304" s="1"/>
      <c r="G304" s="1"/>
      <c r="H304" s="1"/>
    </row>
    <row r="305">
      <c r="A305" s="25" t="s">
        <v>243</v>
      </c>
      <c r="B305" s="25">
        <v>1.0</v>
      </c>
      <c r="C305" s="35">
        <v>4.0</v>
      </c>
      <c r="D305" s="1"/>
      <c r="E305" s="1"/>
      <c r="F305" s="1"/>
      <c r="G305" s="1"/>
      <c r="H305" s="1"/>
    </row>
    <row r="306">
      <c r="A306" s="25" t="s">
        <v>259</v>
      </c>
      <c r="B306" s="25">
        <v>3.0</v>
      </c>
      <c r="C306" s="35">
        <v>4.0</v>
      </c>
      <c r="D306" s="1"/>
      <c r="E306" s="1"/>
      <c r="F306" s="1"/>
      <c r="G306" s="1"/>
      <c r="H306" s="1"/>
    </row>
    <row r="307">
      <c r="A307" s="25" t="s">
        <v>72</v>
      </c>
      <c r="B307" s="25">
        <v>1.0</v>
      </c>
      <c r="C307" s="35">
        <v>4.0</v>
      </c>
      <c r="D307" s="1"/>
      <c r="E307" s="1"/>
      <c r="F307" s="1"/>
      <c r="G307" s="1"/>
      <c r="H307" s="1"/>
    </row>
    <row r="308">
      <c r="A308" s="25" t="s">
        <v>598</v>
      </c>
      <c r="B308" s="25">
        <v>1.0</v>
      </c>
      <c r="C308" s="35">
        <v>4.0</v>
      </c>
      <c r="D308" s="1"/>
      <c r="E308" s="1"/>
      <c r="F308" s="1"/>
      <c r="G308" s="1"/>
      <c r="H308" s="1"/>
    </row>
    <row r="309">
      <c r="A309" s="25" t="s">
        <v>600</v>
      </c>
      <c r="B309" s="25">
        <v>1.0</v>
      </c>
      <c r="C309" s="35">
        <v>4.0</v>
      </c>
      <c r="D309" s="1"/>
      <c r="E309" s="1"/>
      <c r="F309" s="1"/>
      <c r="G309" s="1"/>
      <c r="H309" s="1"/>
    </row>
    <row r="310">
      <c r="A310" s="25" t="s">
        <v>559</v>
      </c>
      <c r="B310" s="25">
        <v>4.0</v>
      </c>
      <c r="C310" s="35">
        <v>4.0</v>
      </c>
      <c r="D310" s="1"/>
      <c r="E310" s="1"/>
      <c r="F310" s="1"/>
      <c r="G310" s="1"/>
      <c r="H310" s="1"/>
    </row>
    <row r="311">
      <c r="A311" s="25" t="s">
        <v>470</v>
      </c>
      <c r="B311" s="25">
        <v>4.0</v>
      </c>
      <c r="C311" s="35">
        <v>4.0</v>
      </c>
      <c r="D311" s="1"/>
      <c r="E311" s="1"/>
      <c r="F311" s="1"/>
      <c r="G311" s="1"/>
      <c r="H311" s="1"/>
    </row>
    <row r="312">
      <c r="A312" s="25" t="s">
        <v>368</v>
      </c>
      <c r="B312" s="25">
        <v>1.0</v>
      </c>
      <c r="C312" s="35">
        <v>4.0</v>
      </c>
      <c r="D312" s="1"/>
      <c r="E312" s="1"/>
      <c r="F312" s="1"/>
      <c r="G312" s="1"/>
      <c r="H312" s="1"/>
    </row>
    <row r="313">
      <c r="A313" s="25" t="s">
        <v>608</v>
      </c>
      <c r="B313" s="25">
        <v>2.0</v>
      </c>
      <c r="C313" s="35">
        <v>4.0</v>
      </c>
      <c r="D313" s="1"/>
      <c r="E313" s="1"/>
      <c r="F313" s="1"/>
      <c r="G313" s="1"/>
      <c r="H313" s="1"/>
    </row>
    <row r="314">
      <c r="A314" s="25" t="s">
        <v>615</v>
      </c>
      <c r="B314" s="25">
        <v>1.0</v>
      </c>
      <c r="C314" s="35">
        <v>4.0</v>
      </c>
      <c r="D314" s="1"/>
      <c r="E314" s="1"/>
      <c r="F314" s="1"/>
      <c r="G314" s="1"/>
      <c r="H314" s="1"/>
    </row>
    <row r="315">
      <c r="A315" s="25" t="s">
        <v>366</v>
      </c>
      <c r="B315" s="25">
        <v>3.0</v>
      </c>
      <c r="C315" s="35">
        <v>4.0</v>
      </c>
      <c r="D315" s="1"/>
      <c r="E315" s="1"/>
      <c r="F315" s="1"/>
      <c r="G315" s="1"/>
      <c r="H315" s="1"/>
    </row>
    <row r="316">
      <c r="A316" s="25" t="s">
        <v>488</v>
      </c>
      <c r="B316" s="25">
        <v>1.0</v>
      </c>
      <c r="C316" s="35">
        <v>4.0</v>
      </c>
      <c r="D316" s="1"/>
      <c r="E316" s="1"/>
      <c r="F316" s="1"/>
      <c r="G316" s="1"/>
      <c r="H316" s="1"/>
    </row>
    <row r="317">
      <c r="A317" s="25" t="s">
        <v>634</v>
      </c>
      <c r="B317" s="25">
        <v>3.0</v>
      </c>
      <c r="C317" s="35">
        <v>3.0</v>
      </c>
      <c r="D317" s="1"/>
      <c r="E317" s="1"/>
      <c r="F317" s="1"/>
      <c r="G317" s="1"/>
      <c r="H317" s="1"/>
    </row>
    <row r="318">
      <c r="A318" s="25" t="s">
        <v>460</v>
      </c>
      <c r="B318" s="25">
        <v>3.0</v>
      </c>
      <c r="C318" s="35">
        <v>3.0</v>
      </c>
      <c r="D318" s="1"/>
      <c r="E318" s="1"/>
      <c r="F318" s="1"/>
      <c r="G318" s="1"/>
      <c r="H318" s="1"/>
    </row>
    <row r="319">
      <c r="A319" s="25" t="s">
        <v>502</v>
      </c>
      <c r="B319" s="25">
        <v>1.0</v>
      </c>
      <c r="C319" s="35">
        <v>3.0</v>
      </c>
      <c r="D319" s="1"/>
      <c r="E319" s="1"/>
      <c r="F319" s="1"/>
      <c r="G319" s="1"/>
      <c r="H319" s="1"/>
    </row>
    <row r="320">
      <c r="A320" s="25" t="s">
        <v>591</v>
      </c>
      <c r="B320" s="25">
        <v>1.0</v>
      </c>
      <c r="C320" s="35">
        <v>3.0</v>
      </c>
      <c r="D320" s="1"/>
      <c r="E320" s="1"/>
      <c r="F320" s="1"/>
      <c r="G320" s="1"/>
      <c r="H320" s="1"/>
    </row>
    <row r="321">
      <c r="A321" s="25" t="s">
        <v>409</v>
      </c>
      <c r="B321" s="25">
        <v>1.0</v>
      </c>
      <c r="C321" s="35">
        <v>3.0</v>
      </c>
      <c r="D321" s="1"/>
      <c r="E321" s="1"/>
      <c r="F321" s="1"/>
      <c r="G321" s="1"/>
      <c r="H321" s="1"/>
    </row>
    <row r="322">
      <c r="A322" s="25" t="s">
        <v>315</v>
      </c>
      <c r="B322" s="25">
        <v>1.0</v>
      </c>
      <c r="C322" s="35">
        <v>3.0</v>
      </c>
      <c r="D322" s="1"/>
      <c r="E322" s="1"/>
      <c r="F322" s="1"/>
      <c r="G322" s="1"/>
      <c r="H322" s="1"/>
    </row>
    <row r="323">
      <c r="A323" s="25" t="s">
        <v>272</v>
      </c>
      <c r="B323" s="25">
        <v>2.0</v>
      </c>
      <c r="C323" s="35">
        <v>3.0</v>
      </c>
      <c r="D323" s="1"/>
      <c r="E323" s="1"/>
      <c r="F323" s="1"/>
      <c r="G323" s="1"/>
      <c r="H323" s="1"/>
    </row>
    <row r="324">
      <c r="A324" s="25" t="s">
        <v>417</v>
      </c>
      <c r="B324" s="25">
        <v>1.0</v>
      </c>
      <c r="C324" s="35">
        <v>3.0</v>
      </c>
      <c r="D324" s="1"/>
      <c r="E324" s="1"/>
      <c r="F324" s="1"/>
      <c r="G324" s="1"/>
      <c r="H324" s="1"/>
    </row>
    <row r="325">
      <c r="A325" s="25" t="s">
        <v>638</v>
      </c>
      <c r="B325" s="25">
        <v>1.0</v>
      </c>
      <c r="C325" s="35">
        <v>3.0</v>
      </c>
      <c r="D325" s="1"/>
      <c r="E325" s="1"/>
      <c r="F325" s="1"/>
      <c r="G325" s="1"/>
      <c r="H325" s="1"/>
    </row>
    <row r="326">
      <c r="A326" s="25" t="s">
        <v>363</v>
      </c>
      <c r="B326" s="25">
        <v>1.0</v>
      </c>
      <c r="C326" s="35">
        <v>3.0</v>
      </c>
      <c r="D326" s="1"/>
      <c r="E326" s="1"/>
      <c r="F326" s="1"/>
      <c r="G326" s="1"/>
      <c r="H326" s="1"/>
    </row>
    <row r="327">
      <c r="A327" s="25" t="s">
        <v>138</v>
      </c>
      <c r="B327" s="25">
        <v>1.0</v>
      </c>
      <c r="C327" s="35">
        <v>3.0</v>
      </c>
      <c r="D327" s="1"/>
      <c r="E327" s="1"/>
      <c r="F327" s="1"/>
      <c r="G327" s="1"/>
      <c r="H327" s="1"/>
    </row>
    <row r="328">
      <c r="A328" s="25" t="s">
        <v>568</v>
      </c>
      <c r="B328" s="25">
        <v>1.0</v>
      </c>
      <c r="C328" s="35">
        <v>3.0</v>
      </c>
      <c r="D328" s="1"/>
      <c r="E328" s="1"/>
      <c r="F328" s="1"/>
      <c r="G328" s="1"/>
      <c r="H328" s="1"/>
    </row>
    <row r="329">
      <c r="A329" s="25" t="s">
        <v>337</v>
      </c>
      <c r="B329" s="25">
        <v>1.0</v>
      </c>
      <c r="C329" s="35">
        <v>3.0</v>
      </c>
      <c r="D329" s="1"/>
      <c r="E329" s="1"/>
      <c r="F329" s="1"/>
      <c r="G329" s="1"/>
      <c r="H329" s="1"/>
    </row>
    <row r="330">
      <c r="A330" s="25" t="s">
        <v>465</v>
      </c>
      <c r="B330" s="25">
        <v>1.0</v>
      </c>
      <c r="C330" s="35">
        <v>3.0</v>
      </c>
      <c r="D330" s="1"/>
      <c r="E330" s="1"/>
      <c r="F330" s="1"/>
      <c r="G330" s="1"/>
      <c r="H330" s="1"/>
    </row>
    <row r="331">
      <c r="A331" s="25" t="s">
        <v>262</v>
      </c>
      <c r="B331" s="25">
        <v>2.0</v>
      </c>
      <c r="C331" s="35">
        <v>3.0</v>
      </c>
      <c r="D331" s="1"/>
      <c r="E331" s="1"/>
      <c r="F331" s="1"/>
      <c r="G331" s="1"/>
      <c r="H331" s="1"/>
    </row>
    <row r="332">
      <c r="A332" s="25" t="s">
        <v>87</v>
      </c>
      <c r="B332" s="25">
        <v>1.0</v>
      </c>
      <c r="C332" s="35">
        <v>3.0</v>
      </c>
      <c r="D332" s="1"/>
      <c r="E332" s="1"/>
      <c r="F332" s="1"/>
      <c r="G332" s="1"/>
      <c r="H332" s="1"/>
    </row>
    <row r="333">
      <c r="A333" s="99" t="s">
        <v>379</v>
      </c>
      <c r="B333" s="25">
        <v>1.0</v>
      </c>
      <c r="C333" s="35">
        <v>3.0</v>
      </c>
      <c r="D333" s="1"/>
      <c r="E333" s="1"/>
      <c r="F333" s="1"/>
      <c r="G333" s="1"/>
      <c r="H333" s="1"/>
    </row>
    <row r="334">
      <c r="A334" s="25" t="s">
        <v>156</v>
      </c>
      <c r="B334" s="25">
        <v>1.0</v>
      </c>
      <c r="C334" s="35">
        <v>3.0</v>
      </c>
      <c r="D334" s="1"/>
      <c r="E334" s="1"/>
      <c r="F334" s="1"/>
      <c r="G334" s="1"/>
      <c r="H334" s="1"/>
    </row>
    <row r="335">
      <c r="A335" s="25" t="s">
        <v>450</v>
      </c>
      <c r="B335" s="25">
        <v>2.0</v>
      </c>
      <c r="C335" s="35">
        <v>3.0</v>
      </c>
      <c r="D335" s="1"/>
      <c r="E335" s="1"/>
      <c r="F335" s="1"/>
      <c r="G335" s="1"/>
      <c r="H335" s="1"/>
    </row>
    <row r="336">
      <c r="A336" s="25" t="s">
        <v>492</v>
      </c>
      <c r="B336" s="25">
        <v>2.0</v>
      </c>
      <c r="C336" s="35">
        <v>3.0</v>
      </c>
      <c r="D336" s="1"/>
      <c r="E336" s="1"/>
      <c r="F336" s="1"/>
      <c r="G336" s="1"/>
      <c r="H336" s="1"/>
    </row>
    <row r="337">
      <c r="A337" s="25" t="s">
        <v>540</v>
      </c>
      <c r="B337" s="25">
        <v>1.0</v>
      </c>
      <c r="C337" s="35">
        <v>3.0</v>
      </c>
      <c r="D337" s="1"/>
      <c r="E337" s="1"/>
      <c r="F337" s="1"/>
      <c r="G337" s="1"/>
      <c r="H337" s="1"/>
    </row>
    <row r="338">
      <c r="A338" s="25" t="s">
        <v>641</v>
      </c>
      <c r="B338" s="25">
        <v>1.0</v>
      </c>
      <c r="C338" s="35">
        <v>3.0</v>
      </c>
      <c r="D338" s="1"/>
      <c r="E338" s="1"/>
      <c r="F338" s="1"/>
      <c r="G338" s="1"/>
      <c r="H338" s="1"/>
    </row>
    <row r="339">
      <c r="A339" s="25" t="s">
        <v>275</v>
      </c>
      <c r="B339" s="25">
        <v>1.0</v>
      </c>
      <c r="C339" s="35">
        <v>3.0</v>
      </c>
      <c r="D339" s="1"/>
      <c r="E339" s="1"/>
      <c r="F339" s="1"/>
      <c r="G339" s="1"/>
      <c r="H339" s="1"/>
    </row>
    <row r="340">
      <c r="A340" s="25" t="s">
        <v>437</v>
      </c>
      <c r="B340" s="25">
        <v>1.0</v>
      </c>
      <c r="C340" s="35">
        <v>3.0</v>
      </c>
      <c r="D340" s="1"/>
      <c r="E340" s="1"/>
      <c r="F340" s="1"/>
      <c r="G340" s="1"/>
      <c r="H340" s="1"/>
    </row>
    <row r="341">
      <c r="A341" s="25" t="s">
        <v>486</v>
      </c>
      <c r="B341" s="25">
        <v>3.0</v>
      </c>
      <c r="C341" s="35">
        <v>3.0</v>
      </c>
      <c r="D341" s="1"/>
      <c r="E341" s="1"/>
      <c r="F341" s="1"/>
      <c r="G341" s="1"/>
      <c r="H341" s="1"/>
    </row>
    <row r="342">
      <c r="A342" s="25" t="s">
        <v>614</v>
      </c>
      <c r="B342" s="25">
        <v>3.0</v>
      </c>
      <c r="C342" s="35">
        <v>3.0</v>
      </c>
      <c r="D342" s="1"/>
      <c r="E342" s="1"/>
      <c r="F342" s="1"/>
      <c r="G342" s="1"/>
      <c r="H342" s="1"/>
    </row>
    <row r="343">
      <c r="A343" s="35" t="s">
        <v>192</v>
      </c>
      <c r="B343" s="35">
        <v>3.0</v>
      </c>
      <c r="C343" s="35">
        <v>3.0</v>
      </c>
      <c r="D343" s="1"/>
      <c r="E343" s="1"/>
      <c r="F343" s="1"/>
      <c r="G343" s="1"/>
      <c r="H343" s="1"/>
    </row>
    <row r="344">
      <c r="A344" s="25" t="s">
        <v>454</v>
      </c>
      <c r="B344" s="25">
        <v>1.0</v>
      </c>
      <c r="C344" s="35">
        <v>3.0</v>
      </c>
      <c r="D344" s="1"/>
      <c r="E344" s="1"/>
      <c r="F344" s="1"/>
      <c r="G344" s="1"/>
      <c r="H344" s="1"/>
    </row>
    <row r="345">
      <c r="A345" s="25" t="s">
        <v>623</v>
      </c>
      <c r="B345" s="25">
        <v>2.0</v>
      </c>
      <c r="C345" s="35">
        <v>2.0</v>
      </c>
      <c r="D345" s="1"/>
      <c r="E345" s="1"/>
      <c r="F345" s="1"/>
      <c r="G345" s="1"/>
      <c r="H345" s="1"/>
    </row>
    <row r="346">
      <c r="A346" s="25" t="s">
        <v>478</v>
      </c>
      <c r="B346" s="25">
        <v>2.0</v>
      </c>
      <c r="C346" s="35">
        <v>2.0</v>
      </c>
      <c r="D346" s="1"/>
      <c r="E346" s="1"/>
      <c r="F346" s="1"/>
      <c r="G346" s="1"/>
      <c r="H346" s="1"/>
    </row>
    <row r="347">
      <c r="A347" s="25" t="s">
        <v>628</v>
      </c>
      <c r="B347" s="25">
        <v>1.0</v>
      </c>
      <c r="C347" s="35">
        <v>2.0</v>
      </c>
      <c r="D347" s="1"/>
      <c r="E347" s="1"/>
      <c r="F347" s="1"/>
      <c r="G347" s="1"/>
      <c r="H347" s="1"/>
    </row>
    <row r="348">
      <c r="A348" s="25" t="s">
        <v>116</v>
      </c>
      <c r="B348" s="25">
        <v>1.0</v>
      </c>
      <c r="C348" s="35">
        <v>2.0</v>
      </c>
      <c r="D348" s="1"/>
      <c r="E348" s="1"/>
      <c r="F348" s="1"/>
      <c r="G348" s="1"/>
      <c r="H348" s="1"/>
    </row>
    <row r="349">
      <c r="A349" s="25" t="s">
        <v>98</v>
      </c>
      <c r="B349" s="25">
        <v>1.0</v>
      </c>
      <c r="C349" s="35">
        <v>2.0</v>
      </c>
      <c r="D349" s="1"/>
      <c r="E349" s="1"/>
      <c r="F349" s="1"/>
      <c r="G349" s="1"/>
      <c r="H349" s="1"/>
    </row>
    <row r="350">
      <c r="A350" s="25" t="s">
        <v>165</v>
      </c>
      <c r="B350" s="25">
        <v>1.0</v>
      </c>
      <c r="C350" s="35">
        <v>2.0</v>
      </c>
      <c r="D350" s="1"/>
      <c r="E350" s="1"/>
      <c r="F350" s="1"/>
      <c r="G350" s="1"/>
      <c r="H350" s="1"/>
    </row>
    <row r="351">
      <c r="A351" s="33" t="s">
        <v>168</v>
      </c>
      <c r="B351" s="25">
        <v>1.0</v>
      </c>
      <c r="C351" s="35">
        <v>2.0</v>
      </c>
      <c r="D351" s="1"/>
      <c r="E351" s="1"/>
      <c r="F351" s="1"/>
      <c r="G351" s="1"/>
      <c r="H351" s="1"/>
    </row>
    <row r="352">
      <c r="A352" s="25" t="s">
        <v>534</v>
      </c>
      <c r="B352" s="25">
        <v>1.0</v>
      </c>
      <c r="C352" s="35">
        <v>2.0</v>
      </c>
      <c r="D352" s="1"/>
      <c r="E352" s="1"/>
      <c r="F352" s="1"/>
      <c r="G352" s="1"/>
      <c r="H352" s="1"/>
    </row>
    <row r="353">
      <c r="A353" s="25" t="s">
        <v>59</v>
      </c>
      <c r="B353" s="25">
        <v>1.0</v>
      </c>
      <c r="C353" s="35">
        <v>2.0</v>
      </c>
      <c r="D353" s="1"/>
      <c r="E353" s="1"/>
      <c r="F353" s="1"/>
      <c r="G353" s="1"/>
      <c r="H353" s="1"/>
    </row>
    <row r="354">
      <c r="A354" s="25" t="s">
        <v>405</v>
      </c>
      <c r="B354" s="25">
        <v>1.0</v>
      </c>
      <c r="C354" s="35">
        <v>2.0</v>
      </c>
      <c r="D354" s="1"/>
      <c r="E354" s="1"/>
      <c r="F354" s="1"/>
      <c r="G354" s="1"/>
      <c r="H354" s="1"/>
    </row>
    <row r="355">
      <c r="A355" s="25" t="s">
        <v>613</v>
      </c>
      <c r="B355" s="25">
        <v>1.0</v>
      </c>
      <c r="C355" s="35">
        <v>2.0</v>
      </c>
      <c r="D355" s="1"/>
      <c r="E355" s="1"/>
      <c r="F355" s="1"/>
      <c r="G355" s="1"/>
      <c r="H355" s="1"/>
    </row>
    <row r="356">
      <c r="A356" s="35" t="s">
        <v>610</v>
      </c>
      <c r="B356" s="35">
        <v>1.0</v>
      </c>
      <c r="C356" s="35">
        <v>2.0</v>
      </c>
      <c r="D356" s="1"/>
      <c r="E356" s="1"/>
      <c r="F356" s="1"/>
      <c r="G356" s="1"/>
      <c r="H356" s="1"/>
    </row>
    <row r="357">
      <c r="A357" s="25" t="s">
        <v>107</v>
      </c>
      <c r="B357" s="25">
        <v>1.0</v>
      </c>
      <c r="C357" s="35">
        <v>2.0</v>
      </c>
      <c r="D357" s="1"/>
      <c r="E357" s="1"/>
      <c r="F357" s="1"/>
      <c r="G357" s="1"/>
      <c r="H357" s="1"/>
    </row>
    <row r="358">
      <c r="A358" s="25" t="s">
        <v>576</v>
      </c>
      <c r="B358" s="25">
        <v>1.0</v>
      </c>
      <c r="C358" s="35">
        <v>2.0</v>
      </c>
      <c r="D358" s="1"/>
      <c r="E358" s="1"/>
      <c r="F358" s="1"/>
      <c r="G358" s="1"/>
      <c r="H358" s="1"/>
    </row>
    <row r="359">
      <c r="A359" s="25" t="s">
        <v>124</v>
      </c>
      <c r="B359" s="25">
        <v>1.0</v>
      </c>
      <c r="C359" s="35">
        <v>2.0</v>
      </c>
      <c r="D359" s="1"/>
      <c r="E359" s="1"/>
      <c r="F359" s="1"/>
      <c r="G359" s="1"/>
      <c r="H359" s="1"/>
    </row>
    <row r="360">
      <c r="A360" s="25" t="s">
        <v>166</v>
      </c>
      <c r="B360" s="25">
        <v>1.0</v>
      </c>
      <c r="C360" s="35">
        <v>2.0</v>
      </c>
      <c r="D360" s="1"/>
      <c r="E360" s="1"/>
      <c r="F360" s="1"/>
      <c r="G360" s="1"/>
      <c r="H360" s="1"/>
    </row>
    <row r="361">
      <c r="A361" s="25" t="s">
        <v>68</v>
      </c>
      <c r="B361" s="25">
        <v>1.0</v>
      </c>
      <c r="C361" s="35">
        <v>2.0</v>
      </c>
      <c r="D361" s="1"/>
      <c r="E361" s="1"/>
      <c r="F361" s="1"/>
      <c r="G361" s="1"/>
      <c r="H361" s="1"/>
    </row>
    <row r="362">
      <c r="A362" s="25" t="s">
        <v>424</v>
      </c>
      <c r="B362" s="25">
        <v>1.0</v>
      </c>
      <c r="C362" s="35">
        <v>2.0</v>
      </c>
      <c r="D362" s="1"/>
      <c r="E362" s="1"/>
      <c r="F362" s="1"/>
      <c r="G362" s="1"/>
      <c r="H362" s="1"/>
    </row>
    <row r="363">
      <c r="A363" s="25" t="s">
        <v>305</v>
      </c>
      <c r="B363" s="25">
        <v>1.0</v>
      </c>
      <c r="C363" s="35">
        <v>2.0</v>
      </c>
      <c r="D363" s="1"/>
      <c r="E363" s="1"/>
      <c r="F363" s="1"/>
      <c r="G363" s="1"/>
      <c r="H363" s="1"/>
    </row>
    <row r="364">
      <c r="A364" s="25" t="s">
        <v>421</v>
      </c>
      <c r="B364" s="25">
        <v>1.0</v>
      </c>
      <c r="C364" s="35">
        <v>2.0</v>
      </c>
      <c r="D364" s="1"/>
      <c r="E364" s="1"/>
      <c r="F364" s="1"/>
      <c r="G364" s="1"/>
      <c r="H364" s="1"/>
    </row>
    <row r="365">
      <c r="A365" s="25" t="s">
        <v>222</v>
      </c>
      <c r="B365" s="25">
        <v>1.0</v>
      </c>
      <c r="C365" s="35">
        <v>2.0</v>
      </c>
      <c r="D365" s="1"/>
      <c r="E365" s="1"/>
      <c r="F365" s="1"/>
      <c r="G365" s="1"/>
      <c r="H365" s="1"/>
    </row>
    <row r="366">
      <c r="A366" s="25" t="s">
        <v>224</v>
      </c>
      <c r="B366" s="25">
        <v>1.0</v>
      </c>
      <c r="C366" s="35">
        <v>2.0</v>
      </c>
      <c r="D366" s="1"/>
      <c r="E366" s="1"/>
      <c r="F366" s="1"/>
      <c r="G366" s="1"/>
      <c r="H366" s="1"/>
    </row>
    <row r="367">
      <c r="A367" s="25" t="s">
        <v>508</v>
      </c>
      <c r="B367" s="25">
        <v>1.0</v>
      </c>
      <c r="C367" s="35">
        <v>2.0</v>
      </c>
      <c r="D367" s="1"/>
      <c r="E367" s="1"/>
      <c r="F367" s="1"/>
      <c r="G367" s="1"/>
      <c r="H367" s="1"/>
    </row>
    <row r="368">
      <c r="A368" s="25" t="s">
        <v>298</v>
      </c>
      <c r="B368" s="25">
        <v>1.0</v>
      </c>
      <c r="C368" s="35">
        <v>2.0</v>
      </c>
      <c r="D368" s="1"/>
      <c r="E368" s="1"/>
      <c r="F368" s="1"/>
      <c r="G368" s="1"/>
      <c r="H368" s="1"/>
    </row>
    <row r="369">
      <c r="A369" s="25" t="s">
        <v>80</v>
      </c>
      <c r="B369" s="25">
        <v>1.0</v>
      </c>
      <c r="C369" s="35">
        <v>2.0</v>
      </c>
      <c r="D369" s="1"/>
      <c r="E369" s="1"/>
      <c r="F369" s="1"/>
      <c r="G369" s="1"/>
      <c r="H369" s="1"/>
    </row>
    <row r="370">
      <c r="A370" s="25" t="s">
        <v>201</v>
      </c>
      <c r="B370" s="25">
        <v>1.0</v>
      </c>
      <c r="C370" s="35">
        <v>2.0</v>
      </c>
      <c r="D370" s="1"/>
      <c r="E370" s="1"/>
      <c r="F370" s="1"/>
      <c r="G370" s="1"/>
      <c r="H370" s="1"/>
    </row>
    <row r="371">
      <c r="A371" s="25" t="s">
        <v>468</v>
      </c>
      <c r="B371" s="25">
        <v>1.0</v>
      </c>
      <c r="C371" s="35">
        <v>2.0</v>
      </c>
      <c r="D371" s="1"/>
      <c r="E371" s="1"/>
      <c r="F371" s="1"/>
      <c r="G371" s="1"/>
      <c r="H371" s="1"/>
    </row>
    <row r="372">
      <c r="A372" s="25" t="s">
        <v>160</v>
      </c>
      <c r="B372" s="25">
        <v>1.0</v>
      </c>
      <c r="C372" s="35">
        <v>2.0</v>
      </c>
      <c r="D372" s="1"/>
      <c r="E372" s="1"/>
      <c r="F372" s="1"/>
      <c r="G372" s="1"/>
      <c r="H372" s="1"/>
    </row>
    <row r="373">
      <c r="A373" s="25" t="s">
        <v>219</v>
      </c>
      <c r="B373" s="25">
        <v>1.0</v>
      </c>
      <c r="C373" s="35">
        <v>2.0</v>
      </c>
      <c r="D373" s="1"/>
      <c r="E373" s="1"/>
      <c r="F373" s="1"/>
      <c r="G373" s="1"/>
      <c r="H373" s="1"/>
    </row>
    <row r="374">
      <c r="A374" s="25" t="s">
        <v>347</v>
      </c>
      <c r="B374" s="25">
        <v>1.0</v>
      </c>
      <c r="C374" s="35">
        <v>2.0</v>
      </c>
      <c r="D374" s="1"/>
      <c r="E374" s="1"/>
      <c r="F374" s="1"/>
      <c r="G374" s="1"/>
      <c r="H374" s="1"/>
    </row>
    <row r="375">
      <c r="A375" s="25" t="s">
        <v>140</v>
      </c>
      <c r="B375" s="25">
        <v>1.0</v>
      </c>
      <c r="C375" s="35">
        <v>2.0</v>
      </c>
      <c r="D375" s="1"/>
      <c r="E375" s="1"/>
      <c r="F375" s="1"/>
      <c r="G375" s="1"/>
      <c r="H375" s="1"/>
    </row>
    <row r="376">
      <c r="A376" s="25" t="s">
        <v>261</v>
      </c>
      <c r="B376" s="25">
        <v>1.0</v>
      </c>
      <c r="C376" s="35">
        <v>2.0</v>
      </c>
      <c r="D376" s="1"/>
      <c r="E376" s="1"/>
      <c r="F376" s="1"/>
      <c r="G376" s="1"/>
      <c r="H376" s="1"/>
    </row>
    <row r="377">
      <c r="A377" s="25" t="s">
        <v>78</v>
      </c>
      <c r="B377" s="25">
        <v>1.0</v>
      </c>
      <c r="C377" s="35">
        <v>2.0</v>
      </c>
      <c r="D377" s="1"/>
      <c r="E377" s="1"/>
      <c r="F377" s="1"/>
      <c r="G377" s="1"/>
      <c r="H377" s="1"/>
    </row>
    <row r="378">
      <c r="A378" s="25" t="s">
        <v>320</v>
      </c>
      <c r="B378" s="25">
        <v>2.0</v>
      </c>
      <c r="C378" s="35">
        <v>2.0</v>
      </c>
      <c r="D378" s="1"/>
      <c r="E378" s="1"/>
      <c r="F378" s="1"/>
      <c r="G378" s="1"/>
      <c r="H378" s="1"/>
    </row>
    <row r="379">
      <c r="A379" s="25" t="s">
        <v>390</v>
      </c>
      <c r="B379" s="25">
        <v>1.0</v>
      </c>
      <c r="C379" s="35">
        <v>2.0</v>
      </c>
      <c r="D379" s="1"/>
      <c r="E379" s="1"/>
      <c r="F379" s="1"/>
      <c r="G379" s="1"/>
      <c r="H379" s="1"/>
    </row>
    <row r="380">
      <c r="A380" s="25" t="s">
        <v>500</v>
      </c>
      <c r="B380" s="25">
        <v>1.0</v>
      </c>
      <c r="C380" s="35">
        <v>2.0</v>
      </c>
      <c r="D380" s="1"/>
      <c r="E380" s="1"/>
      <c r="F380" s="1"/>
      <c r="G380" s="1"/>
      <c r="H380" s="1"/>
    </row>
    <row r="381">
      <c r="A381" s="25" t="s">
        <v>151</v>
      </c>
      <c r="B381" s="25">
        <v>1.0</v>
      </c>
      <c r="C381" s="35">
        <v>2.0</v>
      </c>
      <c r="D381" s="1"/>
      <c r="E381" s="1"/>
      <c r="F381" s="1"/>
      <c r="G381" s="1"/>
      <c r="H381" s="1"/>
    </row>
    <row r="382">
      <c r="A382" s="99" t="s">
        <v>425</v>
      </c>
      <c r="B382" s="25">
        <v>1.0</v>
      </c>
      <c r="C382" s="35">
        <v>2.0</v>
      </c>
      <c r="D382" s="1"/>
      <c r="E382" s="1"/>
      <c r="F382" s="1"/>
      <c r="G382" s="1"/>
      <c r="H382" s="1"/>
    </row>
    <row r="383">
      <c r="A383" s="25" t="s">
        <v>413</v>
      </c>
      <c r="B383" s="25">
        <v>1.0</v>
      </c>
      <c r="C383" s="35">
        <v>2.0</v>
      </c>
      <c r="D383" s="1"/>
      <c r="E383" s="1"/>
      <c r="F383" s="1"/>
      <c r="G383" s="1"/>
      <c r="H383" s="1"/>
    </row>
    <row r="384">
      <c r="A384" s="25" t="s">
        <v>105</v>
      </c>
      <c r="B384" s="25">
        <v>1.0</v>
      </c>
      <c r="C384" s="35">
        <v>2.0</v>
      </c>
      <c r="D384" s="1"/>
      <c r="E384" s="1"/>
      <c r="F384" s="1"/>
      <c r="G384" s="1"/>
      <c r="H384" s="1"/>
    </row>
    <row r="385">
      <c r="A385" s="25" t="s">
        <v>284</v>
      </c>
      <c r="B385" s="25">
        <v>1.0</v>
      </c>
      <c r="C385" s="35">
        <v>2.0</v>
      </c>
      <c r="D385" s="1"/>
      <c r="E385" s="1"/>
      <c r="F385" s="1"/>
      <c r="G385" s="1"/>
      <c r="H385" s="1"/>
    </row>
    <row r="386">
      <c r="A386" s="25" t="s">
        <v>194</v>
      </c>
      <c r="B386" s="25">
        <v>1.0</v>
      </c>
      <c r="C386" s="35">
        <v>2.0</v>
      </c>
      <c r="D386" s="1"/>
      <c r="E386" s="1"/>
      <c r="F386" s="1"/>
      <c r="G386" s="1"/>
      <c r="H386" s="1"/>
    </row>
    <row r="387">
      <c r="A387" s="25" t="s">
        <v>252</v>
      </c>
      <c r="B387" s="25">
        <v>1.0</v>
      </c>
      <c r="C387" s="35">
        <v>2.0</v>
      </c>
      <c r="D387" s="1"/>
      <c r="E387" s="1"/>
      <c r="F387" s="1"/>
      <c r="G387" s="1"/>
      <c r="H387" s="1"/>
    </row>
    <row r="388">
      <c r="A388" s="25" t="s">
        <v>208</v>
      </c>
      <c r="B388" s="25">
        <v>2.0</v>
      </c>
      <c r="C388" s="35">
        <v>2.0</v>
      </c>
      <c r="D388" s="1"/>
      <c r="E388" s="1"/>
      <c r="F388" s="1"/>
      <c r="G388" s="1"/>
      <c r="H388" s="1"/>
    </row>
    <row r="389">
      <c r="A389" s="25" t="s">
        <v>118</v>
      </c>
      <c r="B389" s="25">
        <v>1.0</v>
      </c>
      <c r="C389" s="35">
        <v>2.0</v>
      </c>
      <c r="D389" s="1"/>
      <c r="E389" s="1"/>
      <c r="F389" s="1"/>
      <c r="G389" s="1"/>
      <c r="H389" s="1"/>
    </row>
    <row r="390">
      <c r="A390" s="34" t="s">
        <v>415</v>
      </c>
      <c r="B390" s="35">
        <v>1.0</v>
      </c>
      <c r="C390" s="35">
        <v>2.0</v>
      </c>
      <c r="D390" s="1"/>
      <c r="E390" s="1"/>
      <c r="F390" s="1"/>
      <c r="G390" s="1"/>
      <c r="H390" s="1"/>
    </row>
    <row r="391">
      <c r="A391" s="25" t="s">
        <v>595</v>
      </c>
      <c r="B391" s="25">
        <v>2.0</v>
      </c>
      <c r="C391" s="35">
        <v>2.0</v>
      </c>
      <c r="D391" s="1"/>
      <c r="E391" s="1"/>
      <c r="F391" s="1"/>
      <c r="G391" s="1"/>
      <c r="H391" s="1"/>
    </row>
    <row r="392">
      <c r="A392" s="35" t="s">
        <v>515</v>
      </c>
      <c r="B392" s="25">
        <v>2.0</v>
      </c>
      <c r="C392" s="35">
        <v>2.0</v>
      </c>
      <c r="D392" s="1"/>
      <c r="E392" s="1"/>
      <c r="F392" s="1"/>
      <c r="G392" s="1"/>
      <c r="H392" s="1"/>
    </row>
    <row r="393">
      <c r="A393" s="25" t="s">
        <v>473</v>
      </c>
      <c r="B393" s="25">
        <v>1.0</v>
      </c>
      <c r="C393" s="35">
        <v>2.0</v>
      </c>
      <c r="D393" s="1"/>
      <c r="E393" s="1"/>
      <c r="F393" s="1"/>
      <c r="G393" s="1"/>
      <c r="H393" s="1"/>
    </row>
    <row r="394">
      <c r="A394" s="25" t="s">
        <v>341</v>
      </c>
      <c r="B394" s="25">
        <v>1.0</v>
      </c>
      <c r="C394" s="35">
        <v>2.0</v>
      </c>
      <c r="D394" s="1"/>
      <c r="E394" s="1"/>
      <c r="F394" s="1"/>
      <c r="G394" s="1"/>
      <c r="H394" s="1"/>
    </row>
    <row r="395">
      <c r="A395" s="25" t="s">
        <v>554</v>
      </c>
      <c r="B395" s="25">
        <v>2.0</v>
      </c>
      <c r="C395" s="35">
        <v>2.0</v>
      </c>
      <c r="D395" s="1"/>
      <c r="E395" s="1"/>
      <c r="F395" s="1"/>
      <c r="G395" s="1"/>
      <c r="H395" s="1"/>
    </row>
    <row r="396">
      <c r="A396" s="25" t="s">
        <v>294</v>
      </c>
      <c r="B396" s="25">
        <v>1.0</v>
      </c>
      <c r="C396" s="35">
        <v>2.0</v>
      </c>
      <c r="D396" s="1"/>
      <c r="E396" s="1"/>
      <c r="F396" s="1"/>
      <c r="G396" s="1"/>
      <c r="H396" s="1"/>
    </row>
    <row r="397">
      <c r="A397" s="25" t="s">
        <v>562</v>
      </c>
      <c r="B397" s="25">
        <v>1.0</v>
      </c>
      <c r="C397" s="35">
        <v>2.0</v>
      </c>
      <c r="D397" s="1"/>
      <c r="E397" s="1"/>
      <c r="F397" s="1"/>
      <c r="G397" s="1"/>
      <c r="H397" s="1"/>
    </row>
    <row r="398">
      <c r="A398" s="25" t="s">
        <v>523</v>
      </c>
      <c r="B398" s="25">
        <v>1.0</v>
      </c>
      <c r="C398" s="35">
        <v>2.0</v>
      </c>
      <c r="D398" s="1"/>
      <c r="E398" s="1"/>
      <c r="F398" s="1"/>
      <c r="G398" s="1"/>
      <c r="H398" s="1"/>
    </row>
    <row r="399">
      <c r="A399" s="25" t="s">
        <v>127</v>
      </c>
      <c r="B399" s="25">
        <v>2.0</v>
      </c>
      <c r="C399" s="35">
        <v>2.0</v>
      </c>
      <c r="D399" s="1"/>
      <c r="E399" s="1"/>
      <c r="F399" s="1"/>
      <c r="G399" s="1"/>
      <c r="H399" s="1"/>
    </row>
    <row r="400">
      <c r="A400" s="25" t="s">
        <v>587</v>
      </c>
      <c r="B400" s="25">
        <v>2.0</v>
      </c>
      <c r="C400" s="35">
        <v>2.0</v>
      </c>
      <c r="D400" s="1"/>
      <c r="E400" s="1"/>
      <c r="F400" s="1"/>
      <c r="G400" s="1"/>
      <c r="H400" s="1"/>
    </row>
    <row r="401">
      <c r="A401" s="25" t="s">
        <v>268</v>
      </c>
      <c r="B401" s="25">
        <v>1.0</v>
      </c>
      <c r="C401" s="35">
        <v>2.0</v>
      </c>
      <c r="D401" s="1"/>
      <c r="E401" s="1"/>
      <c r="F401" s="1"/>
      <c r="G401" s="1"/>
      <c r="H401" s="1"/>
    </row>
    <row r="402">
      <c r="A402" s="25" t="s">
        <v>529</v>
      </c>
      <c r="B402" s="25">
        <v>1.0</v>
      </c>
      <c r="C402" s="35">
        <v>2.0</v>
      </c>
      <c r="D402" s="1"/>
      <c r="E402" s="1"/>
      <c r="F402" s="1"/>
      <c r="G402" s="1"/>
      <c r="H402" s="1"/>
    </row>
    <row r="403">
      <c r="A403" s="25" t="s">
        <v>579</v>
      </c>
      <c r="B403" s="25">
        <v>1.0</v>
      </c>
      <c r="C403" s="35">
        <v>2.0</v>
      </c>
      <c r="D403" s="1"/>
      <c r="E403" s="1"/>
      <c r="F403" s="1"/>
      <c r="G403" s="1"/>
      <c r="H403" s="1"/>
    </row>
    <row r="404">
      <c r="A404" s="25" t="s">
        <v>381</v>
      </c>
      <c r="B404" s="25">
        <v>1.0</v>
      </c>
      <c r="C404" s="35">
        <v>2.0</v>
      </c>
      <c r="D404" s="1"/>
      <c r="E404" s="1"/>
      <c r="F404" s="1"/>
      <c r="G404" s="1"/>
      <c r="H404" s="1"/>
    </row>
    <row r="405">
      <c r="A405" s="25" t="s">
        <v>449</v>
      </c>
      <c r="B405" s="25">
        <v>1.0</v>
      </c>
      <c r="C405" s="35">
        <v>2.0</v>
      </c>
      <c r="D405" s="1"/>
      <c r="E405" s="1"/>
      <c r="F405" s="1"/>
      <c r="G405" s="1"/>
      <c r="H405" s="1"/>
    </row>
    <row r="406">
      <c r="A406" s="25" t="s">
        <v>386</v>
      </c>
      <c r="B406" s="25">
        <v>2.0</v>
      </c>
      <c r="C406" s="35">
        <v>2.0</v>
      </c>
      <c r="D406" s="1"/>
      <c r="E406" s="1"/>
      <c r="F406" s="1"/>
      <c r="G406" s="1"/>
      <c r="H406" s="1"/>
    </row>
    <row r="407">
      <c r="A407" s="25" t="s">
        <v>332</v>
      </c>
      <c r="B407" s="25">
        <v>2.0</v>
      </c>
      <c r="C407" s="35">
        <v>2.0</v>
      </c>
      <c r="D407" s="1"/>
      <c r="E407" s="1"/>
      <c r="F407" s="1"/>
      <c r="G407" s="1"/>
      <c r="H407" s="1"/>
    </row>
    <row r="408">
      <c r="A408" s="25" t="s">
        <v>304</v>
      </c>
      <c r="B408" s="25">
        <v>1.0</v>
      </c>
      <c r="C408" s="35">
        <v>2.0</v>
      </c>
      <c r="D408" s="1"/>
      <c r="E408" s="1"/>
      <c r="F408" s="1"/>
      <c r="G408" s="1"/>
      <c r="H408" s="1"/>
    </row>
    <row r="409">
      <c r="A409" s="25" t="s">
        <v>514</v>
      </c>
      <c r="B409" s="25">
        <v>2.0</v>
      </c>
      <c r="C409" s="35">
        <v>2.0</v>
      </c>
      <c r="D409" s="1"/>
      <c r="E409" s="1"/>
      <c r="F409" s="1"/>
      <c r="G409" s="1"/>
      <c r="H409" s="1"/>
    </row>
    <row r="410">
      <c r="A410" s="35" t="s">
        <v>233</v>
      </c>
      <c r="B410" s="35">
        <v>2.0</v>
      </c>
      <c r="C410" s="35">
        <v>2.0</v>
      </c>
      <c r="D410" s="1"/>
      <c r="E410" s="1"/>
      <c r="F410" s="1"/>
      <c r="G410" s="1"/>
      <c r="H410" s="1"/>
    </row>
    <row r="411">
      <c r="A411" s="25" t="s">
        <v>257</v>
      </c>
      <c r="B411" s="25">
        <v>1.0</v>
      </c>
      <c r="C411" s="35">
        <v>2.0</v>
      </c>
      <c r="D411" s="1"/>
      <c r="E411" s="1"/>
      <c r="F411" s="1"/>
      <c r="G411" s="1"/>
      <c r="H411" s="1"/>
    </row>
    <row r="412">
      <c r="A412" s="33" t="s">
        <v>524</v>
      </c>
      <c r="B412" s="25">
        <v>1.0</v>
      </c>
      <c r="C412" s="35">
        <v>1.0</v>
      </c>
      <c r="D412" s="7"/>
      <c r="E412" s="1"/>
      <c r="F412" s="1"/>
      <c r="G412" s="1"/>
      <c r="H412" s="1"/>
    </row>
    <row r="413">
      <c r="A413" s="33" t="s">
        <v>528</v>
      </c>
      <c r="B413" s="25">
        <v>1.0</v>
      </c>
      <c r="C413" s="35">
        <v>1.0</v>
      </c>
      <c r="D413" s="7"/>
      <c r="E413" s="1"/>
      <c r="F413" s="1"/>
      <c r="G413" s="1"/>
      <c r="H413" s="1"/>
    </row>
    <row r="414">
      <c r="A414" s="33" t="s">
        <v>251</v>
      </c>
      <c r="B414" s="25">
        <v>1.0</v>
      </c>
      <c r="C414" s="35">
        <v>1.0</v>
      </c>
      <c r="D414" s="7"/>
      <c r="E414" s="1"/>
      <c r="F414" s="1"/>
      <c r="G414" s="1"/>
      <c r="H414" s="1"/>
    </row>
    <row r="415">
      <c r="A415" s="33" t="s">
        <v>399</v>
      </c>
      <c r="B415" s="25">
        <v>1.0</v>
      </c>
      <c r="C415" s="35">
        <v>1.0</v>
      </c>
      <c r="D415" s="7"/>
      <c r="E415" s="1"/>
      <c r="F415" s="1"/>
      <c r="G415" s="1"/>
      <c r="H415" s="1"/>
    </row>
    <row r="416">
      <c r="A416" s="33" t="s">
        <v>434</v>
      </c>
      <c r="B416" s="25">
        <v>1.0</v>
      </c>
      <c r="C416" s="35">
        <v>1.0</v>
      </c>
      <c r="D416" s="7"/>
      <c r="E416" s="1"/>
      <c r="F416" s="1"/>
      <c r="G416" s="1"/>
      <c r="H416" s="1"/>
    </row>
    <row r="417">
      <c r="A417" s="33" t="s">
        <v>142</v>
      </c>
      <c r="B417" s="25">
        <v>1.0</v>
      </c>
      <c r="C417" s="35">
        <v>1.0</v>
      </c>
      <c r="D417" s="7"/>
      <c r="E417" s="1"/>
      <c r="F417" s="1"/>
      <c r="G417" s="1"/>
      <c r="H417" s="1"/>
    </row>
    <row r="418">
      <c r="A418" s="33" t="s">
        <v>604</v>
      </c>
      <c r="B418" s="25">
        <v>1.0</v>
      </c>
      <c r="C418" s="35">
        <v>1.0</v>
      </c>
      <c r="D418" s="7"/>
      <c r="E418" s="1"/>
      <c r="F418" s="1"/>
      <c r="G418" s="1"/>
      <c r="H418" s="1"/>
    </row>
    <row r="419">
      <c r="A419" s="33" t="s">
        <v>354</v>
      </c>
      <c r="B419" s="25">
        <v>1.0</v>
      </c>
      <c r="C419" s="35">
        <v>1.0</v>
      </c>
      <c r="D419" s="7"/>
      <c r="E419" s="1"/>
      <c r="F419" s="1"/>
      <c r="G419" s="1"/>
      <c r="H419" s="1"/>
    </row>
    <row r="420">
      <c r="A420" s="33" t="s">
        <v>114</v>
      </c>
      <c r="B420" s="25">
        <v>1.0</v>
      </c>
      <c r="C420" s="35">
        <v>1.0</v>
      </c>
      <c r="D420" s="7"/>
      <c r="E420" s="1"/>
      <c r="F420" s="1"/>
      <c r="G420" s="1"/>
      <c r="H420" s="1"/>
    </row>
    <row r="421">
      <c r="A421" s="33" t="s">
        <v>286</v>
      </c>
      <c r="B421" s="25">
        <v>1.0</v>
      </c>
      <c r="C421" s="35">
        <v>1.0</v>
      </c>
      <c r="D421" s="7"/>
      <c r="E421" s="1"/>
      <c r="F421" s="1"/>
      <c r="G421" s="1"/>
      <c r="H421" s="1"/>
    </row>
    <row r="422">
      <c r="A422" s="33" t="s">
        <v>501</v>
      </c>
      <c r="B422" s="25">
        <v>1.0</v>
      </c>
      <c r="C422" s="35">
        <v>1.0</v>
      </c>
      <c r="D422" s="7"/>
      <c r="E422" s="1"/>
      <c r="F422" s="1"/>
      <c r="G422" s="1"/>
      <c r="H422" s="1"/>
    </row>
    <row r="423">
      <c r="A423" s="33" t="s">
        <v>60</v>
      </c>
      <c r="B423" s="25">
        <v>1.0</v>
      </c>
      <c r="C423" s="35">
        <v>1.0</v>
      </c>
      <c r="D423" s="7"/>
      <c r="E423" s="1"/>
      <c r="F423" s="1"/>
      <c r="G423" s="1"/>
      <c r="H423" s="1"/>
    </row>
    <row r="424">
      <c r="A424" s="33" t="s">
        <v>499</v>
      </c>
      <c r="B424" s="25">
        <v>1.0</v>
      </c>
      <c r="C424" s="35">
        <v>1.0</v>
      </c>
      <c r="D424" s="7"/>
      <c r="E424" s="1"/>
      <c r="F424" s="1"/>
      <c r="G424" s="1"/>
      <c r="H424" s="1"/>
    </row>
    <row r="425">
      <c r="A425" s="33" t="s">
        <v>599</v>
      </c>
      <c r="B425" s="25">
        <v>1.0</v>
      </c>
      <c r="C425" s="35">
        <v>1.0</v>
      </c>
      <c r="D425" s="7"/>
      <c r="E425" s="1"/>
      <c r="F425" s="1"/>
      <c r="G425" s="1"/>
      <c r="H425" s="1"/>
    </row>
    <row r="426">
      <c r="A426" s="33" t="s">
        <v>285</v>
      </c>
      <c r="B426" s="25">
        <v>1.0</v>
      </c>
      <c r="C426" s="35">
        <v>1.0</v>
      </c>
      <c r="D426" s="7"/>
      <c r="E426" s="1"/>
      <c r="F426" s="1"/>
      <c r="G426" s="1"/>
      <c r="H426" s="1"/>
    </row>
    <row r="427">
      <c r="A427" s="33" t="s">
        <v>289</v>
      </c>
      <c r="B427" s="25">
        <v>1.0</v>
      </c>
      <c r="C427" s="35">
        <v>1.0</v>
      </c>
      <c r="D427" s="7"/>
      <c r="E427" s="1"/>
      <c r="F427" s="1"/>
      <c r="G427" s="1"/>
      <c r="H427" s="1"/>
    </row>
    <row r="428">
      <c r="A428" s="33" t="s">
        <v>61</v>
      </c>
      <c r="B428" s="25">
        <v>1.0</v>
      </c>
      <c r="C428" s="35">
        <v>1.0</v>
      </c>
      <c r="D428" s="7"/>
      <c r="E428" s="1"/>
      <c r="F428" s="1"/>
      <c r="G428" s="1"/>
      <c r="H428" s="1"/>
    </row>
    <row r="429">
      <c r="A429" s="33" t="s">
        <v>353</v>
      </c>
      <c r="B429" s="35">
        <v>1.0</v>
      </c>
      <c r="C429" s="35">
        <v>1.0</v>
      </c>
      <c r="D429" s="7"/>
      <c r="E429" s="1"/>
      <c r="F429" s="1"/>
      <c r="G429" s="1"/>
      <c r="H429" s="1"/>
    </row>
    <row r="430">
      <c r="A430" s="33" t="s">
        <v>480</v>
      </c>
      <c r="B430" s="25">
        <v>1.0</v>
      </c>
      <c r="C430" s="35">
        <v>1.0</v>
      </c>
      <c r="D430" s="7"/>
      <c r="E430" s="1"/>
      <c r="F430" s="1"/>
      <c r="G430" s="1"/>
      <c r="H430" s="1"/>
    </row>
    <row r="431">
      <c r="A431" s="33" t="s">
        <v>26</v>
      </c>
      <c r="B431" s="25">
        <v>1.0</v>
      </c>
      <c r="C431" s="35">
        <v>1.0</v>
      </c>
      <c r="D431" s="7"/>
      <c r="E431" s="1"/>
      <c r="F431" s="1"/>
      <c r="G431" s="1"/>
      <c r="H431" s="1"/>
    </row>
    <row r="432">
      <c r="A432" s="33" t="s">
        <v>504</v>
      </c>
      <c r="B432" s="25">
        <v>1.0</v>
      </c>
      <c r="C432" s="35">
        <v>1.0</v>
      </c>
      <c r="D432" s="7"/>
      <c r="E432" s="1"/>
      <c r="F432" s="1"/>
      <c r="G432" s="1"/>
      <c r="H432" s="1"/>
    </row>
    <row r="433">
      <c r="A433" s="33" t="s">
        <v>505</v>
      </c>
      <c r="B433" s="25">
        <v>1.0</v>
      </c>
      <c r="C433" s="35">
        <v>1.0</v>
      </c>
      <c r="D433" s="7"/>
      <c r="E433" s="1"/>
      <c r="F433" s="1"/>
      <c r="G433" s="1"/>
      <c r="H433" s="1"/>
    </row>
    <row r="434">
      <c r="A434" s="33" t="s">
        <v>605</v>
      </c>
      <c r="B434" s="25">
        <v>1.0</v>
      </c>
      <c r="C434" s="35">
        <v>1.0</v>
      </c>
      <c r="D434" s="7"/>
      <c r="E434" s="1"/>
      <c r="F434" s="1"/>
      <c r="G434" s="1"/>
      <c r="H434" s="1"/>
    </row>
    <row r="435">
      <c r="A435" s="33" t="s">
        <v>326</v>
      </c>
      <c r="B435" s="25">
        <v>1.0</v>
      </c>
      <c r="C435" s="35">
        <v>1.0</v>
      </c>
      <c r="D435" s="7"/>
      <c r="E435" s="1"/>
      <c r="F435" s="1"/>
      <c r="G435" s="1"/>
      <c r="H435" s="1"/>
    </row>
    <row r="436">
      <c r="A436" s="33" t="s">
        <v>189</v>
      </c>
      <c r="B436" s="25">
        <v>1.0</v>
      </c>
      <c r="C436" s="35">
        <v>1.0</v>
      </c>
      <c r="D436" s="7"/>
      <c r="E436" s="1"/>
      <c r="F436" s="1"/>
      <c r="G436" s="1"/>
      <c r="H436" s="1"/>
    </row>
    <row r="437">
      <c r="A437" s="33" t="s">
        <v>477</v>
      </c>
      <c r="B437" s="25">
        <v>1.0</v>
      </c>
      <c r="C437" s="35">
        <v>1.0</v>
      </c>
      <c r="D437" s="7"/>
      <c r="E437" s="1"/>
      <c r="F437" s="1"/>
      <c r="G437" s="1"/>
      <c r="H437" s="1"/>
    </row>
    <row r="438">
      <c r="A438" s="33" t="s">
        <v>445</v>
      </c>
      <c r="B438" s="25">
        <v>1.0</v>
      </c>
      <c r="C438" s="35">
        <v>1.0</v>
      </c>
      <c r="D438" s="7"/>
      <c r="E438" s="1"/>
      <c r="F438" s="1"/>
      <c r="G438" s="1"/>
      <c r="H438" s="1"/>
    </row>
    <row r="439">
      <c r="A439" s="33" t="s">
        <v>162</v>
      </c>
      <c r="B439" s="25">
        <v>1.0</v>
      </c>
      <c r="C439" s="35">
        <v>1.0</v>
      </c>
      <c r="D439" s="7"/>
      <c r="E439" s="1"/>
      <c r="F439" s="1"/>
      <c r="G439" s="1"/>
      <c r="H439" s="1"/>
    </row>
    <row r="440">
      <c r="A440" s="33" t="s">
        <v>28</v>
      </c>
      <c r="B440" s="25">
        <v>1.0</v>
      </c>
      <c r="C440" s="35">
        <v>1.0</v>
      </c>
      <c r="D440" s="7"/>
      <c r="E440" s="1"/>
      <c r="F440" s="1"/>
      <c r="G440" s="1"/>
      <c r="H440" s="1"/>
    </row>
    <row r="441">
      <c r="A441" s="33" t="s">
        <v>596</v>
      </c>
      <c r="B441" s="25">
        <v>1.0</v>
      </c>
      <c r="C441" s="35">
        <v>1.0</v>
      </c>
      <c r="D441" s="7"/>
      <c r="E441" s="1"/>
      <c r="F441" s="1"/>
      <c r="G441" s="1"/>
      <c r="H441" s="1"/>
    </row>
    <row r="442">
      <c r="A442" s="33" t="s">
        <v>636</v>
      </c>
      <c r="B442" s="25">
        <v>1.0</v>
      </c>
      <c r="C442" s="35">
        <v>1.0</v>
      </c>
      <c r="D442" s="7"/>
      <c r="E442" s="1"/>
      <c r="F442" s="1"/>
      <c r="G442" s="1"/>
      <c r="H442" s="1"/>
    </row>
    <row r="443">
      <c r="A443" s="33" t="s">
        <v>229</v>
      </c>
      <c r="B443" s="25">
        <v>1.0</v>
      </c>
      <c r="C443" s="35">
        <v>1.0</v>
      </c>
      <c r="D443" s="7"/>
      <c r="E443" s="1"/>
      <c r="F443" s="1"/>
      <c r="G443" s="1"/>
      <c r="H443" s="1"/>
    </row>
    <row r="444">
      <c r="A444" s="33" t="s">
        <v>472</v>
      </c>
      <c r="B444" s="25">
        <v>1.0</v>
      </c>
      <c r="C444" s="35">
        <v>1.0</v>
      </c>
      <c r="D444" s="7"/>
      <c r="E444" s="1"/>
      <c r="F444" s="1"/>
      <c r="G444" s="1"/>
      <c r="H444" s="1"/>
    </row>
    <row r="445">
      <c r="A445" s="33" t="s">
        <v>161</v>
      </c>
      <c r="B445" s="25">
        <v>1.0</v>
      </c>
      <c r="C445" s="35">
        <v>1.0</v>
      </c>
      <c r="D445" s="7"/>
      <c r="E445" s="1"/>
      <c r="F445" s="1"/>
      <c r="G445" s="1"/>
      <c r="H445" s="1"/>
    </row>
    <row r="446">
      <c r="A446" s="33" t="s">
        <v>58</v>
      </c>
      <c r="B446" s="25">
        <v>1.0</v>
      </c>
      <c r="C446" s="35">
        <v>1.0</v>
      </c>
      <c r="D446" s="7"/>
      <c r="E446" s="1"/>
      <c r="F446" s="1"/>
      <c r="G446" s="1"/>
      <c r="H446" s="1"/>
    </row>
    <row r="447">
      <c r="A447" s="33" t="s">
        <v>631</v>
      </c>
      <c r="B447" s="25">
        <v>1.0</v>
      </c>
      <c r="C447" s="35">
        <v>1.0</v>
      </c>
      <c r="D447" s="7"/>
      <c r="E447" s="1"/>
      <c r="F447" s="1"/>
      <c r="G447" s="1"/>
      <c r="H447" s="1"/>
    </row>
    <row r="448">
      <c r="A448" s="33" t="s">
        <v>329</v>
      </c>
      <c r="B448" s="25">
        <v>1.0</v>
      </c>
      <c r="C448" s="35">
        <v>1.0</v>
      </c>
      <c r="D448" s="7"/>
      <c r="E448" s="1"/>
      <c r="F448" s="1"/>
      <c r="G448" s="1"/>
      <c r="H448" s="1"/>
    </row>
    <row r="449">
      <c r="A449" s="33" t="s">
        <v>121</v>
      </c>
      <c r="B449" s="25">
        <v>1.0</v>
      </c>
      <c r="C449" s="35">
        <v>1.0</v>
      </c>
      <c r="D449" s="7"/>
      <c r="E449" s="1"/>
      <c r="F449" s="1"/>
      <c r="G449" s="1"/>
      <c r="H449" s="1"/>
    </row>
    <row r="450">
      <c r="A450" s="33" t="s">
        <v>278</v>
      </c>
      <c r="B450" s="25">
        <v>1.0</v>
      </c>
      <c r="C450" s="35">
        <v>1.0</v>
      </c>
      <c r="D450" s="7"/>
      <c r="E450" s="1"/>
      <c r="F450" s="1"/>
      <c r="G450" s="1"/>
      <c r="H450" s="1"/>
    </row>
    <row r="451">
      <c r="A451" s="33" t="s">
        <v>402</v>
      </c>
      <c r="B451" s="25">
        <v>1.0</v>
      </c>
      <c r="C451" s="35">
        <v>1.0</v>
      </c>
      <c r="D451" s="7"/>
      <c r="E451" s="1"/>
      <c r="F451" s="1"/>
      <c r="G451" s="1"/>
      <c r="H451" s="1"/>
    </row>
    <row r="452">
      <c r="A452" s="33" t="s">
        <v>403</v>
      </c>
      <c r="B452" s="25">
        <v>1.0</v>
      </c>
      <c r="C452" s="35">
        <v>1.0</v>
      </c>
      <c r="D452" s="7"/>
      <c r="E452" s="1"/>
      <c r="F452" s="1"/>
      <c r="G452" s="1"/>
      <c r="H452" s="1"/>
    </row>
    <row r="453">
      <c r="A453" s="33" t="s">
        <v>163</v>
      </c>
      <c r="B453" s="25">
        <v>1.0</v>
      </c>
      <c r="C453" s="35">
        <v>1.0</v>
      </c>
      <c r="D453" s="7"/>
      <c r="E453" s="1"/>
      <c r="F453" s="1"/>
      <c r="G453" s="1"/>
      <c r="H453" s="1"/>
    </row>
    <row r="454">
      <c r="A454" s="33" t="s">
        <v>619</v>
      </c>
      <c r="B454" s="25">
        <v>1.0</v>
      </c>
      <c r="C454" s="35">
        <v>1.0</v>
      </c>
      <c r="D454" s="7"/>
      <c r="E454" s="1"/>
      <c r="F454" s="1"/>
      <c r="G454" s="1"/>
      <c r="H454" s="1"/>
    </row>
    <row r="455">
      <c r="A455" s="33" t="s">
        <v>24</v>
      </c>
      <c r="B455" s="25">
        <v>1.0</v>
      </c>
      <c r="C455" s="35">
        <v>1.0</v>
      </c>
      <c r="D455" s="7"/>
      <c r="E455" s="1"/>
      <c r="F455" s="1"/>
      <c r="G455" s="1"/>
      <c r="H455" s="1"/>
    </row>
    <row r="456">
      <c r="A456" s="33" t="s">
        <v>376</v>
      </c>
      <c r="B456" s="25">
        <v>1.0</v>
      </c>
      <c r="C456" s="35">
        <v>1.0</v>
      </c>
      <c r="D456" s="7"/>
      <c r="E456" s="1"/>
      <c r="F456" s="1"/>
      <c r="G456" s="1"/>
      <c r="H456" s="1"/>
    </row>
    <row r="457">
      <c r="A457" s="33" t="s">
        <v>507</v>
      </c>
      <c r="B457" s="25">
        <v>1.0</v>
      </c>
      <c r="C457" s="35">
        <v>1.0</v>
      </c>
      <c r="D457" s="7"/>
      <c r="E457" s="1"/>
      <c r="F457" s="1"/>
      <c r="G457" s="1"/>
      <c r="H457" s="1"/>
    </row>
    <row r="458">
      <c r="A458" s="33" t="s">
        <v>279</v>
      </c>
      <c r="B458" s="25">
        <v>1.0</v>
      </c>
      <c r="C458" s="35">
        <v>1.0</v>
      </c>
      <c r="D458" s="7"/>
      <c r="E458" s="1"/>
      <c r="F458" s="1"/>
      <c r="G458" s="1"/>
      <c r="H458" s="1"/>
    </row>
    <row r="459">
      <c r="A459" s="33" t="s">
        <v>428</v>
      </c>
      <c r="B459" s="25">
        <v>1.0</v>
      </c>
      <c r="C459" s="35">
        <v>1.0</v>
      </c>
      <c r="D459" s="7"/>
      <c r="E459" s="1"/>
      <c r="F459" s="1"/>
      <c r="G459" s="1"/>
      <c r="H459" s="1"/>
    </row>
    <row r="460">
      <c r="A460" s="33" t="s">
        <v>625</v>
      </c>
      <c r="B460" s="25">
        <v>1.0</v>
      </c>
      <c r="C460" s="35">
        <v>1.0</v>
      </c>
      <c r="D460" s="7"/>
      <c r="E460" s="1"/>
      <c r="F460" s="1"/>
      <c r="G460" s="1"/>
      <c r="H460" s="1"/>
    </row>
    <row r="461">
      <c r="A461" s="33" t="s">
        <v>170</v>
      </c>
      <c r="B461" s="25">
        <v>1.0</v>
      </c>
      <c r="C461" s="35">
        <v>1.0</v>
      </c>
      <c r="D461" s="7"/>
      <c r="E461" s="1"/>
      <c r="F461" s="1"/>
      <c r="G461" s="1"/>
      <c r="H461" s="1"/>
    </row>
    <row r="462">
      <c r="A462" s="33" t="s">
        <v>97</v>
      </c>
      <c r="B462" s="25">
        <v>1.0</v>
      </c>
      <c r="C462" s="35">
        <v>1.0</v>
      </c>
      <c r="D462" s="7"/>
      <c r="E462" s="1"/>
      <c r="F462" s="1"/>
      <c r="G462" s="1"/>
      <c r="H462" s="1"/>
    </row>
    <row r="463">
      <c r="A463" s="33" t="s">
        <v>241</v>
      </c>
      <c r="B463" s="25">
        <v>1.0</v>
      </c>
      <c r="C463" s="35">
        <v>1.0</v>
      </c>
      <c r="D463" s="7"/>
      <c r="E463" s="1"/>
      <c r="F463" s="1"/>
      <c r="G463" s="1"/>
      <c r="H463" s="1"/>
    </row>
    <row r="464">
      <c r="A464" s="33" t="s">
        <v>464</v>
      </c>
      <c r="B464" s="25">
        <v>1.0</v>
      </c>
      <c r="C464" s="35">
        <v>1.0</v>
      </c>
      <c r="D464" s="7"/>
      <c r="E464" s="1"/>
      <c r="F464" s="1"/>
      <c r="G464" s="1"/>
      <c r="H464" s="1"/>
    </row>
    <row r="465">
      <c r="A465" s="33" t="s">
        <v>205</v>
      </c>
      <c r="B465" s="25">
        <v>1.0</v>
      </c>
      <c r="C465" s="35">
        <v>1.0</v>
      </c>
      <c r="D465" s="7"/>
      <c r="E465" s="1"/>
      <c r="F465" s="1"/>
      <c r="G465" s="1"/>
      <c r="H465" s="1"/>
    </row>
    <row r="466">
      <c r="A466" s="33" t="s">
        <v>133</v>
      </c>
      <c r="B466" s="25">
        <v>1.0</v>
      </c>
      <c r="C466" s="35">
        <v>1.0</v>
      </c>
      <c r="D466" s="7"/>
      <c r="E466" s="1"/>
      <c r="F466" s="1"/>
      <c r="G466" s="1"/>
      <c r="H466" s="1"/>
    </row>
    <row r="467">
      <c r="A467" s="33" t="s">
        <v>597</v>
      </c>
      <c r="B467" s="25">
        <v>1.0</v>
      </c>
      <c r="C467" s="35">
        <v>1.0</v>
      </c>
      <c r="D467" s="7"/>
      <c r="E467" s="1"/>
      <c r="F467" s="1"/>
      <c r="G467" s="1"/>
      <c r="H467" s="1"/>
    </row>
    <row r="468">
      <c r="A468" s="33" t="s">
        <v>602</v>
      </c>
      <c r="B468" s="25">
        <v>1.0</v>
      </c>
      <c r="C468" s="35">
        <v>1.0</v>
      </c>
      <c r="D468" s="7"/>
      <c r="E468" s="1"/>
      <c r="F468" s="1"/>
      <c r="G468" s="1"/>
      <c r="H468" s="1"/>
    </row>
    <row r="469">
      <c r="A469" s="33" t="s">
        <v>95</v>
      </c>
      <c r="B469" s="25">
        <v>1.0</v>
      </c>
      <c r="C469" s="35">
        <v>1.0</v>
      </c>
      <c r="D469" s="7"/>
      <c r="E469" s="1"/>
      <c r="F469" s="1"/>
      <c r="G469" s="1"/>
      <c r="H469" s="1"/>
    </row>
    <row r="470">
      <c r="A470" s="33" t="s">
        <v>269</v>
      </c>
      <c r="B470" s="25">
        <v>1.0</v>
      </c>
      <c r="C470" s="35">
        <v>1.0</v>
      </c>
      <c r="D470" s="7"/>
      <c r="E470" s="1"/>
      <c r="F470" s="1"/>
      <c r="G470" s="1"/>
      <c r="H470" s="1"/>
    </row>
    <row r="471">
      <c r="A471" s="33" t="s">
        <v>84</v>
      </c>
      <c r="B471" s="25">
        <v>1.0</v>
      </c>
      <c r="C471" s="35">
        <v>1.0</v>
      </c>
      <c r="D471" s="7"/>
      <c r="E471" s="1"/>
      <c r="F471" s="1"/>
      <c r="G471" s="1"/>
      <c r="H471" s="1"/>
    </row>
    <row r="472">
      <c r="A472" s="33" t="s">
        <v>321</v>
      </c>
      <c r="B472" s="25">
        <v>1.0</v>
      </c>
      <c r="C472" s="35">
        <v>1.0</v>
      </c>
      <c r="D472" s="7"/>
      <c r="E472" s="1"/>
      <c r="F472" s="1"/>
      <c r="G472" s="1"/>
      <c r="H472" s="1"/>
    </row>
    <row r="473">
      <c r="A473" s="33" t="s">
        <v>359</v>
      </c>
      <c r="B473" s="25">
        <v>1.0</v>
      </c>
      <c r="C473" s="35">
        <v>1.0</v>
      </c>
      <c r="D473" s="7"/>
      <c r="E473" s="1"/>
      <c r="F473" s="1"/>
      <c r="G473" s="1"/>
      <c r="H473" s="1"/>
    </row>
    <row r="474">
      <c r="A474" s="33" t="s">
        <v>245</v>
      </c>
      <c r="B474" s="25">
        <v>1.0</v>
      </c>
      <c r="C474" s="35">
        <v>1.0</v>
      </c>
      <c r="D474" s="7"/>
      <c r="E474" s="1"/>
      <c r="F474" s="1"/>
      <c r="G474" s="1"/>
      <c r="H474" s="1"/>
    </row>
    <row r="475">
      <c r="A475" s="33" t="s">
        <v>253</v>
      </c>
      <c r="B475" s="25">
        <v>1.0</v>
      </c>
      <c r="C475" s="35">
        <v>1.0</v>
      </c>
      <c r="D475" s="7"/>
      <c r="E475" s="1"/>
      <c r="F475" s="1"/>
      <c r="G475" s="1"/>
      <c r="H475" s="1"/>
    </row>
    <row r="476">
      <c r="A476" s="33" t="s">
        <v>522</v>
      </c>
      <c r="B476" s="25">
        <v>1.0</v>
      </c>
      <c r="C476" s="35">
        <v>1.0</v>
      </c>
      <c r="D476" s="7"/>
      <c r="E476" s="1"/>
      <c r="F476" s="1"/>
      <c r="G476" s="1"/>
      <c r="H476" s="1"/>
    </row>
    <row r="477">
      <c r="A477" s="33" t="s">
        <v>117</v>
      </c>
      <c r="B477" s="25">
        <v>1.0</v>
      </c>
      <c r="C477" s="35">
        <v>1.0</v>
      </c>
      <c r="D477" s="7"/>
      <c r="E477" s="1"/>
      <c r="F477" s="1"/>
      <c r="G477" s="1"/>
      <c r="H477" s="1"/>
    </row>
    <row r="478">
      <c r="A478" s="33" t="s">
        <v>128</v>
      </c>
      <c r="B478" s="25">
        <v>1.0</v>
      </c>
      <c r="C478" s="35">
        <v>1.0</v>
      </c>
      <c r="D478" s="7"/>
      <c r="E478" s="1"/>
      <c r="F478" s="1"/>
      <c r="G478" s="1"/>
      <c r="H478" s="1"/>
    </row>
    <row r="479">
      <c r="A479" s="33" t="s">
        <v>123</v>
      </c>
      <c r="B479" s="25">
        <v>1.0</v>
      </c>
      <c r="C479" s="35">
        <v>1.0</v>
      </c>
      <c r="D479" s="7"/>
      <c r="E479" s="1"/>
      <c r="F479" s="1"/>
      <c r="G479" s="1"/>
      <c r="H479" s="1"/>
    </row>
    <row r="480">
      <c r="A480" s="33" t="s">
        <v>62</v>
      </c>
      <c r="B480" s="25">
        <v>1.0</v>
      </c>
      <c r="C480" s="35">
        <v>1.0</v>
      </c>
      <c r="D480" s="7"/>
      <c r="E480" s="1"/>
      <c r="F480" s="1"/>
      <c r="G480" s="1"/>
      <c r="H480" s="1"/>
    </row>
    <row r="481">
      <c r="A481" s="33" t="s">
        <v>199</v>
      </c>
      <c r="B481" s="25">
        <v>1.0</v>
      </c>
      <c r="C481" s="35">
        <v>1.0</v>
      </c>
      <c r="D481" s="7"/>
      <c r="E481" s="1"/>
      <c r="F481" s="1"/>
      <c r="G481" s="1"/>
      <c r="H481" s="1"/>
    </row>
    <row r="482">
      <c r="A482" s="33" t="s">
        <v>388</v>
      </c>
      <c r="B482" s="25">
        <v>1.0</v>
      </c>
      <c r="C482" s="35">
        <v>1.0</v>
      </c>
      <c r="D482" s="7"/>
      <c r="E482" s="1"/>
      <c r="F482" s="1"/>
      <c r="G482" s="1"/>
      <c r="H482" s="1"/>
    </row>
    <row r="483">
      <c r="A483" s="33" t="s">
        <v>172</v>
      </c>
      <c r="B483" s="25">
        <v>1.0</v>
      </c>
      <c r="C483" s="35">
        <v>1.0</v>
      </c>
      <c r="D483" s="7"/>
      <c r="E483" s="1"/>
      <c r="F483" s="1"/>
      <c r="G483" s="1"/>
      <c r="H483" s="1"/>
    </row>
    <row r="484">
      <c r="A484" s="33" t="s">
        <v>426</v>
      </c>
      <c r="B484" s="35">
        <v>1.0</v>
      </c>
      <c r="C484" s="35">
        <v>1.0</v>
      </c>
      <c r="D484" s="7"/>
      <c r="E484" s="1"/>
      <c r="F484" s="1"/>
      <c r="G484" s="1"/>
      <c r="H484" s="1"/>
    </row>
    <row r="485">
      <c r="A485" s="33" t="s">
        <v>543</v>
      </c>
      <c r="B485" s="25">
        <v>1.0</v>
      </c>
      <c r="C485" s="35">
        <v>1.0</v>
      </c>
      <c r="D485" s="7"/>
      <c r="E485" s="1"/>
      <c r="F485" s="1"/>
      <c r="G485" s="1"/>
      <c r="H485" s="1"/>
    </row>
    <row r="486">
      <c r="A486" s="33" t="s">
        <v>333</v>
      </c>
      <c r="B486" s="25">
        <v>1.0</v>
      </c>
      <c r="C486" s="35">
        <v>1.0</v>
      </c>
      <c r="D486" s="7"/>
      <c r="E486" s="1"/>
      <c r="F486" s="1"/>
      <c r="G486" s="1"/>
      <c r="H486" s="1"/>
    </row>
    <row r="487">
      <c r="A487" s="33" t="s">
        <v>503</v>
      </c>
      <c r="B487" s="25">
        <v>1.0</v>
      </c>
      <c r="C487" s="35">
        <v>1.0</v>
      </c>
      <c r="D487" s="7"/>
      <c r="E487" s="1"/>
      <c r="F487" s="1"/>
      <c r="G487" s="1"/>
      <c r="H487" s="1"/>
    </row>
    <row r="488">
      <c r="A488" s="33" t="s">
        <v>157</v>
      </c>
      <c r="B488" s="25">
        <v>1.0</v>
      </c>
      <c r="C488" s="35">
        <v>1.0</v>
      </c>
      <c r="D488" s="7"/>
      <c r="E488" s="1"/>
      <c r="F488" s="1"/>
      <c r="G488" s="1"/>
      <c r="H488" s="1"/>
    </row>
    <row r="489">
      <c r="A489" s="33" t="s">
        <v>537</v>
      </c>
      <c r="B489" s="25">
        <v>1.0</v>
      </c>
      <c r="C489" s="35">
        <v>1.0</v>
      </c>
      <c r="D489" s="7"/>
      <c r="E489" s="1"/>
      <c r="F489" s="1"/>
      <c r="G489" s="1"/>
      <c r="H489" s="1"/>
    </row>
    <row r="490">
      <c r="A490" s="33" t="s">
        <v>139</v>
      </c>
      <c r="B490" s="25">
        <v>1.0</v>
      </c>
      <c r="C490" s="35">
        <v>1.0</v>
      </c>
      <c r="D490" s="7"/>
      <c r="E490" s="1"/>
      <c r="F490" s="1"/>
      <c r="G490" s="1"/>
      <c r="H490" s="1"/>
    </row>
    <row r="491">
      <c r="A491" s="33" t="s">
        <v>546</v>
      </c>
      <c r="B491" s="25">
        <v>1.0</v>
      </c>
      <c r="C491" s="35">
        <v>1.0</v>
      </c>
      <c r="D491" s="7"/>
      <c r="E491" s="1"/>
      <c r="F491" s="1"/>
      <c r="G491" s="1"/>
      <c r="H491" s="1"/>
    </row>
    <row r="492">
      <c r="A492" s="33" t="s">
        <v>190</v>
      </c>
      <c r="B492" s="25">
        <v>1.0</v>
      </c>
      <c r="C492" s="35">
        <v>1.0</v>
      </c>
      <c r="D492" s="7"/>
      <c r="E492" s="1"/>
      <c r="F492" s="1"/>
      <c r="G492" s="1"/>
      <c r="H492" s="1"/>
    </row>
    <row r="493">
      <c r="A493" s="33" t="s">
        <v>423</v>
      </c>
      <c r="B493" s="25">
        <v>1.0</v>
      </c>
      <c r="C493" s="35">
        <v>1.0</v>
      </c>
      <c r="D493" s="7"/>
      <c r="E493" s="1"/>
      <c r="F493" s="1"/>
      <c r="G493" s="1"/>
      <c r="H493" s="1"/>
    </row>
    <row r="494">
      <c r="A494" s="33" t="s">
        <v>438</v>
      </c>
      <c r="B494" s="25">
        <v>1.0</v>
      </c>
      <c r="C494" s="35">
        <v>1.0</v>
      </c>
      <c r="D494" s="7"/>
      <c r="E494" s="1"/>
      <c r="F494" s="1"/>
      <c r="G494" s="1"/>
      <c r="H494" s="1"/>
    </row>
    <row r="495">
      <c r="A495" s="33" t="s">
        <v>348</v>
      </c>
      <c r="B495" s="25">
        <v>1.0</v>
      </c>
      <c r="C495" s="35">
        <v>1.0</v>
      </c>
      <c r="D495" s="7"/>
      <c r="E495" s="1"/>
      <c r="F495" s="1"/>
      <c r="G495" s="1"/>
      <c r="H495" s="1"/>
    </row>
    <row r="496">
      <c r="A496" s="33" t="s">
        <v>204</v>
      </c>
      <c r="B496" s="25">
        <v>1.0</v>
      </c>
      <c r="C496" s="35">
        <v>1.0</v>
      </c>
      <c r="D496" s="7"/>
      <c r="E496" s="1"/>
      <c r="F496" s="1"/>
      <c r="G496" s="1"/>
      <c r="H496" s="1"/>
    </row>
    <row r="497">
      <c r="A497" s="33" t="s">
        <v>520</v>
      </c>
      <c r="B497" s="25">
        <v>1.0</v>
      </c>
      <c r="C497" s="35">
        <v>1.0</v>
      </c>
      <c r="D497" s="7"/>
      <c r="E497" s="1"/>
      <c r="F497" s="1"/>
      <c r="G497" s="1"/>
      <c r="H497" s="1"/>
    </row>
    <row r="498">
      <c r="A498" s="33" t="s">
        <v>601</v>
      </c>
      <c r="B498" s="25">
        <v>1.0</v>
      </c>
      <c r="C498" s="35">
        <v>1.0</v>
      </c>
      <c r="D498" s="7"/>
      <c r="E498" s="1"/>
      <c r="F498" s="1"/>
      <c r="G498" s="1"/>
      <c r="H498" s="1"/>
    </row>
    <row r="499">
      <c r="A499" s="33" t="s">
        <v>453</v>
      </c>
      <c r="B499" s="25">
        <v>1.0</v>
      </c>
      <c r="C499" s="35">
        <v>1.0</v>
      </c>
      <c r="D499" s="7"/>
      <c r="E499" s="1"/>
      <c r="F499" s="1"/>
      <c r="G499" s="1"/>
      <c r="H499" s="1"/>
    </row>
    <row r="500">
      <c r="A500" s="33" t="s">
        <v>131</v>
      </c>
      <c r="B500" s="25">
        <v>1.0</v>
      </c>
      <c r="C500" s="35">
        <v>1.0</v>
      </c>
      <c r="D500" s="7"/>
      <c r="E500" s="1"/>
      <c r="F500" s="1"/>
      <c r="G500" s="1"/>
      <c r="H500" s="1"/>
    </row>
    <row r="501">
      <c r="A501" s="33" t="s">
        <v>479</v>
      </c>
      <c r="B501" s="25">
        <v>1.0</v>
      </c>
      <c r="C501" s="35">
        <v>1.0</v>
      </c>
      <c r="D501" s="7"/>
      <c r="E501" s="1"/>
      <c r="F501" s="1"/>
      <c r="G501" s="1"/>
      <c r="H501" s="1"/>
    </row>
    <row r="502">
      <c r="A502" s="33" t="s">
        <v>452</v>
      </c>
      <c r="B502" s="25">
        <v>1.0</v>
      </c>
      <c r="C502" s="35">
        <v>1.0</v>
      </c>
      <c r="D502" s="7"/>
      <c r="E502" s="1"/>
      <c r="F502" s="1"/>
      <c r="G502" s="1"/>
      <c r="H502" s="1"/>
    </row>
    <row r="503">
      <c r="A503" s="33" t="s">
        <v>292</v>
      </c>
      <c r="B503" s="25">
        <v>1.0</v>
      </c>
      <c r="C503" s="35">
        <v>1.0</v>
      </c>
      <c r="D503" s="7"/>
      <c r="E503" s="1"/>
      <c r="F503" s="1"/>
      <c r="G503" s="1"/>
      <c r="H503" s="1"/>
    </row>
    <row r="504">
      <c r="A504" s="33" t="s">
        <v>322</v>
      </c>
      <c r="B504" s="25">
        <v>1.0</v>
      </c>
      <c r="C504" s="35">
        <v>1.0</v>
      </c>
      <c r="D504" s="7"/>
      <c r="E504" s="1"/>
      <c r="F504" s="1"/>
      <c r="G504" s="1"/>
      <c r="H504" s="1"/>
    </row>
    <row r="505">
      <c r="A505" s="33" t="s">
        <v>132</v>
      </c>
      <c r="B505" s="25">
        <v>1.0</v>
      </c>
      <c r="C505" s="35">
        <v>1.0</v>
      </c>
      <c r="D505" s="7"/>
      <c r="E505" s="1"/>
      <c r="F505" s="1"/>
      <c r="G505" s="1"/>
      <c r="H505" s="1"/>
    </row>
    <row r="506">
      <c r="A506" s="33" t="s">
        <v>447</v>
      </c>
      <c r="B506" s="25">
        <v>1.0</v>
      </c>
      <c r="C506" s="35">
        <v>1.0</v>
      </c>
      <c r="D506" s="7"/>
      <c r="E506" s="1"/>
      <c r="F506" s="1"/>
      <c r="G506" s="1"/>
      <c r="H506" s="1"/>
    </row>
    <row r="507">
      <c r="A507" s="33" t="s">
        <v>457</v>
      </c>
      <c r="B507" s="25">
        <v>1.0</v>
      </c>
      <c r="C507" s="35">
        <v>1.0</v>
      </c>
      <c r="D507" s="7"/>
      <c r="E507" s="1"/>
      <c r="F507" s="1"/>
      <c r="G507" s="1"/>
      <c r="H507" s="1"/>
    </row>
    <row r="508">
      <c r="A508" s="33" t="s">
        <v>70</v>
      </c>
      <c r="B508" s="25">
        <v>1.0</v>
      </c>
      <c r="C508" s="35">
        <v>1.0</v>
      </c>
      <c r="D508" s="7"/>
      <c r="E508" s="1"/>
      <c r="F508" s="1"/>
      <c r="G508" s="1"/>
      <c r="H508" s="1"/>
    </row>
    <row r="509">
      <c r="A509" s="33" t="s">
        <v>144</v>
      </c>
      <c r="B509" s="25">
        <v>1.0</v>
      </c>
      <c r="C509" s="35">
        <v>1.0</v>
      </c>
      <c r="D509" s="7"/>
      <c r="E509" s="1"/>
      <c r="F509" s="1"/>
      <c r="G509" s="1"/>
      <c r="H509" s="1"/>
    </row>
    <row r="510">
      <c r="A510" s="33" t="s">
        <v>82</v>
      </c>
      <c r="B510" s="25">
        <v>1.0</v>
      </c>
      <c r="C510" s="35">
        <v>1.0</v>
      </c>
      <c r="D510" s="7"/>
      <c r="E510" s="1"/>
      <c r="F510" s="1"/>
      <c r="G510" s="1"/>
      <c r="H510" s="1"/>
    </row>
    <row r="511">
      <c r="A511" s="33" t="s">
        <v>617</v>
      </c>
      <c r="B511" s="25">
        <v>1.0</v>
      </c>
      <c r="C511" s="35">
        <v>1.0</v>
      </c>
      <c r="D511" s="7"/>
      <c r="E511" s="1"/>
      <c r="F511" s="1"/>
      <c r="G511" s="1"/>
      <c r="H511" s="1"/>
    </row>
    <row r="512">
      <c r="A512" s="33" t="s">
        <v>346</v>
      </c>
      <c r="B512" s="25">
        <v>1.0</v>
      </c>
      <c r="C512" s="35">
        <v>1.0</v>
      </c>
      <c r="D512" s="7"/>
      <c r="E512" s="1"/>
      <c r="F512" s="1"/>
      <c r="G512" s="1"/>
      <c r="H512" s="1"/>
    </row>
    <row r="513">
      <c r="A513" s="33" t="s">
        <v>327</v>
      </c>
      <c r="B513" s="25">
        <v>1.0</v>
      </c>
      <c r="C513" s="35">
        <v>1.0</v>
      </c>
      <c r="D513" s="7"/>
      <c r="E513" s="1"/>
      <c r="F513" s="1"/>
      <c r="G513" s="1"/>
      <c r="H513" s="1"/>
    </row>
    <row r="514">
      <c r="A514" s="33" t="s">
        <v>618</v>
      </c>
      <c r="B514" s="25">
        <v>1.0</v>
      </c>
      <c r="C514" s="35">
        <v>1.0</v>
      </c>
      <c r="D514" s="7"/>
      <c r="E514" s="1"/>
      <c r="F514" s="1"/>
      <c r="G514" s="1"/>
      <c r="H514" s="1"/>
    </row>
    <row r="515">
      <c r="A515" s="33" t="s">
        <v>158</v>
      </c>
      <c r="B515" s="25">
        <v>1.0</v>
      </c>
      <c r="C515" s="35">
        <v>1.0</v>
      </c>
      <c r="D515" s="7"/>
      <c r="E515" s="1"/>
      <c r="F515" s="1"/>
      <c r="G515" s="1"/>
      <c r="H515" s="1"/>
    </row>
    <row r="516">
      <c r="A516" s="33" t="s">
        <v>621</v>
      </c>
      <c r="B516" s="25">
        <v>1.0</v>
      </c>
      <c r="C516" s="35">
        <v>1.0</v>
      </c>
      <c r="D516" s="7"/>
      <c r="E516" s="1"/>
      <c r="F516" s="1"/>
      <c r="G516" s="1"/>
      <c r="H516" s="1"/>
    </row>
    <row r="517">
      <c r="A517" s="33" t="s">
        <v>446</v>
      </c>
      <c r="B517" s="25">
        <v>1.0</v>
      </c>
      <c r="C517" s="35">
        <v>1.0</v>
      </c>
      <c r="D517" s="7"/>
      <c r="E517" s="1"/>
      <c r="F517" s="1"/>
      <c r="G517" s="1"/>
      <c r="H517" s="1"/>
    </row>
    <row r="518">
      <c r="A518" s="33" t="s">
        <v>249</v>
      </c>
      <c r="B518" s="25">
        <v>1.0</v>
      </c>
      <c r="C518" s="35">
        <v>1.0</v>
      </c>
      <c r="D518" s="7"/>
      <c r="E518" s="1"/>
      <c r="F518" s="1"/>
      <c r="G518" s="1"/>
      <c r="H518" s="1"/>
    </row>
    <row r="519">
      <c r="A519" s="33" t="s">
        <v>250</v>
      </c>
      <c r="B519" s="25">
        <v>1.0</v>
      </c>
      <c r="C519" s="35">
        <v>1.0</v>
      </c>
      <c r="D519" s="7"/>
      <c r="E519" s="1"/>
      <c r="F519" s="1"/>
      <c r="G519" s="1"/>
      <c r="H519" s="1"/>
    </row>
    <row r="520">
      <c r="A520" s="33" t="s">
        <v>550</v>
      </c>
      <c r="B520" s="25">
        <v>1.0</v>
      </c>
      <c r="C520" s="35">
        <v>1.0</v>
      </c>
      <c r="D520" s="7"/>
      <c r="E520" s="1"/>
      <c r="F520" s="1"/>
      <c r="G520" s="1"/>
      <c r="H520" s="1"/>
    </row>
    <row r="521">
      <c r="A521" s="33" t="s">
        <v>575</v>
      </c>
      <c r="B521" s="25">
        <v>1.0</v>
      </c>
      <c r="C521" s="35">
        <v>1.0</v>
      </c>
      <c r="D521" s="7"/>
      <c r="E521" s="1"/>
      <c r="F521" s="1"/>
      <c r="G521" s="1"/>
      <c r="H521" s="1"/>
    </row>
    <row r="522">
      <c r="A522" s="33" t="s">
        <v>206</v>
      </c>
      <c r="B522" s="25">
        <v>1.0</v>
      </c>
      <c r="C522" s="35">
        <v>1.0</v>
      </c>
      <c r="D522" s="7"/>
      <c r="E522" s="1"/>
      <c r="F522" s="1"/>
      <c r="G522" s="1"/>
      <c r="H522" s="1"/>
    </row>
    <row r="523">
      <c r="A523" s="33" t="s">
        <v>236</v>
      </c>
      <c r="B523" s="25">
        <v>1.0</v>
      </c>
      <c r="C523" s="35">
        <v>1.0</v>
      </c>
      <c r="D523" s="7"/>
      <c r="E523" s="1"/>
      <c r="F523" s="1"/>
      <c r="G523" s="1"/>
      <c r="H523" s="1"/>
    </row>
    <row r="524">
      <c r="A524" s="33" t="s">
        <v>280</v>
      </c>
      <c r="B524" s="25">
        <v>1.0</v>
      </c>
      <c r="C524" s="35">
        <v>1.0</v>
      </c>
      <c r="D524" s="7"/>
      <c r="E524" s="1"/>
      <c r="F524" s="1"/>
      <c r="G524" s="1"/>
      <c r="H524" s="1"/>
    </row>
    <row r="525">
      <c r="A525" s="33" t="s">
        <v>310</v>
      </c>
      <c r="B525" s="25">
        <v>1.0</v>
      </c>
      <c r="C525" s="35">
        <v>1.0</v>
      </c>
      <c r="D525" s="7"/>
      <c r="E525" s="1"/>
      <c r="F525" s="1"/>
      <c r="G525" s="1"/>
      <c r="H525" s="1"/>
    </row>
    <row r="526">
      <c r="A526" s="33" t="s">
        <v>146</v>
      </c>
      <c r="B526" s="25">
        <v>1.0</v>
      </c>
      <c r="C526" s="35">
        <v>1.0</v>
      </c>
      <c r="D526" s="7"/>
      <c r="E526" s="1"/>
      <c r="F526" s="1"/>
      <c r="G526" s="1"/>
      <c r="H526" s="1"/>
    </row>
    <row r="527">
      <c r="A527" s="33" t="s">
        <v>389</v>
      </c>
      <c r="B527" s="25">
        <v>1.0</v>
      </c>
      <c r="C527" s="35">
        <v>1.0</v>
      </c>
      <c r="D527" s="7"/>
      <c r="E527" s="1"/>
      <c r="F527" s="1"/>
      <c r="G527" s="1"/>
      <c r="H527" s="1"/>
    </row>
    <row r="528">
      <c r="A528" s="33" t="s">
        <v>85</v>
      </c>
      <c r="B528" s="25">
        <v>1.0</v>
      </c>
      <c r="C528" s="35">
        <v>1.0</v>
      </c>
      <c r="D528" s="7"/>
      <c r="E528" s="1"/>
      <c r="F528" s="1"/>
      <c r="G528" s="1"/>
      <c r="H528" s="1"/>
    </row>
    <row r="529">
      <c r="A529" s="33" t="s">
        <v>281</v>
      </c>
      <c r="B529" s="25">
        <v>1.0</v>
      </c>
      <c r="C529" s="35">
        <v>1.0</v>
      </c>
      <c r="D529" s="7"/>
      <c r="E529" s="1"/>
      <c r="F529" s="1"/>
      <c r="G529" s="1"/>
      <c r="H529" s="1"/>
    </row>
    <row r="530">
      <c r="A530" s="33" t="s">
        <v>560</v>
      </c>
      <c r="B530" s="25">
        <v>1.0</v>
      </c>
      <c r="C530" s="35">
        <v>1.0</v>
      </c>
      <c r="D530" s="7"/>
      <c r="E530" s="1"/>
      <c r="F530" s="1"/>
      <c r="G530" s="1"/>
      <c r="H530" s="1"/>
    </row>
    <row r="531">
      <c r="A531" s="33" t="s">
        <v>76</v>
      </c>
      <c r="B531" s="25">
        <v>1.0</v>
      </c>
      <c r="C531" s="35">
        <v>1.0</v>
      </c>
      <c r="D531" s="7"/>
      <c r="E531" s="1"/>
      <c r="F531" s="1"/>
      <c r="G531" s="1"/>
      <c r="H531" s="1"/>
    </row>
    <row r="532">
      <c r="A532" s="33" t="s">
        <v>414</v>
      </c>
      <c r="B532" s="25">
        <v>1.0</v>
      </c>
      <c r="C532" s="35">
        <v>1.0</v>
      </c>
      <c r="D532" s="7"/>
      <c r="E532" s="1"/>
      <c r="F532" s="1"/>
      <c r="G532" s="1"/>
      <c r="H532" s="1"/>
    </row>
    <row r="533">
      <c r="A533" s="33" t="s">
        <v>539</v>
      </c>
      <c r="B533" s="25">
        <v>1.0</v>
      </c>
      <c r="C533" s="35">
        <v>1.0</v>
      </c>
      <c r="D533" s="7"/>
      <c r="E533" s="1"/>
      <c r="F533" s="1"/>
      <c r="G533" s="1"/>
      <c r="H533" s="1"/>
    </row>
    <row r="534">
      <c r="A534" s="33" t="s">
        <v>309</v>
      </c>
      <c r="B534" s="25">
        <v>1.0</v>
      </c>
      <c r="C534" s="35">
        <v>1.0</v>
      </c>
      <c r="D534" s="7"/>
      <c r="E534" s="1"/>
      <c r="F534" s="1"/>
      <c r="G534" s="1"/>
      <c r="H534" s="1"/>
    </row>
    <row r="535">
      <c r="A535" s="33" t="s">
        <v>410</v>
      </c>
      <c r="B535" s="25">
        <v>1.0</v>
      </c>
      <c r="C535" s="35">
        <v>1.0</v>
      </c>
      <c r="D535" s="7"/>
      <c r="E535" s="1"/>
      <c r="F535" s="1"/>
      <c r="G535" s="1"/>
      <c r="H535" s="1"/>
    </row>
    <row r="536">
      <c r="A536" s="33" t="s">
        <v>535</v>
      </c>
      <c r="B536" s="25">
        <v>1.0</v>
      </c>
      <c r="C536" s="35">
        <v>1.0</v>
      </c>
      <c r="D536" s="7"/>
      <c r="E536" s="1"/>
      <c r="F536" s="1"/>
      <c r="G536" s="1"/>
      <c r="H536" s="1"/>
    </row>
    <row r="537">
      <c r="A537" s="33" t="s">
        <v>463</v>
      </c>
      <c r="B537" s="25">
        <v>1.0</v>
      </c>
      <c r="C537" s="35">
        <v>1.0</v>
      </c>
      <c r="D537" s="7"/>
      <c r="E537" s="1"/>
      <c r="F537" s="1"/>
      <c r="G537" s="1"/>
      <c r="H537" s="1"/>
    </row>
    <row r="538">
      <c r="A538" s="33" t="s">
        <v>584</v>
      </c>
      <c r="B538" s="25">
        <v>1.0</v>
      </c>
      <c r="C538" s="35">
        <v>1.0</v>
      </c>
      <c r="D538" s="7"/>
      <c r="E538" s="1"/>
      <c r="F538" s="1"/>
      <c r="G538" s="1"/>
      <c r="H538" s="1"/>
    </row>
    <row r="539">
      <c r="A539" s="33" t="s">
        <v>303</v>
      </c>
      <c r="B539" s="25">
        <v>1.0</v>
      </c>
      <c r="C539" s="35">
        <v>1.0</v>
      </c>
      <c r="D539" s="7"/>
      <c r="E539" s="1"/>
      <c r="F539" s="1"/>
      <c r="G539" s="1"/>
      <c r="H539" s="1"/>
    </row>
    <row r="540">
      <c r="A540" s="33" t="s">
        <v>552</v>
      </c>
      <c r="B540" s="25">
        <v>1.0</v>
      </c>
      <c r="C540" s="35">
        <v>1.0</v>
      </c>
      <c r="D540" s="7"/>
      <c r="E540" s="1"/>
      <c r="F540" s="1"/>
      <c r="G540" s="1"/>
      <c r="H540" s="1"/>
    </row>
    <row r="541">
      <c r="A541" s="33" t="s">
        <v>340</v>
      </c>
      <c r="B541" s="25">
        <v>1.0</v>
      </c>
      <c r="C541" s="35">
        <v>1.0</v>
      </c>
      <c r="D541" s="7"/>
      <c r="E541" s="1"/>
      <c r="F541" s="1"/>
      <c r="G541" s="1"/>
      <c r="H541" s="1"/>
    </row>
    <row r="542">
      <c r="A542" s="33" t="s">
        <v>466</v>
      </c>
      <c r="B542" s="25">
        <v>1.0</v>
      </c>
      <c r="C542" s="35">
        <v>1.0</v>
      </c>
      <c r="D542" s="7"/>
      <c r="E542" s="1"/>
      <c r="F542" s="1"/>
      <c r="G542" s="1"/>
      <c r="H542" s="1"/>
    </row>
    <row r="543">
      <c r="A543" s="33" t="s">
        <v>391</v>
      </c>
      <c r="B543" s="25">
        <v>1.0</v>
      </c>
      <c r="C543" s="35">
        <v>1.0</v>
      </c>
      <c r="D543" s="7"/>
      <c r="E543" s="1"/>
      <c r="F543" s="1"/>
      <c r="G543" s="1"/>
      <c r="H543" s="1"/>
    </row>
    <row r="544">
      <c r="A544" s="33" t="s">
        <v>586</v>
      </c>
      <c r="B544" s="25">
        <v>1.0</v>
      </c>
      <c r="C544" s="35">
        <v>1.0</v>
      </c>
      <c r="D544" s="7"/>
      <c r="E544" s="1"/>
      <c r="F544" s="1"/>
      <c r="G544" s="1"/>
      <c r="H544" s="1"/>
    </row>
    <row r="545">
      <c r="A545" s="33" t="s">
        <v>301</v>
      </c>
      <c r="B545" s="25">
        <v>1.0</v>
      </c>
      <c r="C545" s="35">
        <v>1.0</v>
      </c>
      <c r="D545" s="7"/>
      <c r="E545" s="1"/>
      <c r="F545" s="1"/>
      <c r="G545" s="1"/>
      <c r="H545" s="1"/>
    </row>
    <row r="546">
      <c r="A546" s="33" t="s">
        <v>228</v>
      </c>
      <c r="B546" s="25">
        <v>1.0</v>
      </c>
      <c r="C546" s="35">
        <v>1.0</v>
      </c>
      <c r="D546" s="7"/>
      <c r="E546" s="1"/>
      <c r="F546" s="1"/>
      <c r="G546" s="1"/>
      <c r="H546" s="1"/>
    </row>
    <row r="547">
      <c r="A547" s="33" t="s">
        <v>154</v>
      </c>
      <c r="B547" s="25">
        <v>1.0</v>
      </c>
      <c r="C547" s="35">
        <v>1.0</v>
      </c>
      <c r="D547" s="7"/>
      <c r="E547" s="1"/>
      <c r="F547" s="1"/>
      <c r="G547" s="1"/>
      <c r="H547" s="1"/>
    </row>
  </sheetData>
  <autoFilter ref="$A$1:$C$547"/>
  <hyperlinks>
    <hyperlink r:id="rId1" ref="A333"/>
    <hyperlink r:id="rId2" ref="A382"/>
  </hyperlink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0"/>
    <col customWidth="1" min="2" max="2" width="8.88"/>
  </cols>
  <sheetData>
    <row r="1">
      <c r="A1" s="84" t="s">
        <v>8</v>
      </c>
      <c r="B1" s="85" t="s">
        <v>42</v>
      </c>
      <c r="C1" s="1"/>
      <c r="D1" s="1"/>
      <c r="E1" s="1"/>
      <c r="F1" s="1"/>
      <c r="G1" s="1"/>
      <c r="H1" s="1"/>
    </row>
    <row r="2">
      <c r="A2" s="25" t="s">
        <v>682</v>
      </c>
      <c r="B2" s="35">
        <v>79.0</v>
      </c>
      <c r="C2" s="1"/>
      <c r="D2" s="1"/>
      <c r="E2" s="1"/>
      <c r="F2" s="1"/>
      <c r="G2" s="1"/>
      <c r="H2" s="1"/>
    </row>
    <row r="3">
      <c r="A3" s="25" t="s">
        <v>645</v>
      </c>
      <c r="B3" s="35">
        <v>76.0</v>
      </c>
      <c r="C3" s="1"/>
      <c r="D3" s="1"/>
      <c r="E3" s="1"/>
      <c r="F3" s="1"/>
      <c r="G3" s="1"/>
      <c r="H3" s="1"/>
    </row>
    <row r="4">
      <c r="A4" s="95" t="s">
        <v>37</v>
      </c>
      <c r="B4" s="27">
        <v>28.0</v>
      </c>
      <c r="C4" s="1"/>
      <c r="D4" s="1"/>
      <c r="E4" s="1"/>
      <c r="F4" s="1"/>
      <c r="G4" s="1"/>
      <c r="H4" s="1"/>
    </row>
    <row r="5">
      <c r="A5" s="25" t="s">
        <v>649</v>
      </c>
      <c r="B5" s="35">
        <v>248.0</v>
      </c>
      <c r="C5" s="1"/>
      <c r="D5" s="1"/>
      <c r="E5" s="1"/>
      <c r="F5" s="1"/>
      <c r="G5" s="1"/>
      <c r="H5" s="1"/>
    </row>
    <row r="6">
      <c r="A6" s="25" t="s">
        <v>671</v>
      </c>
      <c r="B6" s="35">
        <v>71.0</v>
      </c>
      <c r="C6" s="1"/>
      <c r="D6" s="1"/>
      <c r="E6" s="1"/>
      <c r="F6" s="1"/>
      <c r="G6" s="1"/>
      <c r="H6" s="1"/>
    </row>
    <row r="7">
      <c r="A7" s="95" t="s">
        <v>33</v>
      </c>
      <c r="B7" s="27">
        <v>494.0</v>
      </c>
      <c r="C7" s="1"/>
      <c r="D7" s="1"/>
      <c r="E7" s="1"/>
      <c r="F7" s="1"/>
      <c r="G7" s="1"/>
      <c r="H7" s="1"/>
    </row>
    <row r="8">
      <c r="A8" s="25" t="s">
        <v>666</v>
      </c>
      <c r="B8" s="25">
        <v>70.0</v>
      </c>
      <c r="C8" s="1"/>
      <c r="D8" s="1"/>
      <c r="E8" s="1"/>
      <c r="F8" s="1"/>
      <c r="G8" s="1"/>
      <c r="H8" s="1"/>
    </row>
    <row r="9">
      <c r="A9" s="95" t="s">
        <v>39</v>
      </c>
      <c r="B9" s="27">
        <v>37.0</v>
      </c>
      <c r="C9" s="1"/>
      <c r="D9" s="1"/>
      <c r="E9" s="1"/>
      <c r="F9" s="1"/>
      <c r="G9" s="1"/>
      <c r="H9" s="1"/>
    </row>
    <row r="10">
      <c r="A10" s="1"/>
      <c r="B10" s="1"/>
      <c r="C10" s="1"/>
      <c r="D10" s="1"/>
      <c r="E10" s="1"/>
      <c r="F10" s="1"/>
      <c r="G10" s="1"/>
      <c r="H10" s="1"/>
    </row>
    <row r="11">
      <c r="A11" s="1"/>
      <c r="B11" s="1"/>
      <c r="C11" s="1"/>
      <c r="D11" s="1"/>
      <c r="E11" s="1"/>
      <c r="F11" s="1"/>
      <c r="G11" s="1"/>
      <c r="H11" s="1"/>
    </row>
    <row r="12">
      <c r="A12" s="1"/>
      <c r="B12" s="1"/>
      <c r="C12" s="1"/>
      <c r="D12" s="1"/>
      <c r="E12" s="1"/>
      <c r="F12" s="1"/>
      <c r="G12" s="1"/>
      <c r="H12" s="1"/>
    </row>
    <row r="13">
      <c r="A13" s="1"/>
      <c r="B13" s="1"/>
      <c r="C13" s="1"/>
      <c r="D13" s="1"/>
      <c r="E13" s="1"/>
      <c r="F13" s="1"/>
      <c r="G13" s="1"/>
      <c r="H13" s="1"/>
    </row>
    <row r="14">
      <c r="A14" s="1"/>
      <c r="B14" s="1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</row>
    <row r="20">
      <c r="A20" s="1"/>
      <c r="B20" s="1"/>
      <c r="C20" s="1"/>
      <c r="D20" s="1"/>
      <c r="E20" s="1"/>
      <c r="F20" s="1"/>
      <c r="G20" s="1"/>
      <c r="H20" s="1"/>
    </row>
    <row r="21">
      <c r="A21" s="1"/>
      <c r="B21" s="1"/>
      <c r="C21" s="1"/>
      <c r="D21" s="1"/>
      <c r="E21" s="1"/>
      <c r="F21" s="1"/>
      <c r="G21" s="1"/>
      <c r="H21" s="1"/>
    </row>
    <row r="22">
      <c r="A22" s="1"/>
      <c r="B22" s="1"/>
      <c r="C22" s="1"/>
      <c r="D22" s="1"/>
      <c r="E22" s="1"/>
      <c r="F22" s="1"/>
      <c r="G22" s="1"/>
      <c r="H22" s="1"/>
    </row>
    <row r="23">
      <c r="A23" s="1"/>
      <c r="B23" s="1"/>
      <c r="C23" s="1"/>
      <c r="D23" s="1"/>
      <c r="E23" s="1"/>
      <c r="F23" s="1"/>
      <c r="G23" s="1"/>
      <c r="H23" s="1"/>
    </row>
    <row r="24">
      <c r="A24" s="1"/>
      <c r="B24" s="1"/>
      <c r="C24" s="1"/>
      <c r="D24" s="1"/>
      <c r="E24" s="1"/>
      <c r="F24" s="1"/>
      <c r="G24" s="1"/>
      <c r="H24" s="1"/>
    </row>
    <row r="25">
      <c r="A25" s="1"/>
      <c r="B25" s="1"/>
      <c r="C25" s="1"/>
      <c r="D25" s="1"/>
      <c r="E25" s="1"/>
      <c r="F25" s="1"/>
      <c r="G25" s="1"/>
      <c r="H25" s="1"/>
    </row>
    <row r="26">
      <c r="A26" s="1"/>
      <c r="B26" s="1"/>
      <c r="C26" s="1"/>
      <c r="D26" s="1"/>
      <c r="E26" s="1"/>
      <c r="F26" s="1"/>
      <c r="G26" s="1"/>
      <c r="H26" s="1"/>
    </row>
    <row r="27">
      <c r="A27" s="1"/>
      <c r="B27" s="1"/>
      <c r="C27" s="1"/>
      <c r="D27" s="1"/>
      <c r="E27" s="1"/>
      <c r="F27" s="1"/>
      <c r="G27" s="1"/>
      <c r="H27" s="1"/>
    </row>
    <row r="28">
      <c r="A28" s="1"/>
      <c r="B28" s="1"/>
      <c r="C28" s="1"/>
      <c r="D28" s="1"/>
      <c r="E28" s="1"/>
      <c r="F28" s="1"/>
      <c r="G28" s="1"/>
      <c r="H28" s="1"/>
    </row>
    <row r="29">
      <c r="A29" s="1"/>
      <c r="B29" s="1"/>
      <c r="C29" s="1"/>
      <c r="D29" s="1"/>
      <c r="E29" s="1"/>
      <c r="F29" s="1"/>
      <c r="G29" s="1"/>
      <c r="H29" s="1"/>
    </row>
    <row r="30">
      <c r="A30" s="66"/>
      <c r="B30" s="1"/>
      <c r="C30" s="1"/>
      <c r="D30" s="1"/>
      <c r="E30" s="1"/>
      <c r="F30" s="1"/>
      <c r="G30" s="1"/>
      <c r="H30" s="1"/>
    </row>
    <row r="31">
      <c r="A31" s="1"/>
      <c r="B31" s="1"/>
      <c r="C31" s="1"/>
      <c r="D31" s="1"/>
      <c r="E31" s="1"/>
      <c r="F31" s="1"/>
      <c r="G31" s="1"/>
      <c r="H31" s="1"/>
    </row>
    <row r="32">
      <c r="A32" s="1"/>
      <c r="B32" s="1"/>
      <c r="C32" s="1"/>
      <c r="D32" s="1"/>
      <c r="E32" s="1"/>
      <c r="F32" s="1"/>
      <c r="G32" s="1"/>
      <c r="H32" s="1"/>
    </row>
    <row r="33">
      <c r="A33" s="1"/>
      <c r="B33" s="1"/>
      <c r="C33" s="1"/>
      <c r="D33" s="1"/>
      <c r="E33" s="1"/>
      <c r="F33" s="1"/>
      <c r="G33" s="1"/>
      <c r="H33" s="1"/>
    </row>
    <row r="34">
      <c r="A34" s="1"/>
      <c r="B34" s="1"/>
      <c r="C34" s="1"/>
      <c r="D34" s="1"/>
      <c r="E34" s="1"/>
      <c r="F34" s="1"/>
      <c r="G34" s="1"/>
      <c r="H34" s="1"/>
    </row>
    <row r="35">
      <c r="A35" s="1"/>
      <c r="B35" s="1"/>
      <c r="C35" s="1"/>
      <c r="D35" s="1"/>
      <c r="E35" s="1"/>
      <c r="F35" s="1"/>
      <c r="G35" s="1"/>
      <c r="H35" s="1"/>
    </row>
    <row r="36">
      <c r="A36" s="1"/>
      <c r="B36" s="1"/>
      <c r="C36" s="1"/>
      <c r="D36" s="1"/>
      <c r="E36" s="1"/>
      <c r="F36" s="1"/>
      <c r="G36" s="1"/>
      <c r="H36" s="1"/>
    </row>
    <row r="37">
      <c r="A37" s="1"/>
      <c r="B37" s="1"/>
      <c r="C37" s="1"/>
      <c r="D37" s="1"/>
      <c r="E37" s="1"/>
      <c r="F37" s="1"/>
      <c r="G37" s="1"/>
      <c r="H37" s="1"/>
    </row>
  </sheetData>
  <autoFilter ref="$A$1:$B$37"/>
  <drawing r:id="rId1"/>
</worksheet>
</file>
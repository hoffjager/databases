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1-31" sheetId="1" r:id="rId5"/>
    <sheet state="visible" name="consoles" sheetId="2" r:id="rId6"/>
    <sheet state="visible" name="distinct" sheetId="3" r:id="rId7"/>
    <sheet state="visible" name="c_finances" sheetId="4" r:id="rId8"/>
    <sheet state="visible" name="c_chart" sheetId="5" r:id="rId9"/>
    <sheet state="visible" name="d_finances" sheetId="6" r:id="rId10"/>
    <sheet state="visible" name="d_chart" sheetId="7" r:id="rId11"/>
  </sheets>
  <definedNames>
    <definedName hidden="1" localSheetId="1" name="_xlnm._FilterDatabase">consoles!$A$1:$B$37</definedName>
    <definedName hidden="1" localSheetId="2" name="_xlnm._FilterDatabase">distinct!$A$1:$B$547</definedName>
    <definedName hidden="1" localSheetId="3" name="_xlnm._FilterDatabase">c_finances!$D$1:$N$1205</definedName>
    <definedName hidden="1" localSheetId="4" name="_xlnm._FilterDatabase">c_chart!$A$1:$H$50</definedName>
    <definedName hidden="1" localSheetId="5" name="_xlnm._FilterDatabase">d_finances!$D$1:$N$1327</definedName>
    <definedName hidden="1" localSheetId="6" name="_xlnm._FilterDatabase">d_chart!$A$1:$H$547</definedName>
  </definedNames>
  <calcPr/>
</workbook>
</file>

<file path=xl/sharedStrings.xml><?xml version="1.0" encoding="utf-8"?>
<sst xmlns="http://schemas.openxmlformats.org/spreadsheetml/2006/main" count="10370" uniqueCount="1748">
  <si>
    <t>Tasks</t>
  </si>
  <si>
    <t>Insert data into all Excel tabs, from the all_data [MASTER] Excel and SELECT FROM Origins, Platinums &amp; Trophies SQL files</t>
  </si>
  <si>
    <t>UPDATE Excel</t>
  </si>
  <si>
    <t>Update data in all Excel tabs, from PS App and PSNProfiles</t>
  </si>
  <si>
    <t>Country</t>
  </si>
  <si>
    <t>Developer</t>
  </si>
  <si>
    <t>ID</t>
  </si>
  <si>
    <t>Game</t>
  </si>
  <si>
    <t>Console</t>
  </si>
  <si>
    <t>Release_Date</t>
  </si>
  <si>
    <t>Purchase_Date</t>
  </si>
  <si>
    <t>Start_Date</t>
  </si>
  <si>
    <t>Finish_Date</t>
  </si>
  <si>
    <t>Full_Price</t>
  </si>
  <si>
    <t>Paid_Price</t>
  </si>
  <si>
    <t>Savings</t>
  </si>
  <si>
    <t>Hours</t>
  </si>
  <si>
    <t>Value</t>
  </si>
  <si>
    <t>consoles</t>
  </si>
  <si>
    <t>SELECT console, COUNT(*) AS 'Games'
                FROM origins
                GROUP BY console
                ORDER BY COUNT(*) DESC</t>
  </si>
  <si>
    <t>Games</t>
  </si>
  <si>
    <t>PS1</t>
  </si>
  <si>
    <t>PS2</t>
  </si>
  <si>
    <t>PSP</t>
  </si>
  <si>
    <t>PS3</t>
  </si>
  <si>
    <t>VITA</t>
  </si>
  <si>
    <t>PS4</t>
  </si>
  <si>
    <t>VR</t>
  </si>
  <si>
    <t>PS5</t>
  </si>
  <si>
    <t>distinct</t>
  </si>
  <si>
    <t>SELECT DISTINCT country FROM origins ORDER BY country</t>
  </si>
  <si>
    <t>SELECT DISTINCT developer, country FROM origins WHERE country = 'USA' ORDER BY country</t>
  </si>
  <si>
    <t>SELECT DISTINCT developer FROM origins ORDER BY developer</t>
  </si>
  <si>
    <t>SELECT DISTINCT developer, country FROM origins ORDER BY developer</t>
  </si>
  <si>
    <t>Devs</t>
  </si>
  <si>
    <t>Criterion Games</t>
  </si>
  <si>
    <t>England</t>
  </si>
  <si>
    <t>c_finances</t>
  </si>
  <si>
    <t>SELECT o.country, o.developer,
                        d.id, d.game, d.console, d.release_date, d.purchase_date, d.start_date, d.finish_date,
                        f.full_price, f.paid_price, f.savings, f.hours, f.value
                        FROM finances f
                        JOIN dates d ON d.id = f.id
                        JOIN origins o ON o.id = f.id
                        ORDER BY country, console, release_date</t>
  </si>
  <si>
    <t>Canada</t>
  </si>
  <si>
    <t>Gameloft Montreal</t>
  </si>
  <si>
    <t>Disney Dreamlight Valley</t>
  </si>
  <si>
    <t>Coal Supper</t>
  </si>
  <si>
    <t>Thank Goodness You're Here</t>
  </si>
  <si>
    <t>Sports Interactive</t>
  </si>
  <si>
    <t>Football Manager 2024</t>
  </si>
  <si>
    <t>Need for Speed Unbound</t>
  </si>
  <si>
    <t>France</t>
  </si>
  <si>
    <t>WolfEye Studios</t>
  </si>
  <si>
    <t>Weird West</t>
  </si>
  <si>
    <t>Japan</t>
  </si>
  <si>
    <t>Capcom</t>
  </si>
  <si>
    <t>Phoenix Wright: Ace Attorney</t>
  </si>
  <si>
    <t>Netherlands</t>
  </si>
  <si>
    <t>RageSquid</t>
  </si>
  <si>
    <t>Action Henk</t>
  </si>
  <si>
    <t>USA</t>
  </si>
  <si>
    <t>Ivy Road</t>
  </si>
  <si>
    <t>Wanderstop</t>
  </si>
  <si>
    <t>c_chart</t>
  </si>
  <si>
    <t>SELECT SUM(full_price) AS 'Full Price',
                        SUM(paid_price) AS 'Paid Price',
                        SUM(savings) AS 'Savings',
                        SUM(hours) AS 'Hours',
                        SUM(value) AS 'Value'
                        FROM origins o 
                        JOIN finances f ON o.id = f.id
                        WHERE country = 'Japan'</t>
  </si>
  <si>
    <t>Developers</t>
  </si>
  <si>
    <t>d_finances</t>
  </si>
  <si>
    <t>SELECT o.country, o.developer,
                        d.id, d.game, d.console, d.release_date, d.purchase_date, d.start_date, d.finish_date,
                        f.full_price, f.paid_price, f.savings, f.hours, f.value
                        FROM finances f
                        JOIN dates d ON d.id = f.id
                        JOIN origins o ON o.id = f.id
                        ORDER BY country, developer, console, release_date</t>
  </si>
  <si>
    <t>Football Manager Classic 2014</t>
  </si>
  <si>
    <t>Burnout Legends</t>
  </si>
  <si>
    <t>Burnout Paradise</t>
  </si>
  <si>
    <t>Need for Speed Hot Pursuit</t>
  </si>
  <si>
    <t>Need for Speed: Most Wanted (2012)</t>
  </si>
  <si>
    <t>Street Fighter Alpha: Warriors Dreams (1995)</t>
  </si>
  <si>
    <t>Street Fighter Alpha 2 (1996)</t>
  </si>
  <si>
    <t>Resident Evil: Directors Cut (1997)</t>
  </si>
  <si>
    <t>Resident Evil 2 (1998)</t>
  </si>
  <si>
    <t>Super Street Fighter II Turbo: The Ultimate Championship (1994)</t>
  </si>
  <si>
    <t>Street Fighter Alpha 3 (1998)</t>
  </si>
  <si>
    <t>Resident Evil 3: Nemesis (1999)</t>
  </si>
  <si>
    <t>Resident Evil: Code Veronica X</t>
  </si>
  <si>
    <t>Devil May Cry</t>
  </si>
  <si>
    <t>Devil May Cry 2</t>
  </si>
  <si>
    <t>Devil May Cry 3: Dantes Awakening</t>
  </si>
  <si>
    <t>Resident Evil 4 (2005)</t>
  </si>
  <si>
    <t>Devil May Cry 4</t>
  </si>
  <si>
    <t>Resident Evil 5</t>
  </si>
  <si>
    <t>Street Fighter X Tekken</t>
  </si>
  <si>
    <t>Resident Evil 6</t>
  </si>
  <si>
    <t>Resident Evil: Revelations</t>
  </si>
  <si>
    <t>Resident Evil (2002)</t>
  </si>
  <si>
    <t>Resident Evil: Revelations 2</t>
  </si>
  <si>
    <t>Resident Evil 0 (Zero)</t>
  </si>
  <si>
    <t>Mega Man (Legacy Collection)</t>
  </si>
  <si>
    <t>Mega Man 2 (Legacy Collection)</t>
  </si>
  <si>
    <t>Mega Man 3 (Legacy Collection)</t>
  </si>
  <si>
    <t>Mega Man 4 (Legacy Collection)</t>
  </si>
  <si>
    <t>Mega Man 5 (Legacy Collection)</t>
  </si>
  <si>
    <t>Mega Man 6 (Legacy Collection)</t>
  </si>
  <si>
    <t>Dead Rising</t>
  </si>
  <si>
    <t>Resident Evil VII: Biohazard</t>
  </si>
  <si>
    <t>TaleSpin (1991): The Disney Afternoon Collection</t>
  </si>
  <si>
    <t>Darkwing Duck (1992): The Disney Afternoon Collection</t>
  </si>
  <si>
    <t>DuckTales (1989): The Disney Afternoon Collection</t>
  </si>
  <si>
    <t>DuckTales 2 (1993): The Disney Afternoon Collection</t>
  </si>
  <si>
    <t>Chip n Dale Rescue Rangers (1990): The Disney Afternoon Collection</t>
  </si>
  <si>
    <t>Chip n Dale Rescue Rangers 2 (1994): The Disney Afternoon Collection</t>
  </si>
  <si>
    <t>Mega Man 7 (Legacy Collection 2)</t>
  </si>
  <si>
    <t>Mega Man 8 (Legacy Collection 2)</t>
  </si>
  <si>
    <t>Mega Man 9 (Legacy Collection 2)</t>
  </si>
  <si>
    <t>Mega Man 10 (Legacy Collection 2)</t>
  </si>
  <si>
    <t>Monster Hunter: World</t>
  </si>
  <si>
    <t>Street Fighter (1987): 30th Anniversary Collection</t>
  </si>
  <si>
    <t>Street Fighter II: The World Warrior (1991): 30th Anniversary Collection</t>
  </si>
  <si>
    <t>Street Fighter II: Champion Edition (1992): 30th Anniversary Collection</t>
  </si>
  <si>
    <t>Street Fighter II Turbo: Hyper Fighting (1992)</t>
  </si>
  <si>
    <t>Super Street Fighter II: The New Challengers (1993)</t>
  </si>
  <si>
    <t>Street Fighter III: 3rd Strike - Fight for the Future (1999)</t>
  </si>
  <si>
    <t>Street Fighter III: New Generation (1997): 30th Anniversary Collection</t>
  </si>
  <si>
    <t>Street Fighter III: 2nd Impact - Giant Attack: 30th Anniversary Collection</t>
  </si>
  <si>
    <t>Mega Man X (X Legacy Collection)</t>
  </si>
  <si>
    <t>Mega Man X2 (X Legacy Collection)</t>
  </si>
  <si>
    <t>Mega Man X3 (X Legacy Collection)</t>
  </si>
  <si>
    <t>Mega Man X4 (X Legacy Collection)</t>
  </si>
  <si>
    <t>Mega Man X5 (X Legacy Collection 2)</t>
  </si>
  <si>
    <t>Mega Man X6 (X Legacy Collection 2)</t>
  </si>
  <si>
    <t>Mega Man X7 (X Legacy Collection 2)</t>
  </si>
  <si>
    <t>Mega Man X8 (X Legacy Collection 2)</t>
  </si>
  <si>
    <t>Resident Evil 2 (2019)</t>
  </si>
  <si>
    <t>Devil May Cry 5</t>
  </si>
  <si>
    <t>Phoenix Wright: Justice for All</t>
  </si>
  <si>
    <t>Phoenix Wright: Trials and Tribulations</t>
  </si>
  <si>
    <t>Resident Evil 3 (2020)</t>
  </si>
  <si>
    <t>Resident Evil: Resistance</t>
  </si>
  <si>
    <t>Resident Evil Village</t>
  </si>
  <si>
    <t>Resident Evil: Re:Verse</t>
  </si>
  <si>
    <t>Resident Evil 4 (2023)</t>
  </si>
  <si>
    <t>Descenders</t>
  </si>
  <si>
    <t>d_chart</t>
  </si>
  <si>
    <t>SELECT SUM(full_price) AS 'Full Price',
                        SUM(paid_price) AS 'Paid Price',
                        SUM(savings) AS 'Savings',
                        SUM(hours) AS 'Hours',
                        SUM(value) AS 'Value'
                        FROM origins o 
                        JOIN finances f ON o.id = f.id
                        WHERE developer = 'Halfbrick Studios'</t>
  </si>
  <si>
    <t>2K Australia</t>
  </si>
  <si>
    <t>Australia</t>
  </si>
  <si>
    <t>2pt Interactive</t>
  </si>
  <si>
    <t>Beam Team Games</t>
  </si>
  <si>
    <t>Big Ant Studios</t>
  </si>
  <si>
    <t>Black Matter Games</t>
  </si>
  <si>
    <t>Blue Tongue Entertainment</t>
  </si>
  <si>
    <t>Caustic Reality</t>
  </si>
  <si>
    <t>Christian Whitehead</t>
  </si>
  <si>
    <t>Halfbrick Studios</t>
  </si>
  <si>
    <t>Hipster Whale</t>
  </si>
  <si>
    <t>House House</t>
  </si>
  <si>
    <t>Jammed Up Studios</t>
  </si>
  <si>
    <t>Krome Studios</t>
  </si>
  <si>
    <t>League of Geeks</t>
  </si>
  <si>
    <t>Massive Monster</t>
  </si>
  <si>
    <t>Samurai Punk</t>
  </si>
  <si>
    <t>SMG Studio</t>
  </si>
  <si>
    <t>Team Bondi</t>
  </si>
  <si>
    <t>Team Cherry</t>
  </si>
  <si>
    <t>The Binary Mill</t>
  </si>
  <si>
    <t>Witch Beam</t>
  </si>
  <si>
    <t>Awfully Nice Studios</t>
  </si>
  <si>
    <t>Austria</t>
  </si>
  <si>
    <t>ClockStone Studios</t>
  </si>
  <si>
    <t>Purple Lamp Studios</t>
  </si>
  <si>
    <t>Liquid Pug</t>
  </si>
  <si>
    <t>Belarus</t>
  </si>
  <si>
    <t>Weappy Studio</t>
  </si>
  <si>
    <t>I-Illusions</t>
  </si>
  <si>
    <t>Belgium</t>
  </si>
  <si>
    <t>VRMonkey</t>
  </si>
  <si>
    <t>Brazil</t>
  </si>
  <si>
    <t>Haemimont Games</t>
  </si>
  <si>
    <t>Bulgaria</t>
  </si>
  <si>
    <t>Asteroid Base</t>
  </si>
  <si>
    <t>Beenox</t>
  </si>
  <si>
    <t>Behaviour Interactive (Artificial Mind and Movement)</t>
  </si>
  <si>
    <t>Benjamin Rivers Inc</t>
  </si>
  <si>
    <t>BioWare</t>
  </si>
  <si>
    <t>Blue Isle Studios</t>
  </si>
  <si>
    <t>Breaking Walls</t>
  </si>
  <si>
    <t>Capcom Vancouver (Blue Castle Games)</t>
  </si>
  <si>
    <t>Capybara Games</t>
  </si>
  <si>
    <t>Cellar Door Games</t>
  </si>
  <si>
    <t>Digital Extremes</t>
  </si>
  <si>
    <t>Digital Leisure Inc</t>
  </si>
  <si>
    <t>Drinkbox Studios</t>
  </si>
  <si>
    <t>DryGin Studios</t>
  </si>
  <si>
    <t>EA Black Box</t>
  </si>
  <si>
    <t>EA Montreal</t>
  </si>
  <si>
    <t>EA Vancouver</t>
  </si>
  <si>
    <t>Eidos Montreal</t>
  </si>
  <si>
    <t>Frima Studio</t>
  </si>
  <si>
    <t>Funselektor Labs Inc</t>
  </si>
  <si>
    <t>Gearbox Quebec</t>
  </si>
  <si>
    <t>HB Studios</t>
  </si>
  <si>
    <t>Hothead Games</t>
  </si>
  <si>
    <t>Isometricorp Games</t>
  </si>
  <si>
    <t>Klei Entertainment</t>
  </si>
  <si>
    <t>Maddy Makes Games</t>
  </si>
  <si>
    <t>Motive Studio</t>
  </si>
  <si>
    <t>Necrophone Games</t>
  </si>
  <si>
    <t>Norsfell Games</t>
  </si>
  <si>
    <t>Other Ocean Interactive</t>
  </si>
  <si>
    <t>Parabole</t>
  </si>
  <si>
    <t>Polytron Corporation</t>
  </si>
  <si>
    <t>Pseudo Interactive</t>
  </si>
  <si>
    <t>Queasy Games</t>
  </si>
  <si>
    <t>Radical Entertainment</t>
  </si>
  <si>
    <t>Red Barrels</t>
  </si>
  <si>
    <t>Rockstar Toronto</t>
  </si>
  <si>
    <t>Rockstar Vancouver</t>
  </si>
  <si>
    <t>Slick Entertainment</t>
  </si>
  <si>
    <t>Steel Crate Games</t>
  </si>
  <si>
    <t>Tribute Games (Jonathan Lavigne)</t>
  </si>
  <si>
    <t>Typhoon Studios</t>
  </si>
  <si>
    <t>Ubisoft Montreal</t>
  </si>
  <si>
    <t>Ubisoft Toronto</t>
  </si>
  <si>
    <t>United Front Games</t>
  </si>
  <si>
    <t>Vblank Entertainment</t>
  </si>
  <si>
    <t>VitruviusVR</t>
  </si>
  <si>
    <t>ISVR</t>
  </si>
  <si>
    <t>China</t>
  </si>
  <si>
    <t>miHoYo</t>
  </si>
  <si>
    <t>Spicy Horse</t>
  </si>
  <si>
    <t>Ubisoft Chengdu</t>
  </si>
  <si>
    <t>Ubisoft Shanghai</t>
  </si>
  <si>
    <t>Vanimals</t>
  </si>
  <si>
    <t>Glitchy Pixel</t>
  </si>
  <si>
    <t>Colombia</t>
  </si>
  <si>
    <t>Croteam</t>
  </si>
  <si>
    <t>Croatia</t>
  </si>
  <si>
    <t>Exordium Games</t>
  </si>
  <si>
    <t>2K Czech</t>
  </si>
  <si>
    <t>Czech Republic</t>
  </si>
  <si>
    <t>Beat Games</t>
  </si>
  <si>
    <t>Dreadlocks Ltd</t>
  </si>
  <si>
    <t>Grip Games</t>
  </si>
  <si>
    <t>Ingame Studios</t>
  </si>
  <si>
    <t>3D Realms</t>
  </si>
  <si>
    <t>Denmark</t>
  </si>
  <si>
    <t>Game Swing</t>
  </si>
  <si>
    <t>Geometric Interactive</t>
  </si>
  <si>
    <t>Ghost Ship Games</t>
  </si>
  <si>
    <t>Invisible Walls</t>
  </si>
  <si>
    <t>IO Interactive</t>
  </si>
  <si>
    <t>Slipgate Ironworks</t>
  </si>
  <si>
    <t>The Domaginarium</t>
  </si>
  <si>
    <t>El Salvador</t>
  </si>
  <si>
    <t>Acid Nerve</t>
  </si>
  <si>
    <t>All Possible Futures</t>
  </si>
  <si>
    <t>Alphanu Game Studios</t>
  </si>
  <si>
    <t>Argonaut Games</t>
  </si>
  <si>
    <t>Atomicom</t>
  </si>
  <si>
    <t>Bithell Games</t>
  </si>
  <si>
    <t>Bizarre Creations</t>
  </si>
  <si>
    <t>Bossa Studios</t>
  </si>
  <si>
    <t>Chequered Ink Ltd</t>
  </si>
  <si>
    <t>Clever Beans</t>
  </si>
  <si>
    <t>Cloak and Dagger Games</t>
  </si>
  <si>
    <t>Codemasters</t>
  </si>
  <si>
    <t>Codemasters Birmingham</t>
  </si>
  <si>
    <t>Cold Beam Games</t>
  </si>
  <si>
    <t>Curve Studios</t>
  </si>
  <si>
    <t>Dambuster Studios (Deep Silver)</t>
  </si>
  <si>
    <t>Eurocom Entertainment Software</t>
  </si>
  <si>
    <t>Evolution Studios</t>
  </si>
  <si>
    <t>Fallen Tree Games</t>
  </si>
  <si>
    <t>Fiddlesticks</t>
  </si>
  <si>
    <t>Firesprite</t>
  </si>
  <si>
    <t>Four Door Lemon</t>
  </si>
  <si>
    <t>FreakZone Games</t>
  </si>
  <si>
    <t>Free Radical Design</t>
  </si>
  <si>
    <t>Frontier Developments</t>
  </si>
  <si>
    <t>Funbox Media</t>
  </si>
  <si>
    <t>FuturLab</t>
  </si>
  <si>
    <t>Ghost Town Games</t>
  </si>
  <si>
    <t>Guerrilla Cambridge (SCE Studio Cambridge)</t>
  </si>
  <si>
    <t>Hello Games</t>
  </si>
  <si>
    <t>Honeyslug</t>
  </si>
  <si>
    <t>Infogrames Sheffield House (Gremlin Interactive)</t>
  </si>
  <si>
    <t>iSquared Games</t>
  </si>
  <si>
    <t>It's Happening</t>
  </si>
  <si>
    <t>Just Add Water</t>
  </si>
  <si>
    <t>Krisalis Software</t>
  </si>
  <si>
    <t>Laser Dog</t>
  </si>
  <si>
    <t>Laughing Jackal Ltd</t>
  </si>
  <si>
    <t>Lightwood Games</t>
  </si>
  <si>
    <t>Llamasoft</t>
  </si>
  <si>
    <t>London Studio</t>
  </si>
  <si>
    <t>Lucid Games</t>
  </si>
  <si>
    <t>Media Molecule</t>
  </si>
  <si>
    <t>Mediatonic</t>
  </si>
  <si>
    <t>Modern Dream</t>
  </si>
  <si>
    <t>Mouldy Toof Studios</t>
  </si>
  <si>
    <t>nDreams</t>
  </si>
  <si>
    <t>Odd Bug Studios</t>
  </si>
  <si>
    <t>Playrise Digital Ltd</t>
  </si>
  <si>
    <t>Playtonic Games</t>
  </si>
  <si>
    <t>Prospect Games</t>
  </si>
  <si>
    <t>Puppy Games</t>
  </si>
  <si>
    <t>Rebellion Developments (Core Design)</t>
  </si>
  <si>
    <t>Red Phantom Games</t>
  </si>
  <si>
    <t>Relentless Software</t>
  </si>
  <si>
    <t>Repixel8</t>
  </si>
  <si>
    <t>Rockstar Leeds</t>
  </si>
  <si>
    <t>Rocksteady Studios</t>
  </si>
  <si>
    <t>Roll7</t>
  </si>
  <si>
    <t>Secret Sorcery</t>
  </si>
  <si>
    <t>Shedworks</t>
  </si>
  <si>
    <t>Slightly Mad Studios</t>
  </si>
  <si>
    <t>Spiral House</t>
  </si>
  <si>
    <t>Splash Damage</t>
  </si>
  <si>
    <t>Studio Liverpool (Psygnosis)</t>
  </si>
  <si>
    <t>Sumo Digital</t>
  </si>
  <si>
    <t>Superflat Games</t>
  </si>
  <si>
    <t>Supermassive Games</t>
  </si>
  <si>
    <t>Supersonic Software</t>
  </si>
  <si>
    <t>System 3 Software</t>
  </si>
  <si>
    <t>Team17</t>
  </si>
  <si>
    <t>The Chinese Room</t>
  </si>
  <si>
    <t>Three Fields Entertainment</t>
  </si>
  <si>
    <t>Tikipod</t>
  </si>
  <si>
    <t>TT Games (Travellers Tales)</t>
  </si>
  <si>
    <t>Twistplay</t>
  </si>
  <si>
    <t>Two Point Studios</t>
  </si>
  <si>
    <t>Ubisoft Leamington (FreeStyleGames and Exient Entertainment)</t>
  </si>
  <si>
    <t>Ubisoft Reflections (Reflections Interactive)</t>
  </si>
  <si>
    <t>Viewpoint Games</t>
  </si>
  <si>
    <t>VooFoo Studios</t>
  </si>
  <si>
    <t>Wish Studios</t>
  </si>
  <si>
    <t>Wolf &amp; Wood Interactive Ltd</t>
  </si>
  <si>
    <t>Yeah Us!</t>
  </si>
  <si>
    <t>Robert Kurvitz (ZA/UM)</t>
  </si>
  <si>
    <t>Estonia</t>
  </si>
  <si>
    <t>10tons</t>
  </si>
  <si>
    <t>Finland</t>
  </si>
  <si>
    <t>Bugbear Entertainment</t>
  </si>
  <si>
    <t>Colossal Order</t>
  </si>
  <si>
    <t>Facepalm Games</t>
  </si>
  <si>
    <t>Frozenbyte</t>
  </si>
  <si>
    <t>Housemarque</t>
  </si>
  <si>
    <t>HypeHype (Frogmind)</t>
  </si>
  <si>
    <t>Remedy Entertainment</t>
  </si>
  <si>
    <t>Rovio Entertainment (Housemarque)</t>
  </si>
  <si>
    <t>Arkane Studios</t>
  </si>
  <si>
    <t>Asobo Studio</t>
  </si>
  <si>
    <t>Atari SA (Infogrames Lyon House)</t>
  </si>
  <si>
    <t>Awaceb</t>
  </si>
  <si>
    <t>Bento Studio</t>
  </si>
  <si>
    <t>BlueTwelve Studio</t>
  </si>
  <si>
    <t>Cyanide</t>
  </si>
  <si>
    <t>Delphine Software International</t>
  </si>
  <si>
    <t>Dontnod Entertainment</t>
  </si>
  <si>
    <t>Gameloft</t>
  </si>
  <si>
    <t>Ivory Tower</t>
  </si>
  <si>
    <t>Kylotonn</t>
  </si>
  <si>
    <t>Le Cartel Studio</t>
  </si>
  <si>
    <t>Lizardcube</t>
  </si>
  <si>
    <t>Louis Rigaud</t>
  </si>
  <si>
    <t>Mighty Rocket Studio</t>
  </si>
  <si>
    <t>Nadeo</t>
  </si>
  <si>
    <t>Passtech Games</t>
  </si>
  <si>
    <t>Quantic Dream</t>
  </si>
  <si>
    <t>RedLynx</t>
  </si>
  <si>
    <t>Sloclap</t>
  </si>
  <si>
    <t>Spiders</t>
  </si>
  <si>
    <t>The Game Atelier</t>
  </si>
  <si>
    <t>Ubisoft Montpellier</t>
  </si>
  <si>
    <t>Black Forest Games</t>
  </si>
  <si>
    <t>Germany</t>
  </si>
  <si>
    <t>Brainseed Factory</t>
  </si>
  <si>
    <t>CrazyBunch</t>
  </si>
  <si>
    <t>Crows Crows Crows</t>
  </si>
  <si>
    <t>Crytek</t>
  </si>
  <si>
    <t>Dexai Arts</t>
  </si>
  <si>
    <t>FAKT Software</t>
  </si>
  <si>
    <t>Gaming Minds Studios</t>
  </si>
  <si>
    <t>Hucast Games</t>
  </si>
  <si>
    <t>Ion Lands</t>
  </si>
  <si>
    <t>metricminds</t>
  </si>
  <si>
    <t>Noowanda</t>
  </si>
  <si>
    <t>Pixel Maniacs</t>
  </si>
  <si>
    <t>Realmforge Studios</t>
  </si>
  <si>
    <t>Shin`en Multimedia</t>
  </si>
  <si>
    <t>Yager Development</t>
  </si>
  <si>
    <t>Playbox (Digital Reality)</t>
  </si>
  <si>
    <t>Hungary</t>
  </si>
  <si>
    <t>The Wild Gentlemen</t>
  </si>
  <si>
    <t>CCP Games</t>
  </si>
  <si>
    <t>Iceland</t>
  </si>
  <si>
    <t>MassHive Media</t>
  </si>
  <si>
    <t>Indonesia</t>
  </si>
  <si>
    <t>Toge Productions</t>
  </si>
  <si>
    <t>CrazyLabs</t>
  </si>
  <si>
    <t>Israel</t>
  </si>
  <si>
    <t>Chubby Pixel</t>
  </si>
  <si>
    <t>Italy</t>
  </si>
  <si>
    <t>Milestone</t>
  </si>
  <si>
    <t>MixedBag</t>
  </si>
  <si>
    <t>Reddoll Srl</t>
  </si>
  <si>
    <t>The Fox Software</t>
  </si>
  <si>
    <t>Trinity Team</t>
  </si>
  <si>
    <t>ACQUIRE Corp</t>
  </si>
  <si>
    <t>Adglobe Live Wire</t>
  </si>
  <si>
    <t>Alvion</t>
  </si>
  <si>
    <t>Aqua Style</t>
  </si>
  <si>
    <t>Arc System Works</t>
  </si>
  <si>
    <t>Atlus</t>
  </si>
  <si>
    <t>Bandai Namco Studios</t>
  </si>
  <si>
    <t>Bimboosoft</t>
  </si>
  <si>
    <t>Brownies</t>
  </si>
  <si>
    <t>Clap Hanz</t>
  </si>
  <si>
    <t>Clover Studio</t>
  </si>
  <si>
    <t>Exact (EXcellent Application Create Team)</t>
  </si>
  <si>
    <t>FromSoftware</t>
  </si>
  <si>
    <t>Game Freak</t>
  </si>
  <si>
    <t>Ganbarion</t>
  </si>
  <si>
    <t>Gibier Games</t>
  </si>
  <si>
    <t>Grasshopper Manufacture</t>
  </si>
  <si>
    <t>Honey Parade Games</t>
  </si>
  <si>
    <t>Konami</t>
  </si>
  <si>
    <t>Level-5</t>
  </si>
  <si>
    <t>Love-De-Lic</t>
  </si>
  <si>
    <t>Marvelous Interactive</t>
  </si>
  <si>
    <t>Masaya</t>
  </si>
  <si>
    <t>Monstars</t>
  </si>
  <si>
    <t>Moppin (Ojiro Fumoto)</t>
  </si>
  <si>
    <t>NanaOn-Sha</t>
  </si>
  <si>
    <t>Nippon Ichi Software</t>
  </si>
  <si>
    <t>Now Production</t>
  </si>
  <si>
    <t>Omega Force</t>
  </si>
  <si>
    <t>Paon</t>
  </si>
  <si>
    <t>PlatinumGames</t>
  </si>
  <si>
    <t>Pocket Pair</t>
  </si>
  <si>
    <t>Polyphony Digital</t>
  </si>
  <si>
    <t>Q-Games</t>
  </si>
  <si>
    <t>Ryu Ga Gotoku Studio</t>
  </si>
  <si>
    <t>SEGA</t>
  </si>
  <si>
    <t>Sony Interactive Entertainment</t>
  </si>
  <si>
    <t>souvenir circ</t>
  </si>
  <si>
    <t>Spike Chunsoft</t>
  </si>
  <si>
    <t>Square Enix (SquareSoft)</t>
  </si>
  <si>
    <t>Tamsoft</t>
  </si>
  <si>
    <t>Tango Gameworks</t>
  </si>
  <si>
    <t>Team Arcana (Examu)</t>
  </si>
  <si>
    <t>Team Asobi (Japan Studio)</t>
  </si>
  <si>
    <t>Team Ninja</t>
  </si>
  <si>
    <t>Whoopee Camp</t>
  </si>
  <si>
    <t>Workyrie Game Studio</t>
  </si>
  <si>
    <t>Yukes</t>
  </si>
  <si>
    <t>Nurijoy</t>
  </si>
  <si>
    <t>Korea Republic</t>
  </si>
  <si>
    <t>SouthPAW Games</t>
  </si>
  <si>
    <t>No Brakes Games</t>
  </si>
  <si>
    <t>Lithuania</t>
  </si>
  <si>
    <t>pixel.lu</t>
  </si>
  <si>
    <t>Luxembourg</t>
  </si>
  <si>
    <t>Squad</t>
  </si>
  <si>
    <t>Mexico</t>
  </si>
  <si>
    <t>Abstraction Games</t>
  </si>
  <si>
    <t>Guerrilla Games</t>
  </si>
  <si>
    <t>Little Chicken</t>
  </si>
  <si>
    <t>Tiger &amp; Squid</t>
  </si>
  <si>
    <t>Vertigo Games</t>
  </si>
  <si>
    <t>WeirdBeard</t>
  </si>
  <si>
    <t>Oddboy</t>
  </si>
  <si>
    <t>New Zealand</t>
  </si>
  <si>
    <t>Billy Goat Entertainment Ltd</t>
  </si>
  <si>
    <t>Northern Ireland</t>
  </si>
  <si>
    <t>Perfectly Paranormal</t>
  </si>
  <si>
    <t>Norway</t>
  </si>
  <si>
    <t>Bamtang Games</t>
  </si>
  <si>
    <t>Peru</t>
  </si>
  <si>
    <t>Bloober Team</t>
  </si>
  <si>
    <t>Poland</t>
  </si>
  <si>
    <t>CD Projekt Red</t>
  </si>
  <si>
    <t>Flying Wild Hog</t>
  </si>
  <si>
    <t>Juggler Games</t>
  </si>
  <si>
    <t>Jutsu Games</t>
  </si>
  <si>
    <t>Klabater</t>
  </si>
  <si>
    <t>Lichthund</t>
  </si>
  <si>
    <t>Mass Creation</t>
  </si>
  <si>
    <t>Pixel Crow</t>
  </si>
  <si>
    <t>Robot Gentleman</t>
  </si>
  <si>
    <t>Superhot Team</t>
  </si>
  <si>
    <t>Techland</t>
  </si>
  <si>
    <t>Teyon</t>
  </si>
  <si>
    <t>Vile Monarch</t>
  </si>
  <si>
    <t>VR Factory</t>
  </si>
  <si>
    <t>AstralShiftPro</t>
  </si>
  <si>
    <t>Portugal</t>
  </si>
  <si>
    <t>Upfall Studios</t>
  </si>
  <si>
    <t>Romero Games</t>
  </si>
  <si>
    <t>Republic of Ireland</t>
  </si>
  <si>
    <t>Spooky Doorway</t>
  </si>
  <si>
    <t>BUG-Studio</t>
  </si>
  <si>
    <t>Russia</t>
  </si>
  <si>
    <t>Four Quarters</t>
  </si>
  <si>
    <t>IzHard</t>
  </si>
  <si>
    <t>Luden.io</t>
  </si>
  <si>
    <t>PigeonDev</t>
  </si>
  <si>
    <t>Sergey Noskov</t>
  </si>
  <si>
    <t>Sometimes You</t>
  </si>
  <si>
    <t>Ant Workshop</t>
  </si>
  <si>
    <t>Scotland</t>
  </si>
  <si>
    <t>Extra Mile Studios</t>
  </si>
  <si>
    <t>Rockstar North</t>
  </si>
  <si>
    <t>Sad Owl Studios</t>
  </si>
  <si>
    <t>Uncommon Chocolate</t>
  </si>
  <si>
    <t>Daylight Studios</t>
  </si>
  <si>
    <t>Singapore</t>
  </si>
  <si>
    <t>Ratloop Asia</t>
  </si>
  <si>
    <t>Fraoula</t>
  </si>
  <si>
    <t>Slovenia</t>
  </si>
  <si>
    <t>Free Lives</t>
  </si>
  <si>
    <t>South Africa</t>
  </si>
  <si>
    <t>aheartfulofgames</t>
  </si>
  <si>
    <t>Spain</t>
  </si>
  <si>
    <t>Beautiful Glitch</t>
  </si>
  <si>
    <t>Herobeat Studios</t>
  </si>
  <si>
    <t>JanduSoft</t>
  </si>
  <si>
    <t>Pendulo Studios</t>
  </si>
  <si>
    <t>Rampage Game Studios</t>
  </si>
  <si>
    <t>Tequila Works</t>
  </si>
  <si>
    <t>Thinice Games</t>
  </si>
  <si>
    <t>Unfinished Pixel</t>
  </si>
  <si>
    <t>Wildbit Studios</t>
  </si>
  <si>
    <t>Xaloc Studios</t>
  </si>
  <si>
    <t>Arrowhead Game Studios</t>
  </si>
  <si>
    <t>Sweden</t>
  </si>
  <si>
    <t>Coffee Stain Studios</t>
  </si>
  <si>
    <t>Coldwood Interactive</t>
  </si>
  <si>
    <t>Dennaton Games</t>
  </si>
  <si>
    <t>DoubleMoose Games</t>
  </si>
  <si>
    <t>EA DICE (Digital Illusions CE)</t>
  </si>
  <si>
    <t>EA Gothenburg (Ghost Games)</t>
  </si>
  <si>
    <t>Experiment 101</t>
  </si>
  <si>
    <t>Fast Travel Games</t>
  </si>
  <si>
    <t>Frictional Games</t>
  </si>
  <si>
    <t>Game Design Sweden AB</t>
  </si>
  <si>
    <t>Hazelight Studios</t>
  </si>
  <si>
    <t>Image &amp; Form</t>
  </si>
  <si>
    <t>Landfall Games</t>
  </si>
  <si>
    <t>Ludosity</t>
  </si>
  <si>
    <t>MachineGames</t>
  </si>
  <si>
    <t>Mojang Studios</t>
  </si>
  <si>
    <t>Neat Corporation</t>
  </si>
  <si>
    <t>Overkill Software</t>
  </si>
  <si>
    <t>Pretty Fly Studios</t>
  </si>
  <si>
    <t>Something We Made</t>
  </si>
  <si>
    <t>Starbreeze Studios</t>
  </si>
  <si>
    <t>Systemic Reaction</t>
  </si>
  <si>
    <t>Tarsier Studios</t>
  </si>
  <si>
    <t>Whirlybird Games</t>
  </si>
  <si>
    <t>GIANTS Software</t>
  </si>
  <si>
    <t>Switzerland</t>
  </si>
  <si>
    <t>maJAJa</t>
  </si>
  <si>
    <t>Taiwan</t>
  </si>
  <si>
    <t>Squid Shock Studios</t>
  </si>
  <si>
    <t>Thailand</t>
  </si>
  <si>
    <t>4A Games</t>
  </si>
  <si>
    <t>Ukraine</t>
  </si>
  <si>
    <t>Frogwares</t>
  </si>
  <si>
    <t>Pinokl Games</t>
  </si>
  <si>
    <t>2K Boston (Irrational Games)</t>
  </si>
  <si>
    <t>2K Marin</t>
  </si>
  <si>
    <t>5th Cell</t>
  </si>
  <si>
    <t>Aggro Crab</t>
  </si>
  <si>
    <t>Airtight Games</t>
  </si>
  <si>
    <t>Avalanche Software</t>
  </si>
  <si>
    <t>Ben Esposito</t>
  </si>
  <si>
    <t>Bend Studio (Eidetic)</t>
  </si>
  <si>
    <t>Bethesda Game Studios</t>
  </si>
  <si>
    <t>Big Huge Games</t>
  </si>
  <si>
    <t>Bit Planet Games</t>
  </si>
  <si>
    <t>Bungie</t>
  </si>
  <si>
    <t>Camouflaj</t>
  </si>
  <si>
    <t>Cat Daddy Games</t>
  </si>
  <si>
    <t>Cold Iron Studios</t>
  </si>
  <si>
    <t>Cold Symmetry</t>
  </si>
  <si>
    <t>ConcernedApe (Eric Barone)</t>
  </si>
  <si>
    <t>Counterplay Games</t>
  </si>
  <si>
    <t>Cowardly Creations</t>
  </si>
  <si>
    <t>Crystal Dynamics</t>
  </si>
  <si>
    <t>Dead Drop Studios LLC</t>
  </si>
  <si>
    <t>Dee Dee Creations</t>
  </si>
  <si>
    <t>Deep Silver Volition</t>
  </si>
  <si>
    <t>Depth First Games</t>
  </si>
  <si>
    <t>Digital Eclipse</t>
  </si>
  <si>
    <t>Dingaling Productions</t>
  </si>
  <si>
    <t>Dodge Roll</t>
  </si>
  <si>
    <t>Double Fine Productions</t>
  </si>
  <si>
    <t>Dynamighty</t>
  </si>
  <si>
    <t>EA Tiburon</t>
  </si>
  <si>
    <t>Eat Sleep Play</t>
  </si>
  <si>
    <t>Ember Lab</t>
  </si>
  <si>
    <t>Empty Clip Studios</t>
  </si>
  <si>
    <t>Enhance Games</t>
  </si>
  <si>
    <t>Epic Games</t>
  </si>
  <si>
    <t>EQ-Games</t>
  </si>
  <si>
    <t>Firaxis Games</t>
  </si>
  <si>
    <t>FireForge Games</t>
  </si>
  <si>
    <t>First Watch Games</t>
  </si>
  <si>
    <t>FitXR</t>
  </si>
  <si>
    <t>Frame Interactive</t>
  </si>
  <si>
    <t>Fun Bits Interactive</t>
  </si>
  <si>
    <t>Gearbox Software</t>
  </si>
  <si>
    <t>Giant Sparrow</t>
  </si>
  <si>
    <t>Giant Squid Studios</t>
  </si>
  <si>
    <t>Grab Games</t>
  </si>
  <si>
    <t>Graceful Decay</t>
  </si>
  <si>
    <t>Hailstorm Games</t>
  </si>
  <si>
    <t>Hangar 13 (2K Czech)</t>
  </si>
  <si>
    <t>HappyGiant</t>
  </si>
  <si>
    <t>Harmonix Music Systems</t>
  </si>
  <si>
    <t>Heavy Iron Studios</t>
  </si>
  <si>
    <t>High Impact Games</t>
  </si>
  <si>
    <t>High Moon Studios</t>
  </si>
  <si>
    <t>Hopoo Games</t>
  </si>
  <si>
    <t>HumaNature Studios</t>
  </si>
  <si>
    <t>id Software</t>
  </si>
  <si>
    <t>Incognito Entertainment</t>
  </si>
  <si>
    <t>Infinity Ward</t>
  </si>
  <si>
    <t>Infuse Studio</t>
  </si>
  <si>
    <t>Insomniac Games</t>
  </si>
  <si>
    <t>Ion Storm</t>
  </si>
  <si>
    <t>Iron Galaxy Studios</t>
  </si>
  <si>
    <t>Ironwood Studios</t>
  </si>
  <si>
    <t>Johnson Voorsanger Productions</t>
  </si>
  <si>
    <t>Kronos Digital Entertainment</t>
  </si>
  <si>
    <t>Kung Fu Factory</t>
  </si>
  <si>
    <t>LucasArts</t>
  </si>
  <si>
    <t>Maxis</t>
  </si>
  <si>
    <t>Mega Crit</t>
  </si>
  <si>
    <t>Midway</t>
  </si>
  <si>
    <t>Monolith Productions</t>
  </si>
  <si>
    <t>Mossmouth LLC</t>
  </si>
  <si>
    <t>Mothership Entertainment</t>
  </si>
  <si>
    <t>Naughty Dog</t>
  </si>
  <si>
    <t>NetherRealm Studios</t>
  </si>
  <si>
    <t>Nicalis</t>
  </si>
  <si>
    <t>Night School Studio</t>
  </si>
  <si>
    <t>Nihilistic Software</t>
  </si>
  <si>
    <t>NomNomNami</t>
  </si>
  <si>
    <t>Obsidian Entertainment</t>
  </si>
  <si>
    <t>Oddworld Inhabitants</t>
  </si>
  <si>
    <t>One Loop Games</t>
  </si>
  <si>
    <t>Other Ocean Emeryville</t>
  </si>
  <si>
    <t>Owlchemy Labs</t>
  </si>
  <si>
    <t>Pandemic Studios</t>
  </si>
  <si>
    <t>Paradigm Entertainment</t>
  </si>
  <si>
    <t>Pencil Test Studios</t>
  </si>
  <si>
    <t>Pixelopus</t>
  </si>
  <si>
    <t>Play-Em</t>
  </si>
  <si>
    <t>Polyarc</t>
  </si>
  <si>
    <t>PopCap Games</t>
  </si>
  <si>
    <t>Psyonix</t>
  </si>
  <si>
    <t>Question Games</t>
  </si>
  <si>
    <t>Ratloop</t>
  </si>
  <si>
    <t>Re-Logic</t>
  </si>
  <si>
    <t>Ready At Dawn Studios</t>
  </si>
  <si>
    <t>Red Storm Entertainment</t>
  </si>
  <si>
    <t>Respawn Entertainment</t>
  </si>
  <si>
    <t>Robomodo</t>
  </si>
  <si>
    <t>Rockstar San Diego</t>
  </si>
  <si>
    <t>Running With Scissors</t>
  </si>
  <si>
    <t>Saber Interactive</t>
  </si>
  <si>
    <t>San Diego Studio</t>
  </si>
  <si>
    <t>Santa Monica Studio</t>
  </si>
  <si>
    <t>Sanzaru Games</t>
  </si>
  <si>
    <t>Schell Games</t>
  </si>
  <si>
    <t>Shared Memory</t>
  </si>
  <si>
    <t>SingleTrac</t>
  </si>
  <si>
    <t>Skookum Arts</t>
  </si>
  <si>
    <t>Skydance Interactive</t>
  </si>
  <si>
    <t>Snoozy Kazoo</t>
  </si>
  <si>
    <t>SoMa Play</t>
  </si>
  <si>
    <t>Sony Interactive Studios America (989 Studios)</t>
  </si>
  <si>
    <t>Squanch Games</t>
  </si>
  <si>
    <t>Striking Distance Studios</t>
  </si>
  <si>
    <t>Studio Wildcard</t>
  </si>
  <si>
    <t>Sucker Punch Productions</t>
  </si>
  <si>
    <t>Superbot Entertainment</t>
  </si>
  <si>
    <t>Survios</t>
  </si>
  <si>
    <t>Team Meat</t>
  </si>
  <si>
    <t>Team Salvato</t>
  </si>
  <si>
    <t>Telltale Games</t>
  </si>
  <si>
    <t>Terminal Reality</t>
  </si>
  <si>
    <t>Terrifying Jellyfish</t>
  </si>
  <si>
    <t>Thatgamecompany</t>
  </si>
  <si>
    <t>The Behemoth</t>
  </si>
  <si>
    <t>The Molasses Flood</t>
  </si>
  <si>
    <t>The Munky</t>
  </si>
  <si>
    <t>Thekla Inc</t>
  </si>
  <si>
    <t>Thomas Happ Games</t>
  </si>
  <si>
    <t>Titan Studios</t>
  </si>
  <si>
    <t>Toby Fox</t>
  </si>
  <si>
    <t>Toys For Bob</t>
  </si>
  <si>
    <t>Treyarch</t>
  </si>
  <si>
    <t>Tripwire Interactive</t>
  </si>
  <si>
    <t>Turbo Button</t>
  </si>
  <si>
    <t>Ubisoft San Francisco</t>
  </si>
  <si>
    <t>Unbound Creations</t>
  </si>
  <si>
    <t>Unbroken Studios</t>
  </si>
  <si>
    <t>Unknown Worlds Entertainment</t>
  </si>
  <si>
    <t>Vector Unit</t>
  </si>
  <si>
    <t>Velan Studios</t>
  </si>
  <si>
    <t>Vicarious Visions</t>
  </si>
  <si>
    <t>Visceral Games (EA Redwood Shores)</t>
  </si>
  <si>
    <t>Visual Concepts</t>
  </si>
  <si>
    <t>WayForward Technologies Inc</t>
  </si>
  <si>
    <t>WayTooManyGames</t>
  </si>
  <si>
    <t>Wishes Unlimited (Greg Lobanov)</t>
  </si>
  <si>
    <t>Wolf Brew Games</t>
  </si>
  <si>
    <t>Yacht Club Games</t>
  </si>
  <si>
    <t>Young Horses</t>
  </si>
  <si>
    <t>Triple Eh? Ltd</t>
  </si>
  <si>
    <t>Wales</t>
  </si>
  <si>
    <t>Wales Interactive</t>
  </si>
  <si>
    <t>TY the Tasmanian Tiger</t>
  </si>
  <si>
    <t>TY the Tasmanian Tiger 2: Bush Rescue</t>
  </si>
  <si>
    <t>Jetpack Joyride</t>
  </si>
  <si>
    <t>LA Noire</t>
  </si>
  <si>
    <t>Borderlands: The Pre-Sequel</t>
  </si>
  <si>
    <t>Armello</t>
  </si>
  <si>
    <t>Assault Android Cactus</t>
  </si>
  <si>
    <t>PAC-MAN 256</t>
  </si>
  <si>
    <t>Death Squared</t>
  </si>
  <si>
    <t>Sonic Mania</t>
  </si>
  <si>
    <t>de Blob</t>
  </si>
  <si>
    <t>Hollow Knight</t>
  </si>
  <si>
    <t>Think of the Children</t>
  </si>
  <si>
    <t>Infliction: Extended Cut</t>
  </si>
  <si>
    <t>Untitled Goose Game</t>
  </si>
  <si>
    <t>Stranded Deep</t>
  </si>
  <si>
    <t>Tennis World Tour 2</t>
  </si>
  <si>
    <t>Heavenly Bodies</t>
  </si>
  <si>
    <t>Cult of the Lamb</t>
  </si>
  <si>
    <t>Fruit Ninja VR</t>
  </si>
  <si>
    <t>The American Dream</t>
  </si>
  <si>
    <t>Gun Club VR</t>
  </si>
  <si>
    <t>Hell Let Loose</t>
  </si>
  <si>
    <t>Bridge Constructor</t>
  </si>
  <si>
    <t>The Bug Butcher</t>
  </si>
  <si>
    <t>SpongeBob SquarePants: Battle for Bikini Bottom - Rehydrated</t>
  </si>
  <si>
    <t>SpongeBob SquarePants: The Cosmic Shake</t>
  </si>
  <si>
    <t>Disney Epic Mickey: Rebrushed</t>
  </si>
  <si>
    <t>This Is The Police</t>
  </si>
  <si>
    <t>Godlike Burger</t>
  </si>
  <si>
    <t>Space Pirate Trainer</t>
  </si>
  <si>
    <t>Apocalypse Rider</t>
  </si>
  <si>
    <t>Tropico 5</t>
  </si>
  <si>
    <t>Monsters Inc Scare Island</t>
  </si>
  <si>
    <t>Cel Damage</t>
  </si>
  <si>
    <t>Prince of Persia: The Sands of Time</t>
  </si>
  <si>
    <t>Prince of Persia: Warrior Within</t>
  </si>
  <si>
    <t>The Warriors</t>
  </si>
  <si>
    <t>Prince of Persia: The Two Thrones</t>
  </si>
  <si>
    <t>Canis Canem Edit (Bully)</t>
  </si>
  <si>
    <t>Army of Two</t>
  </si>
  <si>
    <t>Far Cry 2</t>
  </si>
  <si>
    <t>Skate 2</t>
  </si>
  <si>
    <t>Prototype</t>
  </si>
  <si>
    <t>ModNation Racers</t>
  </si>
  <si>
    <t>Naughty Bear</t>
  </si>
  <si>
    <t>Scott Pilgrim vs The World: The Game</t>
  </si>
  <si>
    <t>Dead Rising 2</t>
  </si>
  <si>
    <t>Mass Effect 2</t>
  </si>
  <si>
    <t>Fight Night Champion</t>
  </si>
  <si>
    <t>Deus Ex: Human Revolution</t>
  </si>
  <si>
    <t>DeathSpank: The Baconing</t>
  </si>
  <si>
    <t>Need for Speed: The Run</t>
  </si>
  <si>
    <t>The Darkness II</t>
  </si>
  <si>
    <t>Mass Effect 3</t>
  </si>
  <si>
    <t>FIFA Street (2012)</t>
  </si>
  <si>
    <t>Prototype 2</t>
  </si>
  <si>
    <t>The Amazing Spider-Man</t>
  </si>
  <si>
    <t>Sound Shapes</t>
  </si>
  <si>
    <t>Sleeping Dogs</t>
  </si>
  <si>
    <t>LittleBigPlanet Karting</t>
  </si>
  <si>
    <t>Far Cry 3</t>
  </si>
  <si>
    <t>Mass Effect</t>
  </si>
  <si>
    <t>Retro City Rampage</t>
  </si>
  <si>
    <t>Zombie Tycoon 2: Brainhovs Revenge</t>
  </si>
  <si>
    <t>FEZ</t>
  </si>
  <si>
    <t>Yu-Gi-Oh! Millennium Duels</t>
  </si>
  <si>
    <t>Child of Light</t>
  </si>
  <si>
    <t>Watch Dogs</t>
  </si>
  <si>
    <t>Rogue Legacy</t>
  </si>
  <si>
    <t>Slender: The Arrival</t>
  </si>
  <si>
    <t>Far Cry 4</t>
  </si>
  <si>
    <t>FIFA 16</t>
  </si>
  <si>
    <t>FIFA 17</t>
  </si>
  <si>
    <t>FIFA 18</t>
  </si>
  <si>
    <t>FIFA 19</t>
  </si>
  <si>
    <t>Home: A Unique Horror Adventure</t>
  </si>
  <si>
    <t>Get Off My Lawn!</t>
  </si>
  <si>
    <t>Ninja Senki DX</t>
  </si>
  <si>
    <t>Warframe</t>
  </si>
  <si>
    <t>Dont Starve</t>
  </si>
  <si>
    <t>Outlast</t>
  </si>
  <si>
    <t>Yu-Gi-Oh! Legacy of the Duelist</t>
  </si>
  <si>
    <t>Lovers in a Dangerous Spacetime</t>
  </si>
  <si>
    <t>Far Cry: Primal</t>
  </si>
  <si>
    <t>Absolute Drift</t>
  </si>
  <si>
    <t>Jazzpunk: Directors Cut</t>
  </si>
  <si>
    <t>Viking Squad</t>
  </si>
  <si>
    <t>Watch_Dogs 2</t>
  </si>
  <si>
    <t>Celeste</t>
  </si>
  <si>
    <t>Far Cry 5</t>
  </si>
  <si>
    <t>Shadow of the Tomb Raider</t>
  </si>
  <si>
    <t>Far Cry: New Dawn</t>
  </si>
  <si>
    <t>Crash Team Racing Nitro-Fueled</t>
  </si>
  <si>
    <t>FIFA 20</t>
  </si>
  <si>
    <t>Journey to the Savage Planet</t>
  </si>
  <si>
    <t>EA Sports UFC 4</t>
  </si>
  <si>
    <t>PGA Tour 2K21</t>
  </si>
  <si>
    <t>FIFA 21</t>
  </si>
  <si>
    <t>Watch_Dogs: Legion</t>
  </si>
  <si>
    <t>Assassins Creed Valhalla</t>
  </si>
  <si>
    <t>Tribes of Midgard</t>
  </si>
  <si>
    <t>AWAY: The Survival Series</t>
  </si>
  <si>
    <t>FIFA 22</t>
  </si>
  <si>
    <t>Art of Rally</t>
  </si>
  <si>
    <t>Far Cry 6</t>
  </si>
  <si>
    <t>Nobody Saves The World</t>
  </si>
  <si>
    <t>Tunic</t>
  </si>
  <si>
    <t>FIFA 23</t>
  </si>
  <si>
    <t>New Tales from the Borderlands</t>
  </si>
  <si>
    <t>Meet Your Maker</t>
  </si>
  <si>
    <t>Grindstone</t>
  </si>
  <si>
    <t>EA Sports FC 24</t>
  </si>
  <si>
    <t>NHL 24</t>
  </si>
  <si>
    <t>Bio Inc Redemption</t>
  </si>
  <si>
    <t>Keep Talking and Nobody Explodes</t>
  </si>
  <si>
    <t>Eagle Flight</t>
  </si>
  <si>
    <t>Mervils: A VR Adventure</t>
  </si>
  <si>
    <t>Kona VR</t>
  </si>
  <si>
    <t>Dead Space (2023)</t>
  </si>
  <si>
    <t>Rayman 2: The Great Escape</t>
  </si>
  <si>
    <t>UNO</t>
  </si>
  <si>
    <t>Alice: Madness Returns</t>
  </si>
  <si>
    <t>Animal Force</t>
  </si>
  <si>
    <t>Genshin Impact</t>
  </si>
  <si>
    <t>Undying</t>
  </si>
  <si>
    <t>Poltergeist: A Pixelated Horror</t>
  </si>
  <si>
    <t>Serious Sam 3: BFE</t>
  </si>
  <si>
    <t>The Talos Principle</t>
  </si>
  <si>
    <t>Bear with Me</t>
  </si>
  <si>
    <t>Serious Sam: The First Encounter</t>
  </si>
  <si>
    <t>Serious Sam: The Second Encounter</t>
  </si>
  <si>
    <t>Mafia II</t>
  </si>
  <si>
    <t>Jet Car Stunts</t>
  </si>
  <si>
    <t>Dex</t>
  </si>
  <si>
    <t>Beat Saber</t>
  </si>
  <si>
    <t>Crime Boss: Rockay City</t>
  </si>
  <si>
    <t>Duke Nukem 3D</t>
  </si>
  <si>
    <t>Kane and Lynch: Dead Men</t>
  </si>
  <si>
    <t>Kane and Lynch 2: Dog Days</t>
  </si>
  <si>
    <t>Hitman: Absolution</t>
  </si>
  <si>
    <t>Stikbold! A Dodgeball Adventure</t>
  </si>
  <si>
    <t>Hitman 2</t>
  </si>
  <si>
    <t>Ghostrunner</t>
  </si>
  <si>
    <t>First Class Trouble</t>
  </si>
  <si>
    <t>Deep Rock Galactic</t>
  </si>
  <si>
    <t>Cocoon</t>
  </si>
  <si>
    <t>Color Slayer</t>
  </si>
  <si>
    <t>Wipeout (1995)</t>
  </si>
  <si>
    <t>Destruction Derby</t>
  </si>
  <si>
    <t>Tomb Raider (1996)</t>
  </si>
  <si>
    <t>Croc: Legend of the Gobbos</t>
  </si>
  <si>
    <t>Hercules</t>
  </si>
  <si>
    <t>Tomb Raider II</t>
  </si>
  <si>
    <t>Theme Hospital</t>
  </si>
  <si>
    <t>Colin McRae Rally</t>
  </si>
  <si>
    <t>Medievil (1998)</t>
  </si>
  <si>
    <t>Tomb Raider III</t>
  </si>
  <si>
    <t>A Bugs Life</t>
  </si>
  <si>
    <t>Driver</t>
  </si>
  <si>
    <t>Pong: The Next Level</t>
  </si>
  <si>
    <t>Tomb Raider: The Last Revelation</t>
  </si>
  <si>
    <t>Toy Story 2: Buzz Lightyear to the Rescue!</t>
  </si>
  <si>
    <t>Medievil 2</t>
  </si>
  <si>
    <t>Hogs of War</t>
  </si>
  <si>
    <t>Tomb Raider: Chronicles</t>
  </si>
  <si>
    <t>Crash Bash</t>
  </si>
  <si>
    <t>Buzz Lightyear of Star Command</t>
  </si>
  <si>
    <t>Toy Story Racer</t>
  </si>
  <si>
    <t>TimeSplitters</t>
  </si>
  <si>
    <t>TimeSplitters 2</t>
  </si>
  <si>
    <t>Primal</t>
  </si>
  <si>
    <t>TimeSplitters: Future Perfect</t>
  </si>
  <si>
    <t>Super Monkey Ball Adventure</t>
  </si>
  <si>
    <t>LEGO Indiana Jones: The Original Adventures</t>
  </si>
  <si>
    <t>LEGO Batman: The Videogame</t>
  </si>
  <si>
    <t>DJ Hero</t>
  </si>
  <si>
    <t>Grand Theft Auto: Liberty City Stories</t>
  </si>
  <si>
    <t>Lemmings (2006)</t>
  </si>
  <si>
    <t>Grand Theft Auto: Vice City Stories</t>
  </si>
  <si>
    <t>Wipeout Pulse</t>
  </si>
  <si>
    <t>Grand Theft Auto: Chinatown Wars</t>
  </si>
  <si>
    <t>LEGO Star Wars III: The Clone Wars</t>
  </si>
  <si>
    <t>LEGO Pirates of the Caribbean: The Video Game</t>
  </si>
  <si>
    <t>Titan Attacks!</t>
  </si>
  <si>
    <t>Super Rub a Dub</t>
  </si>
  <si>
    <t>Wipeout HD (2008)</t>
  </si>
  <si>
    <t>LittleBigPlanet</t>
  </si>
  <si>
    <t>MotorStorm: Pacific Rift</t>
  </si>
  <si>
    <t>Batman: Arkham Asylum</t>
  </si>
  <si>
    <t>Need for Speed: Shift</t>
  </si>
  <si>
    <t>Buzz!: Quiz World</t>
  </si>
  <si>
    <t>Gravity Crash</t>
  </si>
  <si>
    <t>Blur</t>
  </si>
  <si>
    <t>LEGO Harry Potter Collection: Years 1-4</t>
  </si>
  <si>
    <t>DJ Hero 2</t>
  </si>
  <si>
    <t>LittleBigPlanet 2</t>
  </si>
  <si>
    <t>Motorstorm: Apocalypse</t>
  </si>
  <si>
    <t>Brink</t>
  </si>
  <si>
    <t>Beat Hazard Ultra</t>
  </si>
  <si>
    <t>Batman: Arkham City</t>
  </si>
  <si>
    <t>LEGO Harry Potter Collection: Years 5-7</t>
  </si>
  <si>
    <t>MotorStorm: RC</t>
  </si>
  <si>
    <t>Sniper Elite V2</t>
  </si>
  <si>
    <t>LEGO Batman 2: DC Super Heroes</t>
  </si>
  <si>
    <t>Joe Danger 2: The Movie</t>
  </si>
  <si>
    <t>Worms Revolution Extreme</t>
  </si>
  <si>
    <t>When Vikings Attack</t>
  </si>
  <si>
    <t>The Cube</t>
  </si>
  <si>
    <t>F1 Race Stars</t>
  </si>
  <si>
    <t>Ultratron</t>
  </si>
  <si>
    <t>Thomas Was Alone</t>
  </si>
  <si>
    <t>Stealth Inc: A Clone in the Dark</t>
  </si>
  <si>
    <t>Superfrog HD</t>
  </si>
  <si>
    <t>Lone Survivor</t>
  </si>
  <si>
    <t>LEGO Marvel Super Heroes</t>
  </si>
  <si>
    <t>Putty Squad</t>
  </si>
  <si>
    <t>Hohokum</t>
  </si>
  <si>
    <t>Geometry Wars 3: Dimensions Evolved</t>
  </si>
  <si>
    <t>LittleBigPlanet 3</t>
  </si>
  <si>
    <t>Stealth Inc 2: A Game of Clones</t>
  </si>
  <si>
    <t>Pumped BMX+</t>
  </si>
  <si>
    <t>Wipeout 2048 (2012)</t>
  </si>
  <si>
    <t>Spy Hunter (2012)</t>
  </si>
  <si>
    <t>Quell Memento</t>
  </si>
  <si>
    <t>Velocity Ultra</t>
  </si>
  <si>
    <t>OlliOlli</t>
  </si>
  <si>
    <t>Surge Deluxe</t>
  </si>
  <si>
    <t>TxK</t>
  </si>
  <si>
    <t>PlayStation VITA Pets</t>
  </si>
  <si>
    <t>Skeleton Rider</t>
  </si>
  <si>
    <t>Table Top Racing</t>
  </si>
  <si>
    <t>Velocity 2X</t>
  </si>
  <si>
    <t>Rock Boshers DX: Directors Cut</t>
  </si>
  <si>
    <t>Switch Galaxy Ultra</t>
  </si>
  <si>
    <t>Minutes</t>
  </si>
  <si>
    <t>OlliOlli 2: Welcome to Olliwood</t>
  </si>
  <si>
    <t>Flame Over</t>
  </si>
  <si>
    <t>Hatoful Boyfriend</t>
  </si>
  <si>
    <t>Pic-a-Pix Color</t>
  </si>
  <si>
    <t>Worms Battlegrounds</t>
  </si>
  <si>
    <t>Oddworld: New n Tasty</t>
  </si>
  <si>
    <t>Surgeon Simulator</t>
  </si>
  <si>
    <t>Flockers</t>
  </si>
  <si>
    <t>LA Cops</t>
  </si>
  <si>
    <t>The Escapists</t>
  </si>
  <si>
    <t>Batman: Arkham Knight</t>
  </si>
  <si>
    <t>Volume</t>
  </si>
  <si>
    <t>I am Bread</t>
  </si>
  <si>
    <t>Until Dawn</t>
  </si>
  <si>
    <t>Tearaway Unfolded</t>
  </si>
  <si>
    <t>HoPiKo</t>
  </si>
  <si>
    <t>Chime Sharp</t>
  </si>
  <si>
    <t>101 Ways To Die</t>
  </si>
  <si>
    <t>Table Top Racing: World Tour</t>
  </si>
  <si>
    <t>Dangerous Golf</t>
  </si>
  <si>
    <t>Overcooked</t>
  </si>
  <si>
    <t>No Mans Sky</t>
  </si>
  <si>
    <t>Worms W.M.D</t>
  </si>
  <si>
    <t>Hue</t>
  </si>
  <si>
    <t>Unbox: Newbies Adventure</t>
  </si>
  <si>
    <t>Tethered</t>
  </si>
  <si>
    <t>Amnesia: A Machine for Pigs</t>
  </si>
  <si>
    <t>LEGO City Undercover</t>
  </si>
  <si>
    <t>Yooka-Laylee</t>
  </si>
  <si>
    <t>Polybius</t>
  </si>
  <si>
    <t>Danger Zone</t>
  </si>
  <si>
    <t>Micro Machines World Series</t>
  </si>
  <si>
    <t>Thats You!</t>
  </si>
  <si>
    <t>The Persistence</t>
  </si>
  <si>
    <t>Overcooked 2</t>
  </si>
  <si>
    <t>LEGO DC Super-Villains</t>
  </si>
  <si>
    <t>Dangerous Driving</t>
  </si>
  <si>
    <t>Team Sonic Racing</t>
  </si>
  <si>
    <t>Yooka-Laylee and the Impossible Lair</t>
  </si>
  <si>
    <t>Dreams</t>
  </si>
  <si>
    <t>Two Point Hospital</t>
  </si>
  <si>
    <t>PONG Quest</t>
  </si>
  <si>
    <t>Formula Retro Racing</t>
  </si>
  <si>
    <t>Fall Guys: Ultimate Knockout</t>
  </si>
  <si>
    <t>DIRT 5</t>
  </si>
  <si>
    <t>Planet Coaster</t>
  </si>
  <si>
    <t>Sackboy: A Big Adventure</t>
  </si>
  <si>
    <t>Breaking Enigma</t>
  </si>
  <si>
    <t>Worms Rumble</t>
  </si>
  <si>
    <t>The Survivalists</t>
  </si>
  <si>
    <t>Sumatra: Fate of Yandi</t>
  </si>
  <si>
    <t>Angry Video Game Adventures (Angry Video Game Nerd I &amp; II Deluxe)</t>
  </si>
  <si>
    <t>Angry Video Game Adventures 2: ASSimilation (Angry Video Game Nerd I &amp; II Deluxe)</t>
  </si>
  <si>
    <t>F1 2021</t>
  </si>
  <si>
    <t>Tails of Iron</t>
  </si>
  <si>
    <t>Jurassic World Evolution 2</t>
  </si>
  <si>
    <t>Deaths Door</t>
  </si>
  <si>
    <t>OlliOlli World</t>
  </si>
  <si>
    <t>GRID Legends</t>
  </si>
  <si>
    <t>LEGO Star Wars: The Skywalker Saga</t>
  </si>
  <si>
    <t>Two Point Campus</t>
  </si>
  <si>
    <t>Rollerdrome</t>
  </si>
  <si>
    <t>F1 Manager 2022</t>
  </si>
  <si>
    <t>PowerWash Simulator</t>
  </si>
  <si>
    <t>Dead Island 2</t>
  </si>
  <si>
    <t>Killer Frequency</t>
  </si>
  <si>
    <t>F1 23</t>
  </si>
  <si>
    <t>PlateUp!</t>
  </si>
  <si>
    <t>Hustle Kings VR</t>
  </si>
  <si>
    <t>PlayStation VR Worlds</t>
  </si>
  <si>
    <t>Batman: Arkham VR</t>
  </si>
  <si>
    <t>Driveclub VR</t>
  </si>
  <si>
    <t>RIGS: Mechanized Combat League VR</t>
  </si>
  <si>
    <t>Tumble VR</t>
  </si>
  <si>
    <t>Until Dawn: Rush of Blood</t>
  </si>
  <si>
    <t>Lethal VR</t>
  </si>
  <si>
    <t>Tiny Trax</t>
  </si>
  <si>
    <t>VR Karts</t>
  </si>
  <si>
    <t>Shooty Fruity</t>
  </si>
  <si>
    <t>Hotel R n R</t>
  </si>
  <si>
    <t>Sniper Elite VR</t>
  </si>
  <si>
    <t>Sable</t>
  </si>
  <si>
    <t>Planet Zoo</t>
  </si>
  <si>
    <t>The Plucky Squire</t>
  </si>
  <si>
    <t>Disco Elysium: The Final Cut</t>
  </si>
  <si>
    <t>Max Payne</t>
  </si>
  <si>
    <t>Super Stardust HD</t>
  </si>
  <si>
    <t>Trine</t>
  </si>
  <si>
    <t>Trine 2</t>
  </si>
  <si>
    <t>Angry Birds Classic (2009)</t>
  </si>
  <si>
    <t>Angry Birds Seasons (2010)</t>
  </si>
  <si>
    <t>Angry Birds Rio (2011)</t>
  </si>
  <si>
    <t>The Swapper</t>
  </si>
  <si>
    <t>Tennis in the Face</t>
  </si>
  <si>
    <t>Badland</t>
  </si>
  <si>
    <t>Xenoraid</t>
  </si>
  <si>
    <t>RESOGUN</t>
  </si>
  <si>
    <t>Trine 3: The Artifacts of Power</t>
  </si>
  <si>
    <t>Neon Chrome</t>
  </si>
  <si>
    <t>Cities: Skylines</t>
  </si>
  <si>
    <t>Wreckfest</t>
  </si>
  <si>
    <t>Alan Wake</t>
  </si>
  <si>
    <t>Returnal</t>
  </si>
  <si>
    <t>Rayman</t>
  </si>
  <si>
    <t>Sheep Dog n Wolf</t>
  </si>
  <si>
    <t>Rayman 3: Hoodlum Havoc</t>
  </si>
  <si>
    <t>Beyond Good and Evil</t>
  </si>
  <si>
    <t>Fahrenheit (Indigo Prophecy)</t>
  </si>
  <si>
    <t>Heavy Rain</t>
  </si>
  <si>
    <t>Earthworm Jim HD</t>
  </si>
  <si>
    <t>Rayman Origins</t>
  </si>
  <si>
    <t>Dishonored</t>
  </si>
  <si>
    <t>Rayman Legends</t>
  </si>
  <si>
    <t>Beyond: Two Souls</t>
  </si>
  <si>
    <t>Final Exam</t>
  </si>
  <si>
    <t>Another World: 20th Anniversary</t>
  </si>
  <si>
    <t>Monopoly Deal (Monopoly Family Fun Pack)</t>
  </si>
  <si>
    <t>Monopoly Plus (Monopoly Family Fun Pack)</t>
  </si>
  <si>
    <t>Life is Strange</t>
  </si>
  <si>
    <t>Cosmophony</t>
  </si>
  <si>
    <t>Sunflowers</t>
  </si>
  <si>
    <t>Crazy Market</t>
  </si>
  <si>
    <t>Trials Fusion</t>
  </si>
  <si>
    <t>My Monopoly (Monopoly Family Fun Pack)</t>
  </si>
  <si>
    <t>The Crew</t>
  </si>
  <si>
    <t>Blood Bowl 2</t>
  </si>
  <si>
    <t>Trackmania Turbo</t>
  </si>
  <si>
    <t>WRC 6</t>
  </si>
  <si>
    <t>Mother Russia Bleeds</t>
  </si>
  <si>
    <t>Wonder Boy: The Dragons Trap</t>
  </si>
  <si>
    <t>Detroit: Become Human</t>
  </si>
  <si>
    <t>Flashback: Remastered Edition</t>
  </si>
  <si>
    <t>A Plague Tale: Innocence</t>
  </si>
  <si>
    <t>Iris and the Giant</t>
  </si>
  <si>
    <t>Curse of the Dead Gods</t>
  </si>
  <si>
    <t>Sifu</t>
  </si>
  <si>
    <t>Stray</t>
  </si>
  <si>
    <t>Tchia</t>
  </si>
  <si>
    <t>Steelrising</t>
  </si>
  <si>
    <t>A Plague Tale: Requiem</t>
  </si>
  <si>
    <t>Crazy Machines Elements</t>
  </si>
  <si>
    <t>Spec Ops: The Line</t>
  </si>
  <si>
    <t>Far Cry Classic</t>
  </si>
  <si>
    <t>Grand Ages: Medieval</t>
  </si>
  <si>
    <t>Art of Balance</t>
  </si>
  <si>
    <t>Typoman</t>
  </si>
  <si>
    <t>Ghost Blade HD</t>
  </si>
  <si>
    <t>Discovery</t>
  </si>
  <si>
    <t>Leisure Suit Larry - Wet Dreams Dont Dry</t>
  </si>
  <si>
    <t>Destroy All Humans! (2020)</t>
  </si>
  <si>
    <t>Cloudpunk</t>
  </si>
  <si>
    <t>Cant Drive This</t>
  </si>
  <si>
    <t>Spacebase Startopia</t>
  </si>
  <si>
    <t>Leisure Suit Larry - Wet Dreams Dry Twice</t>
  </si>
  <si>
    <t>The Stanley Parable: Ultra Deluxe</t>
  </si>
  <si>
    <t>Catch &amp; Release</t>
  </si>
  <si>
    <t>Destroy All Humans! 2: Reprobed</t>
  </si>
  <si>
    <t>Techno Banter</t>
  </si>
  <si>
    <t>Bang Bang Racing</t>
  </si>
  <si>
    <t>Chicken Police: Paint It Red!</t>
  </si>
  <si>
    <t>EVE: Valkyrie - Warzone</t>
  </si>
  <si>
    <t>Coffee Talk</t>
  </si>
  <si>
    <t>Potion Permit</t>
  </si>
  <si>
    <t>Coffee Talk Episode 2: Hibiscus and Butterfly</t>
  </si>
  <si>
    <t>Run Sausage Run!</t>
  </si>
  <si>
    <t>Futuridium EP Deluxe</t>
  </si>
  <si>
    <t>Active Soccer 2 DX</t>
  </si>
  <si>
    <t>forma.8</t>
  </si>
  <si>
    <t>Bud Spencer &amp; Terence Hill - Slaps And Beans</t>
  </si>
  <si>
    <t>Hot Wheels Unleashed</t>
  </si>
  <si>
    <t>Hot Wheels Unleashed 2 - Turbocharged</t>
  </si>
  <si>
    <t>VR Ping Pong</t>
  </si>
  <si>
    <t>The Guy VR</t>
  </si>
  <si>
    <t>Jumping Flash!</t>
  </si>
  <si>
    <t>Tekken</t>
  </si>
  <si>
    <t>Cho Aniki</t>
  </si>
  <si>
    <t>Tekken 2</t>
  </si>
  <si>
    <t>Motor Toon Grand Prix 2</t>
  </si>
  <si>
    <t>Suikoden</t>
  </si>
  <si>
    <t>PaRappa the Rapper</t>
  </si>
  <si>
    <t>Moon: Remix RPG Adventure</t>
  </si>
  <si>
    <t>Castlevania: Symphony of the Night</t>
  </si>
  <si>
    <t>Final Fantasy VII (1997)</t>
  </si>
  <si>
    <t>Klonoa: Door to Phantomile (1997)</t>
  </si>
  <si>
    <t>Tombi!</t>
  </si>
  <si>
    <t>Tekken 3</t>
  </si>
  <si>
    <t>Metal Gear Solid</t>
  </si>
  <si>
    <t>Silent Hill</t>
  </si>
  <si>
    <t>Um Jammer Lammy</t>
  </si>
  <si>
    <t>Final Fantasy VIII</t>
  </si>
  <si>
    <t>Tombi 2!: The Evil Swine Return</t>
  </si>
  <si>
    <t>Bishi Bashi Special</t>
  </si>
  <si>
    <t>Suikoden II</t>
  </si>
  <si>
    <t>Vib-Ribbon</t>
  </si>
  <si>
    <t>WWF! Smackdown 2: Know Your Role</t>
  </si>
  <si>
    <t>Final Fantasy IX</t>
  </si>
  <si>
    <t>Final Fantasy V</t>
  </si>
  <si>
    <t>Final Fantasy VI</t>
  </si>
  <si>
    <t>Crazy Taxi</t>
  </si>
  <si>
    <t>Dark Cloud</t>
  </si>
  <si>
    <t>Klonoa 2: Lunateas Veil (2001)</t>
  </si>
  <si>
    <t>Silent Hill 2</t>
  </si>
  <si>
    <t>Metal Gear Solid 2: Sons of Liberty</t>
  </si>
  <si>
    <t>Ico</t>
  </si>
  <si>
    <t>PaRappa the Rapper 2</t>
  </si>
  <si>
    <t>Final Fantasy X</t>
  </si>
  <si>
    <t>Kingdom Hearts</t>
  </si>
  <si>
    <t>Ape Escape 2</t>
  </si>
  <si>
    <t>Silent Hill 3</t>
  </si>
  <si>
    <t>Dark Chronicle (Dark Cloud 2)</t>
  </si>
  <si>
    <t>Sonic Heroes</t>
  </si>
  <si>
    <t>Final Fantasy X-2</t>
  </si>
  <si>
    <t>Metal Gear Solid 3: Snake Eater</t>
  </si>
  <si>
    <t>Harvest Moon: A Wonderful Life</t>
  </si>
  <si>
    <t>Shadow of the Colossus</t>
  </si>
  <si>
    <t>Kingdom Hearts II</t>
  </si>
  <si>
    <t>Okami</t>
  </si>
  <si>
    <t>Ape Escape: On the Loose</t>
  </si>
  <si>
    <t>LocoRoco</t>
  </si>
  <si>
    <t>Tekken 5: Dark Resurrection</t>
  </si>
  <si>
    <t>Crazy Taxi 2</t>
  </si>
  <si>
    <t>Final Fantasy (2008)</t>
  </si>
  <si>
    <t>Final Fantasy II (2008)</t>
  </si>
  <si>
    <t>Castlevania: Rondo of Blood (The Dracula X Chronicles)</t>
  </si>
  <si>
    <t>Everybodys Golf 2</t>
  </si>
  <si>
    <t>Prinny: Can I Really Be The Hero?</t>
  </si>
  <si>
    <t>Dead or Alive Paradise (Dead or Alive Xtreme 2)</t>
  </si>
  <si>
    <t>Metal Gear Solid: Peace Walker</t>
  </si>
  <si>
    <t>Kingdom Hearts Birth by Sleep and Re: Coded (HD 2.5 Remix)</t>
  </si>
  <si>
    <t>Final Fantasy IV: The Complete Collection (2011)</t>
  </si>
  <si>
    <t>Final Fantasy III (2006)</t>
  </si>
  <si>
    <t>Virtua Fighter 5</t>
  </si>
  <si>
    <t>Metal Gear Solid 4: Guns of the Patriots</t>
  </si>
  <si>
    <t>Siren: Blood Curse</t>
  </si>
  <si>
    <t>UFC 2009 Undisputed</t>
  </si>
  <si>
    <t>Pro Evolution Soccer 2010</t>
  </si>
  <si>
    <t>PixelJunk Shooter</t>
  </si>
  <si>
    <t>Bayonetta</t>
  </si>
  <si>
    <t>Final Fantasy XIII</t>
  </si>
  <si>
    <t>Like a Dragon 3 (Yakuza 3)</t>
  </si>
  <si>
    <t>Gran Turismo 5</t>
  </si>
  <si>
    <t>Like a Dragon 4 (Yakuza 4)</t>
  </si>
  <si>
    <t>Streets of Rage 2</t>
  </si>
  <si>
    <t>Dark Souls</t>
  </si>
  <si>
    <t>The House of the Dead: Overkill</t>
  </si>
  <si>
    <t>Sonic Generations</t>
  </si>
  <si>
    <t>Daytona USA</t>
  </si>
  <si>
    <t>Sonic CD (1993)</t>
  </si>
  <si>
    <t>The Simpsons Arcade Game</t>
  </si>
  <si>
    <t>Malicious</t>
  </si>
  <si>
    <t>Catherine</t>
  </si>
  <si>
    <t>Yakuza: Dead Souls</t>
  </si>
  <si>
    <t>Lollipop Chainsaw</t>
  </si>
  <si>
    <t>Tales of Graces f</t>
  </si>
  <si>
    <t>Jet Set Radio</t>
  </si>
  <si>
    <t>Tokyo Jungle</t>
  </si>
  <si>
    <t>Dead or Alive 5</t>
  </si>
  <si>
    <t>Ni No Kuni: Wrath of the White Witch</t>
  </si>
  <si>
    <t>Tekken Revolution</t>
  </si>
  <si>
    <t>Tales of Xillia</t>
  </si>
  <si>
    <t>Killer Is Dead</t>
  </si>
  <si>
    <t>Kingdom Hearts Re: Chain of Memories and 358/2 Days</t>
  </si>
  <si>
    <t>Dark Souls II</t>
  </si>
  <si>
    <t>One Piece: Unlimited World Red</t>
  </si>
  <si>
    <t>The Evil Within</t>
  </si>
  <si>
    <t>Metal Gear Solid V: The Phantom Pain</t>
  </si>
  <si>
    <t>Like a Dragon 5 (Yakuza 5)</t>
  </si>
  <si>
    <t>Nitroplus Blasterz: Heroines Infinite Duel</t>
  </si>
  <si>
    <t>Persona 5</t>
  </si>
  <si>
    <t>Welcome Park</t>
  </si>
  <si>
    <t>Table Football</t>
  </si>
  <si>
    <t>Touch my Katamari</t>
  </si>
  <si>
    <t>Gravity Rush</t>
  </si>
  <si>
    <t>Zero Escape: Virtues Last Reward</t>
  </si>
  <si>
    <t>Paint Park Plus</t>
  </si>
  <si>
    <t>No Heroes Allowed: No Puzzles Either!</t>
  </si>
  <si>
    <t>Downwell</t>
  </si>
  <si>
    <t>Wanderjahr</t>
  </si>
  <si>
    <t>Yomawari: Night Alone</t>
  </si>
  <si>
    <t>Touhou Double Focus</t>
  </si>
  <si>
    <t>Yomawari: Midnight Shadows</t>
  </si>
  <si>
    <t>Klonoa: Door to Phantomile (2008)</t>
  </si>
  <si>
    <t>Knack</t>
  </si>
  <si>
    <t>The Playroom</t>
  </si>
  <si>
    <t>Bloodborne</t>
  </si>
  <si>
    <t>Tembo the Badass Elephant</t>
  </si>
  <si>
    <t>Croixleur Sigma</t>
  </si>
  <si>
    <t>Dark Souls III</t>
  </si>
  <si>
    <t>Final Fantasy XV</t>
  </si>
  <si>
    <t>The Last Guardian</t>
  </si>
  <si>
    <t>Rollercoaster Dreams</t>
  </si>
  <si>
    <t>Kingdom Hearts 3D: Dream Drop Distance and Back Cover (HD 2.8 Final Chapter Prologue)</t>
  </si>
  <si>
    <t>Kingdom Hearts 0.2 Birth by Sleep - A Fragmentary Passage (HD 2.8 Final Chapter Prologue)</t>
  </si>
  <si>
    <t>Like a Dragon (Yakuza 0)</t>
  </si>
  <si>
    <t>Tekken 7</t>
  </si>
  <si>
    <t>Like a Dragon Kiwami (Yakuza Kiwami)</t>
  </si>
  <si>
    <t>Everybodys Golf (2017)</t>
  </si>
  <si>
    <t>Knack 2</t>
  </si>
  <si>
    <t>Ni No Kuni II: Revenant Kingdom</t>
  </si>
  <si>
    <t>Like a Dragon 6 (Yakuza 6: The Song of Life)</t>
  </si>
  <si>
    <t>Shenmue</t>
  </si>
  <si>
    <t>Shenmue II</t>
  </si>
  <si>
    <t>Like a Dragon Kiwami 2 (Yakuza Kiwami 2)</t>
  </si>
  <si>
    <t>SoulCalibur VI</t>
  </si>
  <si>
    <t>Tetris Effect</t>
  </si>
  <si>
    <t>Kingdom Hearts III</t>
  </si>
  <si>
    <t>Sekiro: Shadows Die Twice</t>
  </si>
  <si>
    <t>Judgment</t>
  </si>
  <si>
    <t>Code Vein</t>
  </si>
  <si>
    <t>Super Monkey Ball: Banana Blitz HD</t>
  </si>
  <si>
    <t>Nioh 2</t>
  </si>
  <si>
    <t>Granblue Fantasy: Versus</t>
  </si>
  <si>
    <t>Final Fantasy VII (2020)</t>
  </si>
  <si>
    <t>Kandagawa Jet Girls</t>
  </si>
  <si>
    <t>Captain Tsubasa: Rise of New Champions</t>
  </si>
  <si>
    <t>Doraemon: Story of Seasons</t>
  </si>
  <si>
    <t>Zombie Zone (The Onee Chanbara)</t>
  </si>
  <si>
    <t>Zombie Zone 2 (The Onee Chanbara 2)</t>
  </si>
  <si>
    <t>Like a Dragon 7 (Yakuza 7)</t>
  </si>
  <si>
    <t>Katamari Damacy</t>
  </si>
  <si>
    <t>Persona 5 Strikers</t>
  </si>
  <si>
    <t>Ender Lilies: Quietus of the Knights</t>
  </si>
  <si>
    <t>Sonic Colours: Ultimate</t>
  </si>
  <si>
    <t>Lost Judgment</t>
  </si>
  <si>
    <t>DEEEER Simulator</t>
  </si>
  <si>
    <t>Elden Ring</t>
  </si>
  <si>
    <t>Sonic the Hedgehog (1991): Sonic Origins (2022)</t>
  </si>
  <si>
    <t>Sonic the Hedgehog 2 (1992): Sonic Origins (2022)</t>
  </si>
  <si>
    <t>Sonic the Hedgehog 3 &amp; Knuckles (1994): Sonic Origins (2022)</t>
  </si>
  <si>
    <t>Pac-Man World: Re-Pac</t>
  </si>
  <si>
    <t>Teenage Mutant Ninja Turtles (NES 1989) (The Cowabunga Collection)</t>
  </si>
  <si>
    <t>Teenage Mutant Ninja Turtles (Arcade 1989) (The Cowabunga Collection)</t>
  </si>
  <si>
    <t>Teenage Mutant Ninja Turtles II: The Arcade Game (1990) (The Cowabunga Collection)</t>
  </si>
  <si>
    <t>Teenage Mutant Ninja Turtles: Fall of the Foot Clan (1990) (The Cowabunga Collection)</t>
  </si>
  <si>
    <t>Teenage Mutant Ninja Turtles: Turtles in Time (Arcade 1991) (The Cowabunga Collection)</t>
  </si>
  <si>
    <t>Teenage Mutant Ninja Turtles II: Back from the Sewers (1991) (The Cowabunga Collection)</t>
  </si>
  <si>
    <t>Teenage Mutant Ninja Turtles III: The Manhattan Project (1992) (The Cowabunga Collection)</t>
  </si>
  <si>
    <t>Teenage Mutant Ninja Turtles IV: Turtles in Time (1992) (The Cowabunga Collection)</t>
  </si>
  <si>
    <t>Teenage Mutant Ninja Turtles: The Hyperstone Heist (1992) (The Cowabunga Collection)</t>
  </si>
  <si>
    <t>Teenage Mutant Ninja Turtles III: Radical Rescue (1993) (The Cowabunga Collection)</t>
  </si>
  <si>
    <t>Teenage Mutant Ninja Turtles: Tournament Fighters (SNES 1993) (The Cowabunga Collection)</t>
  </si>
  <si>
    <t>Teenage Mutant Ninja Turtles: Tournament Fighters (SEGA 1993) (The Cowabunga Collection)</t>
  </si>
  <si>
    <t>Teenage Mutant Ninja Turtles: Tournament Fighters (NES 1994) (The Cowabunga Collection)</t>
  </si>
  <si>
    <t>Like a Dragon: Ishin!</t>
  </si>
  <si>
    <t>Like a Dragon Gaiden: The Man Who Erased His Name</t>
  </si>
  <si>
    <t>Like a Dragon: Infinite Wealth</t>
  </si>
  <si>
    <t>The Playroom VR</t>
  </si>
  <si>
    <t>Everybodys Golf VR</t>
  </si>
  <si>
    <t>Dream Match Tennis VR</t>
  </si>
  <si>
    <t>ASTRO BOT Rescue Mission</t>
  </si>
  <si>
    <t>Kingdom Hearts: VR Experience</t>
  </si>
  <si>
    <t>Astros Playroom</t>
  </si>
  <si>
    <t>Ghostwire: Tokyo</t>
  </si>
  <si>
    <t>Tekken 8</t>
  </si>
  <si>
    <t>Final Fantasy VII: Rebirth (2024)</t>
  </si>
  <si>
    <t>Astro Bot</t>
  </si>
  <si>
    <t>Palworld</t>
  </si>
  <si>
    <t>Like a Dragon: Pirate Yakuza in Hawaii</t>
  </si>
  <si>
    <t>Superbeat: Xonic</t>
  </si>
  <si>
    <t>Skul: The Hero Slayer</t>
  </si>
  <si>
    <t>Human: Fall Flat</t>
  </si>
  <si>
    <t>Sir Lovelot</t>
  </si>
  <si>
    <t>Kerbal Space Program</t>
  </si>
  <si>
    <t>Killzone</t>
  </si>
  <si>
    <t>Gunslugs</t>
  </si>
  <si>
    <t>Beyond Eyes</t>
  </si>
  <si>
    <t>Tricky Towers</t>
  </si>
  <si>
    <t>Horizon Zero Dawn</t>
  </si>
  <si>
    <t>Horizon Forbidden West</t>
  </si>
  <si>
    <t>Arizona Sunshine</t>
  </si>
  <si>
    <t>Track Lab</t>
  </si>
  <si>
    <t>Traffic Jams</t>
  </si>
  <si>
    <t>Wanderer</t>
  </si>
  <si>
    <t>Supermarket Shriek</t>
  </si>
  <si>
    <t>Parcel Corps</t>
  </si>
  <si>
    <t>Manual Samuel</t>
  </si>
  <si>
    <t>The Holy Gosh Darn</t>
  </si>
  <si>
    <t>Sabans Mighty Morphin Power Rangers: Mega Battle</t>
  </si>
  <si>
    <t>Looney Tunes: Wacky World of Sports</t>
  </si>
  <si>
    <t>Dead Island</t>
  </si>
  <si>
    <t>Deathmatch Village</t>
  </si>
  <si>
    <t>The Witcher 3: Wild Hunt</t>
  </si>
  <si>
    <t>Lichtspeer</t>
  </si>
  <si>
    <t>Beat Cop</t>
  </si>
  <si>
    <t>Terminator: Resistance</t>
  </si>
  <si>
    <t>60 Seconds! Reatomized</t>
  </si>
  <si>
    <t>Shing</t>
  </si>
  <si>
    <t>Cyberpunk 2077</t>
  </si>
  <si>
    <t>Rustler (Grand Theft Horse)</t>
  </si>
  <si>
    <t>The Amazing American Circus</t>
  </si>
  <si>
    <t>Trek to Yomi</t>
  </si>
  <si>
    <t>Weedcraft Inc</t>
  </si>
  <si>
    <t>Moonshine Inc</t>
  </si>
  <si>
    <t>Superhot VR</t>
  </si>
  <si>
    <t>Horror Bar VR</t>
  </si>
  <si>
    <t>RoboCop: Rogue City</t>
  </si>
  <si>
    <t>Quest of Dungeons</t>
  </si>
  <si>
    <t>Little Goody Two Shoes</t>
  </si>
  <si>
    <t>Empire of Sin</t>
  </si>
  <si>
    <t>The Darkside Detective</t>
  </si>
  <si>
    <t>The Darkside Detective Season 2: A Fumble in the Dark</t>
  </si>
  <si>
    <t>Witchcrafty</t>
  </si>
  <si>
    <t>Please Dont Touch Anything</t>
  </si>
  <si>
    <t>Ovivo</t>
  </si>
  <si>
    <t>In Rays of the Light</t>
  </si>
  <si>
    <t>while true: learn( )</t>
  </si>
  <si>
    <t>One Escape</t>
  </si>
  <si>
    <t>Music Racer: Ultimate</t>
  </si>
  <si>
    <t>Grand Theft Auto III (2001)</t>
  </si>
  <si>
    <t>Grand Theft Auto: Vice City (2002)</t>
  </si>
  <si>
    <t>Manhunt</t>
  </si>
  <si>
    <t>Grand Theft Auto: San Andreas</t>
  </si>
  <si>
    <t>Grand Theft Auto IV</t>
  </si>
  <si>
    <t>Grand Theft Auto V</t>
  </si>
  <si>
    <t>Shred It</t>
  </si>
  <si>
    <t>Dead End Job</t>
  </si>
  <si>
    <t>You Are Being Followed</t>
  </si>
  <si>
    <t>Viewfinder</t>
  </si>
  <si>
    <t>Rocketbirds 2: Evolution</t>
  </si>
  <si>
    <t>Holy Potatoes! A Weapon Shop?!</t>
  </si>
  <si>
    <t>Holy Potatoes! Were in Space?!</t>
  </si>
  <si>
    <t>Holy Potatoes! What the Hell?!</t>
  </si>
  <si>
    <t>Neon Drive</t>
  </si>
  <si>
    <t>Broforce</t>
  </si>
  <si>
    <t>Anger Foot</t>
  </si>
  <si>
    <t>Spy Chameleon</t>
  </si>
  <si>
    <t>Twin Robots: Ultimate Edition</t>
  </si>
  <si>
    <t>Heart&amp;Slash</t>
  </si>
  <si>
    <t>Blacksad: Under the Skin</t>
  </si>
  <si>
    <t>DreamBall</t>
  </si>
  <si>
    <t>Super Kickers League</t>
  </si>
  <si>
    <t>Concept Destruction</t>
  </si>
  <si>
    <t>Monster Prom: XXL</t>
  </si>
  <si>
    <t>Evil Inside</t>
  </si>
  <si>
    <t>Endling: Extinction is Forever</t>
  </si>
  <si>
    <t>Coolpaintr VR</t>
  </si>
  <si>
    <t>Groundhog Day: Like Father Like Son</t>
  </si>
  <si>
    <t>Kula World</t>
  </si>
  <si>
    <t>The Darkness</t>
  </si>
  <si>
    <t>Battlefield 3</t>
  </si>
  <si>
    <t>Payday: The Heist</t>
  </si>
  <si>
    <t>Syndicate</t>
  </si>
  <si>
    <t>Hotline Miami</t>
  </si>
  <si>
    <t>Brothers: A Tale of Two Sons (2013)</t>
  </si>
  <si>
    <t>Minecraft</t>
  </si>
  <si>
    <t>Wolfenstein: The New Order</t>
  </si>
  <si>
    <t>Hotline Miami 2: Wrong Number</t>
  </si>
  <si>
    <t>Goat Simulator</t>
  </si>
  <si>
    <t>SteamWorld Dig</t>
  </si>
  <si>
    <t>SteamWorld Heist</t>
  </si>
  <si>
    <t>SteamWorld Dig 2</t>
  </si>
  <si>
    <t>Helldivers</t>
  </si>
  <si>
    <t>Wolfenstein: The Old Blood</t>
  </si>
  <si>
    <t>Unravel</t>
  </si>
  <si>
    <t>Clustertruck</t>
  </si>
  <si>
    <t>Battlefield 1</t>
  </si>
  <si>
    <t>Amnesia: The Dark Descent</t>
  </si>
  <si>
    <t>Little Nightmares</t>
  </si>
  <si>
    <t>Wolfenstein II: The New Colossus</t>
  </si>
  <si>
    <t>Generation Zero</t>
  </si>
  <si>
    <t>Wolfenstein: Youngblood</t>
  </si>
  <si>
    <t>Need for Speed Heat</t>
  </si>
  <si>
    <t>Minecraft Dungeons</t>
  </si>
  <si>
    <t>Total Arcade Racing</t>
  </si>
  <si>
    <t>Little Nightmares II</t>
  </si>
  <si>
    <t>It Takes Two</t>
  </si>
  <si>
    <t>Just Die Already</t>
  </si>
  <si>
    <t>Biomutant</t>
  </si>
  <si>
    <t>Nickelodeon All-Star Brawl</t>
  </si>
  <si>
    <t>Battlefield 2042</t>
  </si>
  <si>
    <t>Minecraft Legends</t>
  </si>
  <si>
    <t>SteamWorld Build</t>
  </si>
  <si>
    <t>VR The Diner Duo</t>
  </si>
  <si>
    <t>Apex Construct</t>
  </si>
  <si>
    <t>Budget Cuts</t>
  </si>
  <si>
    <t>TOEM: A Photo Adventure</t>
  </si>
  <si>
    <t>Goat Simulator 3</t>
  </si>
  <si>
    <t>Farming Simulator 22</t>
  </si>
  <si>
    <t>Dungeon Munchies</t>
  </si>
  <si>
    <t>Bo: Path of the Teal Lotus</t>
  </si>
  <si>
    <t>Metro: Last Light</t>
  </si>
  <si>
    <t>Metro 2033</t>
  </si>
  <si>
    <t>Party Hard</t>
  </si>
  <si>
    <t>Metro Exodus</t>
  </si>
  <si>
    <t>The Sinking City</t>
  </si>
  <si>
    <t>Party Hard 2</t>
  </si>
  <si>
    <t>DOOM II: Hell on Earth</t>
  </si>
  <si>
    <t>DOOM (1993)</t>
  </si>
  <si>
    <t>Mortal Kombat 3</t>
  </si>
  <si>
    <t>Twisted Metal (1995)</t>
  </si>
  <si>
    <t>Gex</t>
  </si>
  <si>
    <t>Crash Bandicoot (1996)</t>
  </si>
  <si>
    <t>Rally Cross</t>
  </si>
  <si>
    <t>Oddworld: Abes Oddysee (1997)</t>
  </si>
  <si>
    <t>Crash Bandicoot 2: Cortex Strikes Back (1997)</t>
  </si>
  <si>
    <t>Gex: Enter the Gecko</t>
  </si>
  <si>
    <t>Spyro the Dragon (1998)</t>
  </si>
  <si>
    <t>Oddworld: Abes Exoddus (1998)</t>
  </si>
  <si>
    <t>Crash Bandicoot 3: Warped (1998)</t>
  </si>
  <si>
    <t>Gex 3: Deep Cover Gecko</t>
  </si>
  <si>
    <t>Syphon Filter</t>
  </si>
  <si>
    <t>Crash Team Racing (1999)</t>
  </si>
  <si>
    <t>Spyro 2: Gateway to Glimmer (1999)</t>
  </si>
  <si>
    <t>Fear Effect</t>
  </si>
  <si>
    <t>Spyro 3: Year of the Dragon (2000)</t>
  </si>
  <si>
    <t>Fear Effect 2: Retro Helix</t>
  </si>
  <si>
    <t>Jak and Daxter: The Precursor Legacy</t>
  </si>
  <si>
    <t>Twisted Metal: Black</t>
  </si>
  <si>
    <t>Deus Ex</t>
  </si>
  <si>
    <t>Ratchet &amp; Clank (2002)</t>
  </si>
  <si>
    <t>Sly Raccoon</t>
  </si>
  <si>
    <t>The Sims</t>
  </si>
  <si>
    <t>Bloodrayne</t>
  </si>
  <si>
    <t>Jak II</t>
  </si>
  <si>
    <t>Ratchet &amp; Clank 2</t>
  </si>
  <si>
    <t>Red Dead Revolver</t>
  </si>
  <si>
    <t>Sly 2: Band of Thieves</t>
  </si>
  <si>
    <t>Ratchet &amp; Clank 3</t>
  </si>
  <si>
    <t>Jak 3</t>
  </si>
  <si>
    <t>Destroy All Humans! (2005)</t>
  </si>
  <si>
    <t>God of War (2005)</t>
  </si>
  <si>
    <t>Jak X: Combat Racing</t>
  </si>
  <si>
    <t>The Sims 2</t>
  </si>
  <si>
    <t>Ratchet: Gladiator</t>
  </si>
  <si>
    <t>Sly 3: Honour Among Thieves</t>
  </si>
  <si>
    <t>Psychonauts</t>
  </si>
  <si>
    <t>Bloodrayne 2</t>
  </si>
  <si>
    <t>Tomb Raider: Legend</t>
  </si>
  <si>
    <t>Destroy All Humans! 2 (2006)</t>
  </si>
  <si>
    <t>God of War II</t>
  </si>
  <si>
    <t>Tomb Raider: Anniversary</t>
  </si>
  <si>
    <t>Stuntman: Ignition</t>
  </si>
  <si>
    <t>The Simpsons Game</t>
  </si>
  <si>
    <t>Daxter</t>
  </si>
  <si>
    <t>Ratchet &amp; Clank: Size Matters</t>
  </si>
  <si>
    <t>Secret Agent Clank</t>
  </si>
  <si>
    <t>Resistance: Retribution</t>
  </si>
  <si>
    <t>Jak and Daxter: The Lost Frontier</t>
  </si>
  <si>
    <t>flOw</t>
  </si>
  <si>
    <t>Resistance: Fall of Man</t>
  </si>
  <si>
    <t>F.E.A.R (First Encounter Assault Recon)</t>
  </si>
  <si>
    <t>Ratchet &amp; Clank (Future): Tools of Destruction</t>
  </si>
  <si>
    <t>Uncharted: Drakes Fortune</t>
  </si>
  <si>
    <t>Ratchet &amp; Clank (Future): Quest for Booty</t>
  </si>
  <si>
    <t>Saints Row 2</t>
  </si>
  <si>
    <t>BioShock</t>
  </si>
  <si>
    <t>Dead Space (2008)</t>
  </si>
  <si>
    <t>Flower</t>
  </si>
  <si>
    <t>inFamous</t>
  </si>
  <si>
    <t>The Secret of Monkey Island</t>
  </si>
  <si>
    <t>Fat Princess</t>
  </si>
  <si>
    <t>Uncharted 2: Among Thieves</t>
  </si>
  <si>
    <t>Borderlands</t>
  </si>
  <si>
    <t>Ratchet &amp; Clank (Future): A Crack in Time</t>
  </si>
  <si>
    <t>Call of Duty: Modern Warfare 2</t>
  </si>
  <si>
    <t>BioShock 2</t>
  </si>
  <si>
    <t>God of War III</t>
  </si>
  <si>
    <t>Sam &amp; Max Season 3: The Devils Playhouse TTG</t>
  </si>
  <si>
    <t>Red Dead Redemption</t>
  </si>
  <si>
    <t>Tiger Woods PGA Tour 11</t>
  </si>
  <si>
    <t>The Sims 3</t>
  </si>
  <si>
    <t>Castle Crashers</t>
  </si>
  <si>
    <t>Back to the Future: The Telltale Game</t>
  </si>
  <si>
    <t>PlayStation Move Heroes</t>
  </si>
  <si>
    <t>Mortal Kombat (2011)</t>
  </si>
  <si>
    <t>inFamous 2</t>
  </si>
  <si>
    <t>Duke Nukem Forever</t>
  </si>
  <si>
    <t>Mortal Kombat (1992)</t>
  </si>
  <si>
    <t>Mortal Kombat II</t>
  </si>
  <si>
    <t>Sam &amp; Max Season 2: Beyond Time and Space TTG</t>
  </si>
  <si>
    <t>Rocketbirds: Hardboiled Chicken</t>
  </si>
  <si>
    <t>The Sims 3: Pets</t>
  </si>
  <si>
    <t>inFamous: Festival of Blood</t>
  </si>
  <si>
    <t>Uncharted 3: Drakes Deception</t>
  </si>
  <si>
    <t>Saints Row: The Third</t>
  </si>
  <si>
    <t>Oddworld: Strangers Wrath</t>
  </si>
  <si>
    <t>Kingdoms of Amalur: Reckoning</t>
  </si>
  <si>
    <t>Journey</t>
  </si>
  <si>
    <t>Twisted Metal (2012)</t>
  </si>
  <si>
    <t>The Walking Dead: Season 1 TTG</t>
  </si>
  <si>
    <t>Quantum Conundrum</t>
  </si>
  <si>
    <t>Tony Hawks Pro Skater HD</t>
  </si>
  <si>
    <t>Borderlands 2</t>
  </si>
  <si>
    <t>XCOM: Enemy Unknown</t>
  </si>
  <si>
    <t>The Unfinished Swan</t>
  </si>
  <si>
    <t>ToeJam and Earl</t>
  </si>
  <si>
    <t>ToeJam and Earl in Panic on Funkotron</t>
  </si>
  <si>
    <t>PlayStation All-Stars Battle Royale</t>
  </si>
  <si>
    <t>Family Guy: Back to the Multiverse</t>
  </si>
  <si>
    <t>Ratchet &amp; Clank: QForce (Full Frontal Assault)</t>
  </si>
  <si>
    <t>Oddworld: Munchs Oddysee</t>
  </si>
  <si>
    <t>The Cave</t>
  </si>
  <si>
    <t>Tomb Raider (2013)</t>
  </si>
  <si>
    <t>BioShock Infinite</t>
  </si>
  <si>
    <t>Bentleys Hackpack</t>
  </si>
  <si>
    <t>Sly Cooper: Thieves in Time</t>
  </si>
  <si>
    <t>Injustice: Gods Among Us</t>
  </si>
  <si>
    <t>Terraria</t>
  </si>
  <si>
    <t>The Last of Us</t>
  </si>
  <si>
    <t>Deadpool</t>
  </si>
  <si>
    <t>Saints Row IV: Re-Elected</t>
  </si>
  <si>
    <t>Spelunky</t>
  </si>
  <si>
    <t>Girl Fight</t>
  </si>
  <si>
    <t>The Wolf Among Us Season 1 TTG</t>
  </si>
  <si>
    <t>Ratchet &amp; Clank: (Into The) Nexus</t>
  </si>
  <si>
    <t>Doki-Doki Universe</t>
  </si>
  <si>
    <t>The Walking Dead: Season 2 TTG</t>
  </si>
  <si>
    <t>South Park: The Stick of Truth</t>
  </si>
  <si>
    <t>CounterSpy</t>
  </si>
  <si>
    <t>Tales from the Borderlands</t>
  </si>
  <si>
    <t>Saints Row IV: Gat out of Hell</t>
  </si>
  <si>
    <t>Shovel Knight: Treasure Trove</t>
  </si>
  <si>
    <t>Uncharted: Golden Abyss</t>
  </si>
  <si>
    <t>ModNation Racers: Road Trip</t>
  </si>
  <si>
    <t>Escape Plan</t>
  </si>
  <si>
    <t>Silent Hill: Book of Memories</t>
  </si>
  <si>
    <t>Uncharted: Fight for Fortune</t>
  </si>
  <si>
    <t>The Binding of Isaac: Rebirth</t>
  </si>
  <si>
    <t>Fat Princess: Piece of Cake</t>
  </si>
  <si>
    <t>Grim Fandango: Remastered</t>
  </si>
  <si>
    <t>Broken Age</t>
  </si>
  <si>
    <t>Rally Copters</t>
  </si>
  <si>
    <t>Super Meat Boy</t>
  </si>
  <si>
    <t>A Boy and His Blob</t>
  </si>
  <si>
    <t>Day of the Tentacle: Remastered</t>
  </si>
  <si>
    <t>Risk of Rain</t>
  </si>
  <si>
    <t>Claire</t>
  </si>
  <si>
    <t>Slain: Back From Hell</t>
  </si>
  <si>
    <t>Uncanny Valley</t>
  </si>
  <si>
    <t>Undertale</t>
  </si>
  <si>
    <t>Syrup and the Ultimate Sweet</t>
  </si>
  <si>
    <t>inFamous Second Son</t>
  </si>
  <si>
    <t>Octodad: Dadliest Catch</t>
  </si>
  <si>
    <t>Entwined</t>
  </si>
  <si>
    <t>inFamous First Light</t>
  </si>
  <si>
    <t>Game of Thrones: A Telltale Games Series</t>
  </si>
  <si>
    <t>Tetris Ultimate</t>
  </si>
  <si>
    <t>Mortal Kombat X</t>
  </si>
  <si>
    <t>Rocket League</t>
  </si>
  <si>
    <t>Call of Duty: Black Ops III</t>
  </si>
  <si>
    <t>Fallout 4</t>
  </si>
  <si>
    <t>Fat Princess Adventures</t>
  </si>
  <si>
    <t>Amplitude</t>
  </si>
  <si>
    <t>The Witness</t>
  </si>
  <si>
    <t>Enter the Gungeon</t>
  </si>
  <si>
    <t>Ratchet &amp; Clank (2016)</t>
  </si>
  <si>
    <t>Shantae and the Pirates Curse</t>
  </si>
  <si>
    <t>Uncharted 4: A Thiefs End</t>
  </si>
  <si>
    <t>Oxenfree</t>
  </si>
  <si>
    <t>Ghostbusters</t>
  </si>
  <si>
    <t>Riptide GP: Renegade</t>
  </si>
  <si>
    <t>Dead Island: Retro Revenge</t>
  </si>
  <si>
    <t>Batman: The Telltale Series (Season 1)</t>
  </si>
  <si>
    <t>Abzu</t>
  </si>
  <si>
    <t>Armikrog</t>
  </si>
  <si>
    <t>XCOM 2</t>
  </si>
  <si>
    <t>Mafia III</t>
  </si>
  <si>
    <t>Rise of the Tomb Raider</t>
  </si>
  <si>
    <t>Stardew Valley</t>
  </si>
  <si>
    <t>The Walking Dead Season 3 TTG</t>
  </si>
  <si>
    <t>The Flame in the Flood</t>
  </si>
  <si>
    <t>Marvels Guardians of the Galaxy: The Telltale Series</t>
  </si>
  <si>
    <t>Injustice 2</t>
  </si>
  <si>
    <t>Crash Bandicoot: N Sane Trilogy (2017)</t>
  </si>
  <si>
    <t>Crash Bandicoot 2: N Sane Trilogy (2017)</t>
  </si>
  <si>
    <t>Crash Bandicoot 3: N Sane Trilogy (2017)</t>
  </si>
  <si>
    <t>Aven Colony</t>
  </si>
  <si>
    <t>Fortnite</t>
  </si>
  <si>
    <t>Batman: The Enemy Within (Season 2 Telltale)</t>
  </si>
  <si>
    <t>Uncharted: The Lost Legacy</t>
  </si>
  <si>
    <t>ARK: Survival Evolved</t>
  </si>
  <si>
    <t>Destiny 2</t>
  </si>
  <si>
    <t>South Park: The Fractured But Whole</t>
  </si>
  <si>
    <t>The Sims 4</t>
  </si>
  <si>
    <t>God of War (2018)</t>
  </si>
  <si>
    <t>Fallout Shelter</t>
  </si>
  <si>
    <t>The Walking Dead Final Season TTG</t>
  </si>
  <si>
    <t>Donut County</t>
  </si>
  <si>
    <t>Marvels Spider-Man</t>
  </si>
  <si>
    <t>Scribblenauts Unlimited (Mega Pack)</t>
  </si>
  <si>
    <t>Scribblenauts Unmasked: A DC Comics Adventure (Mega Pack)</t>
  </si>
  <si>
    <t>Headliner: NoviNews</t>
  </si>
  <si>
    <t>Red Dead Redemption 2</t>
  </si>
  <si>
    <t>Road Redemption</t>
  </si>
  <si>
    <t>Toys for Bob</t>
  </si>
  <si>
    <t>Spyro the Dragon: Reignited Trilogy (2018)</t>
  </si>
  <si>
    <t>Spyro 2: Gateway to Glimmer: Reignited Trilogy (2018)</t>
  </si>
  <si>
    <t>Spyro 3: Year of the Dragon: Reignited Trilogy (2018)</t>
  </si>
  <si>
    <t>Subnautica</t>
  </si>
  <si>
    <t>Apex Legends</t>
  </si>
  <si>
    <t>ToeJam and Earl: Back in the Groove</t>
  </si>
  <si>
    <t>Days Gone</t>
  </si>
  <si>
    <t>Slay the Spire</t>
  </si>
  <si>
    <t>Trover Saves The Universe</t>
  </si>
  <si>
    <t>Borderlands 3</t>
  </si>
  <si>
    <t>Concrete Genie</t>
  </si>
  <si>
    <t>Plants vs Zombies: Battle for Neighborville</t>
  </si>
  <si>
    <t>MediEvil (2019)</t>
  </si>
  <si>
    <t>The Outer Worlds</t>
  </si>
  <si>
    <t>The Lion King (Disney Classic Games)</t>
  </si>
  <si>
    <t>Aladdin (Disney Classic Games)</t>
  </si>
  <si>
    <t>Spirit of the North</t>
  </si>
  <si>
    <t>Star Wars Jedi: Fallen Order</t>
  </si>
  <si>
    <t>DOOM 64</t>
  </si>
  <si>
    <t>Maneater</t>
  </si>
  <si>
    <t>The Last of Us Part II</t>
  </si>
  <si>
    <t>Star Wars Episode I: Pod Racer</t>
  </si>
  <si>
    <t>Ghost of Tsushima</t>
  </si>
  <si>
    <t>Mortal Shell</t>
  </si>
  <si>
    <t>Tony Hawk`s Pro Skater 1 (2021)</t>
  </si>
  <si>
    <t>Tony Hawk`s Pro Skater 2 (2021)</t>
  </si>
  <si>
    <t>Outbreak: Epidemic</t>
  </si>
  <si>
    <t>WWE 2K Battlegrounds</t>
  </si>
  <si>
    <t>Going Under</t>
  </si>
  <si>
    <t>Mafia: Definitive Edition (2020)</t>
  </si>
  <si>
    <t>Rogue Company</t>
  </si>
  <si>
    <t>Crash Bandicoot 4: Its About Time</t>
  </si>
  <si>
    <t>Good Dog Bad Dog</t>
  </si>
  <si>
    <t>Marvels Spider-Man: Miles Morales</t>
  </si>
  <si>
    <t>Bugsnax</t>
  </si>
  <si>
    <t>Call of Duty: Black Ops Cold War</t>
  </si>
  <si>
    <t>Exit the Gungeon</t>
  </si>
  <si>
    <t>The Pedestrian</t>
  </si>
  <si>
    <t>Maquette</t>
  </si>
  <si>
    <t>Postal Redux</t>
  </si>
  <si>
    <t>Oddworld: Soulstorm (2021)</t>
  </si>
  <si>
    <t>Subnautica: Below Zero</t>
  </si>
  <si>
    <t>Knockout City</t>
  </si>
  <si>
    <t>Chicory: A Colorful Tale</t>
  </si>
  <si>
    <t>Doki Doki Literature Club Plus!</t>
  </si>
  <si>
    <t>Axiom Verge 2</t>
  </si>
  <si>
    <t>Quake</t>
  </si>
  <si>
    <t>Aliens: Fireteam Elite</t>
  </si>
  <si>
    <t>Psychonauts 2</t>
  </si>
  <si>
    <t>Kena: Bridge of Spirits</t>
  </si>
  <si>
    <t>Shovel Knight: Pocket Dungeon</t>
  </si>
  <si>
    <t>Tiny Tinas Wonderlands</t>
  </si>
  <si>
    <t>Saints Row (2022)</t>
  </si>
  <si>
    <t>NBA 2K23</t>
  </si>
  <si>
    <t>Sam &amp; Max Season 1: Save the World TTG</t>
  </si>
  <si>
    <t>God of War: Ragnarok</t>
  </si>
  <si>
    <t>The Callisto Protocol</t>
  </si>
  <si>
    <t>Turnip Boy Commits Tax Evasion</t>
  </si>
  <si>
    <t>Postal 4: No Regerts</t>
  </si>
  <si>
    <t>LEGO 2K Drive</t>
  </si>
  <si>
    <t>Dr Fetus Mean Meat Machine</t>
  </si>
  <si>
    <t>Oxenfree II: Lost Signals</t>
  </si>
  <si>
    <t>LISA: The Painful</t>
  </si>
  <si>
    <t>LISA: The Joyful</t>
  </si>
  <si>
    <t>High on Life</t>
  </si>
  <si>
    <t>Nour: Play With Your Food</t>
  </si>
  <si>
    <t>WWE 2K24</t>
  </si>
  <si>
    <t>MLB The Show 24</t>
  </si>
  <si>
    <t>Harry Potter: Quidditch Champions</t>
  </si>
  <si>
    <t>Just Crow Things</t>
  </si>
  <si>
    <t>Tony Hawk`s Pro Skater 3 (2025)</t>
  </si>
  <si>
    <t>Tony Hawk`s Pro Skater 4 (2025)</t>
  </si>
  <si>
    <t>Rez Infinite VR</t>
  </si>
  <si>
    <t>Headmaster</t>
  </si>
  <si>
    <t>Job Simulator: The 2050 Archives</t>
  </si>
  <si>
    <t>Carnival Games VR</t>
  </si>
  <si>
    <t>I Expect You To Die</t>
  </si>
  <si>
    <t>Psychonauts in the Rhombus of Ruin VR</t>
  </si>
  <si>
    <t>Star Trek: Bridge Crew</t>
  </si>
  <si>
    <t>The Elder Scrolls V: Skyrim VR</t>
  </si>
  <si>
    <t>DOOM VFR</t>
  </si>
  <si>
    <t>Ultrawings</t>
  </si>
  <si>
    <t>Accounting Plus</t>
  </si>
  <si>
    <t>Sprint Vector</t>
  </si>
  <si>
    <t>Moss</t>
  </si>
  <si>
    <t>Drunkn Bar Fight</t>
  </si>
  <si>
    <t>Knockout League</t>
  </si>
  <si>
    <t>Rick and Morty: Virtual Rick-ality</t>
  </si>
  <si>
    <t>Floor Plan</t>
  </si>
  <si>
    <t>Creed: Rise to Glory</t>
  </si>
  <si>
    <t>BoxVR</t>
  </si>
  <si>
    <t>Penn &amp; Teller VR</t>
  </si>
  <si>
    <t>The Walking Dead: Saints and Sinners</t>
  </si>
  <si>
    <t>Marvels Iron Man VR</t>
  </si>
  <si>
    <t>Until You Fall</t>
  </si>
  <si>
    <t>I Expect You to Die 2: The Spy and the Liar</t>
  </si>
  <si>
    <t>Sam &amp; Max: This Time Its Virtual!</t>
  </si>
  <si>
    <t>Godfall</t>
  </si>
  <si>
    <t>Ratchet &amp; Clank: Rift Apart</t>
  </si>
  <si>
    <t>Hogwarts Legacy</t>
  </si>
  <si>
    <t>Marvels Spider-Man 2</t>
  </si>
  <si>
    <t>Pacific Drive</t>
  </si>
  <si>
    <t>South Park: Snow Day!</t>
  </si>
  <si>
    <t>Animal Well</t>
  </si>
  <si>
    <t>Squirrel with a Gun</t>
  </si>
  <si>
    <t>LUMO</t>
  </si>
  <si>
    <t>The Complex</t>
  </si>
  <si>
    <t>Five Dates</t>
  </si>
  <si>
    <t>Night Book</t>
  </si>
  <si>
    <t>Czechia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</si>
</sst>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€&quot;#,##0.00"/>
    <numFmt numFmtId="165" formatCode="yyyy-mm-dd"/>
    <numFmt numFmtId="166" formatCode="[$€]#,##0.00"/>
    <numFmt numFmtId="167" formatCode="mmmm yyyy"/>
  </numFmts>
  <fonts count="42">
    <font>
      <sz val="10.0"/>
      <color rgb="FF000000"/>
      <name val="Arial"/>
      <scheme val="minor"/>
    </font>
    <font>
      <sz val="6.0"/>
      <color theme="1"/>
      <name val="Press Start 2P"/>
    </font>
    <font>
      <color theme="1"/>
      <name val="Arial"/>
      <scheme val="minor"/>
    </font>
    <font>
      <b/>
      <sz val="6.0"/>
      <color rgb="FFFFFFFF"/>
      <name val="Press Start 2P"/>
    </font>
    <font>
      <b/>
      <sz val="6.0"/>
      <color theme="1"/>
      <name val="Press Start 2P"/>
    </font>
    <font>
      <b/>
      <color theme="1"/>
      <name val="Arial"/>
      <scheme val="minor"/>
    </font>
    <font>
      <color rgb="FFCC0000"/>
      <name val="Arial"/>
      <scheme val="minor"/>
    </font>
    <font>
      <sz val="6.0"/>
      <color rgb="FFCC0000"/>
      <name val="Press Start 2P"/>
    </font>
    <font>
      <sz val="6.0"/>
      <color rgb="FFFFFFFF"/>
      <name val="Press Start 2P"/>
    </font>
    <font>
      <sz val="6.0"/>
      <color rgb="FF0000FF"/>
      <name val="Press Start 2P"/>
    </font>
    <font>
      <sz val="6.0"/>
      <color rgb="FFB45F06"/>
      <name val="Press Start 2P"/>
    </font>
    <font>
      <sz val="6.0"/>
      <color rgb="FF000000"/>
      <name val="Press Start 2P"/>
    </font>
    <font>
      <b/>
      <sz val="6.0"/>
      <color rgb="FFCC0000"/>
      <name val="Press Start 2P"/>
    </font>
    <font>
      <b/>
      <sz val="6.0"/>
      <color rgb="FFFF9900"/>
      <name val="Press Start 2P"/>
    </font>
    <font>
      <sz val="6.0"/>
      <color rgb="FFFF0000"/>
      <name val="Press Start 2P"/>
    </font>
    <font>
      <u/>
      <sz val="6.0"/>
      <color rgb="FF1155CC"/>
      <name val="Press Start 2P"/>
    </font>
    <font>
      <u/>
      <sz val="6.0"/>
      <color rgb="FF1155CC"/>
      <name val="Press Start 2P"/>
    </font>
    <font>
      <sz val="6.0"/>
      <color rgb="FF38761D"/>
      <name val="Press Start 2P"/>
    </font>
    <font>
      <sz val="6.0"/>
      <color rgb="FFF1C232"/>
      <name val="Press Start 2P"/>
    </font>
    <font>
      <sz val="6.0"/>
      <color rgb="FF6AA84F"/>
      <name val="Press Start 2P"/>
    </font>
    <font>
      <sz val="6.0"/>
      <color rgb="FF274E13"/>
      <name val="Press Start 2P"/>
    </font>
    <font>
      <sz val="6.0"/>
      <color rgb="FFFFFF00"/>
      <name val="Press Start 2P"/>
    </font>
    <font>
      <sz val="6.0"/>
      <color rgb="FF4A86E8"/>
      <name val="Press Start 2P"/>
    </font>
    <font>
      <u/>
      <sz val="6.0"/>
      <color rgb="FFCC0000"/>
      <name val="Press Start 2P"/>
    </font>
    <font>
      <sz val="6.0"/>
      <color rgb="FFFF9900"/>
      <name val="Press Start 2P"/>
    </font>
    <font>
      <sz val="6.0"/>
      <color rgb="FF980000"/>
      <name val="Press Start 2P"/>
    </font>
    <font>
      <u/>
      <sz val="6.0"/>
      <color rgb="FF0000FF"/>
      <name val="Press Start 2P"/>
    </font>
    <font>
      <sz val="6.0"/>
      <color rgb="FF073763"/>
      <name val="Press Start 2P"/>
    </font>
    <font>
      <b/>
      <sz val="6.0"/>
      <color rgb="FF38761D"/>
      <name val="Press Start 2P"/>
    </font>
    <font>
      <b/>
      <sz val="6.0"/>
      <color rgb="FFF1C232"/>
      <name val="Press Start 2P"/>
    </font>
    <font>
      <b/>
      <sz val="6.0"/>
      <color rgb="FF6AA84F"/>
      <name val="Press Start 2P"/>
    </font>
    <font>
      <b/>
      <sz val="6.0"/>
      <color rgb="FF980000"/>
      <name val="Press Start 2P"/>
    </font>
    <font>
      <b/>
      <sz val="6.0"/>
      <color rgb="FFFF0000"/>
      <name val="Press Start 2P"/>
    </font>
    <font>
      <b/>
      <sz val="6.0"/>
      <color rgb="FF274E13"/>
      <name val="Press Start 2P"/>
    </font>
    <font>
      <b/>
      <sz val="6.0"/>
      <color rgb="FFFFFF00"/>
      <name val="Press Start 2P"/>
    </font>
    <font>
      <b/>
      <sz val="6.0"/>
      <color rgb="FF0000FF"/>
      <name val="Press Start 2P"/>
    </font>
    <font>
      <b/>
      <sz val="6.0"/>
      <color rgb="FF4A86E8"/>
      <name val="Press Start 2P"/>
    </font>
    <font>
      <b/>
      <u/>
      <sz val="6.0"/>
      <color rgb="FFCC0000"/>
      <name val="Press Start 2P"/>
    </font>
    <font>
      <b/>
      <u/>
      <sz val="6.0"/>
      <color rgb="FF0000FF"/>
      <name val="Press Start 2P"/>
    </font>
    <font>
      <b/>
      <sz val="6.0"/>
      <color rgb="FF073763"/>
      <name val="Press Start 2P"/>
    </font>
    <font>
      <color rgb="FFFFFFFF"/>
      <name val="Arial"/>
      <scheme val="minor"/>
    </font>
    <font>
      <u/>
      <sz val="6.0"/>
      <color rgb="FF0000FF"/>
      <name val="Press Start 2P"/>
    </font>
  </fonts>
  <fills count="1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D9D9D9"/>
        <bgColor rgb="FFD9D9D9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6AA84F"/>
        <bgColor rgb="FF6AA84F"/>
      </patternFill>
    </fill>
    <fill>
      <patternFill patternType="solid">
        <fgColor rgb="FF073763"/>
        <bgColor rgb="FF07376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2" fontId="1" numFmtId="164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vertical="center"/>
    </xf>
    <xf borderId="1" fillId="0" fontId="1" numFmtId="165" xfId="0" applyAlignment="1" applyBorder="1" applyFont="1" applyNumberFormat="1">
      <alignment vertical="center"/>
    </xf>
    <xf borderId="1" fillId="0" fontId="1" numFmtId="166" xfId="0" applyAlignment="1" applyBorder="1" applyFont="1" applyNumberFormat="1">
      <alignment vertical="center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1" fillId="0" fontId="2" numFmtId="0" xfId="0" applyBorder="1" applyFont="1"/>
    <xf borderId="1" fillId="0" fontId="2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1" numFmtId="167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readingOrder="0" vertical="center"/>
    </xf>
    <xf borderId="1" fillId="5" fontId="3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1" fillId="0" fontId="1" numFmtId="0" xfId="0" applyAlignment="1" applyBorder="1" applyFont="1">
      <alignment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0" fontId="5" numFmtId="0" xfId="0" applyBorder="1" applyFont="1"/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6" numFmtId="0" xfId="0" applyBorder="1" applyFont="1"/>
    <xf borderId="1" fillId="0" fontId="7" numFmtId="0" xfId="0" applyAlignment="1" applyBorder="1" applyFont="1">
      <alignment vertical="center"/>
    </xf>
    <xf borderId="1" fillId="6" fontId="8" numFmtId="0" xfId="0" applyAlignment="1" applyBorder="1" applyFill="1" applyFont="1">
      <alignment horizontal="center" readingOrder="0" vertical="center"/>
    </xf>
    <xf borderId="1" fillId="6" fontId="8" numFmtId="165" xfId="0" applyAlignment="1" applyBorder="1" applyFont="1" applyNumberFormat="1">
      <alignment horizontal="center" vertical="center"/>
    </xf>
    <xf borderId="1" fillId="6" fontId="8" numFmtId="166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166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1" fillId="0" fontId="7" numFmtId="166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vertical="center"/>
    </xf>
    <xf borderId="1" fillId="6" fontId="8" numFmtId="164" xfId="0" applyAlignment="1" applyBorder="1" applyFont="1" applyNumberForma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vertical="center"/>
    </xf>
    <xf borderId="1" fillId="5" fontId="8" numFmtId="165" xfId="0" applyAlignment="1" applyBorder="1" applyFont="1" applyNumberFormat="1">
      <alignment horizontal="center" vertical="center"/>
    </xf>
    <xf borderId="1" fillId="5" fontId="8" numFmtId="166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0" fontId="9" numFmtId="164" xfId="0" applyAlignment="1" applyBorder="1" applyFont="1" applyNumberFormat="1">
      <alignment horizontal="center" vertical="center"/>
    </xf>
    <xf borderId="1" fillId="0" fontId="9" numFmtId="164" xfId="0" applyAlignment="1" applyBorder="1" applyFont="1" applyNumberFormat="1">
      <alignment horizontal="center" readingOrder="0" vertical="center"/>
    </xf>
    <xf borderId="1" fillId="6" fontId="8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center" readingOrder="0" vertical="center"/>
    </xf>
    <xf borderId="1" fillId="7" fontId="1" numFmtId="165" xfId="0" applyAlignment="1" applyBorder="1" applyFont="1" applyNumberFormat="1">
      <alignment horizontal="center" vertical="center"/>
    </xf>
    <xf borderId="1" fillId="7" fontId="1" numFmtId="166" xfId="0" applyAlignment="1" applyBorder="1" applyFont="1" applyNumberFormat="1">
      <alignment horizontal="center" readingOrder="0" vertical="center"/>
    </xf>
    <xf borderId="1" fillId="8" fontId="10" numFmtId="0" xfId="0" applyAlignment="1" applyBorder="1" applyFill="1" applyFont="1">
      <alignment horizontal="center" readingOrder="0" vertical="center"/>
    </xf>
    <xf borderId="1" fillId="8" fontId="10" numFmtId="0" xfId="0" applyAlignment="1" applyBorder="1" applyFont="1">
      <alignment horizontal="center" vertical="center"/>
    </xf>
    <xf borderId="1" fillId="8" fontId="10" numFmtId="166" xfId="0" applyAlignment="1" applyBorder="1" applyFont="1" applyNumberFormat="1">
      <alignment horizontal="center" readingOrder="0" vertical="center"/>
    </xf>
    <xf borderId="1" fillId="8" fontId="10" numFmtId="164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9" fontId="1" numFmtId="164" xfId="0" applyAlignment="1" applyBorder="1" applyFill="1" applyFont="1" applyNumberFormat="1">
      <alignment horizontal="center" readingOrder="0" vertical="center"/>
    </xf>
    <xf borderId="1" fillId="9" fontId="1" numFmtId="0" xfId="0" applyAlignment="1" applyBorder="1" applyFont="1">
      <alignment horizontal="center" readingOrder="0" vertical="center"/>
    </xf>
    <xf borderId="1" fillId="9" fontId="1" numFmtId="166" xfId="0" applyAlignment="1" applyBorder="1" applyFont="1" applyNumberFormat="1">
      <alignment horizontal="center" readingOrder="0" vertical="center"/>
    </xf>
    <xf borderId="1" fillId="10" fontId="1" numFmtId="164" xfId="0" applyAlignment="1" applyBorder="1" applyFill="1" applyFont="1" applyNumberFormat="1">
      <alignment horizontal="center" readingOrder="0" vertical="center"/>
    </xf>
    <xf borderId="1" fillId="10" fontId="1" numFmtId="0" xfId="0" applyAlignment="1" applyBorder="1" applyFont="1">
      <alignment horizontal="center" readingOrder="0" vertical="center"/>
    </xf>
    <xf borderId="1" fillId="10" fontId="1" numFmtId="166" xfId="0" applyAlignment="1" applyBorder="1" applyFont="1" applyNumberFormat="1">
      <alignment horizontal="center" readingOrder="0" vertical="center"/>
    </xf>
    <xf borderId="1" fillId="11" fontId="8" numFmtId="0" xfId="0" applyAlignment="1" applyBorder="1" applyFill="1" applyFont="1">
      <alignment horizontal="center" vertical="center"/>
    </xf>
    <xf borderId="1" fillId="11" fontId="8" numFmtId="0" xfId="0" applyAlignment="1" applyBorder="1" applyFont="1">
      <alignment horizontal="center" readingOrder="0" vertical="center"/>
    </xf>
    <xf borderId="1" fillId="11" fontId="8" numFmtId="166" xfId="0" applyAlignment="1" applyBorder="1" applyFont="1" applyNumberFormat="1">
      <alignment horizontal="center" readingOrder="0" vertical="center"/>
    </xf>
    <xf borderId="1" fillId="11" fontId="8" numFmtId="164" xfId="0" applyAlignment="1" applyBorder="1" applyFont="1" applyNumberFormat="1">
      <alignment horizontal="center" readingOrder="0" vertical="center"/>
    </xf>
    <xf borderId="1" fillId="3" fontId="1" numFmtId="166" xfId="0" applyAlignment="1" applyBorder="1" applyFont="1" applyNumberForma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center"/>
    </xf>
    <xf borderId="1" fillId="3" fontId="1" numFmtId="164" xfId="0" applyAlignment="1" applyBorder="1" applyFont="1" applyNumberFormat="1">
      <alignment horizontal="center" vertical="center"/>
    </xf>
    <xf borderId="1" fillId="3" fontId="11" numFmtId="164" xfId="0" applyAlignment="1" applyBorder="1" applyFont="1" applyNumberForma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readingOrder="0" vertical="center"/>
    </xf>
    <xf borderId="1" fillId="7" fontId="11" numFmtId="164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12" numFmtId="165" xfId="0" applyAlignment="1" applyBorder="1" applyFont="1" applyNumberFormat="1">
      <alignment horizontal="center" readingOrder="0" vertical="center"/>
    </xf>
    <xf borderId="1" fillId="0" fontId="12" numFmtId="166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3" numFmtId="166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1" fillId="0" fontId="12" numFmtId="164" xfId="0" applyAlignment="1" applyBorder="1" applyFont="1" applyNumberFormat="1">
      <alignment horizontal="center" readingOrder="0" vertical="center"/>
    </xf>
    <xf borderId="1" fillId="6" fontId="3" numFmtId="164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1" fillId="0" fontId="12" numFmtId="166" xfId="0" applyAlignment="1" applyBorder="1" applyFont="1" applyNumberFormat="1">
      <alignment horizontal="center" vertical="center"/>
    </xf>
    <xf borderId="1" fillId="0" fontId="12" numFmtId="165" xfId="0" applyAlignment="1" applyBorder="1" applyFont="1" applyNumberFormat="1">
      <alignment horizontal="center" vertical="center"/>
    </xf>
    <xf borderId="1" fillId="0" fontId="12" numFmtId="164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1" fillId="7" fontId="4" numFmtId="165" xfId="0" applyAlignment="1" applyBorder="1" applyFont="1" applyNumberFormat="1">
      <alignment horizontal="center" readingOrder="0" vertical="center"/>
    </xf>
    <xf borderId="1" fillId="7" fontId="4" numFmtId="166" xfId="0" applyAlignment="1" applyBorder="1" applyFont="1" applyNumberFormat="1">
      <alignment horizontal="center" readingOrder="0" vertical="center"/>
    </xf>
    <xf borderId="1" fillId="8" fontId="13" numFmtId="0" xfId="0" applyAlignment="1" applyBorder="1" applyFont="1">
      <alignment horizontal="center" readingOrder="0" vertical="center"/>
    </xf>
    <xf borderId="1" fillId="8" fontId="13" numFmtId="0" xfId="0" applyAlignment="1" applyBorder="1" applyFont="1">
      <alignment horizontal="center" vertical="center"/>
    </xf>
    <xf borderId="1" fillId="8" fontId="13" numFmtId="0" xfId="0" applyAlignment="1" applyBorder="1" applyFont="1">
      <alignment horizontal="center" vertical="center"/>
    </xf>
    <xf borderId="1" fillId="8" fontId="13" numFmtId="166" xfId="0" applyAlignment="1" applyBorder="1" applyFont="1" applyNumberFormat="1">
      <alignment horizontal="center" vertical="center"/>
    </xf>
    <xf borderId="1" fillId="0" fontId="14" numFmtId="166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14" numFmtId="164" xfId="0" applyAlignment="1" applyBorder="1" applyFont="1" applyNumberFormat="1">
      <alignment horizontal="center" readingOrder="0" vertical="center"/>
    </xf>
    <xf borderId="1" fillId="3" fontId="1" numFmtId="164" xfId="0" applyAlignment="1" applyBorder="1" applyFont="1" applyNumberFormat="1">
      <alignment readingOrder="0" vertical="center"/>
    </xf>
    <xf borderId="1" fillId="0" fontId="8" numFmtId="0" xfId="0" applyAlignment="1" applyBorder="1" applyFont="1">
      <alignment horizontal="center" readingOrder="0" vertical="center"/>
    </xf>
    <xf borderId="1" fillId="10" fontId="1" numFmtId="0" xfId="0" applyAlignment="1" applyBorder="1" applyFont="1">
      <alignment horizontal="center" vertical="center"/>
    </xf>
    <xf borderId="1" fillId="10" fontId="1" numFmtId="166" xfId="0" applyAlignment="1" applyBorder="1" applyFont="1" applyNumberFormat="1">
      <alignment horizontal="center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12" fontId="1" numFmtId="0" xfId="0" applyAlignment="1" applyBorder="1" applyFill="1" applyFont="1">
      <alignment horizontal="center" vertical="center"/>
    </xf>
    <xf borderId="1" fillId="12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166" xfId="0" applyAlignment="1" applyBorder="1" applyFont="1" applyNumberFormat="1">
      <alignment horizontal="center" readingOrder="0" vertical="center"/>
    </xf>
    <xf borderId="1" fillId="12" fontId="1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12" fontId="1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0"/>
    </xf>
    <xf borderId="1" fillId="12" fontId="1" numFmtId="0" xfId="0" applyAlignment="1" applyBorder="1" applyFont="1">
      <alignment horizontal="center" shrinkToFit="0" vertical="center" wrapText="0"/>
    </xf>
    <xf borderId="1" fillId="0" fontId="16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2" fillId="0" fontId="1" numFmtId="166" xfId="0" applyAlignment="1" applyBorder="1" applyFont="1" applyNumberFormat="1">
      <alignment horizontal="center" vertical="center"/>
    </xf>
    <xf borderId="1" fillId="8" fontId="1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1" fillId="9" fontId="17" numFmtId="0" xfId="0" applyAlignment="1" applyBorder="1" applyFont="1">
      <alignment horizontal="center" readingOrder="0" vertical="center"/>
    </xf>
    <xf borderId="1" fillId="9" fontId="17" numFmtId="165" xfId="0" applyAlignment="1" applyBorder="1" applyFont="1" applyNumberFormat="1">
      <alignment horizontal="center" readingOrder="0" vertical="center"/>
    </xf>
    <xf borderId="1" fillId="9" fontId="17" numFmtId="166" xfId="0" applyAlignment="1" applyBorder="1" applyFont="1" applyNumberFormat="1">
      <alignment horizontal="center" readingOrder="0" vertical="center"/>
    </xf>
    <xf borderId="1" fillId="9" fontId="17" numFmtId="164" xfId="0" applyAlignment="1" applyBorder="1" applyFont="1" applyNumberFormat="1">
      <alignment horizontal="center" readingOrder="0" vertical="center"/>
    </xf>
    <xf borderId="1" fillId="13" fontId="18" numFmtId="0" xfId="0" applyAlignment="1" applyBorder="1" applyFill="1" applyFont="1">
      <alignment horizontal="center" readingOrder="0" vertical="center"/>
    </xf>
    <xf borderId="1" fillId="13" fontId="18" numFmtId="0" xfId="0" applyAlignment="1" applyBorder="1" applyFont="1">
      <alignment horizontal="center" vertical="center"/>
    </xf>
    <xf borderId="1" fillId="13" fontId="18" numFmtId="164" xfId="0" applyAlignment="1" applyBorder="1" applyFont="1" applyNumberFormat="1">
      <alignment horizontal="center" readingOrder="0" vertical="center"/>
    </xf>
    <xf borderId="1" fillId="13" fontId="18" numFmtId="166" xfId="0" applyAlignment="1" applyBorder="1" applyFont="1" applyNumberFormat="1">
      <alignment horizontal="center" vertical="center"/>
    </xf>
    <xf borderId="1" fillId="0" fontId="19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11" numFmtId="164" xfId="0" applyAlignment="1" applyBorder="1" applyFont="1" applyNumberFormat="1">
      <alignment horizontal="center" readingOrder="0" vertical="center"/>
    </xf>
    <xf borderId="1" fillId="6" fontId="8" numFmtId="165" xfId="0" applyAlignment="1" applyBorder="1" applyFont="1" applyNumberForma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1" fillId="0" fontId="11" numFmtId="166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13" fontId="8" numFmtId="0" xfId="0" applyAlignment="1" applyBorder="1" applyFont="1">
      <alignment horizontal="center" readingOrder="0" vertical="center"/>
    </xf>
    <xf borderId="1" fillId="13" fontId="8" numFmtId="165" xfId="0" applyAlignment="1" applyBorder="1" applyFont="1" applyNumberFormat="1">
      <alignment horizontal="center" readingOrder="0" vertical="center"/>
    </xf>
    <xf borderId="1" fillId="13" fontId="8" numFmtId="166" xfId="0" applyAlignment="1" applyBorder="1" applyFont="1" applyNumberFormat="1">
      <alignment horizontal="center" readingOrder="0" vertical="center"/>
    </xf>
    <xf borderId="1" fillId="0" fontId="20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vertical="center"/>
    </xf>
    <xf borderId="1" fillId="0" fontId="20" numFmtId="164" xfId="0" applyAlignment="1" applyBorder="1" applyFont="1" applyNumberFormat="1">
      <alignment horizontal="center" vertical="center"/>
    </xf>
    <xf borderId="1" fillId="0" fontId="20" numFmtId="164" xfId="0" applyAlignment="1" applyBorder="1" applyFont="1" applyNumberFormat="1">
      <alignment horizontal="center" readingOrder="0" vertical="center"/>
    </xf>
    <xf borderId="1" fillId="0" fontId="20" numFmtId="166" xfId="0" applyAlignment="1" applyBorder="1" applyFont="1" applyNumberFormat="1">
      <alignment horizontal="center" vertical="center"/>
    </xf>
    <xf borderId="1" fillId="4" fontId="21" numFmtId="0" xfId="0" applyAlignment="1" applyBorder="1" applyFont="1">
      <alignment horizontal="center" readingOrder="0" vertical="center"/>
    </xf>
    <xf borderId="1" fillId="4" fontId="21" numFmtId="165" xfId="0" applyAlignment="1" applyBorder="1" applyFont="1" applyNumberFormat="1">
      <alignment horizontal="center" readingOrder="0" vertical="center"/>
    </xf>
    <xf borderId="1" fillId="4" fontId="21" numFmtId="166" xfId="0" applyAlignment="1" applyBorder="1" applyFont="1" applyNumberFormat="1">
      <alignment horizontal="center" readingOrder="0" vertical="center"/>
    </xf>
    <xf borderId="1" fillId="3" fontId="1" numFmtId="166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vertical="center"/>
    </xf>
    <xf borderId="1" fillId="0" fontId="21" numFmtId="166" xfId="0" applyAlignment="1" applyBorder="1" applyFont="1" applyNumberFormat="1">
      <alignment horizontal="center" vertical="center"/>
    </xf>
    <xf borderId="1" fillId="3" fontId="17" numFmtId="0" xfId="0" applyAlignment="1" applyBorder="1" applyFont="1">
      <alignment horizontal="center" readingOrder="0" vertical="center"/>
    </xf>
    <xf borderId="1" fillId="3" fontId="17" numFmtId="165" xfId="0" applyAlignment="1" applyBorder="1" applyFont="1" applyNumberFormat="1">
      <alignment horizontal="center" readingOrder="0" vertical="center"/>
    </xf>
    <xf borderId="1" fillId="3" fontId="17" numFmtId="166" xfId="0" applyAlignment="1" applyBorder="1" applyFont="1" applyNumberFormat="1">
      <alignment horizontal="center" readingOrder="0" vertical="center"/>
    </xf>
    <xf borderId="1" fillId="13" fontId="21" numFmtId="0" xfId="0" applyAlignment="1" applyBorder="1" applyFont="1">
      <alignment horizontal="center" readingOrder="0" vertical="center"/>
    </xf>
    <xf borderId="1" fillId="13" fontId="21" numFmtId="164" xfId="0" applyAlignment="1" applyBorder="1" applyFont="1" applyNumberFormat="1">
      <alignment horizontal="center" vertical="center"/>
    </xf>
    <xf borderId="1" fillId="13" fontId="21" numFmtId="164" xfId="0" applyAlignment="1" applyBorder="1" applyFont="1" applyNumberFormat="1">
      <alignment horizontal="center" readingOrder="0" vertical="center"/>
    </xf>
    <xf borderId="1" fillId="13" fontId="21" numFmtId="166" xfId="0" applyAlignment="1" applyBorder="1" applyFont="1" applyNumberFormat="1">
      <alignment horizontal="center" vertical="center"/>
    </xf>
    <xf borderId="1" fillId="13" fontId="21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readingOrder="0" vertical="center"/>
    </xf>
    <xf borderId="1" fillId="0" fontId="19" numFmtId="166" xfId="0" applyAlignment="1" applyBorder="1" applyFont="1" applyNumberFormat="1">
      <alignment horizontal="center" vertical="center"/>
    </xf>
    <xf borderId="1" fillId="0" fontId="14" numFmtId="166" xfId="0" applyAlignment="1" applyBorder="1" applyFont="1" applyNumberFormat="1">
      <alignment horizontal="center" vertical="center"/>
    </xf>
    <xf borderId="1" fillId="6" fontId="8" numFmtId="166" xfId="0" applyAlignment="1" applyBorder="1" applyFont="1" applyNumberFormat="1">
      <alignment horizontal="center" vertical="center"/>
    </xf>
    <xf borderId="1" fillId="6" fontId="3" numFmtId="165" xfId="0" applyAlignment="1" applyBorder="1" applyFont="1" applyNumberFormat="1">
      <alignment horizontal="center" vertical="center"/>
    </xf>
    <xf borderId="1" fillId="6" fontId="3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166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center" readingOrder="0" vertical="center"/>
    </xf>
    <xf borderId="1" fillId="3" fontId="9" numFmtId="165" xfId="0" applyAlignment="1" applyBorder="1" applyFont="1" applyNumberFormat="1">
      <alignment horizontal="center" readingOrder="0" vertical="center"/>
    </xf>
    <xf borderId="1" fillId="3" fontId="9" numFmtId="166" xfId="0" applyAlignment="1" applyBorder="1" applyFont="1" applyNumberFormat="1">
      <alignment horizontal="center" readingOrder="0" vertical="center"/>
    </xf>
    <xf borderId="1" fillId="5" fontId="21" numFmtId="0" xfId="0" applyAlignment="1" applyBorder="1" applyFont="1">
      <alignment horizontal="center" readingOrder="0" vertical="center"/>
    </xf>
    <xf borderId="1" fillId="5" fontId="21" numFmtId="0" xfId="0" applyAlignment="1" applyBorder="1" applyFont="1">
      <alignment horizontal="center" vertical="center"/>
    </xf>
    <xf borderId="1" fillId="5" fontId="21" numFmtId="164" xfId="0" applyAlignment="1" applyBorder="1" applyFont="1" applyNumberFormat="1">
      <alignment horizontal="center" vertical="center"/>
    </xf>
    <xf borderId="1" fillId="5" fontId="21" numFmtId="164" xfId="0" applyAlignment="1" applyBorder="1" applyFont="1" applyNumberFormat="1">
      <alignment horizontal="center" readingOrder="0" vertical="center"/>
    </xf>
    <xf borderId="1" fillId="5" fontId="21" numFmtId="166" xfId="0" applyAlignment="1" applyBorder="1" applyFont="1" applyNumberFormat="1">
      <alignment horizontal="center" vertical="center"/>
    </xf>
    <xf borderId="1" fillId="0" fontId="9" numFmtId="166" xfId="0" applyAlignment="1" applyBorder="1" applyFont="1" applyNumberFormat="1">
      <alignment horizontal="center" vertical="center"/>
    </xf>
    <xf borderId="1" fillId="5" fontId="8" numFmtId="165" xfId="0" applyAlignment="1" applyBorder="1" applyFont="1" applyNumberFormat="1">
      <alignment horizontal="center" readingOrder="0" vertical="center"/>
    </xf>
    <xf borderId="1" fillId="5" fontId="8" numFmtId="164" xfId="0" applyAlignment="1" applyBorder="1" applyFont="1" applyNumberFormat="1">
      <alignment horizontal="center" readingOrder="0" vertical="center"/>
    </xf>
    <xf borderId="1" fillId="5" fontId="8" numFmtId="166" xfId="0" applyAlignment="1" applyBorder="1" applyFont="1" applyNumberFormat="1">
      <alignment horizontal="center" readingOrder="0" vertical="center"/>
    </xf>
    <xf borderId="1" fillId="0" fontId="9" numFmtId="166" xfId="0" applyAlignment="1" applyBorder="1" applyFont="1" applyNumberFormat="1">
      <alignment horizontal="center" readingOrder="0" vertical="center"/>
    </xf>
    <xf borderId="1" fillId="0" fontId="9" numFmtId="165" xfId="0" applyAlignment="1" applyBorder="1" applyFont="1" applyNumberFormat="1">
      <alignment horizontal="center" readingOrder="0" vertical="center"/>
    </xf>
    <xf borderId="1" fillId="5" fontId="8" numFmtId="0" xfId="0" applyAlignment="1" applyBorder="1" applyFont="1">
      <alignment horizontal="center" vertical="center"/>
    </xf>
    <xf borderId="1" fillId="6" fontId="8" numFmtId="164" xfId="0" applyAlignment="1" applyBorder="1" applyFont="1" applyNumberFormat="1">
      <alignment horizontal="center" vertical="center"/>
    </xf>
    <xf borderId="1" fillId="6" fontId="8" numFmtId="0" xfId="0" applyAlignment="1" applyBorder="1" applyFont="1">
      <alignment horizontal="center" vertical="center"/>
    </xf>
    <xf borderId="1" fillId="0" fontId="7" numFmtId="166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  <xf borderId="2" fillId="0" fontId="7" numFmtId="164" xfId="0" applyAlignment="1" applyBorder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7" numFmtId="165" xfId="0" applyAlignment="1" applyBorder="1" applyFont="1" applyNumberFormat="1">
      <alignment horizontal="center" vertical="center"/>
    </xf>
    <xf borderId="3" fillId="0" fontId="7" numFmtId="164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3" fillId="0" fontId="7" numFmtId="165" xfId="0" applyAlignment="1" applyBorder="1" applyFont="1" applyNumberFormat="1">
      <alignment horizontal="center" vertical="center"/>
    </xf>
    <xf borderId="3" fillId="0" fontId="7" numFmtId="166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165" xfId="0" applyAlignment="1" applyBorder="1" applyFont="1" applyNumberFormat="1">
      <alignment horizontal="center" vertical="center"/>
    </xf>
    <xf borderId="1" fillId="5" fontId="8" numFmtId="164" xfId="0" applyAlignment="1" applyBorder="1" applyFont="1" applyNumberFormat="1">
      <alignment horizontal="center" vertical="center"/>
    </xf>
    <xf borderId="1" fillId="4" fontId="8" numFmtId="165" xfId="0" applyAlignment="1" applyBorder="1" applyFont="1" applyNumberFormat="1">
      <alignment horizontal="center" readingOrder="0" vertical="center"/>
    </xf>
    <xf borderId="1" fillId="4" fontId="8" numFmtId="166" xfId="0" applyAlignment="1" applyBorder="1" applyFont="1" applyNumberFormat="1">
      <alignment horizontal="center" readingOrder="0" vertical="center"/>
    </xf>
    <xf borderId="1" fillId="4" fontId="8" numFmtId="164" xfId="0" applyAlignment="1" applyBorder="1" applyFont="1" applyNumberFormat="1">
      <alignment horizontal="center" readingOrder="0" vertical="center"/>
    </xf>
    <xf borderId="1" fillId="8" fontId="1" numFmtId="164" xfId="0" applyAlignment="1" applyBorder="1" applyFont="1" applyNumberFormat="1">
      <alignment horizontal="center" readingOrder="0" vertical="center"/>
    </xf>
    <xf borderId="1" fillId="8" fontId="1" numFmtId="166" xfId="0" applyAlignment="1" applyBorder="1" applyFont="1" applyNumberFormat="1">
      <alignment horizontal="center" vertical="center"/>
    </xf>
    <xf borderId="1" fillId="14" fontId="8" numFmtId="0" xfId="0" applyAlignment="1" applyBorder="1" applyFill="1" applyFont="1">
      <alignment horizontal="center" readingOrder="0" vertical="center"/>
    </xf>
    <xf borderId="1" fillId="14" fontId="8" numFmtId="165" xfId="0" applyAlignment="1" applyBorder="1" applyFont="1" applyNumberFormat="1">
      <alignment horizontal="center" readingOrder="0" vertical="center"/>
    </xf>
    <xf borderId="1" fillId="14" fontId="8" numFmtId="166" xfId="0" applyAlignment="1" applyBorder="1" applyFont="1" applyNumberFormat="1">
      <alignment horizontal="center" readingOrder="0" vertical="center"/>
    </xf>
    <xf borderId="1" fillId="14" fontId="8" numFmtId="164" xfId="0" applyAlignment="1" applyBorder="1" applyFont="1" applyNumberFormat="1">
      <alignment horizontal="center" readingOrder="0" vertical="center"/>
    </xf>
    <xf borderId="1" fillId="0" fontId="22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vertical="center"/>
    </xf>
    <xf borderId="1" fillId="0" fontId="22" numFmtId="164" xfId="0" applyAlignment="1" applyBorder="1" applyFont="1" applyNumberFormat="1">
      <alignment horizontal="center" readingOrder="0" vertical="center"/>
    </xf>
    <xf borderId="1" fillId="0" fontId="22" numFmtId="166" xfId="0" applyAlignment="1" applyBorder="1" applyFont="1" applyNumberFormat="1">
      <alignment horizontal="center" vertical="center"/>
    </xf>
    <xf borderId="1" fillId="8" fontId="7" numFmtId="0" xfId="0" applyAlignment="1" applyBorder="1" applyFont="1">
      <alignment horizontal="center" readingOrder="0" vertical="center"/>
    </xf>
    <xf borderId="1" fillId="8" fontId="7" numFmtId="165" xfId="0" applyAlignment="1" applyBorder="1" applyFont="1" applyNumberFormat="1">
      <alignment horizontal="center" readingOrder="0" vertical="center"/>
    </xf>
    <xf borderId="1" fillId="8" fontId="7" numFmtId="16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7" numFmtId="164" xfId="0" applyAlignment="1" applyBorder="1" applyFont="1" applyNumberFormat="1">
      <alignment horizontal="center" vertical="center"/>
    </xf>
    <xf borderId="1" fillId="0" fontId="17" numFmtId="164" xfId="0" applyAlignment="1" applyBorder="1" applyFont="1" applyNumberFormat="1">
      <alignment horizontal="center" readingOrder="0" vertical="center"/>
    </xf>
    <xf borderId="1" fillId="0" fontId="17" numFmtId="166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horizontal="center" vertical="center"/>
    </xf>
    <xf borderId="1" fillId="7" fontId="1" numFmtId="165" xfId="0" applyAlignment="1" applyBorder="1" applyFont="1" applyNumberFormat="1">
      <alignment horizontal="center" readingOrder="0" vertical="center"/>
    </xf>
    <xf borderId="1" fillId="7" fontId="1" numFmtId="0" xfId="0" applyAlignment="1" applyBorder="1" applyFont="1">
      <alignment horizontal="center" vertical="center"/>
    </xf>
    <xf borderId="1" fillId="8" fontId="10" numFmtId="166" xfId="0" applyAlignment="1" applyBorder="1" applyFont="1" applyNumberFormat="1">
      <alignment horizontal="center" vertical="center"/>
    </xf>
    <xf borderId="1" fillId="0" fontId="24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shrinkToFit="0" vertical="center" wrapText="0"/>
    </xf>
    <xf borderId="1" fillId="15" fontId="8" numFmtId="0" xfId="0" applyAlignment="1" applyBorder="1" applyFill="1" applyFont="1">
      <alignment horizontal="center" readingOrder="0" vertical="center"/>
    </xf>
    <xf borderId="1" fillId="15" fontId="8" numFmtId="165" xfId="0" applyAlignment="1" applyBorder="1" applyFont="1" applyNumberFormat="1">
      <alignment horizontal="center" readingOrder="0" vertical="center"/>
    </xf>
    <xf borderId="1" fillId="15" fontId="8" numFmtId="166" xfId="0" applyAlignment="1" applyBorder="1" applyFont="1" applyNumberFormat="1">
      <alignment horizontal="center" readingOrder="0" vertical="center"/>
    </xf>
    <xf borderId="1" fillId="15" fontId="8" numFmtId="164" xfId="0" applyAlignment="1" applyBorder="1" applyFont="1" applyNumberFormat="1">
      <alignment horizontal="center" readingOrder="0" vertical="center"/>
    </xf>
    <xf borderId="1" fillId="0" fontId="25" numFmtId="0" xfId="0" applyAlignment="1" applyBorder="1" applyFont="1">
      <alignment horizontal="center" readingOrder="0" vertical="center"/>
    </xf>
    <xf borderId="1" fillId="0" fontId="25" numFmtId="0" xfId="0" applyAlignment="1" applyBorder="1" applyFont="1">
      <alignment horizontal="center" vertical="center"/>
    </xf>
    <xf borderId="1" fillId="0" fontId="25" numFmtId="164" xfId="0" applyAlignment="1" applyBorder="1" applyFont="1" applyNumberFormat="1">
      <alignment horizontal="center" readingOrder="0" vertical="center"/>
    </xf>
    <xf borderId="1" fillId="0" fontId="25" numFmtId="166" xfId="0" applyAlignment="1" applyBorder="1" applyFont="1" applyNumberFormat="1">
      <alignment horizontal="center" vertical="center"/>
    </xf>
    <xf borderId="1" fillId="16" fontId="8" numFmtId="0" xfId="0" applyAlignment="1" applyBorder="1" applyFill="1" applyFont="1">
      <alignment horizontal="center" vertical="center"/>
    </xf>
    <xf borderId="1" fillId="16" fontId="8" numFmtId="165" xfId="0" applyAlignment="1" applyBorder="1" applyFont="1" applyNumberFormat="1">
      <alignment horizontal="center" vertical="center"/>
    </xf>
    <xf borderId="1" fillId="16" fontId="8" numFmtId="166" xfId="0" applyAlignment="1" applyBorder="1" applyFont="1" applyNumberFormat="1">
      <alignment horizontal="center" vertical="center"/>
    </xf>
    <xf borderId="1" fillId="16" fontId="8" numFmtId="0" xfId="0" applyAlignment="1" applyBorder="1" applyFont="1">
      <alignment horizontal="center" readingOrder="0" vertical="center"/>
    </xf>
    <xf borderId="1" fillId="16" fontId="8" numFmtId="165" xfId="0" applyAlignment="1" applyBorder="1" applyFont="1" applyNumberFormat="1">
      <alignment horizontal="center" readingOrder="0" vertical="center"/>
    </xf>
    <xf borderId="1" fillId="16" fontId="8" numFmtId="166" xfId="0" applyAlignment="1" applyBorder="1" applyFont="1" applyNumberFormat="1">
      <alignment horizontal="center" readingOrder="0" vertical="center"/>
    </xf>
    <xf borderId="1" fillId="0" fontId="19" numFmtId="166" xfId="0" applyAlignment="1" applyBorder="1" applyFont="1" applyNumberFormat="1">
      <alignment horizontal="center" readingOrder="0" vertical="center"/>
    </xf>
    <xf borderId="1" fillId="0" fontId="19" numFmtId="164" xfId="0" applyAlignment="1" applyBorder="1" applyFont="1" applyNumberFormat="1">
      <alignment horizontal="center" readingOrder="0" vertical="center"/>
    </xf>
    <xf borderId="1" fillId="8" fontId="9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readingOrder="0" vertical="center"/>
    </xf>
    <xf borderId="1" fillId="8" fontId="9" numFmtId="164" xfId="0" applyAlignment="1" applyBorder="1" applyFont="1" applyNumberForma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1" fillId="17" fontId="8" numFmtId="0" xfId="0" applyAlignment="1" applyBorder="1" applyFill="1" applyFont="1">
      <alignment horizontal="center" readingOrder="0" vertical="center"/>
    </xf>
    <xf borderId="1" fillId="17" fontId="8" numFmtId="165" xfId="0" applyAlignment="1" applyBorder="1" applyFont="1" applyNumberFormat="1">
      <alignment horizontal="center" readingOrder="0" vertical="center"/>
    </xf>
    <xf borderId="1" fillId="17" fontId="8" numFmtId="166" xfId="0" applyAlignment="1" applyBorder="1" applyFont="1" applyNumberFormat="1">
      <alignment horizontal="center" readingOrder="0" vertical="center"/>
    </xf>
    <xf borderId="1" fillId="17" fontId="8" numFmtId="0" xfId="0" applyAlignment="1" applyBorder="1" applyFont="1">
      <alignment horizontal="center" vertical="center"/>
    </xf>
    <xf borderId="1" fillId="17" fontId="8" numFmtId="164" xfId="0" applyAlignment="1" applyBorder="1" applyFont="1" applyNumberFormat="1">
      <alignment horizontal="center" vertical="center"/>
    </xf>
    <xf borderId="1" fillId="0" fontId="27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vertical="center"/>
    </xf>
    <xf borderId="1" fillId="0" fontId="27" numFmtId="166" xfId="0" applyAlignment="1" applyBorder="1" applyFont="1" applyNumberFormat="1">
      <alignment horizontal="center" readingOrder="0" vertical="center"/>
    </xf>
    <xf borderId="1" fillId="0" fontId="27" numFmtId="164" xfId="0" applyAlignment="1" applyBorder="1" applyFont="1" applyNumberFormat="1">
      <alignment horizontal="center" readingOrder="0" vertical="center"/>
    </xf>
    <xf borderId="1" fillId="0" fontId="27" numFmtId="166" xfId="0" applyAlignment="1" applyBorder="1" applyFont="1" applyNumberFormat="1">
      <alignment horizontal="center" vertical="center"/>
    </xf>
    <xf borderId="1" fillId="9" fontId="17" numFmtId="0" xfId="0" applyAlignment="1" applyBorder="1" applyFont="1">
      <alignment horizontal="center" vertical="center"/>
    </xf>
    <xf borderId="1" fillId="9" fontId="17" numFmtId="164" xfId="0" applyAlignment="1" applyBorder="1" applyFont="1" applyNumberFormat="1">
      <alignment horizontal="center" vertical="center"/>
    </xf>
    <xf borderId="1" fillId="13" fontId="18" numFmtId="166" xfId="0" applyAlignment="1" applyBorder="1" applyFont="1" applyNumberFormat="1">
      <alignment horizontal="center" readingOrder="0" vertical="center"/>
    </xf>
    <xf borderId="1" fillId="6" fontId="21" numFmtId="0" xfId="0" applyAlignment="1" applyBorder="1" applyFont="1">
      <alignment horizontal="center" readingOrder="0" vertical="center"/>
    </xf>
    <xf borderId="1" fillId="6" fontId="21" numFmtId="165" xfId="0" applyAlignment="1" applyBorder="1" applyFont="1" applyNumberFormat="1">
      <alignment horizontal="center" readingOrder="0" vertical="center"/>
    </xf>
    <xf borderId="1" fillId="6" fontId="21" numFmtId="166" xfId="0" applyAlignment="1" applyBorder="1" applyFont="1" applyNumberFormat="1">
      <alignment horizontal="center" readingOrder="0" vertical="center"/>
    </xf>
    <xf borderId="1" fillId="3" fontId="7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1" fillId="3" fontId="7" numFmtId="164" xfId="0" applyAlignment="1" applyBorder="1" applyFont="1" applyNumberFormat="1">
      <alignment horizontal="center" vertical="center"/>
    </xf>
    <xf borderId="1" fillId="3" fontId="7" numFmtId="164" xfId="0" applyAlignment="1" applyBorder="1" applyFont="1" applyNumberFormat="1">
      <alignment horizontal="center" readingOrder="0" vertical="center"/>
    </xf>
    <xf borderId="1" fillId="3" fontId="7" numFmtId="166" xfId="0" applyAlignment="1" applyBorder="1" applyFont="1" applyNumberFormat="1">
      <alignment horizontal="center" vertical="center"/>
    </xf>
    <xf borderId="1" fillId="3" fontId="9" numFmtId="164" xfId="0" applyAlignment="1" applyBorder="1" applyFont="1" applyNumberFormat="1">
      <alignment horizontal="center" readingOrder="0" vertical="center"/>
    </xf>
    <xf borderId="1" fillId="3" fontId="9" numFmtId="0" xfId="0" applyAlignment="1" applyBorder="1" applyFont="1">
      <alignment horizontal="center" vertical="center"/>
    </xf>
    <xf borderId="1" fillId="17" fontId="8" numFmtId="165" xfId="0" applyAlignment="1" applyBorder="1" applyFont="1" applyNumberFormat="1">
      <alignment horizontal="center" vertical="center"/>
    </xf>
    <xf borderId="1" fillId="8" fontId="7" numFmtId="166" xfId="0" applyAlignment="1" applyBorder="1" applyFont="1" applyNumberFormat="1">
      <alignment horizontal="center" vertical="center"/>
    </xf>
    <xf borderId="1" fillId="8" fontId="7" numFmtId="0" xfId="0" applyAlignment="1" applyBorder="1" applyFont="1">
      <alignment horizontal="center" vertical="center"/>
    </xf>
    <xf borderId="1" fillId="16" fontId="8" numFmtId="164" xfId="0" applyAlignment="1" applyBorder="1" applyFont="1" applyNumberFormat="1">
      <alignment horizontal="center" vertical="center"/>
    </xf>
    <xf borderId="1" fillId="16" fontId="8" numFmtId="164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8" numFmtId="164" xfId="0" applyAlignment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1" fillId="3" fontId="1" numFmtId="166" xfId="0" applyAlignment="1" applyBorder="1" applyFont="1" applyNumberFormat="1">
      <alignment horizontal="center" readingOrder="0" vertical="center"/>
    </xf>
    <xf borderId="0" fillId="0" fontId="11" numFmtId="164" xfId="0" applyAlignment="1" applyFont="1" applyNumberFormat="1">
      <alignment horizontal="center" readingOrder="0" vertical="center"/>
    </xf>
    <xf borderId="1" fillId="7" fontId="11" numFmtId="0" xfId="0" applyAlignment="1" applyBorder="1" applyFont="1">
      <alignment horizontal="center" vertical="center"/>
    </xf>
    <xf borderId="1" fillId="7" fontId="1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1" fillId="7" fontId="1" numFmtId="166" xfId="0" applyAlignment="1" applyBorder="1" applyFont="1" applyNumberFormat="1">
      <alignment horizontal="center" readingOrder="0" vertical="center"/>
    </xf>
    <xf borderId="1" fillId="7" fontId="11" numFmtId="0" xfId="0" applyAlignment="1" applyBorder="1" applyFont="1">
      <alignment horizontal="center" vertical="center"/>
    </xf>
    <xf borderId="1" fillId="7" fontId="11" numFmtId="164" xfId="0" applyAlignment="1" applyBorder="1" applyFont="1" applyNumberFormat="1">
      <alignment horizontal="center" vertical="center"/>
    </xf>
    <xf borderId="1" fillId="7" fontId="11" numFmtId="166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6" xfId="0" applyAlignment="1" applyBorder="1" applyFont="1" applyNumberForma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164" xfId="0" applyAlignment="1" applyBorder="1" applyFont="1" applyNumberFormat="1">
      <alignment horizontal="center" readingOrder="0" vertical="center"/>
    </xf>
    <xf borderId="1" fillId="9" fontId="28" numFmtId="0" xfId="0" applyAlignment="1" applyBorder="1" applyFont="1">
      <alignment horizontal="center" vertical="center"/>
    </xf>
    <xf borderId="1" fillId="9" fontId="28" numFmtId="0" xfId="0" applyAlignment="1" applyBorder="1" applyFont="1">
      <alignment horizontal="center" readingOrder="0" vertical="center"/>
    </xf>
    <xf borderId="1" fillId="9" fontId="28" numFmtId="165" xfId="0" applyAlignment="1" applyBorder="1" applyFont="1" applyNumberFormat="1">
      <alignment horizontal="center" readingOrder="0" vertical="center"/>
    </xf>
    <xf borderId="1" fillId="9" fontId="28" numFmtId="166" xfId="0" applyAlignment="1" applyBorder="1" applyFont="1" applyNumberFormat="1">
      <alignment horizontal="center" readingOrder="0" vertical="center"/>
    </xf>
    <xf borderId="1" fillId="9" fontId="28" numFmtId="164" xfId="0" applyAlignment="1" applyBorder="1" applyFont="1" applyNumberFormat="1">
      <alignment horizontal="center" readingOrder="0" vertical="center"/>
    </xf>
    <xf borderId="1" fillId="9" fontId="28" numFmtId="0" xfId="0" applyAlignment="1" applyBorder="1" applyFont="1">
      <alignment horizontal="center" vertical="center"/>
    </xf>
    <xf borderId="1" fillId="13" fontId="29" numFmtId="0" xfId="0" applyAlignment="1" applyBorder="1" applyFont="1">
      <alignment horizontal="center" readingOrder="0" vertical="center"/>
    </xf>
    <xf borderId="1" fillId="13" fontId="29" numFmtId="0" xfId="0" applyAlignment="1" applyBorder="1" applyFont="1">
      <alignment horizontal="center" vertical="center"/>
    </xf>
    <xf borderId="1" fillId="13" fontId="29" numFmtId="0" xfId="0" applyAlignment="1" applyBorder="1" applyFont="1">
      <alignment horizontal="center" vertical="center"/>
    </xf>
    <xf borderId="1" fillId="13" fontId="29" numFmtId="166" xfId="0" applyAlignment="1" applyBorder="1" applyFont="1" applyNumberFormat="1">
      <alignment horizontal="center" vertical="center"/>
    </xf>
    <xf borderId="1" fillId="0" fontId="30" numFmtId="0" xfId="0" applyAlignment="1" applyBorder="1" applyFont="1">
      <alignment horizontal="center" readingOrder="0" vertical="center"/>
    </xf>
    <xf borderId="1" fillId="0" fontId="30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0" fontId="30" numFmtId="166" xfId="0" applyAlignment="1" applyBorder="1" applyFont="1" applyNumberFormat="1">
      <alignment horizontal="center" vertical="center"/>
    </xf>
    <xf borderId="1" fillId="6" fontId="3" numFmtId="165" xfId="0" applyAlignment="1" applyBorder="1" applyFont="1" applyNumberFormat="1">
      <alignment horizontal="center" readingOrder="0" vertical="center"/>
    </xf>
    <xf borderId="1" fillId="6" fontId="3" numFmtId="166" xfId="0" applyAlignment="1" applyBorder="1" applyFont="1" applyNumberFormat="1">
      <alignment horizontal="center" readingOrder="0" vertical="center"/>
    </xf>
    <xf borderId="1" fillId="0" fontId="3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1" numFmtId="166" xfId="0" applyAlignment="1" applyBorder="1" applyFont="1" applyNumberFormat="1">
      <alignment horizontal="center" vertical="center"/>
    </xf>
    <xf borderId="1" fillId="0" fontId="32" numFmtId="0" xfId="0" applyAlignment="1" applyBorder="1" applyFont="1">
      <alignment horizontal="center" readingOrder="0" vertical="center"/>
    </xf>
    <xf borderId="1" fillId="0" fontId="32" numFmtId="0" xfId="0" applyAlignment="1" applyBorder="1" applyFont="1">
      <alignment horizontal="center" vertical="center"/>
    </xf>
    <xf borderId="1" fillId="0" fontId="32" numFmtId="0" xfId="0" applyAlignment="1" applyBorder="1" applyFont="1">
      <alignment horizontal="center" vertical="center"/>
    </xf>
    <xf borderId="1" fillId="0" fontId="32" numFmtId="166" xfId="0" applyAlignment="1" applyBorder="1" applyFont="1" applyNumberFormat="1">
      <alignment horizontal="center" vertical="center"/>
    </xf>
    <xf borderId="1" fillId="13" fontId="3" numFmtId="0" xfId="0" applyAlignment="1" applyBorder="1" applyFont="1">
      <alignment horizontal="center" readingOrder="0" vertical="center"/>
    </xf>
    <xf borderId="1" fillId="13" fontId="3" numFmtId="165" xfId="0" applyAlignment="1" applyBorder="1" applyFont="1" applyNumberFormat="1">
      <alignment horizontal="center" readingOrder="0" vertical="center"/>
    </xf>
    <xf borderId="1" fillId="13" fontId="3" numFmtId="166" xfId="0" applyAlignment="1" applyBorder="1" applyFont="1" applyNumberFormat="1">
      <alignment horizontal="center" readingOrder="0" vertical="center"/>
    </xf>
    <xf borderId="1" fillId="0" fontId="33" numFmtId="0" xfId="0" applyAlignment="1" applyBorder="1" applyFont="1">
      <alignment horizontal="center" readingOrder="0" vertical="center"/>
    </xf>
    <xf borderId="1" fillId="0" fontId="33" numFmtId="0" xfId="0" applyAlignment="1" applyBorder="1" applyFont="1">
      <alignment horizontal="center" vertical="center"/>
    </xf>
    <xf borderId="1" fillId="0" fontId="33" numFmtId="0" xfId="0" applyAlignment="1" applyBorder="1" applyFont="1">
      <alignment horizontal="center" vertical="center"/>
    </xf>
    <xf borderId="1" fillId="0" fontId="33" numFmtId="166" xfId="0" applyAlignment="1" applyBorder="1" applyFont="1" applyNumberFormat="1">
      <alignment horizontal="center" vertical="center"/>
    </xf>
    <xf borderId="1" fillId="4" fontId="34" numFmtId="0" xfId="0" applyAlignment="1" applyBorder="1" applyFont="1">
      <alignment horizontal="center" readingOrder="0" vertical="center"/>
    </xf>
    <xf borderId="1" fillId="4" fontId="34" numFmtId="165" xfId="0" applyAlignment="1" applyBorder="1" applyFont="1" applyNumberFormat="1">
      <alignment horizontal="center" readingOrder="0" vertical="center"/>
    </xf>
    <xf borderId="1" fillId="4" fontId="34" numFmtId="166" xfId="0" applyAlignment="1" applyBorder="1" applyFont="1" applyNumberFormat="1">
      <alignment horizontal="center" readingOrder="0" vertical="center"/>
    </xf>
    <xf borderId="1" fillId="0" fontId="34" numFmtId="0" xfId="0" applyAlignment="1" applyBorder="1" applyFont="1">
      <alignment horizontal="center" readingOrder="0" vertical="center"/>
    </xf>
    <xf borderId="1" fillId="0" fontId="34" numFmtId="0" xfId="0" applyAlignment="1" applyBorder="1" applyFont="1">
      <alignment horizontal="center" vertical="center"/>
    </xf>
    <xf borderId="1" fillId="0" fontId="34" numFmtId="0" xfId="0" applyAlignment="1" applyBorder="1" applyFont="1">
      <alignment horizontal="center" vertical="center"/>
    </xf>
    <xf borderId="1" fillId="0" fontId="34" numFmtId="166" xfId="0" applyAlignment="1" applyBorder="1" applyFont="1" applyNumberFormat="1">
      <alignment horizontal="center" vertical="center"/>
    </xf>
    <xf borderId="1" fillId="3" fontId="28" numFmtId="0" xfId="0" applyAlignment="1" applyBorder="1" applyFont="1">
      <alignment horizontal="center" readingOrder="0" vertical="center"/>
    </xf>
    <xf borderId="1" fillId="3" fontId="28" numFmtId="165" xfId="0" applyAlignment="1" applyBorder="1" applyFont="1" applyNumberFormat="1">
      <alignment horizontal="center" readingOrder="0" vertical="center"/>
    </xf>
    <xf borderId="1" fillId="3" fontId="28" numFmtId="166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3" fontId="35" numFmtId="0" xfId="0" applyAlignment="1" applyBorder="1" applyFont="1">
      <alignment horizontal="center" readingOrder="0" vertical="center"/>
    </xf>
    <xf borderId="1" fillId="3" fontId="35" numFmtId="165" xfId="0" applyAlignment="1" applyBorder="1" applyFont="1" applyNumberFormat="1">
      <alignment horizontal="center" readingOrder="0" vertical="center"/>
    </xf>
    <xf borderId="1" fillId="3" fontId="35" numFmtId="166" xfId="0" applyAlignment="1" applyBorder="1" applyFont="1" applyNumberFormat="1">
      <alignment horizontal="center" readingOrder="0" vertical="center"/>
    </xf>
    <xf borderId="1" fillId="0" fontId="35" numFmtId="0" xfId="0" applyAlignment="1" applyBorder="1" applyFont="1">
      <alignment horizontal="center" readingOrder="0" vertical="center"/>
    </xf>
    <xf borderId="1" fillId="0" fontId="35" numFmtId="0" xfId="0" applyAlignment="1" applyBorder="1" applyFont="1">
      <alignment horizontal="center" vertical="center"/>
    </xf>
    <xf borderId="1" fillId="0" fontId="35" numFmtId="0" xfId="0" applyAlignment="1" applyBorder="1" applyFont="1">
      <alignment horizontal="center" vertical="center"/>
    </xf>
    <xf borderId="1" fillId="0" fontId="35" numFmtId="166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3" numFmtId="165" xfId="0" applyAlignment="1" applyBorder="1" applyFont="1" applyNumberFormat="1">
      <alignment horizontal="center" readingOrder="0" vertical="center"/>
    </xf>
    <xf borderId="1" fillId="5" fontId="3" numFmtId="164" xfId="0" applyAlignment="1" applyBorder="1" applyFont="1" applyNumberFormat="1">
      <alignment horizontal="center" readingOrder="0" vertical="center"/>
    </xf>
    <xf borderId="1" fillId="5" fontId="3" numFmtId="166" xfId="0" applyAlignment="1" applyBorder="1" applyFont="1" applyNumberFormat="1">
      <alignment horizontal="center" readingOrder="0" vertical="center"/>
    </xf>
    <xf borderId="1" fillId="0" fontId="35" numFmtId="165" xfId="0" applyAlignment="1" applyBorder="1" applyFont="1" applyNumberFormat="1">
      <alignment horizontal="center" readingOrder="0" vertical="center"/>
    </xf>
    <xf borderId="1" fillId="0" fontId="35" numFmtId="166" xfId="0" applyAlignment="1" applyBorder="1" applyFont="1" applyNumberFormat="1">
      <alignment horizontal="center" readingOrder="0" vertical="center"/>
    </xf>
    <xf borderId="1" fillId="0" fontId="35" numFmtId="164" xfId="0" applyAlignment="1" applyBorder="1" applyFont="1" applyNumberFormat="1">
      <alignment horizontal="center" readingOrder="0" vertical="center"/>
    </xf>
    <xf borderId="0" fillId="0" fontId="12" numFmtId="165" xfId="0" applyAlignment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2" fillId="0" fontId="7" numFmtId="164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2" fillId="0" fontId="7" numFmtId="166" xfId="0" applyAlignment="1" applyBorder="1" applyFont="1" applyNumberFormat="1">
      <alignment horizontal="center" readingOrder="0" vertical="center"/>
    </xf>
    <xf borderId="4" fillId="0" fontId="7" numFmtId="164" xfId="0" applyAlignment="1" applyBorder="1" applyFont="1" applyNumberFormat="1">
      <alignment horizontal="center" readingOrder="0" vertical="center"/>
    </xf>
    <xf borderId="3" fillId="0" fontId="7" numFmtId="164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3" fillId="0" fontId="7" numFmtId="166" xfId="0" applyAlignment="1" applyBorder="1" applyFont="1" applyNumberFormat="1">
      <alignment horizontal="center" readingOrder="0" vertical="center"/>
    </xf>
    <xf borderId="1" fillId="0" fontId="35" numFmtId="165" xfId="0" applyAlignment="1" applyBorder="1" applyFont="1" applyNumberFormat="1">
      <alignment horizontal="center" vertical="center"/>
    </xf>
    <xf borderId="1" fillId="5" fontId="3" numFmtId="166" xfId="0" applyAlignment="1" applyBorder="1" applyFont="1" applyNumberFormat="1">
      <alignment horizontal="center" vertical="center"/>
    </xf>
    <xf borderId="1" fillId="4" fontId="3" numFmtId="165" xfId="0" applyAlignment="1" applyBorder="1" applyFont="1" applyNumberFormat="1">
      <alignment horizontal="center" readingOrder="0" vertical="center"/>
    </xf>
    <xf borderId="1" fillId="4" fontId="3" numFmtId="166" xfId="0" applyAlignment="1" applyBorder="1" applyFont="1" applyNumberFormat="1">
      <alignment horizontal="center" readingOrder="0" vertical="center"/>
    </xf>
    <xf borderId="1" fillId="4" fontId="3" numFmtId="164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166" xfId="0" applyAlignment="1" applyBorder="1" applyFont="1" applyNumberFormat="1">
      <alignment horizontal="center" vertical="center"/>
    </xf>
    <xf borderId="1" fillId="14" fontId="3" numFmtId="0" xfId="0" applyAlignment="1" applyBorder="1" applyFont="1">
      <alignment horizontal="center" readingOrder="0" vertical="center"/>
    </xf>
    <xf borderId="1" fillId="14" fontId="3" numFmtId="165" xfId="0" applyAlignment="1" applyBorder="1" applyFont="1" applyNumberFormat="1">
      <alignment horizontal="center" readingOrder="0" vertical="center"/>
    </xf>
    <xf borderId="1" fillId="14" fontId="3" numFmtId="166" xfId="0" applyAlignment="1" applyBorder="1" applyFont="1" applyNumberFormat="1">
      <alignment horizontal="center" readingOrder="0" vertical="center"/>
    </xf>
    <xf borderId="1" fillId="14" fontId="3" numFmtId="0" xfId="0" applyAlignment="1" applyBorder="1" applyFont="1">
      <alignment horizontal="center" vertical="center"/>
    </xf>
    <xf borderId="1" fillId="14" fontId="3" numFmtId="164" xfId="0" applyAlignment="1" applyBorder="1" applyFont="1" applyNumberFormat="1">
      <alignment horizontal="center" readingOrder="0" vertical="center"/>
    </xf>
    <xf borderId="1" fillId="0" fontId="36" numFmtId="166" xfId="0" applyAlignment="1" applyBorder="1" applyFont="1" applyNumberFormat="1">
      <alignment horizontal="center" vertical="center"/>
    </xf>
    <xf borderId="1" fillId="0" fontId="36" numFmtId="0" xfId="0" applyAlignment="1" applyBorder="1" applyFont="1">
      <alignment horizontal="center" vertical="center"/>
    </xf>
    <xf borderId="1" fillId="0" fontId="36" numFmtId="0" xfId="0" applyAlignment="1" applyBorder="1" applyFont="1">
      <alignment horizontal="center" readingOrder="0" vertical="center"/>
    </xf>
    <xf borderId="1" fillId="0" fontId="36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2" fillId="0" fontId="12" numFmtId="165" xfId="0" applyAlignment="1" applyBorder="1" applyFont="1" applyNumberFormat="1">
      <alignment horizontal="center" vertical="center"/>
    </xf>
    <xf borderId="2" fillId="0" fontId="12" numFmtId="164" xfId="0" applyAlignment="1" applyBorder="1" applyFont="1" applyNumberFormat="1">
      <alignment horizontal="center" vertical="center"/>
    </xf>
    <xf borderId="3" fillId="0" fontId="12" numFmtId="166" xfId="0" applyAlignment="1" applyBorder="1" applyFont="1" applyNumberFormat="1">
      <alignment horizontal="center" vertical="center"/>
    </xf>
    <xf borderId="3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3" fillId="0" fontId="12" numFmtId="165" xfId="0" applyAlignment="1" applyBorder="1" applyFont="1" applyNumberFormat="1">
      <alignment horizontal="center" vertical="center"/>
    </xf>
    <xf borderId="3" fillId="0" fontId="12" numFmtId="164" xfId="0" applyAlignment="1" applyBorder="1" applyFont="1" applyNumberFormat="1">
      <alignment horizontal="center" vertical="center"/>
    </xf>
    <xf borderId="1" fillId="8" fontId="12" numFmtId="0" xfId="0" applyAlignment="1" applyBorder="1" applyFont="1">
      <alignment horizontal="center" vertical="center"/>
    </xf>
    <xf borderId="1" fillId="8" fontId="12" numFmtId="0" xfId="0" applyAlignment="1" applyBorder="1" applyFont="1">
      <alignment horizontal="center" readingOrder="0" vertical="center"/>
    </xf>
    <xf borderId="1" fillId="8" fontId="12" numFmtId="165" xfId="0" applyAlignment="1" applyBorder="1" applyFont="1" applyNumberFormat="1">
      <alignment horizontal="center" readingOrder="0" vertical="center"/>
    </xf>
    <xf borderId="1" fillId="8" fontId="12" numFmtId="164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2" fillId="0" fontId="12" numFmtId="165" xfId="0" applyAlignment="1" applyBorder="1" applyFont="1" applyNumberFormat="1">
      <alignment horizontal="center" readingOrder="0" vertical="center"/>
    </xf>
    <xf borderId="1" fillId="3" fontId="33" numFmtId="0" xfId="0" applyAlignment="1" applyBorder="1" applyFont="1">
      <alignment horizontal="center" readingOrder="0" vertical="center"/>
    </xf>
    <xf borderId="1" fillId="3" fontId="33" numFmtId="165" xfId="0" applyAlignment="1" applyBorder="1" applyFont="1" applyNumberFormat="1">
      <alignment horizontal="center" readingOrder="0" vertical="center"/>
    </xf>
    <xf borderId="1" fillId="3" fontId="33" numFmtId="166" xfId="0" applyAlignment="1" applyBorder="1" applyFont="1" applyNumberFormat="1">
      <alignment horizontal="center" readingOrder="0" vertical="center"/>
    </xf>
    <xf borderId="1" fillId="0" fontId="37" numFmtId="0" xfId="0" applyAlignment="1" applyBorder="1" applyFont="1">
      <alignment horizontal="center" readingOrder="0" vertical="center"/>
    </xf>
    <xf borderId="1" fillId="13" fontId="3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166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 shrinkToFit="0" vertical="center" wrapText="0"/>
    </xf>
    <xf borderId="1" fillId="15" fontId="3" numFmtId="0" xfId="0" applyAlignment="1" applyBorder="1" applyFont="1">
      <alignment horizontal="center" readingOrder="0" vertical="center"/>
    </xf>
    <xf borderId="1" fillId="15" fontId="3" numFmtId="165" xfId="0" applyAlignment="1" applyBorder="1" applyFont="1" applyNumberFormat="1">
      <alignment horizontal="center" readingOrder="0" vertical="center"/>
    </xf>
    <xf borderId="1" fillId="15" fontId="3" numFmtId="164" xfId="0" applyAlignment="1" applyBorder="1" applyFont="1" applyNumberFormat="1">
      <alignment horizontal="center" readingOrder="0" vertical="center"/>
    </xf>
    <xf borderId="1" fillId="15" fontId="3" numFmtId="166" xfId="0" applyAlignment="1" applyBorder="1" applyFont="1" applyNumberFormat="1">
      <alignment horizontal="center" readingOrder="0" vertical="center"/>
    </xf>
    <xf borderId="1" fillId="0" fontId="31" numFmtId="0" xfId="0" applyAlignment="1" applyBorder="1" applyFont="1">
      <alignment horizontal="center" readingOrder="0" vertical="center"/>
    </xf>
    <xf borderId="1" fillId="0" fontId="31" numFmtId="0" xfId="0" applyAlignment="1" applyBorder="1" applyFont="1">
      <alignment horizontal="center" vertical="center"/>
    </xf>
    <xf borderId="1" fillId="16" fontId="3" numFmtId="0" xfId="0" applyAlignment="1" applyBorder="1" applyFont="1">
      <alignment horizontal="center" readingOrder="0" vertical="center"/>
    </xf>
    <xf borderId="1" fillId="16" fontId="3" numFmtId="165" xfId="0" applyAlignment="1" applyBorder="1" applyFont="1" applyNumberFormat="1">
      <alignment horizontal="center" readingOrder="0" vertical="center"/>
    </xf>
    <xf borderId="1" fillId="16" fontId="3" numFmtId="166" xfId="0" applyAlignment="1" applyBorder="1" applyFont="1" applyNumberFormat="1">
      <alignment horizontal="center" readingOrder="0" vertical="center"/>
    </xf>
    <xf borderId="1" fillId="0" fontId="38" numFmtId="0" xfId="0" applyAlignment="1" applyBorder="1" applyFont="1">
      <alignment horizontal="center" readingOrder="0" vertical="center"/>
    </xf>
    <xf borderId="1" fillId="8" fontId="35" numFmtId="0" xfId="0" applyAlignment="1" applyBorder="1" applyFont="1">
      <alignment horizontal="center" vertical="center"/>
    </xf>
    <xf borderId="1" fillId="8" fontId="35" numFmtId="0" xfId="0" applyAlignment="1" applyBorder="1" applyFont="1">
      <alignment horizontal="center" readingOrder="0" vertical="center"/>
    </xf>
    <xf borderId="1" fillId="17" fontId="3" numFmtId="0" xfId="0" applyAlignment="1" applyBorder="1" applyFont="1">
      <alignment horizontal="center" vertical="center"/>
    </xf>
    <xf borderId="1" fillId="17" fontId="3" numFmtId="0" xfId="0" applyAlignment="1" applyBorder="1" applyFont="1">
      <alignment horizontal="center" readingOrder="0" vertical="center"/>
    </xf>
    <xf borderId="1" fillId="17" fontId="3" numFmtId="165" xfId="0" applyAlignment="1" applyBorder="1" applyFont="1" applyNumberFormat="1">
      <alignment horizontal="center" readingOrder="0" vertical="center"/>
    </xf>
    <xf borderId="1" fillId="17" fontId="3" numFmtId="166" xfId="0" applyAlignment="1" applyBorder="1" applyFont="1" applyNumberFormat="1">
      <alignment horizontal="center" readingOrder="0" vertical="center"/>
    </xf>
    <xf borderId="1" fillId="17" fontId="3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readingOrder="0" vertical="center"/>
    </xf>
    <xf borderId="1" fillId="0" fontId="39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vertical="center"/>
    </xf>
    <xf borderId="1" fillId="0" fontId="39" numFmtId="164" xfId="0" applyAlignment="1" applyBorder="1" applyFont="1" applyNumberFormat="1">
      <alignment horizontal="center" readingOrder="0" vertical="center"/>
    </xf>
    <xf borderId="1" fillId="0" fontId="39" numFmtId="166" xfId="0" applyAlignment="1" applyBorder="1" applyFont="1" applyNumberFormat="1">
      <alignment horizontal="center" vertical="center"/>
    </xf>
    <xf borderId="1" fillId="17" fontId="3" numFmtId="164" xfId="0" applyAlignment="1" applyBorder="1" applyFont="1" applyNumberFormat="1">
      <alignment horizontal="center" vertical="center"/>
    </xf>
    <xf borderId="1" fillId="9" fontId="28" numFmtId="164" xfId="0" applyAlignment="1" applyBorder="1" applyFont="1" applyNumberFormat="1">
      <alignment horizontal="center" vertical="center"/>
    </xf>
    <xf borderId="1" fillId="13" fontId="29" numFmtId="166" xfId="0" applyAlignment="1" applyBorder="1" applyFont="1" applyNumberFormat="1">
      <alignment horizontal="center" readingOrder="0" vertical="center"/>
    </xf>
    <xf borderId="1" fillId="6" fontId="34" numFmtId="0" xfId="0" applyAlignment="1" applyBorder="1" applyFont="1">
      <alignment horizontal="center" readingOrder="0" vertical="center"/>
    </xf>
    <xf borderId="1" fillId="6" fontId="34" numFmtId="165" xfId="0" applyAlignment="1" applyBorder="1" applyFont="1" applyNumberFormat="1">
      <alignment horizontal="center" readingOrder="0" vertical="center"/>
    </xf>
    <xf borderId="1" fillId="6" fontId="34" numFmtId="166" xfId="0" applyAlignment="1" applyBorder="1" applyFont="1" applyNumberFormat="1">
      <alignment horizontal="center" readingOrder="0" vertical="center"/>
    </xf>
    <xf borderId="1" fillId="3" fontId="12" numFmtId="0" xfId="0" applyAlignment="1" applyBorder="1" applyFont="1">
      <alignment horizontal="center" readingOrder="0" vertical="center"/>
    </xf>
    <xf borderId="1" fillId="3" fontId="12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center" vertical="center"/>
    </xf>
    <xf borderId="1" fillId="3" fontId="12" numFmtId="166" xfId="0" applyAlignment="1" applyBorder="1" applyFont="1" applyNumberFormat="1">
      <alignment horizontal="center" vertical="center"/>
    </xf>
    <xf borderId="1" fillId="3" fontId="35" numFmtId="0" xfId="0" applyAlignment="1" applyBorder="1" applyFont="1">
      <alignment horizontal="center" vertical="center"/>
    </xf>
    <xf borderId="1" fillId="3" fontId="35" numFmtId="164" xfId="0" applyAlignment="1" applyBorder="1" applyFont="1" applyNumberFormat="1">
      <alignment horizontal="center" readingOrder="0" vertical="center"/>
    </xf>
    <xf borderId="1" fillId="5" fontId="34" numFmtId="0" xfId="0" applyAlignment="1" applyBorder="1" applyFont="1">
      <alignment horizontal="center" readingOrder="0" vertical="center"/>
    </xf>
    <xf borderId="1" fillId="5" fontId="34" numFmtId="0" xfId="0" applyAlignment="1" applyBorder="1" applyFont="1">
      <alignment horizontal="center" vertical="center"/>
    </xf>
    <xf borderId="1" fillId="5" fontId="34" numFmtId="0" xfId="0" applyAlignment="1" applyBorder="1" applyFont="1">
      <alignment horizontal="center" vertical="center"/>
    </xf>
    <xf borderId="1" fillId="5" fontId="34" numFmtId="166" xfId="0" applyAlignment="1" applyBorder="1" applyFont="1" applyNumberFormat="1">
      <alignment horizontal="center" vertical="center"/>
    </xf>
    <xf borderId="1" fillId="17" fontId="3" numFmtId="165" xfId="0" applyAlignment="1" applyBorder="1" applyFont="1" applyNumberFormat="1">
      <alignment horizontal="center" vertical="center"/>
    </xf>
    <xf borderId="1" fillId="8" fontId="12" numFmtId="166" xfId="0" applyAlignment="1" applyBorder="1" applyFont="1" applyNumberFormat="1">
      <alignment horizontal="center" vertical="center"/>
    </xf>
    <xf borderId="1" fillId="16" fontId="3" numFmtId="0" xfId="0" applyAlignment="1" applyBorder="1" applyFont="1">
      <alignment horizontal="center" vertical="center"/>
    </xf>
    <xf borderId="1" fillId="16" fontId="3" numFmtId="0" xfId="0" applyAlignment="1" applyBorder="1" applyFont="1">
      <alignment horizontal="center" vertical="center"/>
    </xf>
    <xf borderId="1" fillId="16" fontId="3" numFmtId="166" xfId="0" applyAlignment="1" applyBorder="1" applyFont="1" applyNumberFormat="1">
      <alignment horizontal="center" vertical="center"/>
    </xf>
    <xf borderId="1" fillId="15" fontId="3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10" fontId="1" numFmtId="164" xfId="0" applyAlignment="1" applyBorder="1" applyFont="1" applyNumberFormat="1">
      <alignment horizontal="center" vertical="center"/>
    </xf>
    <xf borderId="1" fillId="0" fontId="40" numFmtId="0" xfId="0" applyBorder="1" applyFont="1"/>
    <xf borderId="1" fillId="11" fontId="8" numFmtId="166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vertical="center"/>
    </xf>
    <xf borderId="1" fillId="11" fontId="8" numFmtId="166" xfId="0" applyAlignment="1" applyBorder="1" applyFont="1" applyNumberFormat="1">
      <alignment horizontal="center" readingOrder="0" vertical="center"/>
    </xf>
    <xf borderId="1" fillId="11" fontId="8" numFmtId="164" xfId="0" applyAlignment="1" applyBorder="1" applyFont="1" applyNumberFormat="1">
      <alignment horizontal="center" vertical="center"/>
    </xf>
    <xf borderId="1" fillId="8" fontId="1" numFmtId="164" xfId="0" applyAlignment="1" applyBorder="1" applyFont="1" applyNumberFormat="1">
      <alignment horizontal="center" vertical="center"/>
    </xf>
    <xf borderId="1" fillId="0" fontId="4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Roboto"/>
              </a:defRPr>
            </a:pPr>
            <a:r>
              <a:rPr b="1" i="0" sz="1000">
                <a:solidFill>
                  <a:srgbClr val="000000"/>
                </a:solidFill>
                <a:latin typeface="Roboto"/>
              </a:rPr>
              <a:t>Updated as of 31st January 2026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consoles!$B$1</c:f>
            </c:strRef>
          </c:tx>
          <c:dPt>
            <c:idx val="0"/>
            <c:spPr>
              <a:solidFill>
                <a:srgbClr val="D9D9D9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Pt>
            <c:idx val="2"/>
            <c:spPr>
              <a:solidFill>
                <a:srgbClr val="666666"/>
              </a:solidFill>
            </c:spPr>
          </c:dPt>
          <c:dPt>
            <c:idx val="3"/>
            <c:spPr>
              <a:solidFill>
                <a:srgbClr val="CC0000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A86E8"/>
              </a:solidFill>
            </c:spPr>
          </c:dPt>
          <c:dPt>
            <c:idx val="6"/>
            <c:spPr>
              <a:solidFill>
                <a:srgbClr val="FF00FF"/>
              </a:solidFill>
            </c:spPr>
          </c:dPt>
          <c:dPt>
            <c:idx val="7"/>
            <c:spPr>
              <a:solidFill>
                <a:srgbClr val="F3F3F3"/>
              </a:solidFill>
            </c:spPr>
          </c:dPt>
          <c:dPt>
            <c:idx val="8"/>
          </c:dPt>
          <c:dPt>
            <c:idx val="9"/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consoles!$A$2:$A$11</c:f>
            </c:strRef>
          </c:cat>
          <c:val>
            <c:numRef>
              <c:f>consoles!$B$2:$B$11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000">
                <a:solidFill>
                  <a:srgbClr val="000000"/>
                </a:solidFill>
                <a:latin typeface="Roboto"/>
              </a:defRPr>
            </a:pPr>
            <a:r>
              <a:rPr b="1" i="0" sz="1000">
                <a:solidFill>
                  <a:srgbClr val="000000"/>
                </a:solidFill>
                <a:latin typeface="Roboto"/>
              </a:rPr>
              <a:t>Updated as of 31st January 2026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consoles!$B$1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consoles!$A$2:$A$11</c:f>
            </c:strRef>
          </c:cat>
          <c:val>
            <c:numRef>
              <c:f>consoles!$B$2:$B$11</c:f>
              <c:numCache/>
            </c:numRef>
          </c:val>
        </c:ser>
        <c:axId val="2116543122"/>
        <c:axId val="260951336"/>
      </c:bar3DChart>
      <c:catAx>
        <c:axId val="21165431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60951336"/>
      </c:catAx>
      <c:valAx>
        <c:axId val="2609513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6543122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Updated as of 31st January 2026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c_chart!$B$1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c_chart!$A$2:$A$11</c:f>
            </c:strRef>
          </c:cat>
          <c:val>
            <c:numRef>
              <c:f>c_chart!$B$2:$B$11</c:f>
              <c:numCache/>
            </c:numRef>
          </c:val>
        </c:ser>
        <c:ser>
          <c:idx val="1"/>
          <c:order val="1"/>
          <c:tx>
            <c:strRef>
              <c:f>c_chart!$C$1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c_chart!$A$2:$A$11</c:f>
            </c:strRef>
          </c:cat>
          <c:val>
            <c:numRef>
              <c:f>c_chart!$C$2:$C$11</c:f>
              <c:numCache/>
            </c:numRef>
          </c:val>
        </c:ser>
        <c:axId val="1728486403"/>
        <c:axId val="1275560878"/>
      </c:barChart>
      <c:catAx>
        <c:axId val="17284864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5560878"/>
      </c:catAx>
      <c:valAx>
        <c:axId val="12755608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848640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Top 10: Number of Games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c_chart!$B$1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c_chart!$A$2:$A$11</c:f>
            </c:strRef>
          </c:cat>
          <c:val>
            <c:numRef>
              <c:f>c_chart!$B$2:$B$11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1</xdr:row>
      <xdr:rowOff>9525</xdr:rowOff>
    </xdr:from>
    <xdr:ext cx="5715000" cy="3533775"/>
    <xdr:graphicFrame>
      <xdr:nvGraphicFramePr>
        <xdr:cNvPr id="1" name="Chart 1" title="Updated as of 31st January 20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19</xdr:row>
      <xdr:rowOff>28575</xdr:rowOff>
    </xdr:from>
    <xdr:ext cx="5715000" cy="3533775"/>
    <xdr:graphicFrame>
      <xdr:nvGraphicFramePr>
        <xdr:cNvPr id="2" name="Chart 2" title="Updated as of 31st January 20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1</xdr:row>
      <xdr:rowOff>9525</xdr:rowOff>
    </xdr:from>
    <xdr:ext cx="5715000" cy="3533775"/>
    <xdr:graphicFrame>
      <xdr:nvGraphicFramePr>
        <xdr:cNvPr id="3" name="Chart 3" title="Updated as of 31st January 20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76200</xdr:colOff>
      <xdr:row>18</xdr:row>
      <xdr:rowOff>200025</xdr:rowOff>
    </xdr:from>
    <xdr:ext cx="5715000" cy="3533775"/>
    <xdr:graphicFrame>
      <xdr:nvGraphicFramePr>
        <xdr:cNvPr id="4" name="Chart 4" title="Top 10: Number of Gam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ixel.lu" TargetMode="External"/><Relationship Id="rId2" Type="http://schemas.openxmlformats.org/officeDocument/2006/relationships/hyperlink" Target="http://luden.io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pixel.lu" TargetMode="External"/><Relationship Id="rId2" Type="http://schemas.openxmlformats.org/officeDocument/2006/relationships/hyperlink" Target="http://luden.io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pixel.lu" TargetMode="External"/><Relationship Id="rId2" Type="http://schemas.openxmlformats.org/officeDocument/2006/relationships/hyperlink" Target="http://luden.io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pixel.lu" TargetMode="External"/><Relationship Id="rId2" Type="http://schemas.openxmlformats.org/officeDocument/2006/relationships/hyperlink" Target="http://luden.io" TargetMode="External"/><Relationship Id="rId3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20.88"/>
    <col customWidth="1" min="3" max="3" width="11.38"/>
    <col customWidth="1" min="4" max="4" width="12.63"/>
    <col customWidth="1" min="5" max="9" width="11.75"/>
    <col customWidth="1" min="10" max="11" width="12.38"/>
    <col customWidth="1" min="12" max="12" width="9.63"/>
    <col customWidth="1" min="13" max="14" width="7.25"/>
  </cols>
  <sheetData>
    <row r="1">
      <c r="A1" s="1"/>
      <c r="B1" s="2" t="s">
        <v>0</v>
      </c>
      <c r="C1" s="1"/>
      <c r="D1" s="1"/>
      <c r="E1" s="3"/>
      <c r="F1" s="3"/>
      <c r="G1" s="3"/>
      <c r="H1" s="3"/>
      <c r="I1" s="3"/>
      <c r="J1" s="3"/>
      <c r="K1" s="4"/>
      <c r="L1" s="4"/>
      <c r="M1" s="4"/>
      <c r="N1" s="5"/>
    </row>
    <row r="2">
      <c r="A2" s="1"/>
      <c r="B2" s="6" t="s">
        <v>1</v>
      </c>
      <c r="C2" s="1"/>
      <c r="D2" s="1"/>
      <c r="E2" s="3"/>
      <c r="F2" s="3"/>
      <c r="G2" s="3"/>
      <c r="H2" s="3"/>
      <c r="I2" s="3"/>
      <c r="J2" s="3"/>
      <c r="K2" s="3"/>
      <c r="L2" s="4"/>
      <c r="M2" s="4"/>
      <c r="N2" s="5"/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>
      <c r="A4" s="8"/>
      <c r="B4" s="9" t="s">
        <v>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8"/>
      <c r="B5" s="10">
        <v>46054.0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8"/>
      <c r="B6" s="11" t="s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>
      <c r="A7" s="12" t="s">
        <v>4</v>
      </c>
      <c r="B7" s="12" t="s">
        <v>5</v>
      </c>
      <c r="C7" s="12" t="s">
        <v>6</v>
      </c>
      <c r="D7" s="13" t="s">
        <v>7</v>
      </c>
      <c r="E7" s="13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</row>
    <row r="8">
      <c r="A8" s="14"/>
      <c r="B8" s="15"/>
      <c r="C8" s="15"/>
      <c r="D8" s="16"/>
      <c r="E8" s="16"/>
      <c r="F8" s="17"/>
      <c r="G8" s="17"/>
      <c r="H8" s="17"/>
      <c r="I8" s="17"/>
      <c r="J8" s="18"/>
      <c r="K8" s="18"/>
      <c r="L8" s="18"/>
      <c r="M8" s="15"/>
      <c r="N8" s="18"/>
    </row>
    <row r="9">
      <c r="A9" s="14"/>
      <c r="B9" s="15"/>
      <c r="C9" s="15"/>
      <c r="D9" s="16"/>
      <c r="E9" s="16"/>
      <c r="F9" s="17"/>
      <c r="G9" s="17"/>
      <c r="H9" s="17"/>
      <c r="I9" s="17"/>
      <c r="J9" s="18"/>
      <c r="K9" s="18"/>
      <c r="L9" s="18"/>
      <c r="M9" s="15"/>
      <c r="N9" s="18"/>
    </row>
    <row r="10">
      <c r="A10" s="14"/>
      <c r="B10" s="15"/>
      <c r="C10" s="15"/>
      <c r="D10" s="16"/>
      <c r="E10" s="16"/>
      <c r="F10" s="17"/>
      <c r="G10" s="17"/>
      <c r="H10" s="17"/>
      <c r="I10" s="17"/>
      <c r="J10" s="18"/>
      <c r="K10" s="18"/>
      <c r="L10" s="18"/>
      <c r="M10" s="15"/>
      <c r="N10" s="18"/>
    </row>
    <row r="11">
      <c r="A11" s="14"/>
      <c r="B11" s="15"/>
      <c r="C11" s="15"/>
      <c r="D11" s="16"/>
      <c r="E11" s="16"/>
      <c r="F11" s="17"/>
      <c r="G11" s="17"/>
      <c r="H11" s="17"/>
      <c r="I11" s="17"/>
      <c r="J11" s="18"/>
      <c r="K11" s="18"/>
      <c r="L11" s="18"/>
      <c r="M11" s="15"/>
      <c r="N11" s="18"/>
    </row>
    <row r="12">
      <c r="A12" s="14"/>
      <c r="B12" s="15"/>
      <c r="C12" s="15"/>
      <c r="D12" s="16"/>
      <c r="E12" s="16"/>
      <c r="F12" s="17"/>
      <c r="G12" s="17"/>
      <c r="H12" s="17"/>
      <c r="I12" s="17"/>
      <c r="J12" s="18"/>
      <c r="K12" s="18"/>
      <c r="L12" s="18"/>
      <c r="M12" s="15"/>
      <c r="N12" s="18"/>
    </row>
    <row r="13">
      <c r="A13" s="14"/>
      <c r="B13" s="15"/>
      <c r="C13" s="15"/>
      <c r="D13" s="16"/>
      <c r="E13" s="16"/>
      <c r="F13" s="17"/>
      <c r="G13" s="17"/>
      <c r="H13" s="17"/>
      <c r="I13" s="17"/>
      <c r="J13" s="18"/>
      <c r="K13" s="18"/>
      <c r="L13" s="18"/>
      <c r="M13" s="15"/>
      <c r="N13" s="18"/>
    </row>
    <row r="14">
      <c r="A14" s="14"/>
      <c r="B14" s="15"/>
      <c r="C14" s="15"/>
      <c r="D14" s="16"/>
      <c r="E14" s="16"/>
      <c r="F14" s="17"/>
      <c r="G14" s="17"/>
      <c r="H14" s="17"/>
      <c r="I14" s="17"/>
      <c r="J14" s="18"/>
      <c r="K14" s="18"/>
      <c r="L14" s="18"/>
      <c r="M14" s="15"/>
      <c r="N14" s="18"/>
    </row>
    <row r="15">
      <c r="A15" s="14"/>
      <c r="B15" s="15"/>
      <c r="C15" s="15"/>
      <c r="D15" s="16"/>
      <c r="E15" s="16"/>
      <c r="F15" s="17"/>
      <c r="G15" s="17"/>
      <c r="H15" s="17"/>
      <c r="I15" s="17"/>
      <c r="J15" s="18"/>
      <c r="K15" s="18"/>
      <c r="L15" s="18"/>
      <c r="M15" s="15"/>
      <c r="N15" s="18"/>
    </row>
    <row r="16">
      <c r="A16" s="14"/>
      <c r="B16" s="15"/>
      <c r="C16" s="15"/>
      <c r="D16" s="16"/>
      <c r="E16" s="16"/>
      <c r="F16" s="17"/>
      <c r="G16" s="17"/>
      <c r="H16" s="17"/>
      <c r="I16" s="17"/>
      <c r="J16" s="18"/>
      <c r="K16" s="18"/>
      <c r="L16" s="18"/>
      <c r="M16" s="15"/>
      <c r="N16" s="18"/>
    </row>
    <row r="17">
      <c r="A17" s="14"/>
      <c r="B17" s="15"/>
      <c r="C17" s="15"/>
      <c r="D17" s="16"/>
      <c r="E17" s="16"/>
      <c r="F17" s="17"/>
      <c r="G17" s="17"/>
      <c r="H17" s="17"/>
      <c r="I17" s="17"/>
      <c r="J17" s="18"/>
      <c r="K17" s="18"/>
      <c r="L17" s="18"/>
      <c r="M17" s="15"/>
      <c r="N17" s="18"/>
    </row>
    <row r="18">
      <c r="A18" s="14"/>
      <c r="B18" s="15"/>
      <c r="C18" s="15"/>
      <c r="D18" s="16"/>
      <c r="E18" s="16"/>
      <c r="F18" s="17"/>
      <c r="G18" s="17"/>
      <c r="H18" s="17"/>
      <c r="I18" s="17"/>
      <c r="J18" s="18"/>
      <c r="K18" s="18"/>
      <c r="L18" s="18"/>
      <c r="M18" s="15"/>
      <c r="N18" s="18"/>
    </row>
    <row r="19">
      <c r="A19" s="14"/>
      <c r="B19" s="15"/>
      <c r="C19" s="15"/>
      <c r="D19" s="16"/>
      <c r="E19" s="16"/>
      <c r="F19" s="17"/>
      <c r="G19" s="17"/>
      <c r="H19" s="17"/>
      <c r="I19" s="17"/>
      <c r="J19" s="14"/>
      <c r="K19" s="14"/>
      <c r="L19" s="14"/>
      <c r="M19" s="15"/>
      <c r="N19" s="14"/>
    </row>
    <row r="20">
      <c r="A20" s="19"/>
      <c r="B20" s="20" t="s">
        <v>18</v>
      </c>
      <c r="C20" s="16"/>
      <c r="D20" s="16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>
      <c r="A21" s="1"/>
      <c r="B21" s="21" t="s">
        <v>19</v>
      </c>
      <c r="C21" s="16"/>
      <c r="D21" s="16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>
      <c r="A22" s="22" t="s">
        <v>8</v>
      </c>
      <c r="B22" s="23" t="s">
        <v>20</v>
      </c>
      <c r="C22" s="24"/>
      <c r="D22" s="24"/>
      <c r="E22" s="24"/>
      <c r="F22" s="24"/>
      <c r="G22" s="24"/>
      <c r="H22" s="24"/>
      <c r="I22" s="24"/>
      <c r="J22" s="25"/>
      <c r="K22" s="25"/>
      <c r="L22" s="25"/>
      <c r="M22" s="25"/>
      <c r="N22" s="25"/>
    </row>
    <row r="23">
      <c r="A23" s="16" t="s">
        <v>21</v>
      </c>
      <c r="B23" s="26">
        <v>79.0</v>
      </c>
      <c r="C23" s="16"/>
      <c r="D23" s="16"/>
      <c r="E23" s="16"/>
      <c r="F23" s="16"/>
      <c r="G23" s="16"/>
      <c r="H23" s="16"/>
      <c r="I23" s="16"/>
      <c r="J23" s="1"/>
      <c r="K23" s="1"/>
      <c r="L23" s="1"/>
      <c r="M23" s="1"/>
      <c r="N23" s="1"/>
    </row>
    <row r="24">
      <c r="A24" s="16" t="s">
        <v>22</v>
      </c>
      <c r="B24" s="26">
        <v>76.0</v>
      </c>
      <c r="C24" s="16"/>
      <c r="D24" s="16"/>
      <c r="E24" s="16"/>
      <c r="F24" s="16"/>
      <c r="G24" s="16"/>
      <c r="H24" s="16"/>
      <c r="I24" s="16"/>
      <c r="J24" s="1"/>
      <c r="K24" s="1"/>
      <c r="L24" s="1"/>
      <c r="M24" s="1"/>
      <c r="N24" s="1"/>
    </row>
    <row r="25">
      <c r="A25" s="16" t="s">
        <v>23</v>
      </c>
      <c r="B25" s="26">
        <v>28.0</v>
      </c>
      <c r="C25" s="16"/>
      <c r="D25" s="16"/>
      <c r="E25" s="16"/>
      <c r="F25" s="16"/>
      <c r="G25" s="16"/>
      <c r="H25" s="16"/>
      <c r="I25" s="16"/>
      <c r="J25" s="1"/>
      <c r="K25" s="1"/>
      <c r="L25" s="1"/>
      <c r="M25" s="1"/>
      <c r="N25" s="1"/>
    </row>
    <row r="26">
      <c r="A26" s="16" t="s">
        <v>24</v>
      </c>
      <c r="B26" s="26">
        <v>248.0</v>
      </c>
      <c r="C26" s="16"/>
      <c r="D26" s="16"/>
      <c r="E26" s="16"/>
      <c r="F26" s="16"/>
      <c r="G26" s="16"/>
      <c r="H26" s="16"/>
      <c r="I26" s="16"/>
      <c r="J26" s="1"/>
      <c r="K26" s="1"/>
      <c r="L26" s="1"/>
      <c r="M26" s="1"/>
      <c r="N26" s="1"/>
    </row>
    <row r="27">
      <c r="A27" s="16" t="s">
        <v>25</v>
      </c>
      <c r="B27" s="26">
        <v>71.0</v>
      </c>
      <c r="C27" s="16"/>
      <c r="D27" s="16"/>
      <c r="E27" s="16"/>
      <c r="F27" s="16"/>
      <c r="G27" s="16"/>
      <c r="H27" s="16"/>
      <c r="I27" s="16"/>
      <c r="J27" s="1"/>
      <c r="K27" s="1"/>
      <c r="L27" s="1"/>
      <c r="M27" s="1"/>
      <c r="N27" s="1"/>
    </row>
    <row r="28">
      <c r="A28" s="16" t="s">
        <v>26</v>
      </c>
      <c r="B28" s="26">
        <v>497.0</v>
      </c>
      <c r="C28" s="16"/>
      <c r="D28" s="16"/>
      <c r="E28" s="16"/>
      <c r="F28" s="16"/>
      <c r="G28" s="16"/>
      <c r="H28" s="16"/>
      <c r="I28" s="16"/>
      <c r="J28" s="1"/>
      <c r="K28" s="1"/>
      <c r="L28" s="1"/>
      <c r="M28" s="1"/>
      <c r="N28" s="1"/>
    </row>
    <row r="29">
      <c r="A29" s="16" t="s">
        <v>27</v>
      </c>
      <c r="B29" s="16">
        <v>70.0</v>
      </c>
      <c r="C29" s="16"/>
      <c r="D29" s="16"/>
      <c r="E29" s="16"/>
      <c r="F29" s="16"/>
      <c r="G29" s="16"/>
      <c r="H29" s="16"/>
      <c r="I29" s="16"/>
      <c r="J29" s="1"/>
      <c r="K29" s="1"/>
      <c r="L29" s="1"/>
      <c r="M29" s="1"/>
      <c r="N29" s="1"/>
    </row>
    <row r="30">
      <c r="A30" s="11" t="s">
        <v>28</v>
      </c>
      <c r="B30" s="27">
        <v>38.0</v>
      </c>
      <c r="C30" s="16"/>
      <c r="D30" s="16"/>
      <c r="E30" s="16"/>
      <c r="F30" s="16"/>
      <c r="G30" s="16"/>
      <c r="H30" s="16"/>
      <c r="I30" s="16"/>
      <c r="J30" s="1"/>
      <c r="K30" s="1"/>
      <c r="L30" s="1"/>
      <c r="M30" s="1"/>
      <c r="N30" s="1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28"/>
      <c r="N31" s="7"/>
    </row>
    <row r="32">
      <c r="A32" s="1"/>
      <c r="B32" s="20" t="s">
        <v>29</v>
      </c>
      <c r="C32" s="1"/>
      <c r="D32" s="1"/>
      <c r="E32" s="14"/>
      <c r="F32" s="14"/>
      <c r="G32" s="14"/>
      <c r="H32" s="14"/>
      <c r="I32" s="14"/>
      <c r="J32" s="14"/>
      <c r="K32" s="14"/>
      <c r="L32" s="16"/>
      <c r="M32" s="15"/>
      <c r="N32" s="7"/>
    </row>
    <row r="33">
      <c r="A33" s="1"/>
      <c r="B33" s="27" t="s">
        <v>30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29"/>
      <c r="N33" s="7"/>
    </row>
    <row r="34">
      <c r="A34" s="1"/>
      <c r="B34" s="27" t="s">
        <v>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29"/>
      <c r="N34" s="7"/>
    </row>
    <row r="35">
      <c r="A35" s="1"/>
      <c r="B35" s="27" t="s">
        <v>32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29"/>
      <c r="N35" s="1"/>
    </row>
    <row r="36">
      <c r="A36" s="1"/>
      <c r="B36" s="27" t="s">
        <v>33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>
      <c r="A37" s="30" t="s">
        <v>5</v>
      </c>
      <c r="B37" s="30" t="s">
        <v>4</v>
      </c>
      <c r="C37" s="31" t="s">
        <v>34</v>
      </c>
      <c r="D37" s="32"/>
      <c r="E37" s="33"/>
      <c r="F37" s="33"/>
      <c r="G37" s="33"/>
      <c r="H37" s="33"/>
      <c r="I37" s="33"/>
      <c r="J37" s="25"/>
      <c r="K37" s="25"/>
      <c r="L37" s="25"/>
      <c r="M37" s="25"/>
      <c r="N37" s="32"/>
    </row>
    <row r="38">
      <c r="A38" s="34" t="s">
        <v>35</v>
      </c>
      <c r="B38" s="34" t="s">
        <v>36</v>
      </c>
      <c r="C38" s="26">
        <v>87.0</v>
      </c>
      <c r="D38" s="35"/>
      <c r="E38" s="36"/>
      <c r="F38" s="36"/>
      <c r="G38" s="36"/>
      <c r="H38" s="36"/>
      <c r="I38" s="36"/>
      <c r="J38" s="36"/>
      <c r="K38" s="36"/>
      <c r="L38" s="36"/>
      <c r="M38" s="36"/>
      <c r="N38" s="35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7"/>
    </row>
    <row r="40">
      <c r="A40" s="1"/>
      <c r="B40" s="20" t="s">
        <v>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>
      <c r="A41" s="1"/>
      <c r="B41" s="21" t="s">
        <v>38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>
      <c r="A42" s="12" t="s">
        <v>4</v>
      </c>
      <c r="B42" s="12" t="s">
        <v>5</v>
      </c>
      <c r="C42" s="12" t="s">
        <v>6</v>
      </c>
      <c r="D42" s="13" t="s">
        <v>7</v>
      </c>
      <c r="E42" s="13" t="s">
        <v>8</v>
      </c>
      <c r="F42" s="13" t="s">
        <v>9</v>
      </c>
      <c r="G42" s="13" t="s">
        <v>10</v>
      </c>
      <c r="H42" s="13" t="s">
        <v>11</v>
      </c>
      <c r="I42" s="13" t="s">
        <v>12</v>
      </c>
      <c r="J42" s="13" t="s">
        <v>13</v>
      </c>
      <c r="K42" s="13" t="s">
        <v>14</v>
      </c>
      <c r="L42" s="13" t="s">
        <v>15</v>
      </c>
      <c r="M42" s="13" t="s">
        <v>16</v>
      </c>
      <c r="N42" s="13" t="s">
        <v>17</v>
      </c>
    </row>
    <row r="43">
      <c r="A43" s="37" t="s">
        <v>39</v>
      </c>
      <c r="B43" s="37" t="s">
        <v>40</v>
      </c>
      <c r="C43" s="37">
        <v>589.0</v>
      </c>
      <c r="D43" s="37" t="s">
        <v>41</v>
      </c>
      <c r="E43" s="37" t="s">
        <v>26</v>
      </c>
      <c r="F43" s="38">
        <v>44810.0</v>
      </c>
      <c r="G43" s="38">
        <v>44883.0</v>
      </c>
      <c r="H43" s="38">
        <v>44901.0</v>
      </c>
      <c r="I43" s="38">
        <v>46053.0</v>
      </c>
      <c r="J43" s="39">
        <v>29.99</v>
      </c>
      <c r="K43" s="39">
        <v>23.99</v>
      </c>
      <c r="L43" s="39">
        <f>J43-K43</f>
        <v>6</v>
      </c>
      <c r="M43" s="37">
        <v>196.0</v>
      </c>
      <c r="N43" s="39">
        <f>K43/M43</f>
        <v>0.1223979592</v>
      </c>
    </row>
    <row r="44">
      <c r="A44" s="40"/>
      <c r="B44" s="40"/>
      <c r="C44" s="40"/>
      <c r="D44" s="41"/>
      <c r="E44" s="7"/>
      <c r="F44" s="7"/>
      <c r="G44" s="7"/>
      <c r="H44" s="40">
        <v>88.0</v>
      </c>
      <c r="I44" s="40">
        <v>48.0</v>
      </c>
      <c r="J44" s="42">
        <v>2805.86</v>
      </c>
      <c r="K44" s="42">
        <v>1168.91</v>
      </c>
      <c r="L44" s="42">
        <v>1636.95</v>
      </c>
      <c r="M44" s="40">
        <v>1949.0</v>
      </c>
      <c r="N44" s="43">
        <v>0.6</v>
      </c>
    </row>
    <row r="45">
      <c r="A45" s="44"/>
      <c r="B45" s="45"/>
      <c r="C45" s="45"/>
      <c r="D45" s="41"/>
      <c r="E45" s="41"/>
      <c r="F45" s="46"/>
      <c r="G45" s="46"/>
      <c r="H45" s="46"/>
      <c r="I45" s="46"/>
      <c r="J45" s="44"/>
      <c r="K45" s="44"/>
      <c r="L45" s="44"/>
      <c r="M45" s="45"/>
      <c r="N45" s="44"/>
    </row>
    <row r="46">
      <c r="A46" s="44" t="s">
        <v>36</v>
      </c>
      <c r="B46" s="45" t="s">
        <v>42</v>
      </c>
      <c r="C46" s="45">
        <v>1101.0</v>
      </c>
      <c r="D46" s="41" t="s">
        <v>43</v>
      </c>
      <c r="E46" s="41" t="s">
        <v>26</v>
      </c>
      <c r="F46" s="46">
        <v>45505.0</v>
      </c>
      <c r="G46" s="46">
        <v>46016.0</v>
      </c>
      <c r="H46" s="46">
        <v>46023.0</v>
      </c>
      <c r="I46" s="46">
        <v>46024.0</v>
      </c>
      <c r="J46" s="44">
        <v>17.99</v>
      </c>
      <c r="K46" s="44">
        <v>0.0</v>
      </c>
      <c r="L46" s="44">
        <f t="shared" ref="L46:L48" si="1">J46-K46</f>
        <v>17.99</v>
      </c>
      <c r="M46" s="45">
        <v>7.0</v>
      </c>
      <c r="N46" s="44">
        <f t="shared" ref="N46:N48" si="2">K46/M46</f>
        <v>0</v>
      </c>
    </row>
    <row r="47">
      <c r="A47" s="44" t="s">
        <v>36</v>
      </c>
      <c r="B47" s="45" t="s">
        <v>44</v>
      </c>
      <c r="C47" s="45">
        <v>1060.0</v>
      </c>
      <c r="D47" s="41" t="s">
        <v>45</v>
      </c>
      <c r="E47" s="41" t="s">
        <v>28</v>
      </c>
      <c r="F47" s="46">
        <v>45267.0</v>
      </c>
      <c r="G47" s="46">
        <v>45734.0</v>
      </c>
      <c r="H47" s="46">
        <v>46024.0</v>
      </c>
      <c r="I47" s="46">
        <v>46024.0</v>
      </c>
      <c r="J47" s="44">
        <v>59.99</v>
      </c>
      <c r="K47" s="44">
        <v>23.99</v>
      </c>
      <c r="L47" s="47">
        <f t="shared" si="1"/>
        <v>36</v>
      </c>
      <c r="M47" s="45">
        <v>2.0</v>
      </c>
      <c r="N47" s="47">
        <f t="shared" si="2"/>
        <v>11.995</v>
      </c>
    </row>
    <row r="48">
      <c r="A48" s="44" t="s">
        <v>36</v>
      </c>
      <c r="B48" s="45" t="s">
        <v>35</v>
      </c>
      <c r="C48" s="45">
        <v>1107.0</v>
      </c>
      <c r="D48" s="41" t="s">
        <v>46</v>
      </c>
      <c r="E48" s="41" t="s">
        <v>28</v>
      </c>
      <c r="F48" s="46">
        <v>44897.0</v>
      </c>
      <c r="G48" s="46">
        <v>46030.0</v>
      </c>
      <c r="H48" s="46">
        <v>46033.0</v>
      </c>
      <c r="I48" s="46">
        <v>46046.0</v>
      </c>
      <c r="J48" s="44">
        <v>79.99</v>
      </c>
      <c r="K48" s="44">
        <v>0.0</v>
      </c>
      <c r="L48" s="44">
        <f t="shared" si="1"/>
        <v>79.99</v>
      </c>
      <c r="M48" s="45">
        <v>48.0</v>
      </c>
      <c r="N48" s="44">
        <f t="shared" si="2"/>
        <v>0</v>
      </c>
    </row>
    <row r="49">
      <c r="A49" s="37"/>
      <c r="B49" s="37"/>
      <c r="C49" s="48"/>
      <c r="D49" s="48"/>
      <c r="E49" s="48"/>
      <c r="F49" s="48"/>
      <c r="G49" s="48"/>
      <c r="H49" s="37">
        <v>180.0</v>
      </c>
      <c r="I49" s="37">
        <v>87.0</v>
      </c>
      <c r="J49" s="49">
        <v>3875.58</v>
      </c>
      <c r="K49" s="49">
        <v>1437.55</v>
      </c>
      <c r="L49" s="39">
        <v>2438.03</v>
      </c>
      <c r="M49" s="37">
        <v>1923.0</v>
      </c>
      <c r="N49" s="49">
        <v>0.75</v>
      </c>
    </row>
    <row r="50">
      <c r="A50" s="44"/>
      <c r="B50" s="41"/>
      <c r="C50" s="41"/>
      <c r="D50" s="41"/>
      <c r="E50" s="41"/>
      <c r="F50" s="46"/>
      <c r="G50" s="46"/>
      <c r="H50" s="46"/>
      <c r="I50" s="46"/>
      <c r="J50" s="44"/>
      <c r="K50" s="44"/>
      <c r="L50" s="44"/>
      <c r="M50" s="45"/>
      <c r="N50" s="44"/>
    </row>
    <row r="51">
      <c r="A51" s="50" t="s">
        <v>47</v>
      </c>
      <c r="B51" s="50" t="s">
        <v>48</v>
      </c>
      <c r="C51" s="51">
        <v>963.0</v>
      </c>
      <c r="D51" s="51" t="s">
        <v>49</v>
      </c>
      <c r="E51" s="51" t="s">
        <v>26</v>
      </c>
      <c r="F51" s="52">
        <v>44651.0</v>
      </c>
      <c r="G51" s="52">
        <v>45202.0</v>
      </c>
      <c r="H51" s="52">
        <v>46047.0</v>
      </c>
      <c r="I51" s="52">
        <v>46047.0</v>
      </c>
      <c r="J51" s="53">
        <v>39.99</v>
      </c>
      <c r="K51" s="53">
        <v>0.0</v>
      </c>
      <c r="L51" s="53">
        <v>39.99</v>
      </c>
      <c r="M51" s="51">
        <v>2.0</v>
      </c>
      <c r="N51" s="53">
        <v>0.0</v>
      </c>
    </row>
    <row r="52">
      <c r="A52" s="54"/>
      <c r="B52" s="54"/>
      <c r="C52" s="54"/>
      <c r="D52" s="55"/>
      <c r="E52" s="7"/>
      <c r="F52" s="7"/>
      <c r="G52" s="7"/>
      <c r="H52" s="54">
        <v>38.0</v>
      </c>
      <c r="I52" s="54">
        <v>25.0</v>
      </c>
      <c r="J52" s="56">
        <v>834.1</v>
      </c>
      <c r="K52" s="56">
        <v>309.6</v>
      </c>
      <c r="L52" s="56">
        <v>524.5</v>
      </c>
      <c r="M52" s="54">
        <v>450.0</v>
      </c>
      <c r="N52" s="57">
        <v>0.6895322939866371</v>
      </c>
    </row>
    <row r="53">
      <c r="A53" s="44"/>
      <c r="B53" s="41"/>
      <c r="C53" s="41"/>
      <c r="D53" s="41"/>
      <c r="E53" s="41"/>
      <c r="F53" s="46"/>
      <c r="G53" s="46"/>
      <c r="H53" s="46"/>
      <c r="I53" s="46"/>
      <c r="J53" s="44"/>
      <c r="K53" s="44"/>
      <c r="L53" s="44"/>
      <c r="M53" s="45"/>
      <c r="N53" s="44"/>
    </row>
    <row r="54">
      <c r="A54" s="44" t="s">
        <v>50</v>
      </c>
      <c r="B54" s="41" t="s">
        <v>51</v>
      </c>
      <c r="C54" s="41">
        <v>1104.0</v>
      </c>
      <c r="D54" s="41" t="s">
        <v>52</v>
      </c>
      <c r="E54" s="41" t="s">
        <v>26</v>
      </c>
      <c r="F54" s="46">
        <v>43564.0</v>
      </c>
      <c r="G54" s="46">
        <v>46027.0</v>
      </c>
      <c r="H54" s="46">
        <v>46033.0</v>
      </c>
      <c r="I54" s="46">
        <v>46052.0</v>
      </c>
      <c r="J54" s="44">
        <v>10.0</v>
      </c>
      <c r="K54" s="44">
        <v>3.3</v>
      </c>
      <c r="L54" s="44">
        <f>J54-K54</f>
        <v>6.7</v>
      </c>
      <c r="M54" s="40">
        <v>22.0</v>
      </c>
      <c r="N54" s="44">
        <f>K54/M54</f>
        <v>0.15</v>
      </c>
    </row>
    <row r="55">
      <c r="A55" s="37"/>
      <c r="B55" s="37"/>
      <c r="C55" s="58"/>
      <c r="D55" s="58"/>
      <c r="E55" s="58"/>
      <c r="F55" s="38"/>
      <c r="G55" s="38"/>
      <c r="H55" s="37">
        <v>250.0</v>
      </c>
      <c r="I55" s="37">
        <v>49.0</v>
      </c>
      <c r="J55" s="39">
        <v>5122.12</v>
      </c>
      <c r="K55" s="39">
        <v>2269.68</v>
      </c>
      <c r="L55" s="39">
        <v>2852.44</v>
      </c>
      <c r="M55" s="37">
        <v>3771.0</v>
      </c>
      <c r="N55" s="49">
        <v>0.6</v>
      </c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A57" s="59" t="s">
        <v>53</v>
      </c>
      <c r="B57" s="59" t="s">
        <v>54</v>
      </c>
      <c r="C57" s="59">
        <v>180.0</v>
      </c>
      <c r="D57" s="59" t="s">
        <v>55</v>
      </c>
      <c r="E57" s="59" t="s">
        <v>24</v>
      </c>
      <c r="F57" s="60">
        <v>41770.0</v>
      </c>
      <c r="G57" s="60">
        <v>45048.0</v>
      </c>
      <c r="H57" s="60">
        <v>46047.0</v>
      </c>
      <c r="I57" s="60">
        <v>46047.0</v>
      </c>
      <c r="J57" s="61">
        <v>14.99</v>
      </c>
      <c r="K57" s="61">
        <v>1.49</v>
      </c>
      <c r="L57" s="61">
        <v>13.5</v>
      </c>
      <c r="M57" s="59">
        <v>2.0</v>
      </c>
      <c r="N57" s="61">
        <f>K57/M57</f>
        <v>0.745</v>
      </c>
    </row>
    <row r="58">
      <c r="A58" s="62"/>
      <c r="B58" s="62"/>
      <c r="C58" s="62"/>
      <c r="D58" s="63"/>
      <c r="E58" s="64"/>
      <c r="F58" s="64"/>
      <c r="G58" s="64"/>
      <c r="H58" s="62">
        <v>11.0</v>
      </c>
      <c r="I58" s="62">
        <v>7.0</v>
      </c>
      <c r="J58" s="64">
        <v>280.38</v>
      </c>
      <c r="K58" s="64">
        <v>137.74</v>
      </c>
      <c r="L58" s="64">
        <v>142.64</v>
      </c>
      <c r="M58" s="62">
        <v>201.0</v>
      </c>
      <c r="N58" s="65">
        <v>0.6887000000000001</v>
      </c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44" t="s">
        <v>56</v>
      </c>
      <c r="B60" s="45" t="s">
        <v>57</v>
      </c>
      <c r="C60" s="45">
        <v>1102.0</v>
      </c>
      <c r="D60" s="41" t="s">
        <v>58</v>
      </c>
      <c r="E60" s="41" t="s">
        <v>28</v>
      </c>
      <c r="F60" s="46">
        <v>45727.0</v>
      </c>
      <c r="G60" s="46">
        <v>46016.0</v>
      </c>
      <c r="H60" s="46">
        <v>46024.0</v>
      </c>
      <c r="I60" s="46">
        <v>46047.0</v>
      </c>
      <c r="J60" s="44">
        <v>24.99</v>
      </c>
      <c r="K60" s="44">
        <v>0.0</v>
      </c>
      <c r="L60" s="44">
        <v>24.99</v>
      </c>
      <c r="M60" s="45">
        <v>11.0</v>
      </c>
      <c r="N60" s="44">
        <v>0.0</v>
      </c>
    </row>
    <row r="61">
      <c r="A61" s="37"/>
      <c r="B61" s="37"/>
      <c r="C61" s="48"/>
      <c r="D61" s="48"/>
      <c r="E61" s="48"/>
      <c r="F61" s="48"/>
      <c r="G61" s="48"/>
      <c r="H61" s="37">
        <v>304.0</v>
      </c>
      <c r="I61" s="37">
        <v>153.0</v>
      </c>
      <c r="J61" s="39">
        <v>8111.07</v>
      </c>
      <c r="K61" s="39">
        <v>3708.55</v>
      </c>
      <c r="L61" s="39">
        <v>4402.52</v>
      </c>
      <c r="M61" s="37">
        <v>6080.0</v>
      </c>
      <c r="N61" s="49">
        <v>0.6139595423644504</v>
      </c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20" t="s">
        <v>59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7"/>
    </row>
    <row r="64">
      <c r="A64" s="1"/>
      <c r="B64" s="21" t="s">
        <v>60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s="66" t="s">
        <v>4</v>
      </c>
      <c r="B65" s="13" t="s">
        <v>20</v>
      </c>
      <c r="C65" s="13" t="s">
        <v>61</v>
      </c>
      <c r="D65" s="66" t="s">
        <v>13</v>
      </c>
      <c r="E65" s="66" t="s">
        <v>14</v>
      </c>
      <c r="F65" s="13" t="s">
        <v>15</v>
      </c>
      <c r="G65" s="13" t="s">
        <v>16</v>
      </c>
      <c r="H65" s="13" t="s">
        <v>17</v>
      </c>
      <c r="I65" s="32"/>
      <c r="J65" s="32"/>
      <c r="K65" s="32"/>
      <c r="L65" s="32"/>
      <c r="M65" s="25"/>
      <c r="N65" s="32"/>
    </row>
    <row r="66">
      <c r="A66" s="67" t="s">
        <v>56</v>
      </c>
      <c r="B66" s="68">
        <v>304.0</v>
      </c>
      <c r="C66" s="68">
        <v>153.0</v>
      </c>
      <c r="D66" s="69">
        <v>8111.07</v>
      </c>
      <c r="E66" s="69">
        <v>3708.55</v>
      </c>
      <c r="F66" s="69">
        <v>4402.52</v>
      </c>
      <c r="G66" s="68">
        <v>6080.0</v>
      </c>
      <c r="H66" s="67">
        <v>0.6139595423644504</v>
      </c>
      <c r="I66" s="35"/>
      <c r="J66" s="35"/>
      <c r="K66" s="35"/>
      <c r="L66" s="35"/>
      <c r="M66" s="36"/>
      <c r="N66" s="35"/>
    </row>
    <row r="67">
      <c r="A67" s="70" t="s">
        <v>50</v>
      </c>
      <c r="B67" s="71">
        <v>250.0</v>
      </c>
      <c r="C67" s="71">
        <v>49.0</v>
      </c>
      <c r="D67" s="72">
        <v>5122.12</v>
      </c>
      <c r="E67" s="72">
        <v>2269.68</v>
      </c>
      <c r="F67" s="72">
        <v>2852.44</v>
      </c>
      <c r="G67" s="71">
        <v>3771.0</v>
      </c>
      <c r="H67" s="70">
        <v>0.6</v>
      </c>
      <c r="I67" s="35"/>
      <c r="J67" s="35"/>
      <c r="K67" s="35"/>
      <c r="L67" s="35"/>
      <c r="M67" s="36"/>
      <c r="N67" s="35"/>
    </row>
    <row r="68">
      <c r="A68" s="73" t="s">
        <v>39</v>
      </c>
      <c r="B68" s="74">
        <v>88.0</v>
      </c>
      <c r="C68" s="74">
        <v>48.0</v>
      </c>
      <c r="D68" s="75">
        <v>2805.86</v>
      </c>
      <c r="E68" s="75">
        <v>1168.91</v>
      </c>
      <c r="F68" s="75">
        <v>1636.95</v>
      </c>
      <c r="G68" s="74">
        <v>1949.0</v>
      </c>
      <c r="H68" s="76">
        <v>0.6</v>
      </c>
      <c r="I68" s="35"/>
      <c r="J68" s="35"/>
      <c r="K68" s="35"/>
      <c r="L68" s="35"/>
      <c r="M68" s="36"/>
      <c r="N68" s="35"/>
    </row>
    <row r="69">
      <c r="A69" s="77" t="s">
        <v>36</v>
      </c>
      <c r="B69" s="27">
        <v>180.0</v>
      </c>
      <c r="C69" s="27">
        <v>87.0</v>
      </c>
      <c r="D69" s="77">
        <v>3875.58</v>
      </c>
      <c r="E69" s="77">
        <v>1437.55</v>
      </c>
      <c r="F69" s="77">
        <v>2438.03</v>
      </c>
      <c r="G69" s="27">
        <v>1923.0</v>
      </c>
      <c r="H69" s="78">
        <v>0.75</v>
      </c>
      <c r="I69" s="35"/>
      <c r="J69" s="35"/>
      <c r="K69" s="35"/>
      <c r="L69" s="35"/>
      <c r="M69" s="36"/>
      <c r="N69" s="35"/>
    </row>
    <row r="70">
      <c r="A70" s="79" t="s">
        <v>47</v>
      </c>
      <c r="B70" s="80">
        <v>38.0</v>
      </c>
      <c r="C70" s="80">
        <v>25.0</v>
      </c>
      <c r="D70" s="81">
        <v>834.1</v>
      </c>
      <c r="E70" s="81">
        <v>309.6</v>
      </c>
      <c r="F70" s="81">
        <v>524.5</v>
      </c>
      <c r="G70" s="27">
        <v>450.0</v>
      </c>
      <c r="H70" s="82">
        <v>0.6895322939866371</v>
      </c>
      <c r="I70" s="35"/>
      <c r="J70" s="35"/>
      <c r="K70" s="35"/>
      <c r="L70" s="35"/>
      <c r="M70" s="36"/>
      <c r="N70" s="35"/>
    </row>
    <row r="71">
      <c r="A71" s="83" t="s">
        <v>53</v>
      </c>
      <c r="B71" s="84">
        <v>11.0</v>
      </c>
      <c r="C71" s="59">
        <v>7.0</v>
      </c>
      <c r="D71" s="61">
        <v>280.38</v>
      </c>
      <c r="E71" s="61">
        <v>137.74</v>
      </c>
      <c r="F71" s="61">
        <v>142.64</v>
      </c>
      <c r="G71" s="59">
        <v>201.0</v>
      </c>
      <c r="H71" s="85">
        <v>0.6887000000000001</v>
      </c>
      <c r="I71" s="35"/>
      <c r="J71" s="35"/>
      <c r="K71" s="35"/>
      <c r="L71" s="35"/>
      <c r="M71" s="36"/>
      <c r="N71" s="35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26"/>
      <c r="M72" s="26"/>
      <c r="N72" s="16"/>
    </row>
    <row r="73">
      <c r="A73" s="16"/>
      <c r="B73" s="20" t="s">
        <v>62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>
      <c r="A74" s="16"/>
      <c r="B74" s="21" t="s">
        <v>63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s="12" t="s">
        <v>4</v>
      </c>
      <c r="B75" s="12" t="s">
        <v>5</v>
      </c>
      <c r="C75" s="12" t="s">
        <v>6</v>
      </c>
      <c r="D75" s="13" t="s">
        <v>7</v>
      </c>
      <c r="E75" s="13" t="s">
        <v>8</v>
      </c>
      <c r="F75" s="13" t="s">
        <v>9</v>
      </c>
      <c r="G75" s="13" t="s">
        <v>10</v>
      </c>
      <c r="H75" s="13" t="s">
        <v>11</v>
      </c>
      <c r="I75" s="13" t="s">
        <v>12</v>
      </c>
      <c r="J75" s="13" t="s">
        <v>13</v>
      </c>
      <c r="K75" s="13" t="s">
        <v>14</v>
      </c>
      <c r="L75" s="13" t="s">
        <v>15</v>
      </c>
      <c r="M75" s="13" t="s">
        <v>16</v>
      </c>
      <c r="N75" s="13" t="s">
        <v>17</v>
      </c>
    </row>
    <row r="76">
      <c r="A76" s="37" t="s">
        <v>39</v>
      </c>
      <c r="B76" s="37" t="s">
        <v>40</v>
      </c>
      <c r="C76" s="37">
        <v>589.0</v>
      </c>
      <c r="D76" s="37" t="s">
        <v>41</v>
      </c>
      <c r="E76" s="37" t="s">
        <v>26</v>
      </c>
      <c r="F76" s="38">
        <v>44810.0</v>
      </c>
      <c r="G76" s="38">
        <v>44883.0</v>
      </c>
      <c r="H76" s="38">
        <v>44901.0</v>
      </c>
      <c r="I76" s="38">
        <v>46053.0</v>
      </c>
      <c r="J76" s="39">
        <v>29.99</v>
      </c>
      <c r="K76" s="39">
        <v>23.99</v>
      </c>
      <c r="L76" s="39">
        <f>J76-K76</f>
        <v>6</v>
      </c>
      <c r="M76" s="37">
        <v>196.0</v>
      </c>
      <c r="N76" s="39">
        <f>K76/M76</f>
        <v>0.1223979592</v>
      </c>
    </row>
    <row r="77">
      <c r="A77" s="44"/>
      <c r="B77" s="45"/>
      <c r="C77" s="45"/>
      <c r="D77" s="41"/>
      <c r="E77" s="41"/>
      <c r="F77" s="46"/>
      <c r="G77" s="46"/>
      <c r="H77" s="46"/>
      <c r="I77" s="46"/>
      <c r="J77" s="44"/>
      <c r="K77" s="44"/>
      <c r="L77" s="44"/>
      <c r="M77" s="45"/>
      <c r="N77" s="44"/>
    </row>
    <row r="78">
      <c r="A78" s="44" t="s">
        <v>36</v>
      </c>
      <c r="B78" s="45" t="s">
        <v>42</v>
      </c>
      <c r="C78" s="45">
        <v>1101.0</v>
      </c>
      <c r="D78" s="41" t="s">
        <v>43</v>
      </c>
      <c r="E78" s="41" t="s">
        <v>26</v>
      </c>
      <c r="F78" s="46">
        <v>45505.0</v>
      </c>
      <c r="G78" s="46">
        <v>46016.0</v>
      </c>
      <c r="H78" s="46">
        <v>46023.0</v>
      </c>
      <c r="I78" s="46">
        <v>46024.0</v>
      </c>
      <c r="J78" s="44">
        <v>17.99</v>
      </c>
      <c r="K78" s="44">
        <v>0.0</v>
      </c>
      <c r="L78" s="44">
        <f>J78-K78</f>
        <v>17.99</v>
      </c>
      <c r="M78" s="45">
        <v>7.0</v>
      </c>
      <c r="N78" s="44">
        <f>K78/M78</f>
        <v>0</v>
      </c>
    </row>
    <row r="79">
      <c r="A79" s="44"/>
      <c r="B79" s="45"/>
      <c r="C79" s="45"/>
      <c r="D79" s="41"/>
      <c r="E79" s="41"/>
      <c r="F79" s="46"/>
      <c r="G79" s="46"/>
      <c r="H79" s="46"/>
      <c r="I79" s="46"/>
      <c r="J79" s="44"/>
      <c r="K79" s="44"/>
      <c r="L79" s="44"/>
      <c r="M79" s="45"/>
      <c r="N79" s="44"/>
    </row>
    <row r="80">
      <c r="A80" s="86" t="s">
        <v>36</v>
      </c>
      <c r="B80" s="86" t="s">
        <v>44</v>
      </c>
      <c r="C80" s="86">
        <v>440.0</v>
      </c>
      <c r="D80" s="86" t="s">
        <v>64</v>
      </c>
      <c r="E80" s="86" t="s">
        <v>25</v>
      </c>
      <c r="F80" s="87">
        <v>41740.0</v>
      </c>
      <c r="G80" s="87">
        <v>41791.0</v>
      </c>
      <c r="H80" s="87">
        <v>41791.0</v>
      </c>
      <c r="I80" s="87">
        <v>41791.0</v>
      </c>
      <c r="J80" s="88">
        <v>39.99</v>
      </c>
      <c r="K80" s="88">
        <v>39.99</v>
      </c>
      <c r="L80" s="88">
        <v>0.0</v>
      </c>
      <c r="M80" s="86">
        <v>1.0</v>
      </c>
      <c r="N80" s="88">
        <v>39.99</v>
      </c>
    </row>
    <row r="81">
      <c r="A81" s="44" t="s">
        <v>36</v>
      </c>
      <c r="B81" s="45"/>
      <c r="C81" s="45">
        <v>1060.0</v>
      </c>
      <c r="D81" s="41" t="s">
        <v>45</v>
      </c>
      <c r="E81" s="41" t="s">
        <v>28</v>
      </c>
      <c r="F81" s="46">
        <v>45267.0</v>
      </c>
      <c r="G81" s="46">
        <v>45734.0</v>
      </c>
      <c r="H81" s="46">
        <v>46024.0</v>
      </c>
      <c r="I81" s="46">
        <v>46024.0</v>
      </c>
      <c r="J81" s="44">
        <v>59.99</v>
      </c>
      <c r="K81" s="44">
        <v>23.99</v>
      </c>
      <c r="L81" s="47">
        <f>J81-K81</f>
        <v>36</v>
      </c>
      <c r="M81" s="45">
        <v>2.0</v>
      </c>
      <c r="N81" s="47">
        <f t="shared" ref="N81:N82" si="4">K81/M81</f>
        <v>11.995</v>
      </c>
    </row>
    <row r="82">
      <c r="A82" s="89"/>
      <c r="B82" s="89"/>
      <c r="C82" s="90"/>
      <c r="D82" s="89"/>
      <c r="E82" s="89"/>
      <c r="F82" s="89"/>
      <c r="G82" s="89"/>
      <c r="H82" s="89"/>
      <c r="I82" s="89"/>
      <c r="J82" s="91">
        <f t="shared" ref="J82:M82" si="3">SUM(J80:J81)</f>
        <v>99.98</v>
      </c>
      <c r="K82" s="91">
        <f t="shared" si="3"/>
        <v>63.98</v>
      </c>
      <c r="L82" s="91">
        <f t="shared" si="3"/>
        <v>36</v>
      </c>
      <c r="M82" s="89">
        <f t="shared" si="3"/>
        <v>3</v>
      </c>
      <c r="N82" s="91">
        <f t="shared" si="4"/>
        <v>21.32666667</v>
      </c>
    </row>
    <row r="83">
      <c r="A83" s="44"/>
      <c r="B83" s="45"/>
      <c r="C83" s="45"/>
      <c r="D83" s="41"/>
      <c r="E83" s="41"/>
      <c r="F83" s="46"/>
      <c r="G83" s="46"/>
      <c r="H83" s="46"/>
      <c r="I83" s="46"/>
      <c r="J83" s="44"/>
      <c r="K83" s="44"/>
      <c r="L83" s="47"/>
      <c r="M83" s="45"/>
      <c r="N83" s="47"/>
    </row>
    <row r="84">
      <c r="A84" s="92" t="s">
        <v>36</v>
      </c>
      <c r="B84" s="86" t="s">
        <v>35</v>
      </c>
      <c r="C84" s="86">
        <v>154.0</v>
      </c>
      <c r="D84" s="86" t="s">
        <v>65</v>
      </c>
      <c r="E84" s="86" t="s">
        <v>23</v>
      </c>
      <c r="F84" s="87">
        <v>38611.0</v>
      </c>
      <c r="G84" s="87">
        <v>43373.0</v>
      </c>
      <c r="H84" s="87">
        <v>43373.0</v>
      </c>
      <c r="I84" s="87">
        <v>43373.0</v>
      </c>
      <c r="J84" s="88">
        <v>9.99</v>
      </c>
      <c r="K84" s="88">
        <v>9.99</v>
      </c>
      <c r="L84" s="88">
        <v>0.0</v>
      </c>
      <c r="M84" s="86">
        <v>1.0</v>
      </c>
      <c r="N84" s="88">
        <v>9.99</v>
      </c>
    </row>
    <row r="85">
      <c r="A85" s="93" t="s">
        <v>36</v>
      </c>
      <c r="B85" s="92"/>
      <c r="C85" s="86">
        <v>206.0</v>
      </c>
      <c r="D85" s="86" t="s">
        <v>66</v>
      </c>
      <c r="E85" s="86" t="s">
        <v>24</v>
      </c>
      <c r="F85" s="87">
        <v>39472.0</v>
      </c>
      <c r="G85" s="87">
        <v>40705.0</v>
      </c>
      <c r="H85" s="87">
        <v>40705.0</v>
      </c>
      <c r="I85" s="87">
        <v>45675.0</v>
      </c>
      <c r="J85" s="88">
        <v>59.98</v>
      </c>
      <c r="K85" s="88">
        <v>9.99</v>
      </c>
      <c r="L85" s="88">
        <v>49.99</v>
      </c>
      <c r="M85" s="86">
        <v>17.0</v>
      </c>
      <c r="N85" s="88">
        <v>0.59</v>
      </c>
    </row>
    <row r="86">
      <c r="A86" s="93" t="s">
        <v>36</v>
      </c>
      <c r="B86" s="93"/>
      <c r="C86" s="86">
        <v>312.0</v>
      </c>
      <c r="D86" s="86" t="s">
        <v>67</v>
      </c>
      <c r="E86" s="86" t="s">
        <v>24</v>
      </c>
      <c r="F86" s="87">
        <v>40501.0</v>
      </c>
      <c r="G86" s="87">
        <v>45664.0</v>
      </c>
      <c r="H86" s="87">
        <v>45822.0</v>
      </c>
      <c r="I86" s="87">
        <v>45830.0</v>
      </c>
      <c r="J86" s="94">
        <v>39.99</v>
      </c>
      <c r="K86" s="94">
        <v>0.0</v>
      </c>
      <c r="L86" s="88">
        <v>39.99</v>
      </c>
      <c r="M86" s="86">
        <v>30.0</v>
      </c>
      <c r="N86" s="88">
        <v>0.0</v>
      </c>
    </row>
    <row r="87">
      <c r="A87" s="93" t="s">
        <v>36</v>
      </c>
      <c r="B87" s="86"/>
      <c r="C87" s="86">
        <v>314.0</v>
      </c>
      <c r="D87" s="86" t="s">
        <v>68</v>
      </c>
      <c r="E87" s="86" t="s">
        <v>24</v>
      </c>
      <c r="F87" s="87">
        <v>41215.0</v>
      </c>
      <c r="G87" s="87">
        <v>41493.0</v>
      </c>
      <c r="H87" s="87">
        <v>41494.0</v>
      </c>
      <c r="I87" s="87">
        <v>44783.0</v>
      </c>
      <c r="J87" s="94">
        <v>19.99</v>
      </c>
      <c r="K87" s="94">
        <v>0.0</v>
      </c>
      <c r="L87" s="88">
        <v>19.99</v>
      </c>
      <c r="M87" s="86">
        <v>25.0</v>
      </c>
      <c r="N87" s="88">
        <v>0.0</v>
      </c>
    </row>
    <row r="88">
      <c r="A88" s="44" t="s">
        <v>36</v>
      </c>
      <c r="B88" s="45"/>
      <c r="C88" s="45">
        <v>1107.0</v>
      </c>
      <c r="D88" s="41" t="s">
        <v>46</v>
      </c>
      <c r="E88" s="41" t="s">
        <v>28</v>
      </c>
      <c r="F88" s="46">
        <v>44897.0</v>
      </c>
      <c r="G88" s="46">
        <v>46030.0</v>
      </c>
      <c r="H88" s="46">
        <v>46033.0</v>
      </c>
      <c r="I88" s="46">
        <v>46046.0</v>
      </c>
      <c r="J88" s="44">
        <v>79.99</v>
      </c>
      <c r="K88" s="44">
        <v>0.0</v>
      </c>
      <c r="L88" s="44">
        <f>J88-K88</f>
        <v>79.99</v>
      </c>
      <c r="M88" s="45">
        <v>48.0</v>
      </c>
      <c r="N88" s="44">
        <f t="shared" ref="N88:N89" si="6">K88/M88</f>
        <v>0</v>
      </c>
    </row>
    <row r="89">
      <c r="A89" s="89"/>
      <c r="B89" s="89"/>
      <c r="C89" s="90"/>
      <c r="D89" s="89"/>
      <c r="E89" s="95"/>
      <c r="F89" s="95"/>
      <c r="G89" s="95"/>
      <c r="H89" s="96"/>
      <c r="I89" s="95"/>
      <c r="J89" s="91">
        <f t="shared" ref="J89:M89" si="5">SUM(J84:J88)</f>
        <v>209.94</v>
      </c>
      <c r="K89" s="91">
        <f t="shared" si="5"/>
        <v>19.98</v>
      </c>
      <c r="L89" s="91">
        <f t="shared" si="5"/>
        <v>189.96</v>
      </c>
      <c r="M89" s="89">
        <f t="shared" si="5"/>
        <v>121</v>
      </c>
      <c r="N89" s="91">
        <f t="shared" si="6"/>
        <v>0.1651239669</v>
      </c>
    </row>
    <row r="90">
      <c r="A90" s="44"/>
      <c r="B90" s="41"/>
      <c r="C90" s="41"/>
      <c r="D90" s="41"/>
      <c r="E90" s="41"/>
      <c r="F90" s="46"/>
      <c r="G90" s="46"/>
      <c r="H90" s="46"/>
      <c r="I90" s="46"/>
      <c r="J90" s="44"/>
      <c r="K90" s="44"/>
      <c r="L90" s="44"/>
      <c r="M90" s="45"/>
      <c r="N90" s="44"/>
    </row>
    <row r="91">
      <c r="A91" s="50" t="s">
        <v>47</v>
      </c>
      <c r="B91" s="50" t="s">
        <v>48</v>
      </c>
      <c r="C91" s="51">
        <v>963.0</v>
      </c>
      <c r="D91" s="51" t="s">
        <v>49</v>
      </c>
      <c r="E91" s="51" t="s">
        <v>26</v>
      </c>
      <c r="F91" s="52">
        <v>44651.0</v>
      </c>
      <c r="G91" s="52">
        <v>45202.0</v>
      </c>
      <c r="H91" s="52">
        <v>46047.0</v>
      </c>
      <c r="I91" s="52">
        <v>46047.0</v>
      </c>
      <c r="J91" s="53">
        <v>39.99</v>
      </c>
      <c r="K91" s="53">
        <v>0.0</v>
      </c>
      <c r="L91" s="53">
        <v>39.99</v>
      </c>
      <c r="M91" s="51">
        <v>2.0</v>
      </c>
      <c r="N91" s="53">
        <v>0.0</v>
      </c>
    </row>
    <row r="92">
      <c r="A92" s="44"/>
      <c r="B92" s="41"/>
      <c r="C92" s="41"/>
      <c r="D92" s="41"/>
      <c r="E92" s="41"/>
      <c r="F92" s="46"/>
      <c r="G92" s="46"/>
      <c r="H92" s="46"/>
      <c r="I92" s="46"/>
      <c r="J92" s="44"/>
      <c r="K92" s="44"/>
      <c r="L92" s="44"/>
      <c r="M92" s="45"/>
      <c r="N92" s="44"/>
    </row>
    <row r="93">
      <c r="A93" s="92" t="s">
        <v>50</v>
      </c>
      <c r="B93" s="86" t="s">
        <v>51</v>
      </c>
      <c r="C93" s="86">
        <v>54.0</v>
      </c>
      <c r="D93" s="86" t="s">
        <v>69</v>
      </c>
      <c r="E93" s="86" t="s">
        <v>21</v>
      </c>
      <c r="F93" s="87">
        <v>35207.0</v>
      </c>
      <c r="G93" s="87">
        <v>43249.0</v>
      </c>
      <c r="H93" s="87">
        <v>43249.0</v>
      </c>
      <c r="I93" s="87">
        <v>43249.0</v>
      </c>
      <c r="J93" s="88">
        <v>3.33</v>
      </c>
      <c r="K93" s="88">
        <v>1.23</v>
      </c>
      <c r="L93" s="88">
        <v>2.1</v>
      </c>
      <c r="M93" s="86">
        <v>1.0</v>
      </c>
      <c r="N93" s="88">
        <v>1.23</v>
      </c>
    </row>
    <row r="94">
      <c r="A94" s="92" t="s">
        <v>50</v>
      </c>
      <c r="B94" s="86"/>
      <c r="C94" s="86">
        <v>55.0</v>
      </c>
      <c r="D94" s="86" t="s">
        <v>70</v>
      </c>
      <c r="E94" s="86" t="s">
        <v>21</v>
      </c>
      <c r="F94" s="87">
        <v>35385.0</v>
      </c>
      <c r="G94" s="87">
        <v>43249.0</v>
      </c>
      <c r="H94" s="87">
        <v>43249.0</v>
      </c>
      <c r="I94" s="87">
        <v>43249.0</v>
      </c>
      <c r="J94" s="88">
        <v>3.33</v>
      </c>
      <c r="K94" s="88">
        <v>1.23</v>
      </c>
      <c r="L94" s="88">
        <v>2.1</v>
      </c>
      <c r="M94" s="86">
        <v>1.0</v>
      </c>
      <c r="N94" s="88">
        <v>1.23</v>
      </c>
    </row>
    <row r="95">
      <c r="A95" s="92" t="s">
        <v>50</v>
      </c>
      <c r="B95" s="86"/>
      <c r="C95" s="86">
        <v>45.0</v>
      </c>
      <c r="D95" s="86" t="s">
        <v>71</v>
      </c>
      <c r="E95" s="86" t="s">
        <v>21</v>
      </c>
      <c r="F95" s="87">
        <v>35774.0</v>
      </c>
      <c r="G95" s="87">
        <v>42665.0</v>
      </c>
      <c r="H95" s="87">
        <v>42665.0</v>
      </c>
      <c r="I95" s="87">
        <v>42665.0</v>
      </c>
      <c r="J95" s="88">
        <v>9.99</v>
      </c>
      <c r="K95" s="88">
        <v>3.99</v>
      </c>
      <c r="L95" s="88">
        <v>6.0</v>
      </c>
      <c r="M95" s="86">
        <v>1.0</v>
      </c>
      <c r="N95" s="88">
        <v>3.99</v>
      </c>
    </row>
    <row r="96">
      <c r="A96" s="92" t="s">
        <v>50</v>
      </c>
      <c r="B96" s="86"/>
      <c r="C96" s="86">
        <v>46.0</v>
      </c>
      <c r="D96" s="86" t="s">
        <v>72</v>
      </c>
      <c r="E96" s="86" t="s">
        <v>21</v>
      </c>
      <c r="F96" s="87">
        <v>35914.0</v>
      </c>
      <c r="G96" s="87">
        <v>42875.0</v>
      </c>
      <c r="H96" s="87">
        <v>42875.0</v>
      </c>
      <c r="I96" s="87">
        <v>42875.0</v>
      </c>
      <c r="J96" s="88">
        <v>9.99</v>
      </c>
      <c r="K96" s="88">
        <v>3.99</v>
      </c>
      <c r="L96" s="88">
        <v>6.0</v>
      </c>
      <c r="M96" s="86">
        <v>1.0</v>
      </c>
      <c r="N96" s="88">
        <v>3.99</v>
      </c>
    </row>
    <row r="97">
      <c r="A97" s="92" t="s">
        <v>50</v>
      </c>
      <c r="B97" s="86"/>
      <c r="C97" s="86">
        <v>53.0</v>
      </c>
      <c r="D97" s="86" t="s">
        <v>73</v>
      </c>
      <c r="E97" s="86" t="s">
        <v>21</v>
      </c>
      <c r="F97" s="87">
        <v>35977.0</v>
      </c>
      <c r="G97" s="87">
        <v>43249.0</v>
      </c>
      <c r="H97" s="87">
        <v>43249.0</v>
      </c>
      <c r="I97" s="87">
        <v>43249.0</v>
      </c>
      <c r="J97" s="88">
        <v>3.33</v>
      </c>
      <c r="K97" s="88">
        <v>1.23</v>
      </c>
      <c r="L97" s="88">
        <v>2.1</v>
      </c>
      <c r="M97" s="86">
        <v>1.0</v>
      </c>
      <c r="N97" s="88">
        <v>1.23</v>
      </c>
    </row>
    <row r="98">
      <c r="A98" s="92" t="s">
        <v>50</v>
      </c>
      <c r="B98" s="86"/>
      <c r="C98" s="86">
        <v>56.0</v>
      </c>
      <c r="D98" s="86" t="s">
        <v>74</v>
      </c>
      <c r="E98" s="86" t="s">
        <v>21</v>
      </c>
      <c r="F98" s="87">
        <v>36336.0</v>
      </c>
      <c r="G98" s="87">
        <v>43249.0</v>
      </c>
      <c r="H98" s="87">
        <v>43249.0</v>
      </c>
      <c r="I98" s="87">
        <v>43249.0</v>
      </c>
      <c r="J98" s="88">
        <v>3.33</v>
      </c>
      <c r="K98" s="88">
        <v>1.23</v>
      </c>
      <c r="L98" s="88">
        <v>2.1</v>
      </c>
      <c r="M98" s="86">
        <v>1.0</v>
      </c>
      <c r="N98" s="88">
        <v>1.23</v>
      </c>
    </row>
    <row r="99">
      <c r="A99" s="92" t="s">
        <v>50</v>
      </c>
      <c r="B99" s="86"/>
      <c r="C99" s="86">
        <v>47.0</v>
      </c>
      <c r="D99" s="86" t="s">
        <v>75</v>
      </c>
      <c r="E99" s="86" t="s">
        <v>21</v>
      </c>
      <c r="F99" s="87">
        <v>36577.0</v>
      </c>
      <c r="G99" s="87">
        <v>42665.0</v>
      </c>
      <c r="H99" s="87">
        <v>42665.0</v>
      </c>
      <c r="I99" s="87">
        <v>42665.0</v>
      </c>
      <c r="J99" s="88">
        <v>9.99</v>
      </c>
      <c r="K99" s="88">
        <v>3.99</v>
      </c>
      <c r="L99" s="88">
        <v>6.0</v>
      </c>
      <c r="M99" s="86">
        <v>1.0</v>
      </c>
      <c r="N99" s="88">
        <v>3.99</v>
      </c>
    </row>
    <row r="100">
      <c r="A100" s="92" t="s">
        <v>50</v>
      </c>
      <c r="B100" s="86"/>
      <c r="C100" s="86">
        <v>130.0</v>
      </c>
      <c r="D100" s="86" t="s">
        <v>76</v>
      </c>
      <c r="E100" s="86" t="s">
        <v>22</v>
      </c>
      <c r="F100" s="87">
        <v>37148.0</v>
      </c>
      <c r="G100" s="87">
        <v>45224.0</v>
      </c>
      <c r="H100" s="87">
        <v>45227.0</v>
      </c>
      <c r="I100" s="87">
        <v>45229.0</v>
      </c>
      <c r="J100" s="88">
        <v>14.99</v>
      </c>
      <c r="K100" s="88">
        <v>0.99</v>
      </c>
      <c r="L100" s="88">
        <v>14.0</v>
      </c>
      <c r="M100" s="86">
        <v>2.0</v>
      </c>
      <c r="N100" s="88">
        <v>0.5</v>
      </c>
    </row>
    <row r="101">
      <c r="A101" s="92" t="s">
        <v>50</v>
      </c>
      <c r="B101" s="86"/>
      <c r="C101" s="86">
        <v>89.0</v>
      </c>
      <c r="D101" s="86" t="s">
        <v>77</v>
      </c>
      <c r="E101" s="86" t="s">
        <v>22</v>
      </c>
      <c r="F101" s="87">
        <v>37232.0</v>
      </c>
      <c r="G101" s="87">
        <v>43685.0</v>
      </c>
      <c r="H101" s="87">
        <v>44488.0</v>
      </c>
      <c r="I101" s="87">
        <v>44489.0</v>
      </c>
      <c r="J101" s="88">
        <v>7.33</v>
      </c>
      <c r="K101" s="88">
        <v>3.67</v>
      </c>
      <c r="L101" s="88">
        <v>3.66</v>
      </c>
      <c r="M101" s="86">
        <v>13.0</v>
      </c>
      <c r="N101" s="88">
        <v>0.28</v>
      </c>
    </row>
    <row r="102">
      <c r="A102" s="92" t="s">
        <v>50</v>
      </c>
      <c r="B102" s="86"/>
      <c r="C102" s="86">
        <v>90.0</v>
      </c>
      <c r="D102" s="86" t="s">
        <v>78</v>
      </c>
      <c r="E102" s="86" t="s">
        <v>22</v>
      </c>
      <c r="F102" s="87">
        <v>37708.0</v>
      </c>
      <c r="G102" s="87">
        <v>43685.0</v>
      </c>
      <c r="H102" s="87">
        <v>44489.0</v>
      </c>
      <c r="I102" s="87">
        <v>44494.0</v>
      </c>
      <c r="J102" s="88">
        <v>7.33</v>
      </c>
      <c r="K102" s="88">
        <v>3.66</v>
      </c>
      <c r="L102" s="88">
        <v>3.67</v>
      </c>
      <c r="M102" s="86">
        <v>2.0</v>
      </c>
      <c r="N102" s="88">
        <v>1.83</v>
      </c>
    </row>
    <row r="103">
      <c r="A103" s="92" t="s">
        <v>50</v>
      </c>
      <c r="B103" s="86"/>
      <c r="C103" s="86">
        <v>91.0</v>
      </c>
      <c r="D103" s="86" t="s">
        <v>79</v>
      </c>
      <c r="E103" s="86" t="s">
        <v>22</v>
      </c>
      <c r="F103" s="87">
        <v>38436.0</v>
      </c>
      <c r="G103" s="87">
        <v>43685.0</v>
      </c>
      <c r="H103" s="87">
        <v>44494.0</v>
      </c>
      <c r="I103" s="87">
        <v>44494.0</v>
      </c>
      <c r="J103" s="88">
        <v>7.33</v>
      </c>
      <c r="K103" s="88">
        <v>3.66</v>
      </c>
      <c r="L103" s="88">
        <v>3.67</v>
      </c>
      <c r="M103" s="86">
        <v>2.0</v>
      </c>
      <c r="N103" s="88">
        <v>1.83</v>
      </c>
    </row>
    <row r="104">
      <c r="A104" s="92" t="s">
        <v>50</v>
      </c>
      <c r="B104" s="86"/>
      <c r="C104" s="86">
        <v>131.0</v>
      </c>
      <c r="D104" s="86" t="s">
        <v>80</v>
      </c>
      <c r="E104" s="86" t="s">
        <v>22</v>
      </c>
      <c r="F104" s="87">
        <v>38660.0</v>
      </c>
      <c r="G104" s="87">
        <v>43727.0</v>
      </c>
      <c r="H104" s="87">
        <v>43734.0</v>
      </c>
      <c r="I104" s="87">
        <v>43740.0</v>
      </c>
      <c r="J104" s="88">
        <v>19.99</v>
      </c>
      <c r="K104" s="88">
        <v>7.99</v>
      </c>
      <c r="L104" s="88">
        <v>12.0</v>
      </c>
      <c r="M104" s="86">
        <v>17.0</v>
      </c>
      <c r="N104" s="88">
        <v>0.47</v>
      </c>
    </row>
    <row r="105">
      <c r="A105" s="93" t="s">
        <v>50</v>
      </c>
      <c r="B105" s="86"/>
      <c r="C105" s="86">
        <v>226.0</v>
      </c>
      <c r="D105" s="86" t="s">
        <v>81</v>
      </c>
      <c r="E105" s="86" t="s">
        <v>24</v>
      </c>
      <c r="F105" s="87">
        <v>39486.0</v>
      </c>
      <c r="G105" s="87">
        <v>43685.0</v>
      </c>
      <c r="H105" s="87">
        <v>43685.0</v>
      </c>
      <c r="I105" s="87">
        <v>43685.0</v>
      </c>
      <c r="J105" s="88">
        <v>22.99</v>
      </c>
      <c r="K105" s="88">
        <v>10.99</v>
      </c>
      <c r="L105" s="88">
        <v>12.0</v>
      </c>
      <c r="M105" s="86">
        <v>1.0</v>
      </c>
      <c r="N105" s="88">
        <v>10.99</v>
      </c>
    </row>
    <row r="106">
      <c r="A106" s="93" t="s">
        <v>50</v>
      </c>
      <c r="B106" s="86"/>
      <c r="C106" s="86">
        <v>339.0</v>
      </c>
      <c r="D106" s="86" t="s">
        <v>82</v>
      </c>
      <c r="E106" s="86" t="s">
        <v>24</v>
      </c>
      <c r="F106" s="87">
        <v>39885.0</v>
      </c>
      <c r="G106" s="87">
        <v>44510.0</v>
      </c>
      <c r="H106" s="87">
        <v>45209.0</v>
      </c>
      <c r="I106" s="87">
        <v>45227.0</v>
      </c>
      <c r="J106" s="88">
        <v>19.99</v>
      </c>
      <c r="K106" s="88">
        <v>7.99</v>
      </c>
      <c r="L106" s="88">
        <v>12.0</v>
      </c>
      <c r="M106" s="86">
        <v>12.0</v>
      </c>
      <c r="N106" s="88">
        <v>0.67</v>
      </c>
    </row>
    <row r="107">
      <c r="A107" s="93" t="s">
        <v>50</v>
      </c>
      <c r="B107" s="86"/>
      <c r="C107" s="86">
        <v>372.0</v>
      </c>
      <c r="D107" s="86" t="s">
        <v>83</v>
      </c>
      <c r="E107" s="86" t="s">
        <v>24</v>
      </c>
      <c r="F107" s="87">
        <v>40977.0</v>
      </c>
      <c r="G107" s="87">
        <v>42766.0</v>
      </c>
      <c r="H107" s="87">
        <v>43059.0</v>
      </c>
      <c r="I107" s="87">
        <v>45021.0</v>
      </c>
      <c r="J107" s="88">
        <v>24.99</v>
      </c>
      <c r="K107" s="88">
        <v>4.99</v>
      </c>
      <c r="L107" s="88">
        <v>20.0</v>
      </c>
      <c r="M107" s="86">
        <v>5.0</v>
      </c>
      <c r="N107" s="88">
        <v>1.0</v>
      </c>
    </row>
    <row r="108">
      <c r="A108" s="93" t="s">
        <v>50</v>
      </c>
      <c r="B108" s="86"/>
      <c r="C108" s="86">
        <v>340.0</v>
      </c>
      <c r="D108" s="86" t="s">
        <v>84</v>
      </c>
      <c r="E108" s="86" t="s">
        <v>24</v>
      </c>
      <c r="F108" s="87">
        <v>41184.0</v>
      </c>
      <c r="G108" s="87">
        <v>44510.0</v>
      </c>
      <c r="H108" s="87">
        <v>45213.0</v>
      </c>
      <c r="I108" s="87">
        <v>45213.0</v>
      </c>
      <c r="J108" s="88">
        <v>19.99</v>
      </c>
      <c r="K108" s="88">
        <v>7.99</v>
      </c>
      <c r="L108" s="88">
        <v>12.0</v>
      </c>
      <c r="M108" s="86">
        <v>1.0</v>
      </c>
      <c r="N108" s="88">
        <v>7.99</v>
      </c>
    </row>
    <row r="109">
      <c r="A109" s="93" t="s">
        <v>50</v>
      </c>
      <c r="B109" s="86"/>
      <c r="C109" s="86">
        <v>341.0</v>
      </c>
      <c r="D109" s="86" t="s">
        <v>85</v>
      </c>
      <c r="E109" s="86" t="s">
        <v>24</v>
      </c>
      <c r="F109" s="87">
        <v>41418.0</v>
      </c>
      <c r="G109" s="87">
        <v>43638.0</v>
      </c>
      <c r="H109" s="87">
        <v>43645.0</v>
      </c>
      <c r="I109" s="87">
        <v>43647.0</v>
      </c>
      <c r="J109" s="88">
        <v>19.99</v>
      </c>
      <c r="K109" s="88">
        <v>7.49</v>
      </c>
      <c r="L109" s="88">
        <v>12.5</v>
      </c>
      <c r="M109" s="86">
        <v>11.0</v>
      </c>
      <c r="N109" s="88">
        <v>0.68</v>
      </c>
    </row>
    <row r="110">
      <c r="A110" s="93" t="s">
        <v>50</v>
      </c>
      <c r="B110" s="86"/>
      <c r="C110" s="86">
        <v>342.0</v>
      </c>
      <c r="D110" s="86" t="s">
        <v>86</v>
      </c>
      <c r="E110" s="86" t="s">
        <v>24</v>
      </c>
      <c r="F110" s="87">
        <v>42024.0</v>
      </c>
      <c r="G110" s="87">
        <v>43727.0</v>
      </c>
      <c r="H110" s="87">
        <v>43733.0</v>
      </c>
      <c r="I110" s="87">
        <v>43733.0</v>
      </c>
      <c r="J110" s="88">
        <v>19.99</v>
      </c>
      <c r="K110" s="88">
        <v>4.99</v>
      </c>
      <c r="L110" s="88">
        <v>15.0</v>
      </c>
      <c r="M110" s="86">
        <v>18.0</v>
      </c>
      <c r="N110" s="88">
        <v>0.28</v>
      </c>
    </row>
    <row r="111">
      <c r="A111" s="93" t="s">
        <v>50</v>
      </c>
      <c r="B111" s="86"/>
      <c r="C111" s="86">
        <v>343.0</v>
      </c>
      <c r="D111" s="86" t="s">
        <v>87</v>
      </c>
      <c r="E111" s="86" t="s">
        <v>24</v>
      </c>
      <c r="F111" s="87">
        <v>42060.0</v>
      </c>
      <c r="G111" s="87">
        <v>43638.0</v>
      </c>
      <c r="H111" s="87">
        <v>43647.0</v>
      </c>
      <c r="I111" s="87">
        <v>43647.0</v>
      </c>
      <c r="J111" s="88">
        <v>19.99</v>
      </c>
      <c r="K111" s="88">
        <v>7.49</v>
      </c>
      <c r="L111" s="88">
        <v>12.5</v>
      </c>
      <c r="M111" s="86">
        <v>1.0</v>
      </c>
      <c r="N111" s="88">
        <v>7.49</v>
      </c>
    </row>
    <row r="112">
      <c r="A112" s="86" t="s">
        <v>50</v>
      </c>
      <c r="B112" s="86"/>
      <c r="C112" s="86">
        <v>344.0</v>
      </c>
      <c r="D112" s="86" t="s">
        <v>88</v>
      </c>
      <c r="E112" s="86" t="s">
        <v>24</v>
      </c>
      <c r="F112" s="87">
        <v>42388.0</v>
      </c>
      <c r="G112" s="87">
        <v>43727.0</v>
      </c>
      <c r="H112" s="87">
        <v>43775.0</v>
      </c>
      <c r="I112" s="87">
        <v>43775.0</v>
      </c>
      <c r="J112" s="88">
        <v>19.99</v>
      </c>
      <c r="K112" s="88">
        <v>4.99</v>
      </c>
      <c r="L112" s="88">
        <v>15.0</v>
      </c>
      <c r="M112" s="86">
        <v>19.0</v>
      </c>
      <c r="N112" s="88">
        <v>0.26</v>
      </c>
    </row>
    <row r="113">
      <c r="A113" s="86" t="s">
        <v>50</v>
      </c>
      <c r="B113" s="86"/>
      <c r="C113" s="86">
        <v>730.0</v>
      </c>
      <c r="D113" s="86" t="s">
        <v>89</v>
      </c>
      <c r="E113" s="86" t="s">
        <v>26</v>
      </c>
      <c r="F113" s="87">
        <v>42241.0</v>
      </c>
      <c r="G113" s="87">
        <v>42619.0</v>
      </c>
      <c r="H113" s="87">
        <v>42799.0</v>
      </c>
      <c r="I113" s="87">
        <v>42799.0</v>
      </c>
      <c r="J113" s="88">
        <v>2.5</v>
      </c>
      <c r="K113" s="88">
        <v>1.33</v>
      </c>
      <c r="L113" s="88">
        <v>1.17</v>
      </c>
      <c r="M113" s="86">
        <v>3.0</v>
      </c>
      <c r="N113" s="88">
        <v>0.44</v>
      </c>
    </row>
    <row r="114">
      <c r="A114" s="86" t="s">
        <v>50</v>
      </c>
      <c r="B114" s="86"/>
      <c r="C114" s="86">
        <v>731.0</v>
      </c>
      <c r="D114" s="86" t="s">
        <v>90</v>
      </c>
      <c r="E114" s="86" t="s">
        <v>26</v>
      </c>
      <c r="F114" s="87">
        <v>42241.0</v>
      </c>
      <c r="G114" s="87">
        <v>42619.0</v>
      </c>
      <c r="H114" s="87">
        <v>42799.0</v>
      </c>
      <c r="I114" s="87">
        <v>42799.0</v>
      </c>
      <c r="J114" s="88">
        <v>2.5</v>
      </c>
      <c r="K114" s="88">
        <v>1.33</v>
      </c>
      <c r="L114" s="88">
        <v>1.17</v>
      </c>
      <c r="M114" s="86">
        <v>2.0</v>
      </c>
      <c r="N114" s="88">
        <v>0.67</v>
      </c>
    </row>
    <row r="115">
      <c r="A115" s="86" t="s">
        <v>50</v>
      </c>
      <c r="B115" s="86"/>
      <c r="C115" s="86">
        <v>732.0</v>
      </c>
      <c r="D115" s="86" t="s">
        <v>91</v>
      </c>
      <c r="E115" s="86" t="s">
        <v>26</v>
      </c>
      <c r="F115" s="87">
        <v>42241.0</v>
      </c>
      <c r="G115" s="87">
        <v>42619.0</v>
      </c>
      <c r="H115" s="87">
        <v>42799.0</v>
      </c>
      <c r="I115" s="87">
        <v>42799.0</v>
      </c>
      <c r="J115" s="88">
        <v>2.5</v>
      </c>
      <c r="K115" s="88">
        <v>1.33</v>
      </c>
      <c r="L115" s="88">
        <v>1.17</v>
      </c>
      <c r="M115" s="86">
        <v>1.0</v>
      </c>
      <c r="N115" s="88">
        <v>1.33</v>
      </c>
    </row>
    <row r="116">
      <c r="A116" s="86" t="s">
        <v>50</v>
      </c>
      <c r="B116" s="86"/>
      <c r="C116" s="86">
        <v>733.0</v>
      </c>
      <c r="D116" s="86" t="s">
        <v>92</v>
      </c>
      <c r="E116" s="86" t="s">
        <v>26</v>
      </c>
      <c r="F116" s="87">
        <v>42241.0</v>
      </c>
      <c r="G116" s="87">
        <v>42619.0</v>
      </c>
      <c r="H116" s="87">
        <v>42799.0</v>
      </c>
      <c r="I116" s="87">
        <v>42799.0</v>
      </c>
      <c r="J116" s="88">
        <v>2.5</v>
      </c>
      <c r="K116" s="88">
        <v>1.33</v>
      </c>
      <c r="L116" s="88">
        <v>1.17</v>
      </c>
      <c r="M116" s="86">
        <v>1.0</v>
      </c>
      <c r="N116" s="88">
        <v>1.33</v>
      </c>
    </row>
    <row r="117">
      <c r="A117" s="86" t="s">
        <v>50</v>
      </c>
      <c r="B117" s="86"/>
      <c r="C117" s="86">
        <v>734.0</v>
      </c>
      <c r="D117" s="86" t="s">
        <v>93</v>
      </c>
      <c r="E117" s="86" t="s">
        <v>26</v>
      </c>
      <c r="F117" s="87">
        <v>42241.0</v>
      </c>
      <c r="G117" s="87">
        <v>42619.0</v>
      </c>
      <c r="H117" s="87">
        <v>42799.0</v>
      </c>
      <c r="I117" s="87">
        <v>42799.0</v>
      </c>
      <c r="J117" s="88">
        <v>2.5</v>
      </c>
      <c r="K117" s="88">
        <v>1.33</v>
      </c>
      <c r="L117" s="88">
        <v>1.17</v>
      </c>
      <c r="M117" s="86">
        <v>1.0</v>
      </c>
      <c r="N117" s="88">
        <v>1.33</v>
      </c>
    </row>
    <row r="118">
      <c r="A118" s="86" t="s">
        <v>50</v>
      </c>
      <c r="B118" s="86"/>
      <c r="C118" s="86">
        <v>735.0</v>
      </c>
      <c r="D118" s="86" t="s">
        <v>94</v>
      </c>
      <c r="E118" s="86" t="s">
        <v>26</v>
      </c>
      <c r="F118" s="87">
        <v>42241.0</v>
      </c>
      <c r="G118" s="87">
        <v>42619.0</v>
      </c>
      <c r="H118" s="87">
        <v>42799.0</v>
      </c>
      <c r="I118" s="87">
        <v>42799.0</v>
      </c>
      <c r="J118" s="88">
        <v>2.49</v>
      </c>
      <c r="K118" s="88">
        <v>1.34</v>
      </c>
      <c r="L118" s="88">
        <v>1.15</v>
      </c>
      <c r="M118" s="86">
        <v>1.0</v>
      </c>
      <c r="N118" s="88">
        <v>1.34</v>
      </c>
    </row>
    <row r="119">
      <c r="A119" s="86" t="s">
        <v>50</v>
      </c>
      <c r="B119" s="86"/>
      <c r="C119" s="86">
        <v>576.0</v>
      </c>
      <c r="D119" s="86" t="s">
        <v>95</v>
      </c>
      <c r="E119" s="86" t="s">
        <v>26</v>
      </c>
      <c r="F119" s="87">
        <v>42626.0</v>
      </c>
      <c r="G119" s="87">
        <v>43907.0</v>
      </c>
      <c r="H119" s="87">
        <v>43907.0</v>
      </c>
      <c r="I119" s="87">
        <v>43908.0</v>
      </c>
      <c r="J119" s="88">
        <v>19.99</v>
      </c>
      <c r="K119" s="88">
        <v>4.99</v>
      </c>
      <c r="L119" s="88">
        <v>15.0</v>
      </c>
      <c r="M119" s="86">
        <v>5.0</v>
      </c>
      <c r="N119" s="88">
        <v>1.0</v>
      </c>
    </row>
    <row r="120">
      <c r="A120" s="86" t="s">
        <v>50</v>
      </c>
      <c r="B120" s="86"/>
      <c r="C120" s="86">
        <v>807.0</v>
      </c>
      <c r="D120" s="86" t="s">
        <v>96</v>
      </c>
      <c r="E120" s="86" t="s">
        <v>26</v>
      </c>
      <c r="F120" s="87">
        <v>42759.0</v>
      </c>
      <c r="G120" s="87">
        <v>43466.0</v>
      </c>
      <c r="H120" s="87">
        <v>43469.0</v>
      </c>
      <c r="I120" s="87">
        <v>44499.0</v>
      </c>
      <c r="J120" s="88">
        <v>49.98</v>
      </c>
      <c r="K120" s="88">
        <v>26.98</v>
      </c>
      <c r="L120" s="88">
        <v>23.0</v>
      </c>
      <c r="M120" s="86">
        <v>16.0</v>
      </c>
      <c r="N120" s="88">
        <v>1.69</v>
      </c>
    </row>
    <row r="121">
      <c r="A121" s="86" t="s">
        <v>50</v>
      </c>
      <c r="B121" s="86"/>
      <c r="C121" s="86">
        <v>880.0</v>
      </c>
      <c r="D121" s="86" t="s">
        <v>97</v>
      </c>
      <c r="E121" s="86" t="s">
        <v>26</v>
      </c>
      <c r="F121" s="87">
        <v>42843.0</v>
      </c>
      <c r="G121" s="87">
        <v>44203.0</v>
      </c>
      <c r="H121" s="87">
        <v>44203.0</v>
      </c>
      <c r="I121" s="87">
        <v>44203.0</v>
      </c>
      <c r="J121" s="88">
        <v>3.33</v>
      </c>
      <c r="K121" s="88">
        <v>1.0</v>
      </c>
      <c r="L121" s="88">
        <v>2.33</v>
      </c>
      <c r="M121" s="86">
        <v>1.0</v>
      </c>
      <c r="N121" s="88">
        <v>1.0</v>
      </c>
    </row>
    <row r="122">
      <c r="A122" s="86" t="s">
        <v>50</v>
      </c>
      <c r="B122" s="86"/>
      <c r="C122" s="86">
        <v>570.0</v>
      </c>
      <c r="D122" s="86" t="s">
        <v>98</v>
      </c>
      <c r="E122" s="86" t="s">
        <v>26</v>
      </c>
      <c r="F122" s="87">
        <v>42843.0</v>
      </c>
      <c r="G122" s="87">
        <v>44203.0</v>
      </c>
      <c r="H122" s="87">
        <v>44203.0</v>
      </c>
      <c r="I122" s="87">
        <v>44203.0</v>
      </c>
      <c r="J122" s="88">
        <v>3.33</v>
      </c>
      <c r="K122" s="88">
        <v>0.99</v>
      </c>
      <c r="L122" s="88">
        <v>2.34</v>
      </c>
      <c r="M122" s="86">
        <v>1.0</v>
      </c>
      <c r="N122" s="88">
        <v>0.99</v>
      </c>
    </row>
    <row r="123">
      <c r="A123" s="86" t="s">
        <v>50</v>
      </c>
      <c r="B123" s="86"/>
      <c r="C123" s="86">
        <v>599.0</v>
      </c>
      <c r="D123" s="86" t="s">
        <v>99</v>
      </c>
      <c r="E123" s="86" t="s">
        <v>26</v>
      </c>
      <c r="F123" s="87">
        <v>42843.0</v>
      </c>
      <c r="G123" s="87">
        <v>44203.0</v>
      </c>
      <c r="H123" s="87">
        <v>44203.0</v>
      </c>
      <c r="I123" s="87">
        <v>44203.0</v>
      </c>
      <c r="J123" s="88">
        <v>3.34</v>
      </c>
      <c r="K123" s="88">
        <v>1.0</v>
      </c>
      <c r="L123" s="88">
        <v>2.34</v>
      </c>
      <c r="M123" s="86">
        <v>1.0</v>
      </c>
      <c r="N123" s="88">
        <v>1.0</v>
      </c>
    </row>
    <row r="124">
      <c r="A124" s="86" t="s">
        <v>50</v>
      </c>
      <c r="B124" s="86"/>
      <c r="C124" s="86">
        <v>600.0</v>
      </c>
      <c r="D124" s="86" t="s">
        <v>100</v>
      </c>
      <c r="E124" s="86" t="s">
        <v>26</v>
      </c>
      <c r="F124" s="87">
        <v>42843.0</v>
      </c>
      <c r="G124" s="87">
        <v>44203.0</v>
      </c>
      <c r="H124" s="87">
        <v>44203.0</v>
      </c>
      <c r="I124" s="87">
        <v>44203.0</v>
      </c>
      <c r="J124" s="88">
        <v>3.33</v>
      </c>
      <c r="K124" s="88">
        <v>0.5</v>
      </c>
      <c r="L124" s="88">
        <v>2.83</v>
      </c>
      <c r="M124" s="86">
        <v>1.0</v>
      </c>
      <c r="N124" s="88">
        <v>0.5</v>
      </c>
    </row>
    <row r="125">
      <c r="A125" s="86" t="s">
        <v>50</v>
      </c>
      <c r="B125" s="86"/>
      <c r="C125" s="86">
        <v>547.0</v>
      </c>
      <c r="D125" s="86" t="s">
        <v>101</v>
      </c>
      <c r="E125" s="86" t="s">
        <v>26</v>
      </c>
      <c r="F125" s="87">
        <v>42843.0</v>
      </c>
      <c r="G125" s="87">
        <v>44203.0</v>
      </c>
      <c r="H125" s="87">
        <v>44203.0</v>
      </c>
      <c r="I125" s="87">
        <v>44203.0</v>
      </c>
      <c r="J125" s="88">
        <v>3.33</v>
      </c>
      <c r="K125" s="88">
        <v>1.0</v>
      </c>
      <c r="L125" s="88">
        <v>2.33</v>
      </c>
      <c r="M125" s="86">
        <v>1.0</v>
      </c>
      <c r="N125" s="88">
        <v>1.0</v>
      </c>
    </row>
    <row r="126">
      <c r="A126" s="86" t="s">
        <v>50</v>
      </c>
      <c r="B126" s="86"/>
      <c r="C126" s="86">
        <v>548.0</v>
      </c>
      <c r="D126" s="86" t="s">
        <v>102</v>
      </c>
      <c r="E126" s="86" t="s">
        <v>26</v>
      </c>
      <c r="F126" s="87">
        <v>42843.0</v>
      </c>
      <c r="G126" s="87">
        <v>44203.0</v>
      </c>
      <c r="H126" s="87">
        <v>44203.0</v>
      </c>
      <c r="I126" s="87">
        <v>44203.0</v>
      </c>
      <c r="J126" s="88">
        <v>3.33</v>
      </c>
      <c r="K126" s="88">
        <v>0.5</v>
      </c>
      <c r="L126" s="88">
        <v>2.83</v>
      </c>
      <c r="M126" s="86">
        <v>1.0</v>
      </c>
      <c r="N126" s="88">
        <v>0.5</v>
      </c>
    </row>
    <row r="127">
      <c r="A127" s="86" t="s">
        <v>50</v>
      </c>
      <c r="B127" s="86"/>
      <c r="C127" s="86">
        <v>736.0</v>
      </c>
      <c r="D127" s="86" t="s">
        <v>103</v>
      </c>
      <c r="E127" s="86" t="s">
        <v>26</v>
      </c>
      <c r="F127" s="87">
        <v>42955.0</v>
      </c>
      <c r="G127" s="87">
        <v>43091.0</v>
      </c>
      <c r="H127" s="87">
        <v>43135.0</v>
      </c>
      <c r="I127" s="87">
        <v>43144.0</v>
      </c>
      <c r="J127" s="88">
        <v>3.75</v>
      </c>
      <c r="K127" s="88">
        <v>2.0</v>
      </c>
      <c r="L127" s="88">
        <v>1.75</v>
      </c>
      <c r="M127" s="86">
        <v>3.0</v>
      </c>
      <c r="N127" s="88">
        <v>0.67</v>
      </c>
    </row>
    <row r="128">
      <c r="A128" s="86" t="s">
        <v>50</v>
      </c>
      <c r="B128" s="86"/>
      <c r="C128" s="86">
        <v>737.0</v>
      </c>
      <c r="D128" s="86" t="s">
        <v>104</v>
      </c>
      <c r="E128" s="86" t="s">
        <v>26</v>
      </c>
      <c r="F128" s="87">
        <v>42955.0</v>
      </c>
      <c r="G128" s="87">
        <v>43091.0</v>
      </c>
      <c r="H128" s="87">
        <v>43135.0</v>
      </c>
      <c r="I128" s="87">
        <v>43144.0</v>
      </c>
      <c r="J128" s="88">
        <v>3.75</v>
      </c>
      <c r="K128" s="88">
        <v>2.0</v>
      </c>
      <c r="L128" s="88">
        <v>1.75</v>
      </c>
      <c r="M128" s="86">
        <v>2.0</v>
      </c>
      <c r="N128" s="88">
        <v>1.0</v>
      </c>
    </row>
    <row r="129">
      <c r="A129" s="86" t="s">
        <v>50</v>
      </c>
      <c r="B129" s="86"/>
      <c r="C129" s="86">
        <v>738.0</v>
      </c>
      <c r="D129" s="86" t="s">
        <v>105</v>
      </c>
      <c r="E129" s="86" t="s">
        <v>26</v>
      </c>
      <c r="F129" s="87">
        <v>42955.0</v>
      </c>
      <c r="G129" s="87">
        <v>43091.0</v>
      </c>
      <c r="H129" s="87">
        <v>43135.0</v>
      </c>
      <c r="I129" s="87">
        <v>43144.0</v>
      </c>
      <c r="J129" s="88">
        <v>3.75</v>
      </c>
      <c r="K129" s="88">
        <v>2.0</v>
      </c>
      <c r="L129" s="88">
        <v>1.75</v>
      </c>
      <c r="M129" s="86">
        <v>2.0</v>
      </c>
      <c r="N129" s="88">
        <v>1.0</v>
      </c>
    </row>
    <row r="130">
      <c r="A130" s="86" t="s">
        <v>50</v>
      </c>
      <c r="B130" s="86"/>
      <c r="C130" s="86">
        <v>739.0</v>
      </c>
      <c r="D130" s="86" t="s">
        <v>106</v>
      </c>
      <c r="E130" s="86" t="s">
        <v>26</v>
      </c>
      <c r="F130" s="87">
        <v>42955.0</v>
      </c>
      <c r="G130" s="87">
        <v>43091.0</v>
      </c>
      <c r="H130" s="87">
        <v>43135.0</v>
      </c>
      <c r="I130" s="87">
        <v>43144.0</v>
      </c>
      <c r="J130" s="88">
        <v>3.74</v>
      </c>
      <c r="K130" s="88">
        <v>1.99</v>
      </c>
      <c r="L130" s="88">
        <v>1.75</v>
      </c>
      <c r="M130" s="86">
        <v>2.0</v>
      </c>
      <c r="N130" s="88">
        <v>1.0</v>
      </c>
    </row>
    <row r="131">
      <c r="A131" s="86" t="s">
        <v>50</v>
      </c>
      <c r="B131" s="86"/>
      <c r="C131" s="86">
        <v>754.0</v>
      </c>
      <c r="D131" s="86" t="s">
        <v>107</v>
      </c>
      <c r="E131" s="86" t="s">
        <v>26</v>
      </c>
      <c r="F131" s="87">
        <v>43126.0</v>
      </c>
      <c r="G131" s="87">
        <v>44334.0</v>
      </c>
      <c r="H131" s="87">
        <v>44669.0</v>
      </c>
      <c r="I131" s="87">
        <v>44672.0</v>
      </c>
      <c r="J131" s="88">
        <v>19.99</v>
      </c>
      <c r="K131" s="88">
        <v>0.0</v>
      </c>
      <c r="L131" s="88">
        <v>19.99</v>
      </c>
      <c r="M131" s="86">
        <v>2.0</v>
      </c>
      <c r="N131" s="88">
        <v>0.0</v>
      </c>
    </row>
    <row r="132">
      <c r="A132" s="86" t="s">
        <v>50</v>
      </c>
      <c r="B132" s="86"/>
      <c r="C132" s="86">
        <v>863.0</v>
      </c>
      <c r="D132" s="86" t="s">
        <v>108</v>
      </c>
      <c r="E132" s="86" t="s">
        <v>26</v>
      </c>
      <c r="F132" s="87">
        <v>43249.0</v>
      </c>
      <c r="G132" s="87">
        <v>43249.0</v>
      </c>
      <c r="H132" s="87">
        <v>43249.0</v>
      </c>
      <c r="I132" s="87">
        <v>43249.0</v>
      </c>
      <c r="J132" s="88">
        <v>3.34</v>
      </c>
      <c r="K132" s="88">
        <v>1.24</v>
      </c>
      <c r="L132" s="88">
        <v>2.1</v>
      </c>
      <c r="M132" s="86">
        <v>1.0</v>
      </c>
      <c r="N132" s="88">
        <v>1.24</v>
      </c>
    </row>
    <row r="133">
      <c r="A133" s="86" t="s">
        <v>50</v>
      </c>
      <c r="B133" s="86"/>
      <c r="C133" s="86">
        <v>864.0</v>
      </c>
      <c r="D133" s="86" t="s">
        <v>109</v>
      </c>
      <c r="E133" s="86" t="s">
        <v>26</v>
      </c>
      <c r="F133" s="87">
        <v>43249.0</v>
      </c>
      <c r="G133" s="87">
        <v>43249.0</v>
      </c>
      <c r="H133" s="87">
        <v>43249.0</v>
      </c>
      <c r="I133" s="87">
        <v>43249.0</v>
      </c>
      <c r="J133" s="88">
        <v>3.34</v>
      </c>
      <c r="K133" s="88">
        <v>1.24</v>
      </c>
      <c r="L133" s="88">
        <v>2.1</v>
      </c>
      <c r="M133" s="86">
        <v>1.0</v>
      </c>
      <c r="N133" s="88">
        <v>1.24</v>
      </c>
    </row>
    <row r="134">
      <c r="A134" s="86" t="s">
        <v>50</v>
      </c>
      <c r="B134" s="86"/>
      <c r="C134" s="86">
        <v>865.0</v>
      </c>
      <c r="D134" s="86" t="s">
        <v>110</v>
      </c>
      <c r="E134" s="86" t="s">
        <v>26</v>
      </c>
      <c r="F134" s="87">
        <v>43249.0</v>
      </c>
      <c r="G134" s="87">
        <v>43249.0</v>
      </c>
      <c r="H134" s="87">
        <v>43249.0</v>
      </c>
      <c r="I134" s="87">
        <v>43249.0</v>
      </c>
      <c r="J134" s="88">
        <v>3.34</v>
      </c>
      <c r="K134" s="88">
        <v>1.24</v>
      </c>
      <c r="L134" s="88">
        <v>2.1</v>
      </c>
      <c r="M134" s="86">
        <v>1.0</v>
      </c>
      <c r="N134" s="88">
        <v>1.24</v>
      </c>
    </row>
    <row r="135">
      <c r="A135" s="86" t="s">
        <v>50</v>
      </c>
      <c r="B135" s="86"/>
      <c r="C135" s="86">
        <v>866.0</v>
      </c>
      <c r="D135" s="86" t="s">
        <v>111</v>
      </c>
      <c r="E135" s="86" t="s">
        <v>26</v>
      </c>
      <c r="F135" s="87">
        <v>43249.0</v>
      </c>
      <c r="G135" s="87">
        <v>43249.0</v>
      </c>
      <c r="H135" s="87">
        <v>43249.0</v>
      </c>
      <c r="I135" s="87">
        <v>43249.0</v>
      </c>
      <c r="J135" s="88">
        <v>3.33</v>
      </c>
      <c r="K135" s="88">
        <v>1.23</v>
      </c>
      <c r="L135" s="88">
        <v>2.1</v>
      </c>
      <c r="M135" s="86">
        <v>1.0</v>
      </c>
      <c r="N135" s="88">
        <v>1.23</v>
      </c>
    </row>
    <row r="136">
      <c r="A136" s="86" t="s">
        <v>50</v>
      </c>
      <c r="B136" s="86"/>
      <c r="C136" s="86">
        <v>867.0</v>
      </c>
      <c r="D136" s="86" t="s">
        <v>112</v>
      </c>
      <c r="E136" s="86" t="s">
        <v>26</v>
      </c>
      <c r="F136" s="87">
        <v>43249.0</v>
      </c>
      <c r="G136" s="87">
        <v>43249.0</v>
      </c>
      <c r="H136" s="87">
        <v>43249.0</v>
      </c>
      <c r="I136" s="87">
        <v>43249.0</v>
      </c>
      <c r="J136" s="88">
        <v>3.33</v>
      </c>
      <c r="K136" s="88">
        <v>1.23</v>
      </c>
      <c r="L136" s="88">
        <v>2.1</v>
      </c>
      <c r="M136" s="86">
        <v>1.0</v>
      </c>
      <c r="N136" s="88">
        <v>1.23</v>
      </c>
    </row>
    <row r="137">
      <c r="A137" s="86" t="s">
        <v>50</v>
      </c>
      <c r="B137" s="86"/>
      <c r="C137" s="86">
        <v>868.0</v>
      </c>
      <c r="D137" s="86" t="s">
        <v>113</v>
      </c>
      <c r="E137" s="86" t="s">
        <v>26</v>
      </c>
      <c r="F137" s="87">
        <v>43249.0</v>
      </c>
      <c r="G137" s="87">
        <v>43249.0</v>
      </c>
      <c r="H137" s="87">
        <v>43249.0</v>
      </c>
      <c r="I137" s="87">
        <v>43249.0</v>
      </c>
      <c r="J137" s="88">
        <v>3.33</v>
      </c>
      <c r="K137" s="88">
        <v>1.23</v>
      </c>
      <c r="L137" s="88">
        <v>2.1</v>
      </c>
      <c r="M137" s="86">
        <v>1.0</v>
      </c>
      <c r="N137" s="88">
        <v>1.23</v>
      </c>
    </row>
    <row r="138">
      <c r="A138" s="86" t="s">
        <v>50</v>
      </c>
      <c r="B138" s="86"/>
      <c r="C138" s="86">
        <v>869.0</v>
      </c>
      <c r="D138" s="86" t="s">
        <v>114</v>
      </c>
      <c r="E138" s="86" t="s">
        <v>26</v>
      </c>
      <c r="F138" s="87">
        <v>43249.0</v>
      </c>
      <c r="G138" s="87">
        <v>43249.0</v>
      </c>
      <c r="H138" s="87">
        <v>43249.0</v>
      </c>
      <c r="I138" s="87">
        <v>43249.0</v>
      </c>
      <c r="J138" s="88">
        <v>3.33</v>
      </c>
      <c r="K138" s="88">
        <v>1.23</v>
      </c>
      <c r="L138" s="88">
        <v>2.1</v>
      </c>
      <c r="M138" s="86">
        <v>1.0</v>
      </c>
      <c r="N138" s="88">
        <v>1.23</v>
      </c>
    </row>
    <row r="139">
      <c r="A139" s="86" t="s">
        <v>50</v>
      </c>
      <c r="B139" s="86"/>
      <c r="C139" s="86">
        <v>870.0</v>
      </c>
      <c r="D139" s="86" t="s">
        <v>115</v>
      </c>
      <c r="E139" s="86" t="s">
        <v>26</v>
      </c>
      <c r="F139" s="87">
        <v>43249.0</v>
      </c>
      <c r="G139" s="87">
        <v>43249.0</v>
      </c>
      <c r="H139" s="87">
        <v>43249.0</v>
      </c>
      <c r="I139" s="87">
        <v>43249.0</v>
      </c>
      <c r="J139" s="88">
        <v>3.33</v>
      </c>
      <c r="K139" s="88">
        <v>1.23</v>
      </c>
      <c r="L139" s="88">
        <v>2.1</v>
      </c>
      <c r="M139" s="86">
        <v>1.0</v>
      </c>
      <c r="N139" s="88">
        <v>1.23</v>
      </c>
    </row>
    <row r="140">
      <c r="A140" s="86" t="s">
        <v>50</v>
      </c>
      <c r="B140" s="86"/>
      <c r="C140" s="86">
        <v>740.0</v>
      </c>
      <c r="D140" s="86" t="s">
        <v>116</v>
      </c>
      <c r="E140" s="86" t="s">
        <v>26</v>
      </c>
      <c r="F140" s="87">
        <v>43305.0</v>
      </c>
      <c r="G140" s="87">
        <v>43668.0</v>
      </c>
      <c r="H140" s="87">
        <v>43668.0</v>
      </c>
      <c r="I140" s="87">
        <v>43668.0</v>
      </c>
      <c r="J140" s="88">
        <v>5.0</v>
      </c>
      <c r="K140" s="88">
        <v>3.0</v>
      </c>
      <c r="L140" s="88">
        <v>2.0</v>
      </c>
      <c r="M140" s="86">
        <v>1.0</v>
      </c>
      <c r="N140" s="88">
        <v>3.0</v>
      </c>
    </row>
    <row r="141">
      <c r="A141" s="86" t="s">
        <v>50</v>
      </c>
      <c r="B141" s="86"/>
      <c r="C141" s="86">
        <v>741.0</v>
      </c>
      <c r="D141" s="86" t="s">
        <v>117</v>
      </c>
      <c r="E141" s="86" t="s">
        <v>26</v>
      </c>
      <c r="F141" s="87">
        <v>43305.0</v>
      </c>
      <c r="G141" s="87">
        <v>43668.0</v>
      </c>
      <c r="H141" s="87">
        <v>43668.0</v>
      </c>
      <c r="I141" s="87">
        <v>43668.0</v>
      </c>
      <c r="J141" s="88">
        <v>5.0</v>
      </c>
      <c r="K141" s="88">
        <v>3.0</v>
      </c>
      <c r="L141" s="88">
        <v>2.0</v>
      </c>
      <c r="M141" s="86">
        <v>1.0</v>
      </c>
      <c r="N141" s="88">
        <v>3.0</v>
      </c>
    </row>
    <row r="142">
      <c r="A142" s="86" t="s">
        <v>50</v>
      </c>
      <c r="B142" s="86"/>
      <c r="C142" s="86">
        <v>742.0</v>
      </c>
      <c r="D142" s="86" t="s">
        <v>118</v>
      </c>
      <c r="E142" s="86" t="s">
        <v>26</v>
      </c>
      <c r="F142" s="87">
        <v>43305.0</v>
      </c>
      <c r="G142" s="87">
        <v>43668.0</v>
      </c>
      <c r="H142" s="87">
        <v>43668.0</v>
      </c>
      <c r="I142" s="87">
        <v>43668.0</v>
      </c>
      <c r="J142" s="88">
        <v>5.0</v>
      </c>
      <c r="K142" s="88">
        <v>3.0</v>
      </c>
      <c r="L142" s="88">
        <v>2.0</v>
      </c>
      <c r="M142" s="86">
        <v>1.0</v>
      </c>
      <c r="N142" s="88">
        <v>3.0</v>
      </c>
    </row>
    <row r="143">
      <c r="A143" s="86" t="s">
        <v>50</v>
      </c>
      <c r="B143" s="86"/>
      <c r="C143" s="86">
        <v>743.0</v>
      </c>
      <c r="D143" s="86" t="s">
        <v>119</v>
      </c>
      <c r="E143" s="86" t="s">
        <v>26</v>
      </c>
      <c r="F143" s="87">
        <v>43305.0</v>
      </c>
      <c r="G143" s="87">
        <v>43668.0</v>
      </c>
      <c r="H143" s="87">
        <v>43668.0</v>
      </c>
      <c r="I143" s="87">
        <v>43668.0</v>
      </c>
      <c r="J143" s="88">
        <v>4.99</v>
      </c>
      <c r="K143" s="88">
        <v>2.99</v>
      </c>
      <c r="L143" s="88">
        <v>2.0</v>
      </c>
      <c r="M143" s="86">
        <v>1.0</v>
      </c>
      <c r="N143" s="88">
        <v>2.99</v>
      </c>
    </row>
    <row r="144">
      <c r="A144" s="86" t="s">
        <v>50</v>
      </c>
      <c r="B144" s="86"/>
      <c r="C144" s="86">
        <v>744.0</v>
      </c>
      <c r="D144" s="86" t="s">
        <v>120</v>
      </c>
      <c r="E144" s="86" t="s">
        <v>26</v>
      </c>
      <c r="F144" s="87">
        <v>43305.0</v>
      </c>
      <c r="G144" s="87">
        <v>43668.0</v>
      </c>
      <c r="H144" s="87">
        <v>43668.0</v>
      </c>
      <c r="I144" s="87">
        <v>43668.0</v>
      </c>
      <c r="J144" s="88">
        <v>5.0</v>
      </c>
      <c r="K144" s="88">
        <v>3.0</v>
      </c>
      <c r="L144" s="88">
        <v>2.0</v>
      </c>
      <c r="M144" s="86">
        <v>1.0</v>
      </c>
      <c r="N144" s="88">
        <v>3.0</v>
      </c>
    </row>
    <row r="145">
      <c r="A145" s="86" t="s">
        <v>50</v>
      </c>
      <c r="B145" s="86"/>
      <c r="C145" s="86">
        <v>745.0</v>
      </c>
      <c r="D145" s="86" t="s">
        <v>121</v>
      </c>
      <c r="E145" s="86" t="s">
        <v>26</v>
      </c>
      <c r="F145" s="87">
        <v>43305.0</v>
      </c>
      <c r="G145" s="87">
        <v>43668.0</v>
      </c>
      <c r="H145" s="87">
        <v>43668.0</v>
      </c>
      <c r="I145" s="87">
        <v>43668.0</v>
      </c>
      <c r="J145" s="88">
        <v>5.0</v>
      </c>
      <c r="K145" s="88">
        <v>3.0</v>
      </c>
      <c r="L145" s="88">
        <v>2.0</v>
      </c>
      <c r="M145" s="86">
        <v>1.0</v>
      </c>
      <c r="N145" s="88">
        <v>3.0</v>
      </c>
    </row>
    <row r="146">
      <c r="A146" s="86" t="s">
        <v>50</v>
      </c>
      <c r="B146" s="86"/>
      <c r="C146" s="86">
        <v>746.0</v>
      </c>
      <c r="D146" s="86" t="s">
        <v>122</v>
      </c>
      <c r="E146" s="86" t="s">
        <v>26</v>
      </c>
      <c r="F146" s="87">
        <v>43305.0</v>
      </c>
      <c r="G146" s="87">
        <v>43668.0</v>
      </c>
      <c r="H146" s="87">
        <v>43668.0</v>
      </c>
      <c r="I146" s="87">
        <v>43668.0</v>
      </c>
      <c r="J146" s="88">
        <v>5.0</v>
      </c>
      <c r="K146" s="88">
        <v>3.0</v>
      </c>
      <c r="L146" s="88">
        <v>2.0</v>
      </c>
      <c r="M146" s="86">
        <v>1.0</v>
      </c>
      <c r="N146" s="88">
        <v>3.0</v>
      </c>
    </row>
    <row r="147">
      <c r="A147" s="86" t="s">
        <v>50</v>
      </c>
      <c r="B147" s="86"/>
      <c r="C147" s="86">
        <v>747.0</v>
      </c>
      <c r="D147" s="86" t="s">
        <v>123</v>
      </c>
      <c r="E147" s="86" t="s">
        <v>26</v>
      </c>
      <c r="F147" s="87">
        <v>43305.0</v>
      </c>
      <c r="G147" s="87">
        <v>43668.0</v>
      </c>
      <c r="H147" s="87">
        <v>43668.0</v>
      </c>
      <c r="I147" s="87">
        <v>43668.0</v>
      </c>
      <c r="J147" s="88">
        <v>4.99</v>
      </c>
      <c r="K147" s="88">
        <v>2.99</v>
      </c>
      <c r="L147" s="88">
        <v>2.0</v>
      </c>
      <c r="M147" s="86">
        <v>1.0</v>
      </c>
      <c r="N147" s="88">
        <v>2.99</v>
      </c>
    </row>
    <row r="148">
      <c r="A148" s="86" t="s">
        <v>50</v>
      </c>
      <c r="B148" s="86"/>
      <c r="C148" s="86">
        <v>808.0</v>
      </c>
      <c r="D148" s="86" t="s">
        <v>124</v>
      </c>
      <c r="E148" s="86" t="s">
        <v>26</v>
      </c>
      <c r="F148" s="87">
        <v>43490.0</v>
      </c>
      <c r="G148" s="87">
        <v>43490.0</v>
      </c>
      <c r="H148" s="87">
        <v>43491.0</v>
      </c>
      <c r="I148" s="87">
        <v>43505.0</v>
      </c>
      <c r="J148" s="88">
        <v>59.99</v>
      </c>
      <c r="K148" s="88">
        <v>59.99</v>
      </c>
      <c r="L148" s="88">
        <v>0.0</v>
      </c>
      <c r="M148" s="86">
        <v>34.0</v>
      </c>
      <c r="N148" s="88">
        <v>1.76</v>
      </c>
    </row>
    <row r="149">
      <c r="A149" s="86" t="s">
        <v>50</v>
      </c>
      <c r="B149" s="86"/>
      <c r="C149" s="86">
        <v>585.0</v>
      </c>
      <c r="D149" s="86" t="s">
        <v>125</v>
      </c>
      <c r="E149" s="86" t="s">
        <v>26</v>
      </c>
      <c r="F149" s="87">
        <v>43532.0</v>
      </c>
      <c r="G149" s="87">
        <v>43685.0</v>
      </c>
      <c r="H149" s="87">
        <v>43688.0</v>
      </c>
      <c r="I149" s="87">
        <v>43688.0</v>
      </c>
      <c r="J149" s="88">
        <v>49.99</v>
      </c>
      <c r="K149" s="88">
        <v>44.99</v>
      </c>
      <c r="L149" s="88">
        <v>5.0</v>
      </c>
      <c r="M149" s="86">
        <v>1.0</v>
      </c>
      <c r="N149" s="88">
        <v>44.99</v>
      </c>
    </row>
    <row r="150">
      <c r="A150" s="44" t="s">
        <v>50</v>
      </c>
      <c r="B150" s="41"/>
      <c r="C150" s="41">
        <v>1104.0</v>
      </c>
      <c r="D150" s="41" t="s">
        <v>52</v>
      </c>
      <c r="E150" s="41" t="s">
        <v>26</v>
      </c>
      <c r="F150" s="46">
        <v>43564.0</v>
      </c>
      <c r="G150" s="46">
        <v>46027.0</v>
      </c>
      <c r="H150" s="46">
        <v>46033.0</v>
      </c>
      <c r="I150" s="46">
        <v>46052.0</v>
      </c>
      <c r="J150" s="44">
        <v>10.0</v>
      </c>
      <c r="K150" s="44">
        <v>3.3</v>
      </c>
      <c r="L150" s="44">
        <f t="shared" ref="L150:L152" si="7">J150-K150</f>
        <v>6.7</v>
      </c>
      <c r="M150" s="40">
        <v>22.0</v>
      </c>
      <c r="N150" s="44">
        <f t="shared" ref="N150:N152" si="8">K150/M150</f>
        <v>0.15</v>
      </c>
    </row>
    <row r="151">
      <c r="A151" s="97" t="s">
        <v>50</v>
      </c>
      <c r="B151" s="93"/>
      <c r="C151" s="93">
        <v>1105.0</v>
      </c>
      <c r="D151" s="93" t="s">
        <v>126</v>
      </c>
      <c r="E151" s="93" t="s">
        <v>26</v>
      </c>
      <c r="F151" s="98">
        <v>43564.0</v>
      </c>
      <c r="G151" s="98">
        <v>46027.0</v>
      </c>
      <c r="H151" s="98">
        <v>46027.0</v>
      </c>
      <c r="I151" s="98">
        <v>46027.0</v>
      </c>
      <c r="J151" s="99">
        <v>10.0</v>
      </c>
      <c r="K151" s="99">
        <v>3.3</v>
      </c>
      <c r="L151" s="99">
        <f t="shared" si="7"/>
        <v>6.7</v>
      </c>
      <c r="M151" s="92">
        <v>1.0</v>
      </c>
      <c r="N151" s="99">
        <f t="shared" si="8"/>
        <v>3.3</v>
      </c>
    </row>
    <row r="152">
      <c r="A152" s="99" t="s">
        <v>50</v>
      </c>
      <c r="B152" s="93"/>
      <c r="C152" s="93">
        <v>1106.0</v>
      </c>
      <c r="D152" s="93" t="s">
        <v>127</v>
      </c>
      <c r="E152" s="93" t="s">
        <v>26</v>
      </c>
      <c r="F152" s="98">
        <v>43564.0</v>
      </c>
      <c r="G152" s="98">
        <v>46027.0</v>
      </c>
      <c r="H152" s="98">
        <v>46027.0</v>
      </c>
      <c r="I152" s="98">
        <v>46027.0</v>
      </c>
      <c r="J152" s="99">
        <v>9.99</v>
      </c>
      <c r="K152" s="99">
        <v>3.29</v>
      </c>
      <c r="L152" s="99">
        <f t="shared" si="7"/>
        <v>6.7</v>
      </c>
      <c r="M152" s="92">
        <v>1.0</v>
      </c>
      <c r="N152" s="99">
        <f t="shared" si="8"/>
        <v>3.29</v>
      </c>
    </row>
    <row r="153">
      <c r="A153" s="86" t="s">
        <v>50</v>
      </c>
      <c r="B153" s="86"/>
      <c r="C153" s="86">
        <v>809.0</v>
      </c>
      <c r="D153" s="86" t="s">
        <v>128</v>
      </c>
      <c r="E153" s="86" t="s">
        <v>26</v>
      </c>
      <c r="F153" s="87">
        <v>43924.0</v>
      </c>
      <c r="G153" s="87">
        <v>44469.0</v>
      </c>
      <c r="H153" s="87">
        <v>44470.0</v>
      </c>
      <c r="I153" s="87">
        <v>44471.0</v>
      </c>
      <c r="J153" s="88">
        <v>59.99</v>
      </c>
      <c r="K153" s="88">
        <v>19.79</v>
      </c>
      <c r="L153" s="88">
        <v>40.2</v>
      </c>
      <c r="M153" s="86">
        <v>20.0</v>
      </c>
      <c r="N153" s="88">
        <v>0.99</v>
      </c>
    </row>
    <row r="154">
      <c r="A154" s="86" t="s">
        <v>50</v>
      </c>
      <c r="B154" s="86"/>
      <c r="C154" s="86">
        <v>810.0</v>
      </c>
      <c r="D154" s="86" t="s">
        <v>129</v>
      </c>
      <c r="E154" s="86" t="s">
        <v>26</v>
      </c>
      <c r="F154" s="87">
        <v>43924.0</v>
      </c>
      <c r="G154" s="87">
        <v>44469.0</v>
      </c>
      <c r="H154" s="87">
        <v>44469.0</v>
      </c>
      <c r="I154" s="87">
        <v>44469.0</v>
      </c>
      <c r="J154" s="88">
        <v>0.0</v>
      </c>
      <c r="K154" s="88">
        <v>0.0</v>
      </c>
      <c r="L154" s="88">
        <v>0.0</v>
      </c>
      <c r="M154" s="86">
        <v>1.0</v>
      </c>
      <c r="N154" s="88">
        <v>0.0</v>
      </c>
    </row>
    <row r="155">
      <c r="A155" s="86" t="s">
        <v>50</v>
      </c>
      <c r="B155" s="86"/>
      <c r="C155" s="86">
        <v>811.0</v>
      </c>
      <c r="D155" s="86" t="s">
        <v>130</v>
      </c>
      <c r="E155" s="86" t="s">
        <v>26</v>
      </c>
      <c r="F155" s="87">
        <v>44323.0</v>
      </c>
      <c r="G155" s="87">
        <v>44489.0</v>
      </c>
      <c r="H155" s="87">
        <v>44490.0</v>
      </c>
      <c r="I155" s="87">
        <v>44492.0</v>
      </c>
      <c r="J155" s="88">
        <v>69.99</v>
      </c>
      <c r="K155" s="88">
        <v>39.89</v>
      </c>
      <c r="L155" s="88">
        <v>30.1</v>
      </c>
      <c r="M155" s="86">
        <v>15.0</v>
      </c>
      <c r="N155" s="88">
        <v>2.66</v>
      </c>
    </row>
    <row r="156">
      <c r="A156" s="86" t="s">
        <v>50</v>
      </c>
      <c r="B156" s="86"/>
      <c r="C156" s="86">
        <v>812.0</v>
      </c>
      <c r="D156" s="86" t="s">
        <v>131</v>
      </c>
      <c r="E156" s="86" t="s">
        <v>26</v>
      </c>
      <c r="F156" s="87">
        <v>44862.0</v>
      </c>
      <c r="G156" s="87">
        <v>44489.0</v>
      </c>
      <c r="H156" s="87">
        <v>44489.0</v>
      </c>
      <c r="I156" s="87">
        <v>44489.0</v>
      </c>
      <c r="J156" s="88">
        <v>0.0</v>
      </c>
      <c r="K156" s="88">
        <v>0.0</v>
      </c>
      <c r="L156" s="88">
        <v>0.0</v>
      </c>
      <c r="M156" s="86">
        <v>1.0</v>
      </c>
      <c r="N156" s="88">
        <v>0.0</v>
      </c>
    </row>
    <row r="157">
      <c r="A157" s="86" t="s">
        <v>50</v>
      </c>
      <c r="B157" s="86"/>
      <c r="C157" s="86">
        <v>813.0</v>
      </c>
      <c r="D157" s="86" t="s">
        <v>132</v>
      </c>
      <c r="E157" s="86" t="s">
        <v>26</v>
      </c>
      <c r="F157" s="87">
        <v>45009.0</v>
      </c>
      <c r="G157" s="87">
        <v>45195.0</v>
      </c>
      <c r="H157" s="87">
        <v>45199.0</v>
      </c>
      <c r="I157" s="87">
        <v>45209.0</v>
      </c>
      <c r="J157" s="88">
        <v>69.99</v>
      </c>
      <c r="K157" s="88">
        <v>39.89</v>
      </c>
      <c r="L157" s="88">
        <v>30.1</v>
      </c>
      <c r="M157" s="86">
        <v>23.0</v>
      </c>
      <c r="N157" s="88">
        <v>1.73</v>
      </c>
    </row>
    <row r="158">
      <c r="A158" s="96"/>
      <c r="B158" s="96"/>
      <c r="C158" s="90"/>
      <c r="D158" s="89"/>
      <c r="E158" s="95"/>
      <c r="F158" s="95"/>
      <c r="G158" s="95"/>
      <c r="H158" s="96"/>
      <c r="I158" s="95"/>
      <c r="J158" s="91">
        <f t="shared" ref="J158:M158" si="9">SUM(J93:J157)</f>
        <v>814.7</v>
      </c>
      <c r="K158" s="91">
        <f t="shared" si="9"/>
        <v>395.01</v>
      </c>
      <c r="L158" s="91">
        <f t="shared" si="9"/>
        <v>419.69</v>
      </c>
      <c r="M158" s="89">
        <f t="shared" si="9"/>
        <v>293</v>
      </c>
      <c r="N158" s="91">
        <f>K158/M158</f>
        <v>1.348156997</v>
      </c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59" t="s">
        <v>53</v>
      </c>
      <c r="B160" s="59" t="s">
        <v>54</v>
      </c>
      <c r="C160" s="59">
        <v>180.0</v>
      </c>
      <c r="D160" s="59" t="s">
        <v>55</v>
      </c>
      <c r="E160" s="59" t="s">
        <v>24</v>
      </c>
      <c r="F160" s="60">
        <v>41770.0</v>
      </c>
      <c r="G160" s="60">
        <v>45048.0</v>
      </c>
      <c r="H160" s="60">
        <v>46047.0</v>
      </c>
      <c r="I160" s="60">
        <v>46047.0</v>
      </c>
      <c r="J160" s="61">
        <v>14.99</v>
      </c>
      <c r="K160" s="61">
        <v>1.49</v>
      </c>
      <c r="L160" s="61">
        <v>13.5</v>
      </c>
      <c r="M160" s="59">
        <v>2.0</v>
      </c>
      <c r="N160" s="61">
        <f>K160/M160</f>
        <v>0.745</v>
      </c>
    </row>
    <row r="161">
      <c r="A161" s="100" t="s">
        <v>53</v>
      </c>
      <c r="B161" s="100"/>
      <c r="C161" s="101">
        <v>581.0</v>
      </c>
      <c r="D161" s="101" t="s">
        <v>133</v>
      </c>
      <c r="E161" s="101" t="s">
        <v>26</v>
      </c>
      <c r="F161" s="102">
        <v>44068.0</v>
      </c>
      <c r="G161" s="102">
        <v>45048.0</v>
      </c>
      <c r="H161" s="102">
        <v>45737.0</v>
      </c>
      <c r="I161" s="102">
        <v>45753.0</v>
      </c>
      <c r="J161" s="103">
        <v>21.99</v>
      </c>
      <c r="K161" s="103">
        <v>0.0</v>
      </c>
      <c r="L161" s="103">
        <v>21.99</v>
      </c>
      <c r="M161" s="101">
        <v>19.0</v>
      </c>
      <c r="N161" s="103">
        <v>0.0</v>
      </c>
    </row>
    <row r="162">
      <c r="A162" s="104"/>
      <c r="B162" s="104"/>
      <c r="C162" s="105"/>
      <c r="D162" s="106"/>
      <c r="E162" s="106"/>
      <c r="F162" s="106"/>
      <c r="G162" s="106"/>
      <c r="H162" s="106"/>
      <c r="I162" s="106"/>
      <c r="J162" s="107">
        <f t="shared" ref="J162:M162" si="10">SUM(J160:J161)</f>
        <v>36.98</v>
      </c>
      <c r="K162" s="107">
        <f t="shared" si="10"/>
        <v>1.49</v>
      </c>
      <c r="L162" s="107">
        <f t="shared" si="10"/>
        <v>35.49</v>
      </c>
      <c r="M162" s="106">
        <f t="shared" si="10"/>
        <v>21</v>
      </c>
      <c r="N162" s="107">
        <f>K162/M162</f>
        <v>0.07095238095</v>
      </c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44" t="s">
        <v>56</v>
      </c>
      <c r="B164" s="45" t="s">
        <v>57</v>
      </c>
      <c r="C164" s="45">
        <v>1102.0</v>
      </c>
      <c r="D164" s="41" t="s">
        <v>58</v>
      </c>
      <c r="E164" s="41" t="s">
        <v>28</v>
      </c>
      <c r="F164" s="46">
        <v>45727.0</v>
      </c>
      <c r="G164" s="46">
        <v>46016.0</v>
      </c>
      <c r="H164" s="46">
        <v>46024.0</v>
      </c>
      <c r="I164" s="46">
        <v>46047.0</v>
      </c>
      <c r="J164" s="44">
        <v>24.99</v>
      </c>
      <c r="K164" s="44">
        <v>0.0</v>
      </c>
      <c r="L164" s="44">
        <v>24.99</v>
      </c>
      <c r="M164" s="45">
        <v>11.0</v>
      </c>
      <c r="N164" s="44">
        <v>0.0</v>
      </c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08"/>
      <c r="K165" s="108"/>
      <c r="L165" s="108"/>
      <c r="M165" s="109"/>
      <c r="N165" s="110"/>
    </row>
    <row r="166">
      <c r="A166" s="19"/>
      <c r="B166" s="20" t="s">
        <v>134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11" t="s">
        <v>135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3" t="s">
        <v>5</v>
      </c>
      <c r="B168" s="12" t="s">
        <v>4</v>
      </c>
      <c r="C168" s="12" t="s">
        <v>20</v>
      </c>
      <c r="D168" s="13" t="s">
        <v>13</v>
      </c>
      <c r="E168" s="13" t="s">
        <v>14</v>
      </c>
      <c r="F168" s="13" t="s">
        <v>15</v>
      </c>
      <c r="G168" s="13" t="s">
        <v>16</v>
      </c>
      <c r="H168" s="13" t="s">
        <v>17</v>
      </c>
      <c r="I168" s="112"/>
      <c r="J168" s="112"/>
      <c r="K168" s="112"/>
      <c r="L168" s="112"/>
      <c r="M168" s="112"/>
      <c r="N168" s="112"/>
    </row>
    <row r="169">
      <c r="A169" s="113" t="s">
        <v>40</v>
      </c>
      <c r="B169" s="71" t="s">
        <v>39</v>
      </c>
      <c r="C169" s="113">
        <v>1.0</v>
      </c>
      <c r="D169" s="114">
        <v>29.99</v>
      </c>
      <c r="E169" s="114">
        <v>23.99</v>
      </c>
      <c r="F169" s="114">
        <v>6.0</v>
      </c>
      <c r="G169" s="71">
        <v>196.0</v>
      </c>
      <c r="H169" s="72">
        <v>0.12365979381443298</v>
      </c>
      <c r="I169" s="112"/>
      <c r="J169" s="112"/>
      <c r="K169" s="112"/>
      <c r="L169" s="112"/>
      <c r="M169" s="112"/>
      <c r="N169" s="112"/>
    </row>
    <row r="170">
      <c r="A170" s="26" t="s">
        <v>42</v>
      </c>
      <c r="B170" s="26" t="s">
        <v>36</v>
      </c>
      <c r="C170" s="16">
        <v>1.0</v>
      </c>
      <c r="D170" s="14">
        <v>17.99</v>
      </c>
      <c r="E170" s="14">
        <v>0.0</v>
      </c>
      <c r="F170" s="14">
        <v>17.99</v>
      </c>
      <c r="G170" s="26">
        <v>7.0</v>
      </c>
      <c r="H170" s="14">
        <v>0.0</v>
      </c>
      <c r="I170" s="112"/>
      <c r="J170" s="112"/>
      <c r="K170" s="112"/>
      <c r="L170" s="112"/>
      <c r="M170" s="112"/>
      <c r="N170" s="112"/>
    </row>
    <row r="171">
      <c r="A171" s="26" t="s">
        <v>44</v>
      </c>
      <c r="B171" s="26" t="s">
        <v>36</v>
      </c>
      <c r="C171" s="26">
        <v>2.0</v>
      </c>
      <c r="D171" s="115">
        <v>99.98</v>
      </c>
      <c r="E171" s="115">
        <v>63.98</v>
      </c>
      <c r="F171" s="18">
        <f>D171-E171</f>
        <v>36</v>
      </c>
      <c r="G171" s="26">
        <v>3.0</v>
      </c>
      <c r="H171" s="18">
        <f>E171/G171</f>
        <v>21.32666667</v>
      </c>
      <c r="I171" s="112"/>
      <c r="J171" s="112"/>
      <c r="K171" s="112"/>
      <c r="L171" s="112"/>
      <c r="M171" s="112"/>
      <c r="N171" s="112"/>
    </row>
    <row r="172">
      <c r="A172" s="113" t="s">
        <v>35</v>
      </c>
      <c r="B172" s="71" t="s">
        <v>36</v>
      </c>
      <c r="C172" s="71">
        <v>5.0</v>
      </c>
      <c r="D172" s="72">
        <v>209.94</v>
      </c>
      <c r="E172" s="72">
        <v>19.98</v>
      </c>
      <c r="F172" s="72">
        <v>189.96</v>
      </c>
      <c r="G172" s="71">
        <v>121.0</v>
      </c>
      <c r="H172" s="72">
        <v>0.17</v>
      </c>
      <c r="I172" s="112"/>
      <c r="J172" s="112"/>
      <c r="K172" s="112"/>
      <c r="L172" s="112"/>
      <c r="M172" s="112"/>
      <c r="N172" s="112"/>
    </row>
    <row r="173">
      <c r="A173" s="26" t="s">
        <v>48</v>
      </c>
      <c r="B173" s="26" t="s">
        <v>47</v>
      </c>
      <c r="C173" s="16">
        <v>1.0</v>
      </c>
      <c r="D173" s="115">
        <v>39.99</v>
      </c>
      <c r="E173" s="115">
        <v>0.0</v>
      </c>
      <c r="F173" s="18">
        <f>D173-E173</f>
        <v>39.99</v>
      </c>
      <c r="G173" s="26">
        <v>2.0</v>
      </c>
      <c r="H173" s="18">
        <f>E173/G173</f>
        <v>0</v>
      </c>
      <c r="I173" s="112"/>
      <c r="J173" s="112"/>
      <c r="K173" s="112"/>
      <c r="L173" s="112"/>
      <c r="M173" s="112"/>
      <c r="N173" s="112"/>
    </row>
    <row r="174">
      <c r="A174" s="113" t="s">
        <v>51</v>
      </c>
      <c r="B174" s="71" t="s">
        <v>50</v>
      </c>
      <c r="C174" s="71">
        <v>65.0</v>
      </c>
      <c r="D174" s="70">
        <v>814.7</v>
      </c>
      <c r="E174" s="70">
        <v>395.01</v>
      </c>
      <c r="F174" s="70">
        <v>419.69</v>
      </c>
      <c r="G174" s="71">
        <v>293.0</v>
      </c>
      <c r="H174" s="70">
        <v>1.35</v>
      </c>
      <c r="I174" s="112"/>
      <c r="J174" s="112"/>
      <c r="K174" s="112"/>
      <c r="L174" s="112"/>
      <c r="M174" s="112"/>
      <c r="N174" s="112"/>
    </row>
    <row r="175">
      <c r="A175" s="16" t="s">
        <v>54</v>
      </c>
      <c r="B175" s="26" t="s">
        <v>53</v>
      </c>
      <c r="C175" s="16">
        <v>2.0</v>
      </c>
      <c r="D175" s="115">
        <v>36.98</v>
      </c>
      <c r="E175" s="115">
        <v>1.49</v>
      </c>
      <c r="F175" s="18">
        <f>D175-E175</f>
        <v>35.49</v>
      </c>
      <c r="G175" s="26">
        <v>21.0</v>
      </c>
      <c r="H175" s="18">
        <f>E175/G175</f>
        <v>0.07095238095</v>
      </c>
      <c r="I175" s="112"/>
      <c r="J175" s="112"/>
      <c r="K175" s="112"/>
      <c r="L175" s="112"/>
      <c r="M175" s="112"/>
      <c r="N175" s="112"/>
    </row>
    <row r="176">
      <c r="A176" s="26" t="s">
        <v>57</v>
      </c>
      <c r="B176" s="26" t="s">
        <v>56</v>
      </c>
      <c r="C176" s="16">
        <v>1.0</v>
      </c>
      <c r="D176" s="14">
        <v>24.99</v>
      </c>
      <c r="E176" s="14">
        <v>0.0</v>
      </c>
      <c r="F176" s="14">
        <v>24.99</v>
      </c>
      <c r="G176" s="26">
        <v>11.0</v>
      </c>
      <c r="H176" s="14">
        <v>0.0</v>
      </c>
      <c r="I176" s="112"/>
      <c r="J176" s="112"/>
      <c r="K176" s="112"/>
      <c r="L176" s="112"/>
      <c r="M176" s="112"/>
      <c r="N176" s="1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8.88"/>
  </cols>
  <sheetData>
    <row r="1">
      <c r="A1" s="22" t="s">
        <v>8</v>
      </c>
      <c r="B1" s="23" t="s">
        <v>20</v>
      </c>
      <c r="C1" s="1"/>
      <c r="D1" s="1"/>
      <c r="E1" s="1"/>
      <c r="F1" s="1"/>
      <c r="G1" s="1"/>
      <c r="H1" s="1"/>
    </row>
    <row r="2">
      <c r="A2" s="16" t="s">
        <v>21</v>
      </c>
      <c r="B2" s="26">
        <v>79.0</v>
      </c>
      <c r="C2" s="1"/>
      <c r="D2" s="1"/>
      <c r="E2" s="1"/>
      <c r="F2" s="1"/>
      <c r="G2" s="1"/>
      <c r="H2" s="1"/>
    </row>
    <row r="3">
      <c r="A3" s="16" t="s">
        <v>22</v>
      </c>
      <c r="B3" s="26">
        <v>76.0</v>
      </c>
      <c r="C3" s="1"/>
      <c r="D3" s="1"/>
      <c r="E3" s="1"/>
      <c r="F3" s="1"/>
      <c r="G3" s="1"/>
      <c r="H3" s="1"/>
    </row>
    <row r="4">
      <c r="A4" s="16" t="s">
        <v>23</v>
      </c>
      <c r="B4" s="26">
        <v>28.0</v>
      </c>
      <c r="C4" s="1"/>
      <c r="D4" s="1"/>
      <c r="E4" s="1"/>
      <c r="F4" s="1"/>
      <c r="G4" s="1"/>
      <c r="H4" s="1"/>
    </row>
    <row r="5">
      <c r="A5" s="16" t="s">
        <v>24</v>
      </c>
      <c r="B5" s="26">
        <v>248.0</v>
      </c>
      <c r="C5" s="1"/>
      <c r="D5" s="1"/>
      <c r="E5" s="1"/>
      <c r="F5" s="1"/>
      <c r="G5" s="1"/>
      <c r="H5" s="1"/>
    </row>
    <row r="6">
      <c r="A6" s="16" t="s">
        <v>25</v>
      </c>
      <c r="B6" s="26">
        <v>71.0</v>
      </c>
      <c r="C6" s="1"/>
      <c r="D6" s="1"/>
      <c r="E6" s="1"/>
      <c r="F6" s="1"/>
      <c r="G6" s="1"/>
      <c r="H6" s="1"/>
    </row>
    <row r="7">
      <c r="A7" s="16" t="s">
        <v>26</v>
      </c>
      <c r="B7" s="26">
        <v>497.0</v>
      </c>
      <c r="C7" s="1"/>
      <c r="D7" s="1"/>
      <c r="E7" s="1"/>
      <c r="F7" s="1"/>
      <c r="G7" s="1"/>
      <c r="H7" s="1"/>
    </row>
    <row r="8">
      <c r="A8" s="16" t="s">
        <v>27</v>
      </c>
      <c r="B8" s="16">
        <v>70.0</v>
      </c>
      <c r="C8" s="1"/>
      <c r="D8" s="1"/>
      <c r="E8" s="1"/>
      <c r="F8" s="1"/>
      <c r="G8" s="1"/>
      <c r="H8" s="1"/>
    </row>
    <row r="9">
      <c r="A9" s="11" t="s">
        <v>28</v>
      </c>
      <c r="B9" s="27">
        <v>38.0</v>
      </c>
      <c r="C9" s="1"/>
      <c r="D9" s="1"/>
      <c r="E9" s="1"/>
      <c r="F9" s="1"/>
      <c r="G9" s="1"/>
      <c r="H9" s="1"/>
    </row>
    <row r="10">
      <c r="A10" s="1"/>
      <c r="B10" s="1"/>
      <c r="C10" s="1"/>
      <c r="D10" s="1"/>
      <c r="E10" s="1"/>
      <c r="F10" s="1"/>
      <c r="G10" s="1"/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/>
      <c r="B12" s="1"/>
      <c r="C12" s="1"/>
      <c r="D12" s="1"/>
      <c r="E12" s="1"/>
      <c r="F12" s="1"/>
      <c r="G12" s="1"/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1"/>
      <c r="E21" s="1"/>
      <c r="F21" s="1"/>
      <c r="G21" s="1"/>
      <c r="H21" s="1"/>
    </row>
    <row r="22">
      <c r="A22" s="1"/>
      <c r="B22" s="1"/>
      <c r="C22" s="1"/>
      <c r="D22" s="1"/>
      <c r="E22" s="1"/>
      <c r="F22" s="1"/>
      <c r="G22" s="1"/>
      <c r="H22" s="1"/>
    </row>
    <row r="23">
      <c r="A23" s="1"/>
      <c r="B23" s="1"/>
      <c r="C23" s="1"/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  <row r="25">
      <c r="A25" s="1"/>
      <c r="B25" s="1"/>
      <c r="C25" s="1"/>
      <c r="D25" s="1"/>
      <c r="E25" s="1"/>
      <c r="F25" s="1"/>
      <c r="G25" s="1"/>
      <c r="H25" s="1"/>
    </row>
    <row r="26">
      <c r="A26" s="1"/>
      <c r="B26" s="1"/>
      <c r="C26" s="1"/>
      <c r="D26" s="1"/>
      <c r="E26" s="1"/>
      <c r="F26" s="1"/>
      <c r="G26" s="1"/>
      <c r="H26" s="1"/>
    </row>
    <row r="27">
      <c r="A27" s="1"/>
      <c r="B27" s="1"/>
      <c r="C27" s="1"/>
      <c r="D27" s="1"/>
      <c r="E27" s="1"/>
      <c r="F27" s="1"/>
      <c r="G27" s="1"/>
      <c r="H27" s="1"/>
    </row>
    <row r="28">
      <c r="A28" s="1"/>
      <c r="B28" s="1"/>
      <c r="C28" s="1"/>
      <c r="D28" s="1"/>
      <c r="E28" s="1"/>
      <c r="F28" s="1"/>
      <c r="G28" s="1"/>
      <c r="H28" s="1"/>
    </row>
    <row r="29">
      <c r="A29" s="1"/>
      <c r="B29" s="1"/>
      <c r="C29" s="1"/>
      <c r="D29" s="1"/>
      <c r="E29" s="1"/>
      <c r="F29" s="1"/>
      <c r="G29" s="1"/>
      <c r="H29" s="1"/>
    </row>
    <row r="30">
      <c r="A30" s="19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>
      <c r="A34" s="1"/>
      <c r="B34" s="1"/>
      <c r="C34" s="1"/>
      <c r="D34" s="1"/>
      <c r="E34" s="1"/>
      <c r="F34" s="1"/>
      <c r="G34" s="1"/>
      <c r="H34" s="1"/>
    </row>
    <row r="35">
      <c r="A35" s="1"/>
      <c r="B35" s="1"/>
      <c r="C35" s="1"/>
      <c r="D35" s="1"/>
      <c r="E35" s="1"/>
      <c r="F35" s="1"/>
      <c r="G35" s="1"/>
      <c r="H35" s="1"/>
    </row>
    <row r="36">
      <c r="A36" s="1"/>
      <c r="B36" s="1"/>
      <c r="C36" s="1"/>
      <c r="D36" s="1"/>
      <c r="E36" s="1"/>
      <c r="F36" s="1"/>
      <c r="G36" s="1"/>
      <c r="H36" s="1"/>
    </row>
    <row r="37">
      <c r="A37" s="1"/>
      <c r="B37" s="1"/>
      <c r="C37" s="1"/>
      <c r="D37" s="1"/>
      <c r="E37" s="1"/>
      <c r="F37" s="1"/>
      <c r="G37" s="1"/>
      <c r="H37" s="1"/>
    </row>
  </sheetData>
  <autoFilter ref="$A$1:$B$37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2.25"/>
    <col customWidth="1" min="2" max="2" width="20.38"/>
    <col customWidth="1" min="3" max="3" width="5.88"/>
  </cols>
  <sheetData>
    <row r="1">
      <c r="A1" s="30" t="s">
        <v>5</v>
      </c>
      <c r="B1" s="30" t="s">
        <v>4</v>
      </c>
      <c r="C1" s="31" t="s">
        <v>34</v>
      </c>
    </row>
    <row r="2">
      <c r="A2" s="16" t="s">
        <v>136</v>
      </c>
      <c r="B2" s="16" t="s">
        <v>137</v>
      </c>
      <c r="C2" s="16"/>
    </row>
    <row r="3">
      <c r="A3" s="16" t="s">
        <v>138</v>
      </c>
      <c r="B3" s="16" t="s">
        <v>137</v>
      </c>
      <c r="C3" s="16"/>
    </row>
    <row r="4">
      <c r="A4" s="16" t="s">
        <v>139</v>
      </c>
      <c r="B4" s="16" t="s">
        <v>137</v>
      </c>
      <c r="C4" s="16"/>
    </row>
    <row r="5">
      <c r="A5" s="16" t="s">
        <v>140</v>
      </c>
      <c r="B5" s="16" t="s">
        <v>137</v>
      </c>
      <c r="C5" s="16"/>
    </row>
    <row r="6">
      <c r="A6" s="16" t="s">
        <v>141</v>
      </c>
      <c r="B6" s="16" t="s">
        <v>137</v>
      </c>
      <c r="C6" s="16"/>
    </row>
    <row r="7">
      <c r="A7" s="16" t="s">
        <v>142</v>
      </c>
      <c r="B7" s="16" t="s">
        <v>137</v>
      </c>
      <c r="C7" s="16"/>
    </row>
    <row r="8">
      <c r="A8" s="16" t="s">
        <v>143</v>
      </c>
      <c r="B8" s="16" t="s">
        <v>137</v>
      </c>
      <c r="C8" s="16"/>
    </row>
    <row r="9">
      <c r="A9" s="16" t="s">
        <v>144</v>
      </c>
      <c r="B9" s="16" t="s">
        <v>137</v>
      </c>
      <c r="C9" s="16"/>
    </row>
    <row r="10">
      <c r="A10" s="16" t="s">
        <v>145</v>
      </c>
      <c r="B10" s="16" t="s">
        <v>137</v>
      </c>
      <c r="C10" s="16"/>
    </row>
    <row r="11">
      <c r="A11" s="16" t="s">
        <v>146</v>
      </c>
      <c r="B11" s="16" t="s">
        <v>137</v>
      </c>
      <c r="C11" s="16"/>
    </row>
    <row r="12">
      <c r="A12" s="16" t="s">
        <v>147</v>
      </c>
      <c r="B12" s="16" t="s">
        <v>137</v>
      </c>
      <c r="C12" s="16"/>
    </row>
    <row r="13">
      <c r="A13" s="16" t="s">
        <v>148</v>
      </c>
      <c r="B13" s="16" t="s">
        <v>137</v>
      </c>
      <c r="C13" s="16"/>
    </row>
    <row r="14">
      <c r="A14" s="26" t="s">
        <v>149</v>
      </c>
      <c r="B14" s="26" t="s">
        <v>137</v>
      </c>
      <c r="C14" s="16"/>
    </row>
    <row r="15">
      <c r="A15" s="16" t="s">
        <v>150</v>
      </c>
      <c r="B15" s="16" t="s">
        <v>137</v>
      </c>
      <c r="C15" s="16"/>
    </row>
    <row r="16">
      <c r="A16" s="16" t="s">
        <v>151</v>
      </c>
      <c r="B16" s="16" t="s">
        <v>137</v>
      </c>
      <c r="C16" s="16"/>
    </row>
    <row r="17">
      <c r="A17" s="16" t="s">
        <v>152</v>
      </c>
      <c r="B17" s="16" t="s">
        <v>137</v>
      </c>
      <c r="C17" s="16"/>
    </row>
    <row r="18">
      <c r="A18" s="16" t="s">
        <v>153</v>
      </c>
      <c r="B18" s="16" t="s">
        <v>137</v>
      </c>
      <c r="C18" s="16"/>
    </row>
    <row r="19">
      <c r="A19" s="16" t="s">
        <v>154</v>
      </c>
      <c r="B19" s="16" t="s">
        <v>137</v>
      </c>
      <c r="C19" s="16"/>
    </row>
    <row r="20">
      <c r="A20" s="16" t="s">
        <v>155</v>
      </c>
      <c r="B20" s="16" t="s">
        <v>137</v>
      </c>
      <c r="C20" s="16"/>
    </row>
    <row r="21">
      <c r="A21" s="16" t="s">
        <v>156</v>
      </c>
      <c r="B21" s="16" t="s">
        <v>137</v>
      </c>
      <c r="C21" s="16"/>
    </row>
    <row r="22">
      <c r="A22" s="116" t="s">
        <v>157</v>
      </c>
      <c r="B22" s="116" t="s">
        <v>137</v>
      </c>
      <c r="C22" s="116">
        <f>COUNTA(A2:A22)</f>
        <v>21</v>
      </c>
    </row>
    <row r="23">
      <c r="A23" s="16" t="s">
        <v>158</v>
      </c>
      <c r="B23" s="16" t="s">
        <v>159</v>
      </c>
      <c r="C23" s="16"/>
    </row>
    <row r="24">
      <c r="A24" s="16" t="s">
        <v>160</v>
      </c>
      <c r="B24" s="16" t="s">
        <v>159</v>
      </c>
      <c r="C24" s="16"/>
    </row>
    <row r="25">
      <c r="A25" s="116" t="s">
        <v>161</v>
      </c>
      <c r="B25" s="116" t="s">
        <v>159</v>
      </c>
      <c r="C25" s="116">
        <f>COUNTA(A23:A25)</f>
        <v>3</v>
      </c>
    </row>
    <row r="26">
      <c r="A26" s="16" t="s">
        <v>162</v>
      </c>
      <c r="B26" s="16" t="s">
        <v>163</v>
      </c>
      <c r="C26" s="16"/>
    </row>
    <row r="27">
      <c r="A27" s="116" t="s">
        <v>164</v>
      </c>
      <c r="B27" s="116" t="s">
        <v>163</v>
      </c>
      <c r="C27" s="116">
        <f>COUNTA(B26:B27)</f>
        <v>2</v>
      </c>
    </row>
    <row r="28">
      <c r="A28" s="116" t="s">
        <v>165</v>
      </c>
      <c r="B28" s="116" t="s">
        <v>166</v>
      </c>
      <c r="C28" s="116">
        <f t="shared" ref="C28:C30" si="1">COUNTA(A28)</f>
        <v>1</v>
      </c>
    </row>
    <row r="29">
      <c r="A29" s="116" t="s">
        <v>167</v>
      </c>
      <c r="B29" s="116" t="s">
        <v>168</v>
      </c>
      <c r="C29" s="116">
        <f t="shared" si="1"/>
        <v>1</v>
      </c>
    </row>
    <row r="30">
      <c r="A30" s="116" t="s">
        <v>169</v>
      </c>
      <c r="B30" s="116" t="s">
        <v>170</v>
      </c>
      <c r="C30" s="116">
        <f t="shared" si="1"/>
        <v>1</v>
      </c>
    </row>
    <row r="31">
      <c r="A31" s="16" t="s">
        <v>171</v>
      </c>
      <c r="B31" s="16" t="s">
        <v>39</v>
      </c>
      <c r="C31" s="16"/>
    </row>
    <row r="32">
      <c r="A32" s="16" t="s">
        <v>172</v>
      </c>
      <c r="B32" s="16" t="s">
        <v>39</v>
      </c>
      <c r="C32" s="16"/>
    </row>
    <row r="33">
      <c r="A33" s="16" t="s">
        <v>173</v>
      </c>
      <c r="B33" s="16" t="s">
        <v>39</v>
      </c>
      <c r="C33" s="16"/>
    </row>
    <row r="34">
      <c r="A34" s="16" t="s">
        <v>174</v>
      </c>
      <c r="B34" s="16" t="s">
        <v>39</v>
      </c>
      <c r="C34" s="16"/>
    </row>
    <row r="35">
      <c r="A35" s="16" t="s">
        <v>175</v>
      </c>
      <c r="B35" s="16" t="s">
        <v>39</v>
      </c>
      <c r="C35" s="16"/>
    </row>
    <row r="36">
      <c r="A36" s="16" t="s">
        <v>176</v>
      </c>
      <c r="B36" s="16" t="s">
        <v>39</v>
      </c>
      <c r="C36" s="16"/>
    </row>
    <row r="37">
      <c r="A37" s="16" t="s">
        <v>177</v>
      </c>
      <c r="B37" s="16" t="s">
        <v>39</v>
      </c>
      <c r="C37" s="16"/>
    </row>
    <row r="38">
      <c r="A38" s="16" t="s">
        <v>178</v>
      </c>
      <c r="B38" s="16" t="s">
        <v>39</v>
      </c>
      <c r="C38" s="16"/>
    </row>
    <row r="39">
      <c r="A39" s="16" t="s">
        <v>179</v>
      </c>
      <c r="B39" s="16" t="s">
        <v>39</v>
      </c>
      <c r="C39" s="16"/>
    </row>
    <row r="40">
      <c r="A40" s="16" t="s">
        <v>180</v>
      </c>
      <c r="B40" s="16" t="s">
        <v>39</v>
      </c>
      <c r="C40" s="16"/>
    </row>
    <row r="41">
      <c r="A41" s="16" t="s">
        <v>181</v>
      </c>
      <c r="B41" s="16" t="s">
        <v>39</v>
      </c>
      <c r="C41" s="16"/>
    </row>
    <row r="42">
      <c r="A42" s="16" t="s">
        <v>182</v>
      </c>
      <c r="B42" s="16" t="s">
        <v>39</v>
      </c>
      <c r="C42" s="16"/>
    </row>
    <row r="43">
      <c r="A43" s="16" t="s">
        <v>183</v>
      </c>
      <c r="B43" s="16" t="s">
        <v>39</v>
      </c>
      <c r="C43" s="16"/>
    </row>
    <row r="44">
      <c r="A44" s="16" t="s">
        <v>184</v>
      </c>
      <c r="B44" s="16" t="s">
        <v>39</v>
      </c>
      <c r="C44" s="16"/>
    </row>
    <row r="45">
      <c r="A45" s="16" t="s">
        <v>185</v>
      </c>
      <c r="B45" s="16" t="s">
        <v>39</v>
      </c>
      <c r="C45" s="16"/>
    </row>
    <row r="46">
      <c r="A46" s="16" t="s">
        <v>186</v>
      </c>
      <c r="B46" s="16" t="s">
        <v>39</v>
      </c>
      <c r="C46" s="16"/>
    </row>
    <row r="47">
      <c r="A47" s="16" t="s">
        <v>187</v>
      </c>
      <c r="B47" s="16" t="s">
        <v>39</v>
      </c>
      <c r="C47" s="16"/>
    </row>
    <row r="48">
      <c r="A48" s="16" t="s">
        <v>188</v>
      </c>
      <c r="B48" s="16" t="s">
        <v>39</v>
      </c>
      <c r="C48" s="16"/>
    </row>
    <row r="49">
      <c r="A49" s="16" t="s">
        <v>189</v>
      </c>
      <c r="B49" s="16" t="s">
        <v>39</v>
      </c>
      <c r="C49" s="16"/>
    </row>
    <row r="50">
      <c r="A50" s="16" t="s">
        <v>190</v>
      </c>
      <c r="B50" s="16" t="s">
        <v>39</v>
      </c>
      <c r="C50" s="16"/>
    </row>
    <row r="51">
      <c r="A51" s="16" t="s">
        <v>40</v>
      </c>
      <c r="B51" s="16" t="s">
        <v>39</v>
      </c>
      <c r="C51" s="16"/>
    </row>
    <row r="52">
      <c r="A52" s="16" t="s">
        <v>191</v>
      </c>
      <c r="B52" s="16" t="s">
        <v>39</v>
      </c>
      <c r="C52" s="16"/>
    </row>
    <row r="53">
      <c r="A53" s="16" t="s">
        <v>192</v>
      </c>
      <c r="B53" s="16" t="s">
        <v>39</v>
      </c>
      <c r="C53" s="16"/>
    </row>
    <row r="54">
      <c r="A54" s="16" t="s">
        <v>193</v>
      </c>
      <c r="B54" s="16" t="s">
        <v>39</v>
      </c>
      <c r="C54" s="16"/>
    </row>
    <row r="55">
      <c r="A55" s="16" t="s">
        <v>194</v>
      </c>
      <c r="B55" s="16" t="s">
        <v>39</v>
      </c>
      <c r="C55" s="16"/>
    </row>
    <row r="56">
      <c r="A56" s="16" t="s">
        <v>195</v>
      </c>
      <c r="B56" s="16" t="s">
        <v>39</v>
      </c>
      <c r="C56" s="16"/>
    </row>
    <row r="57">
      <c r="A57" s="16" t="s">
        <v>196</v>
      </c>
      <c r="B57" s="16" t="s">
        <v>39</v>
      </c>
      <c r="C57" s="16"/>
    </row>
    <row r="58">
      <c r="A58" s="16" t="s">
        <v>197</v>
      </c>
      <c r="B58" s="16" t="s">
        <v>39</v>
      </c>
      <c r="C58" s="16"/>
    </row>
    <row r="59">
      <c r="A59" s="16" t="s">
        <v>198</v>
      </c>
      <c r="B59" s="16" t="s">
        <v>39</v>
      </c>
      <c r="C59" s="16"/>
    </row>
    <row r="60">
      <c r="A60" s="16" t="s">
        <v>199</v>
      </c>
      <c r="B60" s="16" t="s">
        <v>39</v>
      </c>
      <c r="C60" s="16"/>
    </row>
    <row r="61">
      <c r="A61" s="16" t="s">
        <v>200</v>
      </c>
      <c r="B61" s="16" t="s">
        <v>39</v>
      </c>
      <c r="C61" s="16"/>
    </row>
    <row r="62">
      <c r="A62" s="16" t="s">
        <v>201</v>
      </c>
      <c r="B62" s="16" t="s">
        <v>39</v>
      </c>
      <c r="C62" s="16"/>
    </row>
    <row r="63">
      <c r="A63" s="16" t="s">
        <v>202</v>
      </c>
      <c r="B63" s="16" t="s">
        <v>39</v>
      </c>
      <c r="C63" s="16"/>
    </row>
    <row r="64">
      <c r="A64" s="16" t="s">
        <v>203</v>
      </c>
      <c r="B64" s="16" t="s">
        <v>39</v>
      </c>
      <c r="C64" s="16"/>
    </row>
    <row r="65">
      <c r="A65" s="16" t="s">
        <v>204</v>
      </c>
      <c r="B65" s="16" t="s">
        <v>39</v>
      </c>
      <c r="C65" s="16"/>
    </row>
    <row r="66">
      <c r="A66" s="16" t="s">
        <v>205</v>
      </c>
      <c r="B66" s="16" t="s">
        <v>39</v>
      </c>
      <c r="C66" s="16"/>
    </row>
    <row r="67">
      <c r="A67" s="16" t="s">
        <v>206</v>
      </c>
      <c r="B67" s="16" t="s">
        <v>39</v>
      </c>
      <c r="C67" s="16"/>
    </row>
    <row r="68">
      <c r="A68" s="16" t="s">
        <v>207</v>
      </c>
      <c r="B68" s="16" t="s">
        <v>39</v>
      </c>
      <c r="C68" s="16"/>
    </row>
    <row r="69">
      <c r="A69" s="16" t="s">
        <v>208</v>
      </c>
      <c r="B69" s="16" t="s">
        <v>39</v>
      </c>
      <c r="C69" s="16"/>
    </row>
    <row r="70">
      <c r="A70" s="16" t="s">
        <v>209</v>
      </c>
      <c r="B70" s="16" t="s">
        <v>39</v>
      </c>
      <c r="C70" s="16"/>
    </row>
    <row r="71">
      <c r="A71" s="16" t="s">
        <v>210</v>
      </c>
      <c r="B71" s="16" t="s">
        <v>39</v>
      </c>
      <c r="C71" s="16"/>
    </row>
    <row r="72">
      <c r="A72" s="16" t="s">
        <v>211</v>
      </c>
      <c r="B72" s="16" t="s">
        <v>39</v>
      </c>
      <c r="C72" s="16"/>
    </row>
    <row r="73">
      <c r="A73" s="16" t="s">
        <v>212</v>
      </c>
      <c r="B73" s="16" t="s">
        <v>39</v>
      </c>
      <c r="C73" s="16"/>
    </row>
    <row r="74">
      <c r="A74" s="16" t="s">
        <v>213</v>
      </c>
      <c r="B74" s="16" t="s">
        <v>39</v>
      </c>
      <c r="C74" s="16"/>
    </row>
    <row r="75">
      <c r="A75" s="16" t="s">
        <v>214</v>
      </c>
      <c r="B75" s="16" t="s">
        <v>39</v>
      </c>
      <c r="C75" s="16"/>
    </row>
    <row r="76">
      <c r="A76" s="16" t="s">
        <v>215</v>
      </c>
      <c r="B76" s="16" t="s">
        <v>39</v>
      </c>
      <c r="C76" s="16"/>
    </row>
    <row r="77">
      <c r="A77" s="16" t="s">
        <v>216</v>
      </c>
      <c r="B77" s="16" t="s">
        <v>39</v>
      </c>
      <c r="C77" s="16"/>
    </row>
    <row r="78">
      <c r="A78" s="116" t="s">
        <v>217</v>
      </c>
      <c r="B78" s="116" t="s">
        <v>39</v>
      </c>
      <c r="C78" s="116">
        <f>COUNTA(A31:A78)</f>
        <v>48</v>
      </c>
    </row>
    <row r="79">
      <c r="A79" s="16" t="s">
        <v>218</v>
      </c>
      <c r="B79" s="16" t="s">
        <v>219</v>
      </c>
      <c r="C79" s="16"/>
    </row>
    <row r="80">
      <c r="A80" s="16" t="s">
        <v>220</v>
      </c>
      <c r="B80" s="16" t="s">
        <v>219</v>
      </c>
      <c r="C80" s="16"/>
    </row>
    <row r="81">
      <c r="A81" s="16" t="s">
        <v>221</v>
      </c>
      <c r="B81" s="16" t="s">
        <v>219</v>
      </c>
      <c r="C81" s="16"/>
    </row>
    <row r="82">
      <c r="A82" s="16" t="s">
        <v>222</v>
      </c>
      <c r="B82" s="16" t="s">
        <v>219</v>
      </c>
      <c r="C82" s="16"/>
    </row>
    <row r="83">
      <c r="A83" s="16" t="s">
        <v>223</v>
      </c>
      <c r="B83" s="16" t="s">
        <v>219</v>
      </c>
      <c r="C83" s="16"/>
    </row>
    <row r="84">
      <c r="A84" s="117" t="s">
        <v>224</v>
      </c>
      <c r="B84" s="116" t="s">
        <v>219</v>
      </c>
      <c r="C84" s="116">
        <f>COUNTA(A79:A84)</f>
        <v>6</v>
      </c>
    </row>
    <row r="85">
      <c r="A85" s="117" t="s">
        <v>225</v>
      </c>
      <c r="B85" s="116" t="s">
        <v>226</v>
      </c>
      <c r="C85" s="116">
        <f>COUNTA(A85)</f>
        <v>1</v>
      </c>
    </row>
    <row r="86">
      <c r="A86" s="26" t="s">
        <v>227</v>
      </c>
      <c r="B86" s="16" t="s">
        <v>228</v>
      </c>
      <c r="C86" s="16"/>
    </row>
    <row r="87">
      <c r="A87" s="117" t="s">
        <v>229</v>
      </c>
      <c r="B87" s="116" t="s">
        <v>228</v>
      </c>
      <c r="C87" s="116">
        <f>COUNTA(A86:A87)</f>
        <v>2</v>
      </c>
    </row>
    <row r="88">
      <c r="A88" s="26" t="s">
        <v>230</v>
      </c>
      <c r="B88" s="26" t="s">
        <v>231</v>
      </c>
      <c r="C88" s="16"/>
    </row>
    <row r="89">
      <c r="A89" s="16" t="s">
        <v>232</v>
      </c>
      <c r="B89" s="16" t="s">
        <v>231</v>
      </c>
      <c r="C89" s="16"/>
    </row>
    <row r="90">
      <c r="A90" s="16" t="s">
        <v>233</v>
      </c>
      <c r="B90" s="16" t="s">
        <v>231</v>
      </c>
      <c r="C90" s="16"/>
    </row>
    <row r="91">
      <c r="A91" s="16" t="s">
        <v>234</v>
      </c>
      <c r="B91" s="16" t="s">
        <v>231</v>
      </c>
      <c r="C91" s="16"/>
    </row>
    <row r="92">
      <c r="A92" s="117" t="s">
        <v>235</v>
      </c>
      <c r="B92" s="116" t="s">
        <v>231</v>
      </c>
      <c r="C92" s="116">
        <f>COUNTA(A88:A92)</f>
        <v>5</v>
      </c>
    </row>
    <row r="93">
      <c r="A93" s="16" t="s">
        <v>236</v>
      </c>
      <c r="B93" s="16" t="s">
        <v>237</v>
      </c>
      <c r="C93" s="16"/>
    </row>
    <row r="94">
      <c r="A94" s="16" t="s">
        <v>238</v>
      </c>
      <c r="B94" s="16" t="s">
        <v>237</v>
      </c>
      <c r="C94" s="16"/>
    </row>
    <row r="95">
      <c r="A95" s="26" t="s">
        <v>239</v>
      </c>
      <c r="B95" s="16" t="s">
        <v>237</v>
      </c>
      <c r="C95" s="16"/>
    </row>
    <row r="96">
      <c r="A96" s="16" t="s">
        <v>240</v>
      </c>
      <c r="B96" s="16" t="s">
        <v>237</v>
      </c>
      <c r="C96" s="16"/>
    </row>
    <row r="97">
      <c r="A97" s="16" t="s">
        <v>241</v>
      </c>
      <c r="B97" s="16" t="s">
        <v>237</v>
      </c>
      <c r="C97" s="16"/>
    </row>
    <row r="98">
      <c r="A98" s="16" t="s">
        <v>242</v>
      </c>
      <c r="B98" s="16" t="s">
        <v>237</v>
      </c>
      <c r="C98" s="16"/>
    </row>
    <row r="99">
      <c r="A99" s="117" t="s">
        <v>243</v>
      </c>
      <c r="B99" s="116" t="s">
        <v>237</v>
      </c>
      <c r="C99" s="116">
        <f>COUNTA(A93:A99)</f>
        <v>7</v>
      </c>
    </row>
    <row r="100">
      <c r="A100" s="117" t="s">
        <v>244</v>
      </c>
      <c r="B100" s="116" t="s">
        <v>245</v>
      </c>
      <c r="C100" s="116">
        <f>COUNTA(A100)</f>
        <v>1</v>
      </c>
    </row>
    <row r="101">
      <c r="A101" s="16" t="s">
        <v>246</v>
      </c>
      <c r="B101" s="16" t="s">
        <v>36</v>
      </c>
      <c r="C101" s="16"/>
    </row>
    <row r="102">
      <c r="A102" s="16" t="s">
        <v>247</v>
      </c>
      <c r="B102" s="16" t="s">
        <v>36</v>
      </c>
      <c r="C102" s="16"/>
    </row>
    <row r="103">
      <c r="A103" s="16" t="s">
        <v>248</v>
      </c>
      <c r="B103" s="16" t="s">
        <v>36</v>
      </c>
      <c r="C103" s="16"/>
    </row>
    <row r="104">
      <c r="A104" s="118" t="s">
        <v>249</v>
      </c>
      <c r="B104" s="16" t="s">
        <v>36</v>
      </c>
      <c r="C104" s="16"/>
    </row>
    <row r="105">
      <c r="A105" s="16" t="s">
        <v>250</v>
      </c>
      <c r="B105" s="16" t="s">
        <v>36</v>
      </c>
      <c r="C105" s="16"/>
    </row>
    <row r="106">
      <c r="A106" s="16" t="s">
        <v>251</v>
      </c>
      <c r="B106" s="16" t="s">
        <v>36</v>
      </c>
      <c r="C106" s="16"/>
    </row>
    <row r="107">
      <c r="A107" s="16" t="s">
        <v>252</v>
      </c>
      <c r="B107" s="16" t="s">
        <v>36</v>
      </c>
      <c r="C107" s="16"/>
    </row>
    <row r="108">
      <c r="A108" s="16" t="s">
        <v>253</v>
      </c>
      <c r="B108" s="16" t="s">
        <v>36</v>
      </c>
      <c r="C108" s="16"/>
    </row>
    <row r="109">
      <c r="A109" s="16" t="s">
        <v>254</v>
      </c>
      <c r="B109" s="16" t="s">
        <v>36</v>
      </c>
      <c r="C109" s="16"/>
    </row>
    <row r="110">
      <c r="A110" s="16" t="s">
        <v>255</v>
      </c>
      <c r="B110" s="16" t="s">
        <v>36</v>
      </c>
      <c r="C110" s="16"/>
    </row>
    <row r="111">
      <c r="A111" s="16" t="s">
        <v>256</v>
      </c>
      <c r="B111" s="16" t="s">
        <v>36</v>
      </c>
      <c r="C111" s="16"/>
    </row>
    <row r="112">
      <c r="A112" s="26" t="s">
        <v>42</v>
      </c>
      <c r="B112" s="16" t="s">
        <v>36</v>
      </c>
      <c r="C112" s="16"/>
    </row>
    <row r="113">
      <c r="A113" s="16" t="s">
        <v>257</v>
      </c>
      <c r="B113" s="16" t="s">
        <v>36</v>
      </c>
      <c r="C113" s="16"/>
    </row>
    <row r="114">
      <c r="A114" s="16" t="s">
        <v>258</v>
      </c>
      <c r="B114" s="16" t="s">
        <v>36</v>
      </c>
      <c r="C114" s="16"/>
    </row>
    <row r="115">
      <c r="A115" s="16" t="s">
        <v>259</v>
      </c>
      <c r="B115" s="16" t="s">
        <v>36</v>
      </c>
      <c r="C115" s="16"/>
    </row>
    <row r="116">
      <c r="A116" s="16" t="s">
        <v>35</v>
      </c>
      <c r="B116" s="16" t="s">
        <v>36</v>
      </c>
      <c r="C116" s="16"/>
    </row>
    <row r="117">
      <c r="A117" s="16" t="s">
        <v>260</v>
      </c>
      <c r="B117" s="16" t="s">
        <v>36</v>
      </c>
      <c r="C117" s="16"/>
    </row>
    <row r="118">
      <c r="A118" s="16" t="s">
        <v>261</v>
      </c>
      <c r="B118" s="16" t="s">
        <v>36</v>
      </c>
      <c r="C118" s="16"/>
    </row>
    <row r="119">
      <c r="A119" s="16" t="s">
        <v>262</v>
      </c>
      <c r="B119" s="16" t="s">
        <v>36</v>
      </c>
      <c r="C119" s="16"/>
    </row>
    <row r="120">
      <c r="A120" s="16" t="s">
        <v>263</v>
      </c>
      <c r="B120" s="16" t="s">
        <v>36</v>
      </c>
      <c r="C120" s="16"/>
    </row>
    <row r="121">
      <c r="A121" s="16" t="s">
        <v>264</v>
      </c>
      <c r="B121" s="16" t="s">
        <v>36</v>
      </c>
      <c r="C121" s="16"/>
    </row>
    <row r="122">
      <c r="A122" s="16" t="s">
        <v>265</v>
      </c>
      <c r="B122" s="16" t="s">
        <v>36</v>
      </c>
      <c r="C122" s="16"/>
    </row>
    <row r="123">
      <c r="A123" s="16" t="s">
        <v>266</v>
      </c>
      <c r="B123" s="16" t="s">
        <v>36</v>
      </c>
      <c r="C123" s="16"/>
    </row>
    <row r="124">
      <c r="A124" s="16" t="s">
        <v>267</v>
      </c>
      <c r="B124" s="16" t="s">
        <v>36</v>
      </c>
      <c r="C124" s="16"/>
    </row>
    <row r="125">
      <c r="A125" s="118" t="s">
        <v>268</v>
      </c>
      <c r="B125" s="119" t="s">
        <v>36</v>
      </c>
      <c r="C125" s="16"/>
    </row>
    <row r="126">
      <c r="A126" s="26" t="s">
        <v>269</v>
      </c>
      <c r="B126" s="26" t="s">
        <v>36</v>
      </c>
      <c r="C126" s="16"/>
    </row>
    <row r="127">
      <c r="A127" s="16" t="s">
        <v>270</v>
      </c>
      <c r="B127" s="16" t="s">
        <v>36</v>
      </c>
      <c r="C127" s="16"/>
    </row>
    <row r="128">
      <c r="A128" s="16" t="s">
        <v>271</v>
      </c>
      <c r="B128" s="16" t="s">
        <v>36</v>
      </c>
      <c r="C128" s="16"/>
    </row>
    <row r="129">
      <c r="A129" s="16" t="s">
        <v>272</v>
      </c>
      <c r="B129" s="16" t="s">
        <v>36</v>
      </c>
      <c r="C129" s="16"/>
    </row>
    <row r="130">
      <c r="A130" s="16" t="s">
        <v>273</v>
      </c>
      <c r="B130" s="16" t="s">
        <v>36</v>
      </c>
      <c r="C130" s="16"/>
    </row>
    <row r="131">
      <c r="A131" s="16" t="s">
        <v>274</v>
      </c>
      <c r="B131" s="16" t="s">
        <v>36</v>
      </c>
      <c r="C131" s="16"/>
    </row>
    <row r="132">
      <c r="A132" s="16" t="s">
        <v>275</v>
      </c>
      <c r="B132" s="16" t="s">
        <v>36</v>
      </c>
      <c r="C132" s="16"/>
    </row>
    <row r="133">
      <c r="A133" s="16" t="s">
        <v>276</v>
      </c>
      <c r="B133" s="16" t="s">
        <v>36</v>
      </c>
      <c r="C133" s="16"/>
    </row>
    <row r="134">
      <c r="A134" s="16" t="s">
        <v>277</v>
      </c>
      <c r="B134" s="16" t="s">
        <v>36</v>
      </c>
      <c r="C134" s="16"/>
    </row>
    <row r="135">
      <c r="A135" s="16" t="s">
        <v>278</v>
      </c>
      <c r="B135" s="16" t="s">
        <v>36</v>
      </c>
      <c r="C135" s="16"/>
    </row>
    <row r="136">
      <c r="A136" s="16" t="s">
        <v>279</v>
      </c>
      <c r="B136" s="16" t="s">
        <v>36</v>
      </c>
      <c r="C136" s="16"/>
    </row>
    <row r="137">
      <c r="A137" s="16" t="s">
        <v>280</v>
      </c>
      <c r="B137" s="16" t="s">
        <v>36</v>
      </c>
      <c r="C137" s="16"/>
    </row>
    <row r="138">
      <c r="A138" s="16" t="s">
        <v>281</v>
      </c>
      <c r="B138" s="16" t="s">
        <v>36</v>
      </c>
      <c r="C138" s="16"/>
    </row>
    <row r="139">
      <c r="A139" s="16" t="s">
        <v>282</v>
      </c>
      <c r="B139" s="16" t="s">
        <v>36</v>
      </c>
      <c r="C139" s="16"/>
    </row>
    <row r="140">
      <c r="A140" s="16" t="s">
        <v>283</v>
      </c>
      <c r="B140" s="16" t="s">
        <v>36</v>
      </c>
      <c r="C140" s="16"/>
    </row>
    <row r="141">
      <c r="A141" s="16" t="s">
        <v>284</v>
      </c>
      <c r="B141" s="16" t="s">
        <v>36</v>
      </c>
      <c r="C141" s="16"/>
    </row>
    <row r="142">
      <c r="A142" s="16" t="s">
        <v>285</v>
      </c>
      <c r="B142" s="16" t="s">
        <v>36</v>
      </c>
      <c r="C142" s="16"/>
    </row>
    <row r="143">
      <c r="A143" s="16" t="s">
        <v>286</v>
      </c>
      <c r="B143" s="16" t="s">
        <v>36</v>
      </c>
      <c r="C143" s="16"/>
    </row>
    <row r="144">
      <c r="A144" s="16" t="s">
        <v>287</v>
      </c>
      <c r="B144" s="16" t="s">
        <v>36</v>
      </c>
      <c r="C144" s="16"/>
    </row>
    <row r="145">
      <c r="A145" s="16" t="s">
        <v>288</v>
      </c>
      <c r="B145" s="16" t="s">
        <v>36</v>
      </c>
      <c r="C145" s="16"/>
    </row>
    <row r="146">
      <c r="A146" s="16" t="s">
        <v>289</v>
      </c>
      <c r="B146" s="16" t="s">
        <v>36</v>
      </c>
      <c r="C146" s="16"/>
    </row>
    <row r="147">
      <c r="A147" s="16" t="s">
        <v>290</v>
      </c>
      <c r="B147" s="16" t="s">
        <v>36</v>
      </c>
      <c r="C147" s="16"/>
    </row>
    <row r="148">
      <c r="A148" s="16" t="s">
        <v>291</v>
      </c>
      <c r="B148" s="16" t="s">
        <v>36</v>
      </c>
      <c r="C148" s="16"/>
    </row>
    <row r="149">
      <c r="A149" s="16" t="s">
        <v>292</v>
      </c>
      <c r="B149" s="16" t="s">
        <v>36</v>
      </c>
      <c r="C149" s="16"/>
    </row>
    <row r="150">
      <c r="A150" s="16" t="s">
        <v>293</v>
      </c>
      <c r="B150" s="16" t="s">
        <v>36</v>
      </c>
      <c r="C150" s="16"/>
    </row>
    <row r="151">
      <c r="A151" s="16" t="s">
        <v>294</v>
      </c>
      <c r="B151" s="16" t="s">
        <v>36</v>
      </c>
      <c r="C151" s="16"/>
    </row>
    <row r="152">
      <c r="A152" s="16" t="s">
        <v>295</v>
      </c>
      <c r="B152" s="16" t="s">
        <v>36</v>
      </c>
      <c r="C152" s="16"/>
    </row>
    <row r="153">
      <c r="A153" s="16" t="s">
        <v>296</v>
      </c>
      <c r="B153" s="16" t="s">
        <v>36</v>
      </c>
      <c r="C153" s="16"/>
    </row>
    <row r="154">
      <c r="A154" s="16" t="s">
        <v>297</v>
      </c>
      <c r="B154" s="16" t="s">
        <v>36</v>
      </c>
      <c r="C154" s="16"/>
    </row>
    <row r="155">
      <c r="A155" s="16" t="s">
        <v>298</v>
      </c>
      <c r="B155" s="16" t="s">
        <v>36</v>
      </c>
      <c r="C155" s="16"/>
    </row>
    <row r="156">
      <c r="A156" s="16" t="s">
        <v>299</v>
      </c>
      <c r="B156" s="16" t="s">
        <v>36</v>
      </c>
      <c r="C156" s="16"/>
    </row>
    <row r="157">
      <c r="A157" s="16" t="s">
        <v>300</v>
      </c>
      <c r="B157" s="16" t="s">
        <v>36</v>
      </c>
      <c r="C157" s="16"/>
    </row>
    <row r="158">
      <c r="A158" s="16" t="s">
        <v>301</v>
      </c>
      <c r="B158" s="16" t="s">
        <v>36</v>
      </c>
      <c r="C158" s="16"/>
    </row>
    <row r="159">
      <c r="A159" s="16" t="s">
        <v>302</v>
      </c>
      <c r="B159" s="16" t="s">
        <v>36</v>
      </c>
      <c r="C159" s="16"/>
    </row>
    <row r="160">
      <c r="A160" s="16" t="s">
        <v>303</v>
      </c>
      <c r="B160" s="16" t="s">
        <v>36</v>
      </c>
      <c r="C160" s="16"/>
    </row>
    <row r="161">
      <c r="A161" s="16" t="s">
        <v>304</v>
      </c>
      <c r="B161" s="16" t="s">
        <v>36</v>
      </c>
      <c r="C161" s="16"/>
    </row>
    <row r="162">
      <c r="A162" s="16" t="s">
        <v>305</v>
      </c>
      <c r="B162" s="16" t="s">
        <v>36</v>
      </c>
      <c r="C162" s="16"/>
    </row>
    <row r="163">
      <c r="A163" s="16" t="s">
        <v>306</v>
      </c>
      <c r="B163" s="16" t="s">
        <v>36</v>
      </c>
      <c r="C163" s="16"/>
    </row>
    <row r="164">
      <c r="A164" s="16" t="s">
        <v>307</v>
      </c>
      <c r="B164" s="16" t="s">
        <v>36</v>
      </c>
      <c r="C164" s="16"/>
    </row>
    <row r="165">
      <c r="A165" s="16" t="s">
        <v>308</v>
      </c>
      <c r="B165" s="16" t="s">
        <v>36</v>
      </c>
      <c r="C165" s="16"/>
    </row>
    <row r="166">
      <c r="A166" s="16" t="s">
        <v>309</v>
      </c>
      <c r="B166" s="16" t="s">
        <v>36</v>
      </c>
      <c r="C166" s="16"/>
    </row>
    <row r="167">
      <c r="A167" s="16" t="s">
        <v>44</v>
      </c>
      <c r="B167" s="16" t="s">
        <v>36</v>
      </c>
      <c r="C167" s="16"/>
    </row>
    <row r="168">
      <c r="A168" s="16" t="s">
        <v>310</v>
      </c>
      <c r="B168" s="16" t="s">
        <v>36</v>
      </c>
      <c r="C168" s="16"/>
    </row>
    <row r="169">
      <c r="A169" s="16" t="s">
        <v>311</v>
      </c>
      <c r="B169" s="16" t="s">
        <v>36</v>
      </c>
      <c r="C169" s="16"/>
    </row>
    <row r="170">
      <c r="A170" s="16" t="s">
        <v>312</v>
      </c>
      <c r="B170" s="16" t="s">
        <v>36</v>
      </c>
      <c r="C170" s="16"/>
    </row>
    <row r="171">
      <c r="A171" s="16" t="s">
        <v>313</v>
      </c>
      <c r="B171" s="16" t="s">
        <v>36</v>
      </c>
      <c r="C171" s="16"/>
    </row>
    <row r="172">
      <c r="A172" s="16" t="s">
        <v>314</v>
      </c>
      <c r="B172" s="16" t="s">
        <v>36</v>
      </c>
      <c r="C172" s="16"/>
    </row>
    <row r="173">
      <c r="A173" s="16" t="s">
        <v>315</v>
      </c>
      <c r="B173" s="16" t="s">
        <v>36</v>
      </c>
      <c r="C173" s="16"/>
    </row>
    <row r="174">
      <c r="A174" s="16" t="s">
        <v>316</v>
      </c>
      <c r="B174" s="16" t="s">
        <v>36</v>
      </c>
      <c r="C174" s="16"/>
    </row>
    <row r="175">
      <c r="A175" s="16" t="s">
        <v>317</v>
      </c>
      <c r="B175" s="16" t="s">
        <v>36</v>
      </c>
      <c r="C175" s="16"/>
    </row>
    <row r="176">
      <c r="A176" s="16" t="s">
        <v>318</v>
      </c>
      <c r="B176" s="16" t="s">
        <v>36</v>
      </c>
      <c r="C176" s="16"/>
    </row>
    <row r="177">
      <c r="A177" s="16" t="s">
        <v>319</v>
      </c>
      <c r="B177" s="16" t="s">
        <v>36</v>
      </c>
      <c r="C177" s="16"/>
    </row>
    <row r="178">
      <c r="A178" s="16" t="s">
        <v>320</v>
      </c>
      <c r="B178" s="16" t="s">
        <v>36</v>
      </c>
      <c r="C178" s="16"/>
    </row>
    <row r="179">
      <c r="A179" s="16" t="s">
        <v>321</v>
      </c>
      <c r="B179" s="16" t="s">
        <v>36</v>
      </c>
      <c r="C179" s="16"/>
    </row>
    <row r="180">
      <c r="A180" s="16" t="s">
        <v>322</v>
      </c>
      <c r="B180" s="16" t="s">
        <v>36</v>
      </c>
      <c r="C180" s="16"/>
    </row>
    <row r="181">
      <c r="A181" s="16" t="s">
        <v>323</v>
      </c>
      <c r="B181" s="16" t="s">
        <v>36</v>
      </c>
      <c r="C181" s="16"/>
    </row>
    <row r="182">
      <c r="A182" s="16" t="s">
        <v>324</v>
      </c>
      <c r="B182" s="16" t="s">
        <v>36</v>
      </c>
      <c r="C182" s="16"/>
    </row>
    <row r="183">
      <c r="A183" s="16" t="s">
        <v>325</v>
      </c>
      <c r="B183" s="16" t="s">
        <v>36</v>
      </c>
      <c r="C183" s="16"/>
    </row>
    <row r="184">
      <c r="A184" s="16" t="s">
        <v>326</v>
      </c>
      <c r="B184" s="16" t="s">
        <v>36</v>
      </c>
      <c r="C184" s="16"/>
    </row>
    <row r="185">
      <c r="A185" s="16" t="s">
        <v>327</v>
      </c>
      <c r="B185" s="16" t="s">
        <v>36</v>
      </c>
      <c r="C185" s="16"/>
    </row>
    <row r="186">
      <c r="A186" s="16" t="s">
        <v>328</v>
      </c>
      <c r="B186" s="16" t="s">
        <v>36</v>
      </c>
      <c r="C186" s="16"/>
    </row>
    <row r="187">
      <c r="A187" s="116" t="s">
        <v>329</v>
      </c>
      <c r="B187" s="116" t="s">
        <v>36</v>
      </c>
      <c r="C187" s="116">
        <f>COUNTA(A101:A187)</f>
        <v>87</v>
      </c>
    </row>
    <row r="188">
      <c r="A188" s="116" t="s">
        <v>330</v>
      </c>
      <c r="B188" s="120" t="s">
        <v>331</v>
      </c>
      <c r="C188" s="116">
        <f>COUNTA(A188)</f>
        <v>1</v>
      </c>
    </row>
    <row r="189">
      <c r="A189" s="16" t="s">
        <v>332</v>
      </c>
      <c r="B189" s="16" t="s">
        <v>333</v>
      </c>
      <c r="C189" s="16"/>
    </row>
    <row r="190">
      <c r="A190" s="16" t="s">
        <v>334</v>
      </c>
      <c r="B190" s="16" t="s">
        <v>333</v>
      </c>
      <c r="C190" s="16"/>
    </row>
    <row r="191">
      <c r="A191" s="16" t="s">
        <v>335</v>
      </c>
      <c r="B191" s="16" t="s">
        <v>333</v>
      </c>
      <c r="C191" s="16"/>
    </row>
    <row r="192">
      <c r="A192" s="16" t="s">
        <v>336</v>
      </c>
      <c r="B192" s="16" t="s">
        <v>333</v>
      </c>
      <c r="C192" s="16"/>
    </row>
    <row r="193">
      <c r="A193" s="16" t="s">
        <v>337</v>
      </c>
      <c r="B193" s="16" t="s">
        <v>333</v>
      </c>
      <c r="C193" s="16"/>
    </row>
    <row r="194">
      <c r="A194" s="16" t="s">
        <v>338</v>
      </c>
      <c r="B194" s="16" t="s">
        <v>333</v>
      </c>
      <c r="C194" s="16"/>
    </row>
    <row r="195">
      <c r="A195" s="16" t="s">
        <v>339</v>
      </c>
      <c r="B195" s="16" t="s">
        <v>333</v>
      </c>
      <c r="C195" s="16"/>
    </row>
    <row r="196">
      <c r="A196" s="16" t="s">
        <v>340</v>
      </c>
      <c r="B196" s="16" t="s">
        <v>333</v>
      </c>
      <c r="C196" s="16"/>
    </row>
    <row r="197">
      <c r="A197" s="116" t="s">
        <v>341</v>
      </c>
      <c r="B197" s="116" t="s">
        <v>333</v>
      </c>
      <c r="C197" s="116">
        <f>COUNTA(A189:A197)</f>
        <v>9</v>
      </c>
    </row>
    <row r="198">
      <c r="A198" s="16" t="s">
        <v>342</v>
      </c>
      <c r="B198" s="16" t="s">
        <v>47</v>
      </c>
      <c r="C198" s="16"/>
    </row>
    <row r="199">
      <c r="A199" s="16" t="s">
        <v>343</v>
      </c>
      <c r="B199" s="16" t="s">
        <v>47</v>
      </c>
      <c r="C199" s="16"/>
    </row>
    <row r="200">
      <c r="A200" s="16" t="s">
        <v>344</v>
      </c>
      <c r="B200" s="16" t="s">
        <v>47</v>
      </c>
      <c r="C200" s="16"/>
    </row>
    <row r="201">
      <c r="A201" s="16" t="s">
        <v>345</v>
      </c>
      <c r="B201" s="16" t="s">
        <v>47</v>
      </c>
      <c r="C201" s="16"/>
    </row>
    <row r="202">
      <c r="A202" s="16" t="s">
        <v>346</v>
      </c>
      <c r="B202" s="16" t="s">
        <v>47</v>
      </c>
      <c r="C202" s="16"/>
    </row>
    <row r="203">
      <c r="A203" s="16" t="s">
        <v>347</v>
      </c>
      <c r="B203" s="16" t="s">
        <v>47</v>
      </c>
      <c r="C203" s="16"/>
    </row>
    <row r="204">
      <c r="A204" s="16" t="s">
        <v>348</v>
      </c>
      <c r="B204" s="16" t="s">
        <v>47</v>
      </c>
      <c r="C204" s="16"/>
    </row>
    <row r="205">
      <c r="A205" s="121" t="s">
        <v>349</v>
      </c>
      <c r="B205" s="16" t="s">
        <v>47</v>
      </c>
      <c r="C205" s="16"/>
    </row>
    <row r="206">
      <c r="A206" s="16" t="s">
        <v>350</v>
      </c>
      <c r="B206" s="16" t="s">
        <v>47</v>
      </c>
      <c r="C206" s="16"/>
    </row>
    <row r="207">
      <c r="A207" s="16" t="s">
        <v>351</v>
      </c>
      <c r="B207" s="16" t="s">
        <v>47</v>
      </c>
      <c r="C207" s="16"/>
    </row>
    <row r="208">
      <c r="A208" s="16" t="s">
        <v>352</v>
      </c>
      <c r="B208" s="16" t="s">
        <v>47</v>
      </c>
      <c r="C208" s="16"/>
    </row>
    <row r="209">
      <c r="A209" s="16" t="s">
        <v>353</v>
      </c>
      <c r="B209" s="16" t="s">
        <v>47</v>
      </c>
      <c r="C209" s="16"/>
    </row>
    <row r="210">
      <c r="A210" s="16" t="s">
        <v>354</v>
      </c>
      <c r="B210" s="16" t="s">
        <v>47</v>
      </c>
      <c r="C210" s="16"/>
    </row>
    <row r="211">
      <c r="A211" s="16" t="s">
        <v>355</v>
      </c>
      <c r="B211" s="16" t="s">
        <v>47</v>
      </c>
      <c r="C211" s="16"/>
    </row>
    <row r="212">
      <c r="A212" s="16" t="s">
        <v>356</v>
      </c>
      <c r="B212" s="16" t="s">
        <v>47</v>
      </c>
      <c r="C212" s="16"/>
    </row>
    <row r="213">
      <c r="A213" s="16" t="s">
        <v>357</v>
      </c>
      <c r="B213" s="16" t="s">
        <v>47</v>
      </c>
      <c r="C213" s="16"/>
    </row>
    <row r="214">
      <c r="A214" s="16" t="s">
        <v>358</v>
      </c>
      <c r="B214" s="16" t="s">
        <v>47</v>
      </c>
      <c r="C214" s="16"/>
    </row>
    <row r="215">
      <c r="A215" s="16" t="s">
        <v>359</v>
      </c>
      <c r="B215" s="16" t="s">
        <v>47</v>
      </c>
      <c r="C215" s="16"/>
    </row>
    <row r="216">
      <c r="A216" s="16" t="s">
        <v>360</v>
      </c>
      <c r="B216" s="16" t="s">
        <v>47</v>
      </c>
      <c r="C216" s="16"/>
    </row>
    <row r="217">
      <c r="A217" s="16" t="s">
        <v>361</v>
      </c>
      <c r="B217" s="16" t="s">
        <v>47</v>
      </c>
      <c r="C217" s="16"/>
    </row>
    <row r="218">
      <c r="A218" s="16" t="s">
        <v>362</v>
      </c>
      <c r="B218" s="16" t="s">
        <v>47</v>
      </c>
      <c r="C218" s="16"/>
    </row>
    <row r="219">
      <c r="A219" s="16" t="s">
        <v>363</v>
      </c>
      <c r="B219" s="16" t="s">
        <v>47</v>
      </c>
      <c r="C219" s="16"/>
    </row>
    <row r="220">
      <c r="A220" s="16" t="s">
        <v>364</v>
      </c>
      <c r="B220" s="16" t="s">
        <v>47</v>
      </c>
      <c r="C220" s="16"/>
    </row>
    <row r="221">
      <c r="A221" s="16" t="s">
        <v>365</v>
      </c>
      <c r="B221" s="16" t="s">
        <v>47</v>
      </c>
      <c r="C221" s="16"/>
    </row>
    <row r="222">
      <c r="A222" s="116" t="s">
        <v>48</v>
      </c>
      <c r="B222" s="116" t="s">
        <v>47</v>
      </c>
      <c r="C222" s="116">
        <f>COUNTA(A198:A222)</f>
        <v>25</v>
      </c>
    </row>
    <row r="223">
      <c r="A223" s="16" t="s">
        <v>366</v>
      </c>
      <c r="B223" s="16" t="s">
        <v>367</v>
      </c>
      <c r="C223" s="16"/>
    </row>
    <row r="224">
      <c r="A224" s="16" t="s">
        <v>368</v>
      </c>
      <c r="B224" s="16" t="s">
        <v>367</v>
      </c>
      <c r="C224" s="16"/>
    </row>
    <row r="225">
      <c r="A225" s="16" t="s">
        <v>369</v>
      </c>
      <c r="B225" s="16" t="s">
        <v>367</v>
      </c>
      <c r="C225" s="16"/>
    </row>
    <row r="226">
      <c r="A226" s="16" t="s">
        <v>370</v>
      </c>
      <c r="B226" s="16" t="s">
        <v>367</v>
      </c>
      <c r="C226" s="16"/>
    </row>
    <row r="227">
      <c r="A227" s="16" t="s">
        <v>371</v>
      </c>
      <c r="B227" s="16" t="s">
        <v>367</v>
      </c>
      <c r="C227" s="16"/>
    </row>
    <row r="228">
      <c r="A228" s="26" t="s">
        <v>372</v>
      </c>
      <c r="B228" s="16" t="s">
        <v>367</v>
      </c>
      <c r="C228" s="16"/>
    </row>
    <row r="229">
      <c r="A229" s="16" t="s">
        <v>373</v>
      </c>
      <c r="B229" s="16" t="s">
        <v>367</v>
      </c>
      <c r="C229" s="16"/>
    </row>
    <row r="230">
      <c r="A230" s="16" t="s">
        <v>374</v>
      </c>
      <c r="B230" s="16" t="s">
        <v>367</v>
      </c>
      <c r="C230" s="16"/>
    </row>
    <row r="231">
      <c r="A231" s="16" t="s">
        <v>375</v>
      </c>
      <c r="B231" s="16" t="s">
        <v>367</v>
      </c>
      <c r="C231" s="16"/>
    </row>
    <row r="232">
      <c r="A232" s="16" t="s">
        <v>376</v>
      </c>
      <c r="B232" s="16" t="s">
        <v>367</v>
      </c>
      <c r="C232" s="16"/>
    </row>
    <row r="233">
      <c r="A233" s="16" t="s">
        <v>377</v>
      </c>
      <c r="B233" s="16" t="s">
        <v>367</v>
      </c>
      <c r="C233" s="16"/>
    </row>
    <row r="234">
      <c r="A234" s="16" t="s">
        <v>378</v>
      </c>
      <c r="B234" s="16" t="s">
        <v>367</v>
      </c>
      <c r="C234" s="16"/>
    </row>
    <row r="235">
      <c r="A235" s="16" t="s">
        <v>379</v>
      </c>
      <c r="B235" s="16" t="s">
        <v>367</v>
      </c>
      <c r="C235" s="16"/>
    </row>
    <row r="236">
      <c r="A236" s="16" t="s">
        <v>380</v>
      </c>
      <c r="B236" s="16" t="s">
        <v>367</v>
      </c>
      <c r="C236" s="16"/>
    </row>
    <row r="237">
      <c r="A237" s="16" t="s">
        <v>381</v>
      </c>
      <c r="B237" s="16" t="s">
        <v>367</v>
      </c>
      <c r="C237" s="16"/>
    </row>
    <row r="238">
      <c r="A238" s="116" t="s">
        <v>382</v>
      </c>
      <c r="B238" s="116" t="s">
        <v>367</v>
      </c>
      <c r="C238" s="116">
        <f>COUNTA(A223:A238)</f>
        <v>16</v>
      </c>
    </row>
    <row r="239">
      <c r="A239" s="16" t="s">
        <v>383</v>
      </c>
      <c r="B239" s="16" t="s">
        <v>384</v>
      </c>
      <c r="C239" s="16"/>
    </row>
    <row r="240">
      <c r="A240" s="116" t="s">
        <v>385</v>
      </c>
      <c r="B240" s="116" t="s">
        <v>384</v>
      </c>
      <c r="C240" s="116">
        <f>COUNTA(A239:A240)</f>
        <v>2</v>
      </c>
    </row>
    <row r="241">
      <c r="A241" s="116" t="s">
        <v>386</v>
      </c>
      <c r="B241" s="116" t="s">
        <v>387</v>
      </c>
      <c r="C241" s="116">
        <f>COUNTA(A241)</f>
        <v>1</v>
      </c>
    </row>
    <row r="242">
      <c r="A242" s="16" t="s">
        <v>388</v>
      </c>
      <c r="B242" s="16" t="s">
        <v>389</v>
      </c>
      <c r="C242" s="16"/>
    </row>
    <row r="243">
      <c r="A243" s="116" t="s">
        <v>390</v>
      </c>
      <c r="B243" s="116" t="s">
        <v>389</v>
      </c>
      <c r="C243" s="116">
        <f>COUNTA(A242:A243)</f>
        <v>2</v>
      </c>
    </row>
    <row r="244">
      <c r="A244" s="116" t="s">
        <v>391</v>
      </c>
      <c r="B244" s="116" t="s">
        <v>392</v>
      </c>
      <c r="C244" s="116">
        <f>COUNTA(A244)</f>
        <v>1</v>
      </c>
    </row>
    <row r="245">
      <c r="A245" s="16" t="s">
        <v>393</v>
      </c>
      <c r="B245" s="16" t="s">
        <v>394</v>
      </c>
      <c r="C245" s="16"/>
    </row>
    <row r="246">
      <c r="A246" s="16" t="s">
        <v>395</v>
      </c>
      <c r="B246" s="16" t="s">
        <v>394</v>
      </c>
      <c r="C246" s="16"/>
    </row>
    <row r="247">
      <c r="A247" s="16" t="s">
        <v>396</v>
      </c>
      <c r="B247" s="16" t="s">
        <v>394</v>
      </c>
      <c r="C247" s="16"/>
    </row>
    <row r="248">
      <c r="A248" s="16" t="s">
        <v>397</v>
      </c>
      <c r="B248" s="16" t="s">
        <v>394</v>
      </c>
      <c r="C248" s="16"/>
    </row>
    <row r="249">
      <c r="A249" s="16" t="s">
        <v>398</v>
      </c>
      <c r="B249" s="16" t="s">
        <v>394</v>
      </c>
      <c r="C249" s="16"/>
    </row>
    <row r="250">
      <c r="A250" s="116" t="s">
        <v>399</v>
      </c>
      <c r="B250" s="116" t="s">
        <v>394</v>
      </c>
      <c r="C250" s="116">
        <f>COUNTA(A245:A250)</f>
        <v>6</v>
      </c>
    </row>
    <row r="251">
      <c r="A251" s="16" t="s">
        <v>400</v>
      </c>
      <c r="B251" s="16" t="s">
        <v>50</v>
      </c>
      <c r="C251" s="16"/>
    </row>
    <row r="252">
      <c r="A252" s="16" t="s">
        <v>401</v>
      </c>
      <c r="B252" s="16" t="s">
        <v>50</v>
      </c>
      <c r="C252" s="16"/>
    </row>
    <row r="253">
      <c r="A253" s="16" t="s">
        <v>402</v>
      </c>
      <c r="B253" s="16" t="s">
        <v>50</v>
      </c>
      <c r="C253" s="16"/>
    </row>
    <row r="254">
      <c r="A254" s="16" t="s">
        <v>403</v>
      </c>
      <c r="B254" s="16" t="s">
        <v>50</v>
      </c>
      <c r="C254" s="16"/>
    </row>
    <row r="255">
      <c r="A255" s="16" t="s">
        <v>404</v>
      </c>
      <c r="B255" s="16" t="s">
        <v>50</v>
      </c>
      <c r="C255" s="16"/>
    </row>
    <row r="256">
      <c r="A256" s="16" t="s">
        <v>405</v>
      </c>
      <c r="B256" s="16" t="s">
        <v>50</v>
      </c>
      <c r="C256" s="16"/>
    </row>
    <row r="257">
      <c r="A257" s="11" t="s">
        <v>406</v>
      </c>
      <c r="B257" s="11" t="s">
        <v>50</v>
      </c>
      <c r="C257" s="16"/>
    </row>
    <row r="258">
      <c r="A258" s="16" t="s">
        <v>407</v>
      </c>
      <c r="B258" s="16" t="s">
        <v>50</v>
      </c>
      <c r="C258" s="16"/>
    </row>
    <row r="259">
      <c r="A259" s="16" t="s">
        <v>408</v>
      </c>
      <c r="B259" s="16" t="s">
        <v>50</v>
      </c>
      <c r="C259" s="16"/>
    </row>
    <row r="260">
      <c r="A260" s="16" t="s">
        <v>51</v>
      </c>
      <c r="B260" s="16" t="s">
        <v>50</v>
      </c>
      <c r="C260" s="16"/>
    </row>
    <row r="261">
      <c r="A261" s="16" t="s">
        <v>409</v>
      </c>
      <c r="B261" s="16" t="s">
        <v>50</v>
      </c>
      <c r="C261" s="16"/>
    </row>
    <row r="262">
      <c r="A262" s="16" t="s">
        <v>410</v>
      </c>
      <c r="B262" s="16" t="s">
        <v>50</v>
      </c>
      <c r="C262" s="16"/>
    </row>
    <row r="263">
      <c r="A263" s="16" t="s">
        <v>411</v>
      </c>
      <c r="B263" s="16" t="s">
        <v>50</v>
      </c>
      <c r="C263" s="16"/>
    </row>
    <row r="264">
      <c r="A264" s="16" t="s">
        <v>412</v>
      </c>
      <c r="B264" s="16" t="s">
        <v>50</v>
      </c>
      <c r="C264" s="16"/>
    </row>
    <row r="265">
      <c r="A265" s="16" t="s">
        <v>413</v>
      </c>
      <c r="B265" s="16" t="s">
        <v>50</v>
      </c>
      <c r="C265" s="16"/>
    </row>
    <row r="266">
      <c r="A266" s="16" t="s">
        <v>414</v>
      </c>
      <c r="B266" s="16" t="s">
        <v>50</v>
      </c>
      <c r="C266" s="16"/>
    </row>
    <row r="267">
      <c r="A267" s="16" t="s">
        <v>415</v>
      </c>
      <c r="B267" s="16" t="s">
        <v>50</v>
      </c>
      <c r="C267" s="16"/>
    </row>
    <row r="268">
      <c r="A268" s="16" t="s">
        <v>416</v>
      </c>
      <c r="B268" s="16" t="s">
        <v>50</v>
      </c>
      <c r="C268" s="16"/>
    </row>
    <row r="269">
      <c r="A269" s="16" t="s">
        <v>417</v>
      </c>
      <c r="B269" s="16" t="s">
        <v>50</v>
      </c>
      <c r="C269" s="16"/>
    </row>
    <row r="270">
      <c r="A270" s="16" t="s">
        <v>418</v>
      </c>
      <c r="B270" s="16" t="s">
        <v>50</v>
      </c>
      <c r="C270" s="16"/>
    </row>
    <row r="271">
      <c r="A271" s="16" t="s">
        <v>419</v>
      </c>
      <c r="B271" s="16" t="s">
        <v>50</v>
      </c>
      <c r="C271" s="16"/>
    </row>
    <row r="272">
      <c r="A272" s="122" t="s">
        <v>420</v>
      </c>
      <c r="B272" s="16" t="s">
        <v>50</v>
      </c>
      <c r="C272" s="16"/>
    </row>
    <row r="273">
      <c r="A273" s="16" t="s">
        <v>421</v>
      </c>
      <c r="B273" s="16" t="s">
        <v>50</v>
      </c>
      <c r="C273" s="16"/>
    </row>
    <row r="274">
      <c r="A274" s="16" t="s">
        <v>422</v>
      </c>
      <c r="B274" s="16" t="s">
        <v>50</v>
      </c>
      <c r="C274" s="16"/>
    </row>
    <row r="275">
      <c r="A275" s="16" t="s">
        <v>423</v>
      </c>
      <c r="B275" s="16" t="s">
        <v>50</v>
      </c>
      <c r="C275" s="16"/>
    </row>
    <row r="276">
      <c r="A276" s="16" t="s">
        <v>424</v>
      </c>
      <c r="B276" s="16" t="s">
        <v>50</v>
      </c>
      <c r="C276" s="16"/>
    </row>
    <row r="277">
      <c r="A277" s="16" t="s">
        <v>425</v>
      </c>
      <c r="B277" s="16" t="s">
        <v>50</v>
      </c>
      <c r="C277" s="16"/>
    </row>
    <row r="278">
      <c r="A278" s="16" t="s">
        <v>426</v>
      </c>
      <c r="B278" s="16" t="s">
        <v>50</v>
      </c>
      <c r="C278" s="16"/>
    </row>
    <row r="279">
      <c r="A279" s="26" t="s">
        <v>427</v>
      </c>
      <c r="B279" s="26" t="s">
        <v>50</v>
      </c>
      <c r="C279" s="16"/>
    </row>
    <row r="280">
      <c r="A280" s="16" t="s">
        <v>428</v>
      </c>
      <c r="B280" s="16" t="s">
        <v>50</v>
      </c>
      <c r="C280" s="16"/>
    </row>
    <row r="281">
      <c r="A281" s="16" t="s">
        <v>429</v>
      </c>
      <c r="B281" s="16" t="s">
        <v>50</v>
      </c>
      <c r="C281" s="16"/>
    </row>
    <row r="282">
      <c r="A282" s="16" t="s">
        <v>430</v>
      </c>
      <c r="B282" s="16" t="s">
        <v>50</v>
      </c>
      <c r="C282" s="16"/>
    </row>
    <row r="283">
      <c r="A283" s="26" t="s">
        <v>431</v>
      </c>
      <c r="B283" s="26" t="s">
        <v>50</v>
      </c>
      <c r="C283" s="16"/>
    </row>
    <row r="284">
      <c r="A284" s="16" t="s">
        <v>432</v>
      </c>
      <c r="B284" s="16" t="s">
        <v>50</v>
      </c>
      <c r="C284" s="16"/>
    </row>
    <row r="285">
      <c r="A285" s="16" t="s">
        <v>433</v>
      </c>
      <c r="B285" s="16" t="s">
        <v>50</v>
      </c>
      <c r="C285" s="16"/>
    </row>
    <row r="286">
      <c r="A286" s="16" t="s">
        <v>434</v>
      </c>
      <c r="B286" s="16" t="s">
        <v>50</v>
      </c>
      <c r="C286" s="16"/>
    </row>
    <row r="287">
      <c r="A287" s="121" t="s">
        <v>435</v>
      </c>
      <c r="B287" s="16" t="s">
        <v>50</v>
      </c>
      <c r="C287" s="16"/>
    </row>
    <row r="288">
      <c r="A288" s="16" t="s">
        <v>436</v>
      </c>
      <c r="B288" s="16" t="s">
        <v>50</v>
      </c>
      <c r="C288" s="16"/>
    </row>
    <row r="289">
      <c r="A289" s="16" t="s">
        <v>437</v>
      </c>
      <c r="B289" s="16" t="s">
        <v>50</v>
      </c>
      <c r="C289" s="16"/>
    </row>
    <row r="290">
      <c r="A290" s="16" t="s">
        <v>438</v>
      </c>
      <c r="B290" s="16" t="s">
        <v>50</v>
      </c>
      <c r="C290" s="16"/>
    </row>
    <row r="291">
      <c r="A291" s="16" t="s">
        <v>439</v>
      </c>
      <c r="B291" s="16" t="s">
        <v>50</v>
      </c>
      <c r="C291" s="16"/>
    </row>
    <row r="292">
      <c r="A292" s="16" t="s">
        <v>440</v>
      </c>
      <c r="B292" s="16" t="s">
        <v>50</v>
      </c>
      <c r="C292" s="16"/>
    </row>
    <row r="293">
      <c r="A293" s="16" t="s">
        <v>441</v>
      </c>
      <c r="B293" s="16" t="s">
        <v>50</v>
      </c>
      <c r="C293" s="16"/>
    </row>
    <row r="294">
      <c r="A294" s="16" t="s">
        <v>442</v>
      </c>
      <c r="B294" s="16" t="s">
        <v>50</v>
      </c>
      <c r="C294" s="16"/>
    </row>
    <row r="295">
      <c r="A295" s="121" t="s">
        <v>443</v>
      </c>
      <c r="B295" s="16" t="s">
        <v>50</v>
      </c>
      <c r="C295" s="16"/>
    </row>
    <row r="296">
      <c r="A296" s="16" t="s">
        <v>444</v>
      </c>
      <c r="B296" s="16" t="s">
        <v>50</v>
      </c>
      <c r="C296" s="16"/>
    </row>
    <row r="297">
      <c r="A297" s="16" t="s">
        <v>445</v>
      </c>
      <c r="B297" s="16" t="s">
        <v>50</v>
      </c>
      <c r="C297" s="16"/>
    </row>
    <row r="298">
      <c r="A298" s="16" t="s">
        <v>446</v>
      </c>
      <c r="B298" s="16" t="s">
        <v>50</v>
      </c>
      <c r="C298" s="16"/>
    </row>
    <row r="299">
      <c r="A299" s="116" t="s">
        <v>447</v>
      </c>
      <c r="B299" s="116" t="s">
        <v>50</v>
      </c>
      <c r="C299" s="116">
        <f>COUNTA(A251:A299)</f>
        <v>49</v>
      </c>
    </row>
    <row r="300">
      <c r="A300" s="16" t="s">
        <v>448</v>
      </c>
      <c r="B300" s="16" t="s">
        <v>449</v>
      </c>
      <c r="C300" s="16"/>
    </row>
    <row r="301">
      <c r="A301" s="116" t="s">
        <v>450</v>
      </c>
      <c r="B301" s="116" t="s">
        <v>449</v>
      </c>
      <c r="C301" s="116">
        <f>COUNTA(A300:A301)</f>
        <v>2</v>
      </c>
    </row>
    <row r="302">
      <c r="A302" s="116" t="s">
        <v>451</v>
      </c>
      <c r="B302" s="116" t="s">
        <v>452</v>
      </c>
      <c r="C302" s="116">
        <f t="shared" ref="C302:C304" si="2">COUNTA(A302)</f>
        <v>1</v>
      </c>
    </row>
    <row r="303">
      <c r="A303" s="123" t="s">
        <v>453</v>
      </c>
      <c r="B303" s="116" t="s">
        <v>454</v>
      </c>
      <c r="C303" s="116">
        <f t="shared" si="2"/>
        <v>1</v>
      </c>
    </row>
    <row r="304">
      <c r="A304" s="116" t="s">
        <v>455</v>
      </c>
      <c r="B304" s="116" t="s">
        <v>456</v>
      </c>
      <c r="C304" s="116">
        <f t="shared" si="2"/>
        <v>1</v>
      </c>
    </row>
    <row r="305">
      <c r="A305" s="16" t="s">
        <v>457</v>
      </c>
      <c r="B305" s="16" t="s">
        <v>53</v>
      </c>
      <c r="C305" s="16"/>
    </row>
    <row r="306">
      <c r="A306" s="16" t="s">
        <v>458</v>
      </c>
      <c r="B306" s="16" t="s">
        <v>53</v>
      </c>
      <c r="C306" s="16"/>
    </row>
    <row r="307">
      <c r="A307" s="16" t="s">
        <v>459</v>
      </c>
      <c r="B307" s="16" t="s">
        <v>53</v>
      </c>
      <c r="C307" s="16"/>
    </row>
    <row r="308">
      <c r="A308" s="16" t="s">
        <v>54</v>
      </c>
      <c r="B308" s="16" t="s">
        <v>53</v>
      </c>
      <c r="C308" s="16"/>
    </row>
    <row r="309">
      <c r="A309" s="16" t="s">
        <v>460</v>
      </c>
      <c r="B309" s="16" t="s">
        <v>53</v>
      </c>
      <c r="C309" s="16"/>
    </row>
    <row r="310">
      <c r="A310" s="16" t="s">
        <v>461</v>
      </c>
      <c r="B310" s="16" t="s">
        <v>53</v>
      </c>
      <c r="C310" s="16"/>
    </row>
    <row r="311">
      <c r="A311" s="116" t="s">
        <v>462</v>
      </c>
      <c r="B311" s="116" t="s">
        <v>53</v>
      </c>
      <c r="C311" s="116">
        <f>COUNTA(A305:A311)</f>
        <v>7</v>
      </c>
    </row>
    <row r="312">
      <c r="A312" s="116" t="s">
        <v>463</v>
      </c>
      <c r="B312" s="116" t="s">
        <v>464</v>
      </c>
      <c r="C312" s="116">
        <f t="shared" ref="C312:C315" si="3">COUNTA(A312)</f>
        <v>1</v>
      </c>
    </row>
    <row r="313">
      <c r="A313" s="116" t="s">
        <v>465</v>
      </c>
      <c r="B313" s="116" t="s">
        <v>466</v>
      </c>
      <c r="C313" s="116">
        <f t="shared" si="3"/>
        <v>1</v>
      </c>
    </row>
    <row r="314">
      <c r="A314" s="116" t="s">
        <v>467</v>
      </c>
      <c r="B314" s="116" t="s">
        <v>468</v>
      </c>
      <c r="C314" s="116">
        <f t="shared" si="3"/>
        <v>1</v>
      </c>
    </row>
    <row r="315">
      <c r="A315" s="116" t="s">
        <v>469</v>
      </c>
      <c r="B315" s="116" t="s">
        <v>470</v>
      </c>
      <c r="C315" s="116">
        <f t="shared" si="3"/>
        <v>1</v>
      </c>
    </row>
    <row r="316">
      <c r="A316" s="16" t="s">
        <v>471</v>
      </c>
      <c r="B316" s="16" t="s">
        <v>472</v>
      </c>
      <c r="C316" s="16"/>
    </row>
    <row r="317">
      <c r="A317" s="16" t="s">
        <v>473</v>
      </c>
      <c r="B317" s="16" t="s">
        <v>472</v>
      </c>
      <c r="C317" s="16"/>
    </row>
    <row r="318">
      <c r="A318" s="16" t="s">
        <v>474</v>
      </c>
      <c r="B318" s="16" t="s">
        <v>472</v>
      </c>
      <c r="C318" s="16"/>
    </row>
    <row r="319">
      <c r="A319" s="16" t="s">
        <v>475</v>
      </c>
      <c r="B319" s="16" t="s">
        <v>472</v>
      </c>
      <c r="C319" s="16"/>
    </row>
    <row r="320">
      <c r="A320" s="16" t="s">
        <v>476</v>
      </c>
      <c r="B320" s="16" t="s">
        <v>472</v>
      </c>
      <c r="C320" s="16"/>
    </row>
    <row r="321">
      <c r="A321" s="16" t="s">
        <v>477</v>
      </c>
      <c r="B321" s="16" t="s">
        <v>472</v>
      </c>
      <c r="C321" s="16"/>
    </row>
    <row r="322">
      <c r="A322" s="16" t="s">
        <v>478</v>
      </c>
      <c r="B322" s="16" t="s">
        <v>472</v>
      </c>
      <c r="C322" s="16"/>
    </row>
    <row r="323">
      <c r="A323" s="16" t="s">
        <v>479</v>
      </c>
      <c r="B323" s="16" t="s">
        <v>472</v>
      </c>
      <c r="C323" s="16"/>
    </row>
    <row r="324">
      <c r="A324" s="16" t="s">
        <v>480</v>
      </c>
      <c r="B324" s="16" t="s">
        <v>472</v>
      </c>
      <c r="C324" s="16"/>
    </row>
    <row r="325">
      <c r="A325" s="16" t="s">
        <v>481</v>
      </c>
      <c r="B325" s="16" t="s">
        <v>472</v>
      </c>
      <c r="C325" s="16"/>
    </row>
    <row r="326">
      <c r="A326" s="16" t="s">
        <v>482</v>
      </c>
      <c r="B326" s="16" t="s">
        <v>472</v>
      </c>
      <c r="C326" s="16"/>
    </row>
    <row r="327">
      <c r="A327" s="26" t="s">
        <v>483</v>
      </c>
      <c r="B327" s="16" t="s">
        <v>472</v>
      </c>
      <c r="C327" s="16"/>
    </row>
    <row r="328">
      <c r="A328" s="16" t="s">
        <v>484</v>
      </c>
      <c r="B328" s="16" t="s">
        <v>472</v>
      </c>
      <c r="C328" s="16"/>
    </row>
    <row r="329">
      <c r="A329" s="16" t="s">
        <v>485</v>
      </c>
      <c r="B329" s="16" t="s">
        <v>472</v>
      </c>
      <c r="C329" s="16"/>
    </row>
    <row r="330">
      <c r="A330" s="116" t="s">
        <v>486</v>
      </c>
      <c r="B330" s="116" t="s">
        <v>472</v>
      </c>
      <c r="C330" s="116">
        <f>COUNTA(A316:A330)</f>
        <v>15</v>
      </c>
    </row>
    <row r="331">
      <c r="A331" s="26" t="s">
        <v>487</v>
      </c>
      <c r="B331" s="26" t="s">
        <v>488</v>
      </c>
      <c r="C331" s="16"/>
    </row>
    <row r="332">
      <c r="A332" s="116" t="s">
        <v>489</v>
      </c>
      <c r="B332" s="116" t="s">
        <v>488</v>
      </c>
      <c r="C332" s="116">
        <f>COUNTA(A331:A332)</f>
        <v>2</v>
      </c>
    </row>
    <row r="333">
      <c r="A333" s="16" t="s">
        <v>490</v>
      </c>
      <c r="B333" s="124" t="s">
        <v>491</v>
      </c>
      <c r="C333" s="124"/>
    </row>
    <row r="334">
      <c r="A334" s="116" t="s">
        <v>492</v>
      </c>
      <c r="B334" s="125" t="s">
        <v>491</v>
      </c>
      <c r="C334" s="116">
        <f>COUNTA(A333:A334)</f>
        <v>2</v>
      </c>
    </row>
    <row r="335">
      <c r="A335" s="16" t="s">
        <v>493</v>
      </c>
      <c r="B335" s="16" t="s">
        <v>494</v>
      </c>
      <c r="C335" s="16"/>
    </row>
    <row r="336">
      <c r="A336" s="16" t="s">
        <v>495</v>
      </c>
      <c r="B336" s="16" t="s">
        <v>494</v>
      </c>
      <c r="C336" s="16"/>
    </row>
    <row r="337">
      <c r="A337" s="16" t="s">
        <v>496</v>
      </c>
      <c r="B337" s="16" t="s">
        <v>494</v>
      </c>
      <c r="C337" s="16"/>
    </row>
    <row r="338">
      <c r="A338" s="126" t="s">
        <v>497</v>
      </c>
      <c r="B338" s="16" t="s">
        <v>494</v>
      </c>
      <c r="C338" s="16"/>
    </row>
    <row r="339">
      <c r="A339" s="127" t="s">
        <v>498</v>
      </c>
      <c r="B339" s="16" t="s">
        <v>494</v>
      </c>
      <c r="C339" s="16"/>
    </row>
    <row r="340">
      <c r="A340" s="16" t="s">
        <v>499</v>
      </c>
      <c r="B340" s="16" t="s">
        <v>494</v>
      </c>
      <c r="C340" s="16"/>
    </row>
    <row r="341">
      <c r="A341" s="116" t="s">
        <v>500</v>
      </c>
      <c r="B341" s="116" t="s">
        <v>494</v>
      </c>
      <c r="C341" s="116">
        <f>COUNTA(A335:A341)</f>
        <v>7</v>
      </c>
    </row>
    <row r="342">
      <c r="A342" s="16" t="s">
        <v>501</v>
      </c>
      <c r="B342" s="16" t="s">
        <v>502</v>
      </c>
      <c r="C342" s="16"/>
    </row>
    <row r="343">
      <c r="A343" s="16" t="s">
        <v>503</v>
      </c>
      <c r="B343" s="16" t="s">
        <v>502</v>
      </c>
      <c r="C343" s="16"/>
    </row>
    <row r="344">
      <c r="A344" s="16" t="s">
        <v>504</v>
      </c>
      <c r="B344" s="16" t="s">
        <v>502</v>
      </c>
      <c r="C344" s="16"/>
    </row>
    <row r="345">
      <c r="A345" s="26" t="s">
        <v>505</v>
      </c>
      <c r="B345" s="26" t="s">
        <v>502</v>
      </c>
      <c r="C345" s="16"/>
    </row>
    <row r="346">
      <c r="A346" s="116" t="s">
        <v>506</v>
      </c>
      <c r="B346" s="116" t="s">
        <v>502</v>
      </c>
      <c r="C346" s="116">
        <f>COUNTA(A342:A346)</f>
        <v>5</v>
      </c>
    </row>
    <row r="347">
      <c r="A347" s="16" t="s">
        <v>507</v>
      </c>
      <c r="B347" s="16" t="s">
        <v>508</v>
      </c>
      <c r="C347" s="16"/>
    </row>
    <row r="348">
      <c r="A348" s="116" t="s">
        <v>509</v>
      </c>
      <c r="B348" s="116" t="s">
        <v>508</v>
      </c>
      <c r="C348" s="116">
        <f>COUNTA(A347:A348)</f>
        <v>2</v>
      </c>
    </row>
    <row r="349">
      <c r="A349" s="116" t="s">
        <v>510</v>
      </c>
      <c r="B349" s="116" t="s">
        <v>511</v>
      </c>
      <c r="C349" s="116">
        <f t="shared" ref="C349:C350" si="4">COUNTA(A349)</f>
        <v>1</v>
      </c>
    </row>
    <row r="350">
      <c r="A350" s="116" t="s">
        <v>512</v>
      </c>
      <c r="B350" s="116" t="s">
        <v>513</v>
      </c>
      <c r="C350" s="116">
        <f t="shared" si="4"/>
        <v>1</v>
      </c>
    </row>
    <row r="351">
      <c r="A351" s="16" t="s">
        <v>514</v>
      </c>
      <c r="B351" s="16" t="s">
        <v>515</v>
      </c>
      <c r="C351" s="16"/>
    </row>
    <row r="352">
      <c r="A352" s="16" t="s">
        <v>516</v>
      </c>
      <c r="B352" s="16" t="s">
        <v>515</v>
      </c>
      <c r="C352" s="16"/>
    </row>
    <row r="353">
      <c r="A353" s="16" t="s">
        <v>517</v>
      </c>
      <c r="B353" s="16" t="s">
        <v>515</v>
      </c>
      <c r="C353" s="16"/>
    </row>
    <row r="354">
      <c r="A354" s="16" t="s">
        <v>518</v>
      </c>
      <c r="B354" s="16" t="s">
        <v>515</v>
      </c>
      <c r="C354" s="16"/>
    </row>
    <row r="355">
      <c r="A355" s="16" t="s">
        <v>519</v>
      </c>
      <c r="B355" s="16" t="s">
        <v>515</v>
      </c>
      <c r="C355" s="16"/>
    </row>
    <row r="356">
      <c r="A356" s="16" t="s">
        <v>520</v>
      </c>
      <c r="B356" s="16" t="s">
        <v>515</v>
      </c>
      <c r="C356" s="16"/>
    </row>
    <row r="357">
      <c r="A357" s="16" t="s">
        <v>521</v>
      </c>
      <c r="B357" s="16" t="s">
        <v>515</v>
      </c>
      <c r="C357" s="16"/>
    </row>
    <row r="358">
      <c r="A358" s="16" t="s">
        <v>522</v>
      </c>
      <c r="B358" s="16" t="s">
        <v>515</v>
      </c>
      <c r="C358" s="16"/>
    </row>
    <row r="359">
      <c r="A359" s="16" t="s">
        <v>523</v>
      </c>
      <c r="B359" s="16" t="s">
        <v>515</v>
      </c>
      <c r="C359" s="16"/>
    </row>
    <row r="360">
      <c r="A360" s="16" t="s">
        <v>524</v>
      </c>
      <c r="B360" s="16" t="s">
        <v>515</v>
      </c>
      <c r="C360" s="16"/>
    </row>
    <row r="361">
      <c r="A361" s="116" t="s">
        <v>525</v>
      </c>
      <c r="B361" s="116" t="s">
        <v>515</v>
      </c>
      <c r="C361" s="116">
        <f>COUNTA(A351:A361)</f>
        <v>11</v>
      </c>
    </row>
    <row r="362">
      <c r="A362" s="16" t="s">
        <v>526</v>
      </c>
      <c r="B362" s="16" t="s">
        <v>527</v>
      </c>
      <c r="C362" s="16"/>
    </row>
    <row r="363">
      <c r="A363" s="16" t="s">
        <v>528</v>
      </c>
      <c r="B363" s="16" t="s">
        <v>527</v>
      </c>
      <c r="C363" s="16"/>
    </row>
    <row r="364">
      <c r="A364" s="16" t="s">
        <v>529</v>
      </c>
      <c r="B364" s="16" t="s">
        <v>527</v>
      </c>
      <c r="C364" s="16"/>
    </row>
    <row r="365">
      <c r="A365" s="16" t="s">
        <v>530</v>
      </c>
      <c r="B365" s="16" t="s">
        <v>527</v>
      </c>
      <c r="C365" s="16"/>
    </row>
    <row r="366">
      <c r="A366" s="16" t="s">
        <v>531</v>
      </c>
      <c r="B366" s="16" t="s">
        <v>527</v>
      </c>
      <c r="C366" s="16"/>
    </row>
    <row r="367">
      <c r="A367" s="16" t="s">
        <v>532</v>
      </c>
      <c r="B367" s="16" t="s">
        <v>527</v>
      </c>
      <c r="C367" s="16"/>
    </row>
    <row r="368">
      <c r="A368" s="16" t="s">
        <v>533</v>
      </c>
      <c r="B368" s="16" t="s">
        <v>527</v>
      </c>
      <c r="C368" s="16"/>
    </row>
    <row r="369">
      <c r="A369" s="16" t="s">
        <v>534</v>
      </c>
      <c r="B369" s="16" t="s">
        <v>527</v>
      </c>
      <c r="C369" s="16"/>
    </row>
    <row r="370">
      <c r="A370" s="16" t="s">
        <v>535</v>
      </c>
      <c r="B370" s="16" t="s">
        <v>527</v>
      </c>
      <c r="C370" s="16"/>
    </row>
    <row r="371">
      <c r="A371" s="16" t="s">
        <v>536</v>
      </c>
      <c r="B371" s="16" t="s">
        <v>527</v>
      </c>
      <c r="C371" s="16"/>
    </row>
    <row r="372">
      <c r="A372" s="16" t="s">
        <v>537</v>
      </c>
      <c r="B372" s="16" t="s">
        <v>527</v>
      </c>
      <c r="C372" s="16"/>
    </row>
    <row r="373">
      <c r="A373" s="16" t="s">
        <v>538</v>
      </c>
      <c r="B373" s="16" t="s">
        <v>527</v>
      </c>
      <c r="C373" s="16"/>
    </row>
    <row r="374">
      <c r="A374" s="16" t="s">
        <v>539</v>
      </c>
      <c r="B374" s="16" t="s">
        <v>527</v>
      </c>
      <c r="C374" s="16"/>
    </row>
    <row r="375">
      <c r="A375" s="16" t="s">
        <v>540</v>
      </c>
      <c r="B375" s="16" t="s">
        <v>527</v>
      </c>
      <c r="C375" s="16"/>
    </row>
    <row r="376">
      <c r="A376" s="16" t="s">
        <v>541</v>
      </c>
      <c r="B376" s="16" t="s">
        <v>527</v>
      </c>
      <c r="C376" s="16"/>
    </row>
    <row r="377">
      <c r="A377" s="16" t="s">
        <v>542</v>
      </c>
      <c r="B377" s="16" t="s">
        <v>527</v>
      </c>
      <c r="C377" s="16"/>
    </row>
    <row r="378">
      <c r="A378" s="16" t="s">
        <v>543</v>
      </c>
      <c r="B378" s="16" t="s">
        <v>527</v>
      </c>
      <c r="C378" s="16"/>
    </row>
    <row r="379">
      <c r="A379" s="16" t="s">
        <v>544</v>
      </c>
      <c r="B379" s="16" t="s">
        <v>527</v>
      </c>
      <c r="C379" s="16"/>
    </row>
    <row r="380">
      <c r="A380" s="16" t="s">
        <v>545</v>
      </c>
      <c r="B380" s="16" t="s">
        <v>527</v>
      </c>
      <c r="C380" s="16"/>
    </row>
    <row r="381">
      <c r="A381" s="16" t="s">
        <v>546</v>
      </c>
      <c r="B381" s="16" t="s">
        <v>527</v>
      </c>
      <c r="C381" s="16"/>
    </row>
    <row r="382">
      <c r="A382" s="16" t="s">
        <v>547</v>
      </c>
      <c r="B382" s="16" t="s">
        <v>527</v>
      </c>
      <c r="C382" s="16"/>
    </row>
    <row r="383">
      <c r="A383" s="16" t="s">
        <v>548</v>
      </c>
      <c r="B383" s="16" t="s">
        <v>527</v>
      </c>
      <c r="C383" s="16"/>
    </row>
    <row r="384">
      <c r="A384" s="16" t="s">
        <v>549</v>
      </c>
      <c r="B384" s="16" t="s">
        <v>527</v>
      </c>
      <c r="C384" s="16"/>
    </row>
    <row r="385">
      <c r="A385" s="16" t="s">
        <v>550</v>
      </c>
      <c r="B385" s="16" t="s">
        <v>527</v>
      </c>
      <c r="C385" s="16"/>
    </row>
    <row r="386">
      <c r="A386" s="116" t="s">
        <v>551</v>
      </c>
      <c r="B386" s="116" t="s">
        <v>527</v>
      </c>
      <c r="C386" s="116">
        <f>COUNTA(A362:A386)</f>
        <v>25</v>
      </c>
    </row>
    <row r="387">
      <c r="A387" s="116" t="s">
        <v>552</v>
      </c>
      <c r="B387" s="116" t="s">
        <v>553</v>
      </c>
      <c r="C387" s="116">
        <f t="shared" ref="C387:C389" si="5">COUNTA(A387)</f>
        <v>1</v>
      </c>
    </row>
    <row r="388">
      <c r="A388" s="116" t="s">
        <v>554</v>
      </c>
      <c r="B388" s="116" t="s">
        <v>555</v>
      </c>
      <c r="C388" s="116">
        <f t="shared" si="5"/>
        <v>1</v>
      </c>
    </row>
    <row r="389">
      <c r="A389" s="122" t="s">
        <v>556</v>
      </c>
      <c r="B389" s="128" t="s">
        <v>557</v>
      </c>
      <c r="C389" s="16">
        <f t="shared" si="5"/>
        <v>1</v>
      </c>
    </row>
    <row r="390">
      <c r="A390" s="16" t="s">
        <v>558</v>
      </c>
      <c r="B390" s="16" t="s">
        <v>559</v>
      </c>
      <c r="C390" s="16"/>
    </row>
    <row r="391">
      <c r="A391" s="16" t="s">
        <v>560</v>
      </c>
      <c r="B391" s="16" t="s">
        <v>559</v>
      </c>
      <c r="C391" s="16"/>
    </row>
    <row r="392">
      <c r="A392" s="116" t="s">
        <v>561</v>
      </c>
      <c r="B392" s="116" t="s">
        <v>559</v>
      </c>
      <c r="C392" s="116">
        <f>COUNTA(A390:A392)</f>
        <v>3</v>
      </c>
    </row>
    <row r="393">
      <c r="A393" s="16" t="s">
        <v>562</v>
      </c>
      <c r="B393" s="16" t="s">
        <v>56</v>
      </c>
      <c r="C393" s="16"/>
    </row>
    <row r="394">
      <c r="A394" s="16" t="s">
        <v>563</v>
      </c>
      <c r="B394" s="16" t="s">
        <v>56</v>
      </c>
      <c r="C394" s="16"/>
    </row>
    <row r="395">
      <c r="A395" s="16" t="s">
        <v>564</v>
      </c>
      <c r="B395" s="16" t="s">
        <v>56</v>
      </c>
      <c r="C395" s="16"/>
    </row>
    <row r="396">
      <c r="A396" s="16" t="s">
        <v>565</v>
      </c>
      <c r="B396" s="16" t="s">
        <v>56</v>
      </c>
      <c r="C396" s="16"/>
    </row>
    <row r="397">
      <c r="A397" s="16" t="s">
        <v>566</v>
      </c>
      <c r="B397" s="16" t="s">
        <v>56</v>
      </c>
      <c r="C397" s="16"/>
    </row>
    <row r="398">
      <c r="A398" s="16" t="s">
        <v>567</v>
      </c>
      <c r="B398" s="16" t="s">
        <v>56</v>
      </c>
      <c r="C398" s="16"/>
    </row>
    <row r="399">
      <c r="A399" s="16" t="s">
        <v>568</v>
      </c>
      <c r="B399" s="16" t="s">
        <v>56</v>
      </c>
      <c r="C399" s="16"/>
    </row>
    <row r="400">
      <c r="A400" s="121" t="s">
        <v>569</v>
      </c>
      <c r="B400" s="16" t="s">
        <v>56</v>
      </c>
      <c r="C400" s="16"/>
    </row>
    <row r="401">
      <c r="A401" s="16" t="s">
        <v>570</v>
      </c>
      <c r="B401" s="16" t="s">
        <v>56</v>
      </c>
      <c r="C401" s="16"/>
    </row>
    <row r="402">
      <c r="A402" s="16" t="s">
        <v>571</v>
      </c>
      <c r="B402" s="16" t="s">
        <v>56</v>
      </c>
      <c r="C402" s="16"/>
    </row>
    <row r="403">
      <c r="A403" s="16" t="s">
        <v>572</v>
      </c>
      <c r="B403" s="16" t="s">
        <v>56</v>
      </c>
      <c r="C403" s="16"/>
    </row>
    <row r="404">
      <c r="A404" s="16" t="s">
        <v>573</v>
      </c>
      <c r="B404" s="16" t="s">
        <v>56</v>
      </c>
      <c r="C404" s="16"/>
    </row>
    <row r="405">
      <c r="A405" s="16" t="s">
        <v>574</v>
      </c>
      <c r="B405" s="16" t="s">
        <v>56</v>
      </c>
      <c r="C405" s="16"/>
    </row>
    <row r="406">
      <c r="A406" s="16" t="s">
        <v>575</v>
      </c>
      <c r="B406" s="16" t="s">
        <v>56</v>
      </c>
      <c r="C406" s="16"/>
    </row>
    <row r="407">
      <c r="A407" s="16" t="s">
        <v>576</v>
      </c>
      <c r="B407" s="16" t="s">
        <v>56</v>
      </c>
      <c r="C407" s="16"/>
    </row>
    <row r="408">
      <c r="A408" s="16" t="s">
        <v>577</v>
      </c>
      <c r="B408" s="16" t="s">
        <v>56</v>
      </c>
      <c r="C408" s="16"/>
    </row>
    <row r="409">
      <c r="A409" s="16" t="s">
        <v>578</v>
      </c>
      <c r="B409" s="16" t="s">
        <v>56</v>
      </c>
      <c r="C409" s="16"/>
    </row>
    <row r="410">
      <c r="A410" s="16" t="s">
        <v>579</v>
      </c>
      <c r="B410" s="16" t="s">
        <v>56</v>
      </c>
      <c r="C410" s="16"/>
    </row>
    <row r="411">
      <c r="A411" s="16" t="s">
        <v>580</v>
      </c>
      <c r="B411" s="16" t="s">
        <v>56</v>
      </c>
      <c r="C411" s="16"/>
    </row>
    <row r="412">
      <c r="A412" s="121" t="s">
        <v>581</v>
      </c>
      <c r="B412" s="16" t="s">
        <v>56</v>
      </c>
      <c r="C412" s="16"/>
    </row>
    <row r="413">
      <c r="A413" s="16" t="s">
        <v>582</v>
      </c>
      <c r="B413" s="16" t="s">
        <v>56</v>
      </c>
      <c r="C413" s="16"/>
    </row>
    <row r="414">
      <c r="A414" s="26" t="s">
        <v>583</v>
      </c>
      <c r="B414" s="26" t="s">
        <v>56</v>
      </c>
      <c r="C414" s="16"/>
    </row>
    <row r="415">
      <c r="A415" s="16" t="s">
        <v>584</v>
      </c>
      <c r="B415" s="16" t="s">
        <v>56</v>
      </c>
      <c r="C415" s="16"/>
    </row>
    <row r="416">
      <c r="A416" s="16" t="s">
        <v>585</v>
      </c>
      <c r="B416" s="16" t="s">
        <v>56</v>
      </c>
      <c r="C416" s="16"/>
    </row>
    <row r="417">
      <c r="A417" s="121" t="s">
        <v>586</v>
      </c>
      <c r="B417" s="121" t="s">
        <v>56</v>
      </c>
      <c r="C417" s="16"/>
    </row>
    <row r="418">
      <c r="A418" s="129" t="s">
        <v>587</v>
      </c>
      <c r="B418" s="121" t="s">
        <v>56</v>
      </c>
      <c r="C418" s="16"/>
    </row>
    <row r="419">
      <c r="A419" s="16" t="s">
        <v>588</v>
      </c>
      <c r="B419" s="16" t="s">
        <v>56</v>
      </c>
      <c r="C419" s="16"/>
    </row>
    <row r="420">
      <c r="A420" s="16" t="s">
        <v>589</v>
      </c>
      <c r="B420" s="16" t="s">
        <v>56</v>
      </c>
      <c r="C420" s="16"/>
    </row>
    <row r="421">
      <c r="A421" s="16" t="s">
        <v>590</v>
      </c>
      <c r="B421" s="16" t="s">
        <v>56</v>
      </c>
      <c r="C421" s="16"/>
    </row>
    <row r="422">
      <c r="A422" s="16" t="s">
        <v>591</v>
      </c>
      <c r="B422" s="16" t="s">
        <v>56</v>
      </c>
      <c r="C422" s="16"/>
    </row>
    <row r="423">
      <c r="A423" s="16" t="s">
        <v>592</v>
      </c>
      <c r="B423" s="16" t="s">
        <v>56</v>
      </c>
      <c r="C423" s="16"/>
    </row>
    <row r="424">
      <c r="A424" s="16" t="s">
        <v>593</v>
      </c>
      <c r="B424" s="16" t="s">
        <v>56</v>
      </c>
      <c r="C424" s="16"/>
    </row>
    <row r="425">
      <c r="A425" s="16" t="s">
        <v>594</v>
      </c>
      <c r="B425" s="16" t="s">
        <v>56</v>
      </c>
      <c r="C425" s="16"/>
    </row>
    <row r="426">
      <c r="A426" s="16" t="s">
        <v>595</v>
      </c>
      <c r="B426" s="16" t="s">
        <v>56</v>
      </c>
      <c r="C426" s="16"/>
    </row>
    <row r="427">
      <c r="A427" s="16" t="s">
        <v>596</v>
      </c>
      <c r="B427" s="16" t="s">
        <v>56</v>
      </c>
      <c r="C427" s="16"/>
    </row>
    <row r="428">
      <c r="A428" s="16" t="s">
        <v>597</v>
      </c>
      <c r="B428" s="16" t="s">
        <v>56</v>
      </c>
      <c r="C428" s="16"/>
    </row>
    <row r="429">
      <c r="A429" s="16" t="s">
        <v>598</v>
      </c>
      <c r="B429" s="16" t="s">
        <v>56</v>
      </c>
      <c r="C429" s="16"/>
    </row>
    <row r="430">
      <c r="A430" s="16" t="s">
        <v>599</v>
      </c>
      <c r="B430" s="16" t="s">
        <v>56</v>
      </c>
      <c r="C430" s="16"/>
    </row>
    <row r="431">
      <c r="A431" s="16" t="s">
        <v>600</v>
      </c>
      <c r="B431" s="16" t="s">
        <v>56</v>
      </c>
      <c r="C431" s="16"/>
    </row>
    <row r="432">
      <c r="A432" s="16" t="s">
        <v>601</v>
      </c>
      <c r="B432" s="16" t="s">
        <v>56</v>
      </c>
      <c r="C432" s="16"/>
    </row>
    <row r="433">
      <c r="A433" s="16" t="s">
        <v>602</v>
      </c>
      <c r="B433" s="16" t="s">
        <v>56</v>
      </c>
      <c r="C433" s="16"/>
    </row>
    <row r="434">
      <c r="A434" s="16" t="s">
        <v>603</v>
      </c>
      <c r="B434" s="16" t="s">
        <v>56</v>
      </c>
      <c r="C434" s="16"/>
    </row>
    <row r="435">
      <c r="A435" s="16" t="s">
        <v>604</v>
      </c>
      <c r="B435" s="16" t="s">
        <v>56</v>
      </c>
      <c r="C435" s="16"/>
    </row>
    <row r="436">
      <c r="A436" s="16" t="s">
        <v>605</v>
      </c>
      <c r="B436" s="16" t="s">
        <v>56</v>
      </c>
      <c r="C436" s="16"/>
    </row>
    <row r="437">
      <c r="A437" s="16" t="s">
        <v>606</v>
      </c>
      <c r="B437" s="16" t="s">
        <v>56</v>
      </c>
      <c r="C437" s="16"/>
    </row>
    <row r="438">
      <c r="A438" s="16" t="s">
        <v>607</v>
      </c>
      <c r="B438" s="16" t="s">
        <v>56</v>
      </c>
      <c r="C438" s="16"/>
    </row>
    <row r="439">
      <c r="A439" s="16" t="s">
        <v>608</v>
      </c>
      <c r="B439" s="16" t="s">
        <v>56</v>
      </c>
      <c r="C439" s="16"/>
    </row>
    <row r="440">
      <c r="A440" s="16" t="s">
        <v>609</v>
      </c>
      <c r="B440" s="16" t="s">
        <v>56</v>
      </c>
      <c r="C440" s="16"/>
    </row>
    <row r="441">
      <c r="A441" s="16" t="s">
        <v>610</v>
      </c>
      <c r="B441" s="16" t="s">
        <v>56</v>
      </c>
      <c r="C441" s="16"/>
    </row>
    <row r="442">
      <c r="A442" s="16" t="s">
        <v>611</v>
      </c>
      <c r="B442" s="16" t="s">
        <v>56</v>
      </c>
      <c r="C442" s="16"/>
    </row>
    <row r="443">
      <c r="A443" s="16" t="s">
        <v>612</v>
      </c>
      <c r="B443" s="16" t="s">
        <v>56</v>
      </c>
      <c r="C443" s="16"/>
    </row>
    <row r="444">
      <c r="A444" s="16" t="s">
        <v>613</v>
      </c>
      <c r="B444" s="16" t="s">
        <v>56</v>
      </c>
      <c r="C444" s="16"/>
    </row>
    <row r="445">
      <c r="A445" s="16" t="s">
        <v>614</v>
      </c>
      <c r="B445" s="16" t="s">
        <v>56</v>
      </c>
      <c r="C445" s="16"/>
    </row>
    <row r="446">
      <c r="A446" s="16" t="s">
        <v>615</v>
      </c>
      <c r="B446" s="16" t="s">
        <v>56</v>
      </c>
      <c r="C446" s="16"/>
    </row>
    <row r="447">
      <c r="A447" s="16" t="s">
        <v>616</v>
      </c>
      <c r="B447" s="16" t="s">
        <v>56</v>
      </c>
      <c r="C447" s="16"/>
    </row>
    <row r="448">
      <c r="A448" s="16" t="s">
        <v>617</v>
      </c>
      <c r="B448" s="16" t="s">
        <v>56</v>
      </c>
      <c r="C448" s="16"/>
    </row>
    <row r="449">
      <c r="A449" s="16" t="s">
        <v>618</v>
      </c>
      <c r="B449" s="16" t="s">
        <v>56</v>
      </c>
      <c r="C449" s="16"/>
    </row>
    <row r="450">
      <c r="A450" s="16" t="s">
        <v>619</v>
      </c>
      <c r="B450" s="16" t="s">
        <v>56</v>
      </c>
      <c r="C450" s="16"/>
    </row>
    <row r="451">
      <c r="A451" s="16" t="s">
        <v>620</v>
      </c>
      <c r="B451" s="16" t="s">
        <v>56</v>
      </c>
      <c r="C451" s="16"/>
    </row>
    <row r="452">
      <c r="A452" s="16" t="s">
        <v>621</v>
      </c>
      <c r="B452" s="16" t="s">
        <v>56</v>
      </c>
      <c r="C452" s="16"/>
    </row>
    <row r="453">
      <c r="A453" s="16" t="s">
        <v>622</v>
      </c>
      <c r="B453" s="16" t="s">
        <v>56</v>
      </c>
      <c r="C453" s="16"/>
    </row>
    <row r="454">
      <c r="A454" s="16" t="s">
        <v>623</v>
      </c>
      <c r="B454" s="16" t="s">
        <v>56</v>
      </c>
      <c r="C454" s="16"/>
    </row>
    <row r="455">
      <c r="A455" s="26" t="s">
        <v>624</v>
      </c>
      <c r="B455" s="16" t="s">
        <v>56</v>
      </c>
      <c r="C455" s="16"/>
    </row>
    <row r="456">
      <c r="A456" s="16" t="s">
        <v>625</v>
      </c>
      <c r="B456" s="16" t="s">
        <v>56</v>
      </c>
      <c r="C456" s="16"/>
    </row>
    <row r="457">
      <c r="A457" s="16" t="s">
        <v>57</v>
      </c>
      <c r="B457" s="16" t="s">
        <v>56</v>
      </c>
      <c r="C457" s="16"/>
    </row>
    <row r="458">
      <c r="A458" s="16" t="s">
        <v>626</v>
      </c>
      <c r="B458" s="16" t="s">
        <v>56</v>
      </c>
      <c r="C458" s="16"/>
    </row>
    <row r="459">
      <c r="A459" s="16" t="s">
        <v>627</v>
      </c>
      <c r="B459" s="16" t="s">
        <v>56</v>
      </c>
      <c r="C459" s="16"/>
    </row>
    <row r="460">
      <c r="A460" s="16" t="s">
        <v>628</v>
      </c>
      <c r="B460" s="16" t="s">
        <v>56</v>
      </c>
      <c r="C460" s="16"/>
    </row>
    <row r="461">
      <c r="A461" s="16" t="s">
        <v>629</v>
      </c>
      <c r="B461" s="16" t="s">
        <v>56</v>
      </c>
      <c r="C461" s="16"/>
    </row>
    <row r="462">
      <c r="A462" s="16" t="s">
        <v>630</v>
      </c>
      <c r="B462" s="16" t="s">
        <v>56</v>
      </c>
      <c r="C462" s="16"/>
    </row>
    <row r="463">
      <c r="A463" s="16" t="s">
        <v>631</v>
      </c>
      <c r="B463" s="16" t="s">
        <v>56</v>
      </c>
      <c r="C463" s="16"/>
    </row>
    <row r="464">
      <c r="A464" s="16" t="s">
        <v>632</v>
      </c>
      <c r="B464" s="16" t="s">
        <v>56</v>
      </c>
      <c r="C464" s="16"/>
    </row>
    <row r="465">
      <c r="A465" s="16" t="s">
        <v>633</v>
      </c>
      <c r="B465" s="16" t="s">
        <v>56</v>
      </c>
      <c r="C465" s="16"/>
    </row>
    <row r="466">
      <c r="A466" s="16" t="s">
        <v>634</v>
      </c>
      <c r="B466" s="16" t="s">
        <v>56</v>
      </c>
      <c r="C466" s="16"/>
    </row>
    <row r="467">
      <c r="A467" s="16" t="s">
        <v>635</v>
      </c>
      <c r="B467" s="16" t="s">
        <v>56</v>
      </c>
      <c r="C467" s="16"/>
    </row>
    <row r="468">
      <c r="A468" s="16" t="s">
        <v>636</v>
      </c>
      <c r="B468" s="16" t="s">
        <v>56</v>
      </c>
      <c r="C468" s="16"/>
    </row>
    <row r="469">
      <c r="A469" s="16" t="s">
        <v>637</v>
      </c>
      <c r="B469" s="16" t="s">
        <v>56</v>
      </c>
      <c r="C469" s="16"/>
    </row>
    <row r="470">
      <c r="A470" s="16" t="s">
        <v>638</v>
      </c>
      <c r="B470" s="16" t="s">
        <v>56</v>
      </c>
      <c r="C470" s="16"/>
    </row>
    <row r="471">
      <c r="A471" s="16" t="s">
        <v>639</v>
      </c>
      <c r="B471" s="16" t="s">
        <v>56</v>
      </c>
      <c r="C471" s="16"/>
    </row>
    <row r="472">
      <c r="A472" s="16" t="s">
        <v>640</v>
      </c>
      <c r="B472" s="16" t="s">
        <v>56</v>
      </c>
      <c r="C472" s="16"/>
    </row>
    <row r="473">
      <c r="A473" s="16" t="s">
        <v>641</v>
      </c>
      <c r="B473" s="16" t="s">
        <v>56</v>
      </c>
      <c r="C473" s="16"/>
    </row>
    <row r="474">
      <c r="A474" s="16" t="s">
        <v>642</v>
      </c>
      <c r="B474" s="16" t="s">
        <v>56</v>
      </c>
      <c r="C474" s="16"/>
    </row>
    <row r="475">
      <c r="A475" s="16" t="s">
        <v>643</v>
      </c>
      <c r="B475" s="16" t="s">
        <v>56</v>
      </c>
      <c r="C475" s="16"/>
    </row>
    <row r="476">
      <c r="A476" s="16" t="s">
        <v>644</v>
      </c>
      <c r="B476" s="16" t="s">
        <v>56</v>
      </c>
      <c r="C476" s="16"/>
    </row>
    <row r="477">
      <c r="A477" s="16" t="s">
        <v>645</v>
      </c>
      <c r="B477" s="16" t="s">
        <v>56</v>
      </c>
      <c r="C477" s="16"/>
    </row>
    <row r="478">
      <c r="A478" s="16" t="s">
        <v>646</v>
      </c>
      <c r="B478" s="16" t="s">
        <v>56</v>
      </c>
      <c r="C478" s="16"/>
    </row>
    <row r="479">
      <c r="A479" s="16" t="s">
        <v>647</v>
      </c>
      <c r="B479" s="16" t="s">
        <v>56</v>
      </c>
      <c r="C479" s="16"/>
    </row>
    <row r="480">
      <c r="A480" s="16" t="s">
        <v>648</v>
      </c>
      <c r="B480" s="16" t="s">
        <v>56</v>
      </c>
      <c r="C480" s="16"/>
    </row>
    <row r="481">
      <c r="A481" s="16" t="s">
        <v>649</v>
      </c>
      <c r="B481" s="16" t="s">
        <v>56</v>
      </c>
      <c r="C481" s="16"/>
    </row>
    <row r="482">
      <c r="A482" s="16" t="s">
        <v>650</v>
      </c>
      <c r="B482" s="16" t="s">
        <v>56</v>
      </c>
      <c r="C482" s="16"/>
    </row>
    <row r="483">
      <c r="A483" s="16" t="s">
        <v>651</v>
      </c>
      <c r="B483" s="16" t="s">
        <v>56</v>
      </c>
      <c r="C483" s="16"/>
    </row>
    <row r="484">
      <c r="A484" s="16" t="s">
        <v>652</v>
      </c>
      <c r="B484" s="16" t="s">
        <v>56</v>
      </c>
      <c r="C484" s="16"/>
    </row>
    <row r="485">
      <c r="A485" s="16" t="s">
        <v>653</v>
      </c>
      <c r="B485" s="16" t="s">
        <v>56</v>
      </c>
      <c r="C485" s="16"/>
    </row>
    <row r="486">
      <c r="A486" s="16" t="s">
        <v>654</v>
      </c>
      <c r="B486" s="16" t="s">
        <v>56</v>
      </c>
      <c r="C486" s="16"/>
    </row>
    <row r="487">
      <c r="A487" s="26" t="s">
        <v>655</v>
      </c>
      <c r="B487" s="26" t="s">
        <v>56</v>
      </c>
      <c r="C487" s="16"/>
    </row>
    <row r="488">
      <c r="A488" s="16" t="s">
        <v>656</v>
      </c>
      <c r="B488" s="16" t="s">
        <v>56</v>
      </c>
      <c r="C488" s="16"/>
    </row>
    <row r="489">
      <c r="A489" s="16" t="s">
        <v>657</v>
      </c>
      <c r="B489" s="16" t="s">
        <v>56</v>
      </c>
      <c r="C489" s="16"/>
    </row>
    <row r="490">
      <c r="A490" s="16" t="s">
        <v>658</v>
      </c>
      <c r="B490" s="16" t="s">
        <v>56</v>
      </c>
      <c r="C490" s="16"/>
    </row>
    <row r="491">
      <c r="A491" s="16" t="s">
        <v>659</v>
      </c>
      <c r="B491" s="16" t="s">
        <v>56</v>
      </c>
      <c r="C491" s="16"/>
    </row>
    <row r="492">
      <c r="A492" s="16" t="s">
        <v>660</v>
      </c>
      <c r="B492" s="16" t="s">
        <v>56</v>
      </c>
      <c r="C492" s="16"/>
    </row>
    <row r="493">
      <c r="A493" s="16" t="s">
        <v>661</v>
      </c>
      <c r="B493" s="16" t="s">
        <v>56</v>
      </c>
      <c r="C493" s="16"/>
    </row>
    <row r="494">
      <c r="A494" s="16" t="s">
        <v>662</v>
      </c>
      <c r="B494" s="16" t="s">
        <v>56</v>
      </c>
      <c r="C494" s="16"/>
    </row>
    <row r="495">
      <c r="A495" s="16" t="s">
        <v>663</v>
      </c>
      <c r="B495" s="16" t="s">
        <v>56</v>
      </c>
      <c r="C495" s="16"/>
    </row>
    <row r="496">
      <c r="A496" s="16" t="s">
        <v>664</v>
      </c>
      <c r="B496" s="16" t="s">
        <v>56</v>
      </c>
      <c r="C496" s="16"/>
    </row>
    <row r="497">
      <c r="A497" s="16" t="s">
        <v>665</v>
      </c>
      <c r="B497" s="16" t="s">
        <v>56</v>
      </c>
      <c r="C497" s="16"/>
    </row>
    <row r="498">
      <c r="A498" s="16" t="s">
        <v>666</v>
      </c>
      <c r="B498" s="16" t="s">
        <v>56</v>
      </c>
      <c r="C498" s="16"/>
    </row>
    <row r="499">
      <c r="A499" s="16" t="s">
        <v>667</v>
      </c>
      <c r="B499" s="16" t="s">
        <v>56</v>
      </c>
      <c r="C499" s="16"/>
    </row>
    <row r="500">
      <c r="A500" s="16" t="s">
        <v>668</v>
      </c>
      <c r="B500" s="16" t="s">
        <v>56</v>
      </c>
      <c r="C500" s="16"/>
    </row>
    <row r="501">
      <c r="A501" s="16" t="s">
        <v>669</v>
      </c>
      <c r="B501" s="16" t="s">
        <v>56</v>
      </c>
      <c r="C501" s="16"/>
    </row>
    <row r="502">
      <c r="A502" s="16" t="s">
        <v>670</v>
      </c>
      <c r="B502" s="16" t="s">
        <v>56</v>
      </c>
      <c r="C502" s="16"/>
    </row>
    <row r="503">
      <c r="A503" s="16" t="s">
        <v>671</v>
      </c>
      <c r="B503" s="16" t="s">
        <v>56</v>
      </c>
      <c r="C503" s="16"/>
    </row>
    <row r="504">
      <c r="A504" s="16" t="s">
        <v>672</v>
      </c>
      <c r="B504" s="16" t="s">
        <v>56</v>
      </c>
      <c r="C504" s="16"/>
    </row>
    <row r="505">
      <c r="A505" s="16" t="s">
        <v>673</v>
      </c>
      <c r="B505" s="16" t="s">
        <v>56</v>
      </c>
      <c r="C505" s="16"/>
    </row>
    <row r="506">
      <c r="A506" s="16" t="s">
        <v>674</v>
      </c>
      <c r="B506" s="16" t="s">
        <v>56</v>
      </c>
      <c r="C506" s="16"/>
    </row>
    <row r="507">
      <c r="A507" s="16" t="s">
        <v>675</v>
      </c>
      <c r="B507" s="16" t="s">
        <v>56</v>
      </c>
      <c r="C507" s="16"/>
    </row>
    <row r="508">
      <c r="A508" s="16" t="s">
        <v>676</v>
      </c>
      <c r="B508" s="16" t="s">
        <v>56</v>
      </c>
      <c r="C508" s="16"/>
    </row>
    <row r="509">
      <c r="A509" s="16" t="s">
        <v>677</v>
      </c>
      <c r="B509" s="16" t="s">
        <v>56</v>
      </c>
      <c r="C509" s="16"/>
    </row>
    <row r="510">
      <c r="A510" s="16" t="s">
        <v>678</v>
      </c>
      <c r="B510" s="16" t="s">
        <v>56</v>
      </c>
      <c r="C510" s="16"/>
    </row>
    <row r="511">
      <c r="A511" s="16" t="s">
        <v>679</v>
      </c>
      <c r="B511" s="16" t="s">
        <v>56</v>
      </c>
      <c r="C511" s="16"/>
    </row>
    <row r="512">
      <c r="A512" s="16" t="s">
        <v>680</v>
      </c>
      <c r="B512" s="16" t="s">
        <v>56</v>
      </c>
      <c r="C512" s="16"/>
    </row>
    <row r="513">
      <c r="A513" s="16" t="s">
        <v>681</v>
      </c>
      <c r="B513" s="16" t="s">
        <v>56</v>
      </c>
      <c r="C513" s="16"/>
    </row>
    <row r="514">
      <c r="A514" s="16" t="s">
        <v>682</v>
      </c>
      <c r="B514" s="16" t="s">
        <v>56</v>
      </c>
      <c r="C514" s="16"/>
    </row>
    <row r="515">
      <c r="A515" s="26" t="s">
        <v>683</v>
      </c>
      <c r="B515" s="16" t="s">
        <v>56</v>
      </c>
      <c r="C515" s="16"/>
    </row>
    <row r="516">
      <c r="A516" s="16" t="s">
        <v>684</v>
      </c>
      <c r="B516" s="16" t="s">
        <v>56</v>
      </c>
      <c r="C516" s="16"/>
    </row>
    <row r="517">
      <c r="A517" s="16" t="s">
        <v>685</v>
      </c>
      <c r="B517" s="16" t="s">
        <v>56</v>
      </c>
      <c r="C517" s="16"/>
    </row>
    <row r="518">
      <c r="A518" s="16" t="s">
        <v>686</v>
      </c>
      <c r="B518" s="16" t="s">
        <v>56</v>
      </c>
      <c r="C518" s="16"/>
    </row>
    <row r="519">
      <c r="A519" s="16" t="s">
        <v>687</v>
      </c>
      <c r="B519" s="16" t="s">
        <v>56</v>
      </c>
      <c r="C519" s="16"/>
    </row>
    <row r="520">
      <c r="A520" s="16" t="s">
        <v>688</v>
      </c>
      <c r="B520" s="16" t="s">
        <v>56</v>
      </c>
      <c r="C520" s="16"/>
    </row>
    <row r="521">
      <c r="A521" s="16" t="s">
        <v>689</v>
      </c>
      <c r="B521" s="16" t="s">
        <v>56</v>
      </c>
      <c r="C521" s="16"/>
    </row>
    <row r="522">
      <c r="A522" s="16" t="s">
        <v>690</v>
      </c>
      <c r="B522" s="16" t="s">
        <v>56</v>
      </c>
      <c r="C522" s="16"/>
    </row>
    <row r="523">
      <c r="A523" s="16" t="s">
        <v>691</v>
      </c>
      <c r="B523" s="16" t="s">
        <v>56</v>
      </c>
      <c r="C523" s="16"/>
    </row>
    <row r="524">
      <c r="A524" s="16" t="s">
        <v>692</v>
      </c>
      <c r="B524" s="16" t="s">
        <v>56</v>
      </c>
      <c r="C524" s="16"/>
    </row>
    <row r="525">
      <c r="A525" s="16" t="s">
        <v>693</v>
      </c>
      <c r="B525" s="16" t="s">
        <v>56</v>
      </c>
      <c r="C525" s="16"/>
    </row>
    <row r="526">
      <c r="A526" s="16" t="s">
        <v>694</v>
      </c>
      <c r="B526" s="16" t="s">
        <v>56</v>
      </c>
      <c r="C526" s="16"/>
    </row>
    <row r="527">
      <c r="A527" s="16" t="s">
        <v>695</v>
      </c>
      <c r="B527" s="16" t="s">
        <v>56</v>
      </c>
      <c r="C527" s="16"/>
    </row>
    <row r="528">
      <c r="A528" s="16" t="s">
        <v>696</v>
      </c>
      <c r="B528" s="16" t="s">
        <v>56</v>
      </c>
      <c r="C528" s="16"/>
    </row>
    <row r="529">
      <c r="A529" s="16" t="s">
        <v>697</v>
      </c>
      <c r="B529" s="16" t="s">
        <v>56</v>
      </c>
      <c r="C529" s="16"/>
    </row>
    <row r="530">
      <c r="A530" s="16" t="s">
        <v>698</v>
      </c>
      <c r="B530" s="16" t="s">
        <v>56</v>
      </c>
      <c r="C530" s="16"/>
    </row>
    <row r="531">
      <c r="A531" s="16" t="s">
        <v>699</v>
      </c>
      <c r="B531" s="16" t="s">
        <v>56</v>
      </c>
      <c r="C531" s="16"/>
    </row>
    <row r="532">
      <c r="A532" s="26" t="s">
        <v>700</v>
      </c>
      <c r="B532" s="26" t="s">
        <v>56</v>
      </c>
      <c r="C532" s="16"/>
    </row>
    <row r="533">
      <c r="A533" s="16" t="s">
        <v>701</v>
      </c>
      <c r="B533" s="16" t="s">
        <v>56</v>
      </c>
      <c r="C533" s="16"/>
    </row>
    <row r="534">
      <c r="A534" s="16" t="s">
        <v>702</v>
      </c>
      <c r="B534" s="16" t="s">
        <v>56</v>
      </c>
      <c r="C534" s="16"/>
    </row>
    <row r="535">
      <c r="A535" s="16" t="s">
        <v>703</v>
      </c>
      <c r="B535" s="16" t="s">
        <v>56</v>
      </c>
      <c r="C535" s="16"/>
    </row>
    <row r="536">
      <c r="A536" s="16" t="s">
        <v>704</v>
      </c>
      <c r="B536" s="16" t="s">
        <v>56</v>
      </c>
      <c r="C536" s="16"/>
    </row>
    <row r="537">
      <c r="A537" s="16" t="s">
        <v>705</v>
      </c>
      <c r="B537" s="16" t="s">
        <v>56</v>
      </c>
      <c r="C537" s="16"/>
    </row>
    <row r="538">
      <c r="A538" s="16" t="s">
        <v>706</v>
      </c>
      <c r="B538" s="16" t="s">
        <v>56</v>
      </c>
      <c r="C538" s="16"/>
    </row>
    <row r="539">
      <c r="A539" s="16" t="s">
        <v>707</v>
      </c>
      <c r="B539" s="16" t="s">
        <v>56</v>
      </c>
      <c r="C539" s="16"/>
    </row>
    <row r="540">
      <c r="A540" s="16" t="s">
        <v>708</v>
      </c>
      <c r="B540" s="16" t="s">
        <v>56</v>
      </c>
      <c r="C540" s="16"/>
    </row>
    <row r="541">
      <c r="A541" s="16" t="s">
        <v>709</v>
      </c>
      <c r="B541" s="16" t="s">
        <v>56</v>
      </c>
      <c r="C541" s="16"/>
    </row>
    <row r="542">
      <c r="A542" s="16" t="s">
        <v>710</v>
      </c>
      <c r="B542" s="16" t="s">
        <v>56</v>
      </c>
      <c r="C542" s="16"/>
    </row>
    <row r="543">
      <c r="A543" s="16" t="s">
        <v>711</v>
      </c>
      <c r="B543" s="16" t="s">
        <v>56</v>
      </c>
      <c r="C543" s="16"/>
    </row>
    <row r="544">
      <c r="A544" s="16" t="s">
        <v>712</v>
      </c>
      <c r="B544" s="16" t="s">
        <v>56</v>
      </c>
      <c r="C544" s="16"/>
    </row>
    <row r="545">
      <c r="A545" s="116" t="s">
        <v>713</v>
      </c>
      <c r="B545" s="116" t="s">
        <v>56</v>
      </c>
      <c r="C545" s="116">
        <f>COUNTA(A393:A545)</f>
        <v>153</v>
      </c>
    </row>
    <row r="546">
      <c r="A546" s="16" t="s">
        <v>714</v>
      </c>
      <c r="B546" s="16" t="s">
        <v>715</v>
      </c>
      <c r="C546" s="16"/>
    </row>
    <row r="547">
      <c r="A547" s="116" t="s">
        <v>716</v>
      </c>
      <c r="B547" s="116" t="s">
        <v>715</v>
      </c>
      <c r="C547" s="116">
        <f>COUNTA(A546:A547)</f>
        <v>2</v>
      </c>
    </row>
  </sheetData>
  <autoFilter ref="$A$1:$B$547"/>
  <hyperlinks>
    <hyperlink r:id="rId1" ref="A303"/>
    <hyperlink r:id="rId2" ref="A33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61.5"/>
    <col customWidth="1" min="3" max="3" width="6.13"/>
    <col customWidth="1" min="4" max="4" width="91.75"/>
    <col customWidth="1" min="5" max="5" width="10.25"/>
    <col customWidth="1" min="6" max="6" width="16.25"/>
    <col customWidth="1" min="7" max="7" width="16.63"/>
    <col customWidth="1" min="8" max="8" width="13.25"/>
    <col customWidth="1" min="9" max="9" width="15.13"/>
    <col customWidth="1" min="10" max="10" width="14.0"/>
    <col customWidth="1" min="11" max="11" width="13.5"/>
    <col customWidth="1" min="12" max="12" width="10.63"/>
    <col customWidth="1" min="13" max="13" width="8.75"/>
    <col customWidth="1" min="14" max="14" width="8.38"/>
  </cols>
  <sheetData>
    <row r="1">
      <c r="A1" s="130" t="s">
        <v>4</v>
      </c>
      <c r="B1" s="130" t="s">
        <v>5</v>
      </c>
      <c r="C1" s="130" t="s">
        <v>6</v>
      </c>
      <c r="D1" s="131" t="s">
        <v>7</v>
      </c>
      <c r="E1" s="131" t="s">
        <v>8</v>
      </c>
      <c r="F1" s="130" t="s">
        <v>9</v>
      </c>
      <c r="G1" s="130" t="s">
        <v>10</v>
      </c>
      <c r="H1" s="130" t="s">
        <v>11</v>
      </c>
      <c r="I1" s="130" t="s">
        <v>12</v>
      </c>
      <c r="J1" s="131" t="s">
        <v>13</v>
      </c>
      <c r="K1" s="131" t="s">
        <v>14</v>
      </c>
      <c r="L1" s="131" t="s">
        <v>15</v>
      </c>
      <c r="M1" s="131" t="s">
        <v>16</v>
      </c>
      <c r="N1" s="131" t="s">
        <v>17</v>
      </c>
    </row>
    <row r="2">
      <c r="A2" s="132" t="s">
        <v>137</v>
      </c>
      <c r="B2" s="132" t="s">
        <v>149</v>
      </c>
      <c r="C2" s="132">
        <v>151.0</v>
      </c>
      <c r="D2" s="132" t="s">
        <v>717</v>
      </c>
      <c r="E2" s="132" t="s">
        <v>22</v>
      </c>
      <c r="F2" s="133">
        <v>37582.0</v>
      </c>
      <c r="G2" s="133">
        <v>45651.0</v>
      </c>
      <c r="H2" s="133">
        <v>45653.0</v>
      </c>
      <c r="I2" s="133">
        <v>45654.0</v>
      </c>
      <c r="J2" s="134">
        <v>26.99</v>
      </c>
      <c r="K2" s="134">
        <v>0.0</v>
      </c>
      <c r="L2" s="134">
        <v>26.99</v>
      </c>
      <c r="M2" s="132">
        <v>15.0</v>
      </c>
      <c r="N2" s="134">
        <v>0.0</v>
      </c>
    </row>
    <row r="3">
      <c r="A3" s="132" t="s">
        <v>137</v>
      </c>
      <c r="B3" s="132"/>
      <c r="C3" s="132">
        <v>152.0</v>
      </c>
      <c r="D3" s="132" t="s">
        <v>718</v>
      </c>
      <c r="E3" s="132" t="s">
        <v>22</v>
      </c>
      <c r="F3" s="133">
        <v>38296.0</v>
      </c>
      <c r="G3" s="133">
        <v>45662.0</v>
      </c>
      <c r="H3" s="133">
        <v>45663.0</v>
      </c>
      <c r="I3" s="133">
        <v>45677.0</v>
      </c>
      <c r="J3" s="134">
        <v>26.99</v>
      </c>
      <c r="K3" s="134">
        <v>2.85</v>
      </c>
      <c r="L3" s="134">
        <v>24.14</v>
      </c>
      <c r="M3" s="132">
        <v>10.0</v>
      </c>
      <c r="N3" s="134">
        <v>0.29</v>
      </c>
    </row>
    <row r="4">
      <c r="A4" s="132" t="s">
        <v>137</v>
      </c>
      <c r="B4" s="132" t="s">
        <v>145</v>
      </c>
      <c r="C4" s="132">
        <v>168.0</v>
      </c>
      <c r="D4" s="132" t="s">
        <v>719</v>
      </c>
      <c r="E4" s="132" t="s">
        <v>23</v>
      </c>
      <c r="F4" s="133">
        <v>41234.0</v>
      </c>
      <c r="G4" s="133">
        <v>42766.0</v>
      </c>
      <c r="H4" s="133">
        <v>43059.0</v>
      </c>
      <c r="I4" s="133">
        <v>44872.0</v>
      </c>
      <c r="J4" s="134">
        <v>5.58</v>
      </c>
      <c r="K4" s="134">
        <v>3.98</v>
      </c>
      <c r="L4" s="134">
        <v>1.6</v>
      </c>
      <c r="M4" s="132">
        <v>10.0</v>
      </c>
      <c r="N4" s="134">
        <v>0.4</v>
      </c>
    </row>
    <row r="5">
      <c r="A5" s="132" t="s">
        <v>137</v>
      </c>
      <c r="B5" s="132" t="s">
        <v>154</v>
      </c>
      <c r="C5" s="132">
        <v>277.0</v>
      </c>
      <c r="D5" s="132" t="s">
        <v>720</v>
      </c>
      <c r="E5" s="132" t="s">
        <v>24</v>
      </c>
      <c r="F5" s="133">
        <v>40683.0</v>
      </c>
      <c r="G5" s="133">
        <v>41559.0</v>
      </c>
      <c r="H5" s="133">
        <v>41559.0</v>
      </c>
      <c r="I5" s="133">
        <v>44790.0</v>
      </c>
      <c r="J5" s="134">
        <v>29.99</v>
      </c>
      <c r="K5" s="134">
        <v>29.99</v>
      </c>
      <c r="L5" s="134">
        <v>0.0</v>
      </c>
      <c r="M5" s="132">
        <v>55.0</v>
      </c>
      <c r="N5" s="134">
        <v>0.55</v>
      </c>
    </row>
    <row r="6">
      <c r="A6" s="132" t="s">
        <v>137</v>
      </c>
      <c r="B6" s="132" t="s">
        <v>136</v>
      </c>
      <c r="C6" s="132">
        <v>202.0</v>
      </c>
      <c r="D6" s="132" t="s">
        <v>721</v>
      </c>
      <c r="E6" s="132" t="s">
        <v>24</v>
      </c>
      <c r="F6" s="133">
        <v>41929.0</v>
      </c>
      <c r="G6" s="133">
        <v>42072.0</v>
      </c>
      <c r="H6" s="133">
        <v>42072.0</v>
      </c>
      <c r="I6" s="133">
        <v>45446.0</v>
      </c>
      <c r="J6" s="134">
        <v>54.99</v>
      </c>
      <c r="K6" s="134">
        <v>31.49</v>
      </c>
      <c r="L6" s="134">
        <v>23.5</v>
      </c>
      <c r="M6" s="132">
        <v>65.0</v>
      </c>
      <c r="N6" s="134">
        <v>0.48</v>
      </c>
    </row>
    <row r="7">
      <c r="A7" s="132" t="s">
        <v>137</v>
      </c>
      <c r="B7" s="132" t="s">
        <v>150</v>
      </c>
      <c r="C7" s="132">
        <v>512.0</v>
      </c>
      <c r="D7" s="132" t="s">
        <v>722</v>
      </c>
      <c r="E7" s="132" t="s">
        <v>26</v>
      </c>
      <c r="F7" s="133">
        <v>42248.0</v>
      </c>
      <c r="G7" s="133">
        <v>42951.0</v>
      </c>
      <c r="H7" s="133">
        <v>42951.0</v>
      </c>
      <c r="I7" s="133">
        <v>42951.0</v>
      </c>
      <c r="J7" s="134">
        <v>19.99</v>
      </c>
      <c r="K7" s="134">
        <v>7.99</v>
      </c>
      <c r="L7" s="134">
        <v>12.0</v>
      </c>
      <c r="M7" s="132">
        <v>1.0</v>
      </c>
      <c r="N7" s="134">
        <v>7.99</v>
      </c>
    </row>
    <row r="8">
      <c r="A8" s="132" t="s">
        <v>137</v>
      </c>
      <c r="B8" s="132" t="s">
        <v>157</v>
      </c>
      <c r="C8" s="132">
        <v>517.0</v>
      </c>
      <c r="D8" s="132" t="s">
        <v>723</v>
      </c>
      <c r="E8" s="132" t="s">
        <v>26</v>
      </c>
      <c r="F8" s="133">
        <v>42437.0</v>
      </c>
      <c r="G8" s="133">
        <v>43268.0</v>
      </c>
      <c r="H8" s="133">
        <v>43268.0</v>
      </c>
      <c r="I8" s="133">
        <v>44355.0</v>
      </c>
      <c r="J8" s="135">
        <v>14.49</v>
      </c>
      <c r="K8" s="135">
        <v>3.99</v>
      </c>
      <c r="L8" s="134">
        <v>10.5</v>
      </c>
      <c r="M8" s="132">
        <v>4.0</v>
      </c>
      <c r="N8" s="134">
        <v>1.0</v>
      </c>
    </row>
    <row r="9">
      <c r="A9" s="132" t="s">
        <v>137</v>
      </c>
      <c r="B9" s="132" t="s">
        <v>146</v>
      </c>
      <c r="C9" s="132">
        <v>787.0</v>
      </c>
      <c r="D9" s="132" t="s">
        <v>724</v>
      </c>
      <c r="E9" s="132" t="s">
        <v>26</v>
      </c>
      <c r="F9" s="133">
        <v>42542.0</v>
      </c>
      <c r="G9" s="133">
        <v>42650.0</v>
      </c>
      <c r="H9" s="133">
        <v>42650.0</v>
      </c>
      <c r="I9" s="133">
        <v>44388.0</v>
      </c>
      <c r="J9" s="134">
        <v>4.99</v>
      </c>
      <c r="K9" s="134">
        <v>4.99</v>
      </c>
      <c r="L9" s="134">
        <v>0.0</v>
      </c>
      <c r="M9" s="132">
        <v>24.0</v>
      </c>
      <c r="N9" s="134">
        <v>0.21</v>
      </c>
    </row>
    <row r="10">
      <c r="A10" s="132" t="s">
        <v>137</v>
      </c>
      <c r="B10" s="132" t="s">
        <v>153</v>
      </c>
      <c r="C10" s="132">
        <v>577.0</v>
      </c>
      <c r="D10" s="132" t="s">
        <v>725</v>
      </c>
      <c r="E10" s="132" t="s">
        <v>26</v>
      </c>
      <c r="F10" s="133">
        <v>42808.0</v>
      </c>
      <c r="G10" s="133">
        <v>43079.0</v>
      </c>
      <c r="H10" s="133">
        <v>43079.0</v>
      </c>
      <c r="I10" s="133">
        <v>43407.0</v>
      </c>
      <c r="J10" s="134">
        <v>13.99</v>
      </c>
      <c r="K10" s="134">
        <v>6.99</v>
      </c>
      <c r="L10" s="134">
        <v>7.0</v>
      </c>
      <c r="M10" s="132">
        <v>6.0</v>
      </c>
      <c r="N10" s="134">
        <v>1.17</v>
      </c>
    </row>
    <row r="11">
      <c r="A11" s="132" t="s">
        <v>137</v>
      </c>
      <c r="B11" s="132" t="s">
        <v>144</v>
      </c>
      <c r="C11" s="132">
        <v>845.0</v>
      </c>
      <c r="D11" s="135" t="s">
        <v>726</v>
      </c>
      <c r="E11" s="135" t="s">
        <v>26</v>
      </c>
      <c r="F11" s="133">
        <v>42962.0</v>
      </c>
      <c r="G11" s="133">
        <v>42939.0</v>
      </c>
      <c r="H11" s="133">
        <v>42962.0</v>
      </c>
      <c r="I11" s="133">
        <v>43008.0</v>
      </c>
      <c r="J11" s="134">
        <v>24.98</v>
      </c>
      <c r="K11" s="134">
        <v>24.98</v>
      </c>
      <c r="L11" s="134">
        <v>0.0</v>
      </c>
      <c r="M11" s="132">
        <v>20.0</v>
      </c>
      <c r="N11" s="134">
        <v>1.25</v>
      </c>
    </row>
    <row r="12">
      <c r="A12" s="132" t="s">
        <v>137</v>
      </c>
      <c r="B12" s="132" t="s">
        <v>142</v>
      </c>
      <c r="C12" s="132">
        <v>572.0</v>
      </c>
      <c r="D12" s="132" t="s">
        <v>727</v>
      </c>
      <c r="E12" s="132" t="s">
        <v>26</v>
      </c>
      <c r="F12" s="133">
        <v>43053.0</v>
      </c>
      <c r="G12" s="133">
        <v>45256.0</v>
      </c>
      <c r="H12" s="133">
        <v>45256.0</v>
      </c>
      <c r="I12" s="133">
        <v>45256.0</v>
      </c>
      <c r="J12" s="134">
        <v>19.99</v>
      </c>
      <c r="K12" s="134">
        <v>3.99</v>
      </c>
      <c r="L12" s="134">
        <v>16.0</v>
      </c>
      <c r="M12" s="132">
        <v>1.0</v>
      </c>
      <c r="N12" s="134">
        <v>3.99</v>
      </c>
    </row>
    <row r="13">
      <c r="A13" s="132" t="s">
        <v>137</v>
      </c>
      <c r="B13" s="132" t="s">
        <v>155</v>
      </c>
      <c r="C13" s="132">
        <v>660.0</v>
      </c>
      <c r="D13" s="132" t="s">
        <v>728</v>
      </c>
      <c r="E13" s="132" t="s">
        <v>26</v>
      </c>
      <c r="F13" s="133">
        <v>43368.0</v>
      </c>
      <c r="G13" s="133">
        <v>44138.0</v>
      </c>
      <c r="H13" s="133">
        <v>44145.0</v>
      </c>
      <c r="I13" s="133">
        <v>44178.0</v>
      </c>
      <c r="J13" s="134">
        <v>14.49</v>
      </c>
      <c r="K13" s="134">
        <v>0.0</v>
      </c>
      <c r="L13" s="134">
        <v>14.49</v>
      </c>
      <c r="M13" s="132">
        <v>10.0</v>
      </c>
      <c r="N13" s="134">
        <v>0.0</v>
      </c>
    </row>
    <row r="14">
      <c r="A14" s="132" t="s">
        <v>137</v>
      </c>
      <c r="B14" s="132" t="s">
        <v>148</v>
      </c>
      <c r="C14" s="132">
        <v>931.0</v>
      </c>
      <c r="D14" s="132" t="s">
        <v>729</v>
      </c>
      <c r="E14" s="132" t="s">
        <v>26</v>
      </c>
      <c r="F14" s="133">
        <v>43368.0</v>
      </c>
      <c r="G14" s="133">
        <v>44431.0</v>
      </c>
      <c r="H14" s="133">
        <v>44432.0</v>
      </c>
      <c r="I14" s="133">
        <v>44432.0</v>
      </c>
      <c r="J14" s="134">
        <v>12.99</v>
      </c>
      <c r="K14" s="134">
        <v>2.59</v>
      </c>
      <c r="L14" s="134">
        <v>10.4</v>
      </c>
      <c r="M14" s="132">
        <v>2.0</v>
      </c>
      <c r="N14" s="134">
        <v>1.3</v>
      </c>
    </row>
    <row r="15">
      <c r="A15" s="132" t="s">
        <v>137</v>
      </c>
      <c r="B15" s="132" t="s">
        <v>143</v>
      </c>
      <c r="C15" s="132">
        <v>675.0</v>
      </c>
      <c r="D15" s="132" t="s">
        <v>730</v>
      </c>
      <c r="E15" s="132" t="s">
        <v>26</v>
      </c>
      <c r="F15" s="133">
        <v>43391.0</v>
      </c>
      <c r="G15" s="133">
        <v>44351.0</v>
      </c>
      <c r="H15" s="133">
        <v>44472.0</v>
      </c>
      <c r="I15" s="133">
        <v>44473.0</v>
      </c>
      <c r="J15" s="134">
        <v>17.99</v>
      </c>
      <c r="K15" s="134">
        <v>8.99</v>
      </c>
      <c r="L15" s="134">
        <v>9.0</v>
      </c>
      <c r="M15" s="132">
        <v>5.0</v>
      </c>
      <c r="N15" s="134">
        <v>1.8</v>
      </c>
    </row>
    <row r="16">
      <c r="A16" s="132" t="s">
        <v>137</v>
      </c>
      <c r="B16" s="132" t="s">
        <v>147</v>
      </c>
      <c r="C16" s="132">
        <v>956.0</v>
      </c>
      <c r="D16" s="132" t="s">
        <v>731</v>
      </c>
      <c r="E16" s="132" t="s">
        <v>26</v>
      </c>
      <c r="F16" s="133">
        <v>43816.0</v>
      </c>
      <c r="G16" s="133">
        <v>43816.0</v>
      </c>
      <c r="H16" s="133">
        <v>43816.0</v>
      </c>
      <c r="I16" s="133">
        <v>43824.0</v>
      </c>
      <c r="J16" s="134">
        <v>19.99</v>
      </c>
      <c r="K16" s="134">
        <v>14.99</v>
      </c>
      <c r="L16" s="134">
        <v>5.0</v>
      </c>
      <c r="M16" s="132">
        <v>20.0</v>
      </c>
      <c r="N16" s="134">
        <v>0.75</v>
      </c>
    </row>
    <row r="17">
      <c r="A17" s="132" t="s">
        <v>137</v>
      </c>
      <c r="B17" s="132" t="s">
        <v>139</v>
      </c>
      <c r="C17" s="132">
        <v>861.0</v>
      </c>
      <c r="D17" s="132" t="s">
        <v>732</v>
      </c>
      <c r="E17" s="132" t="s">
        <v>26</v>
      </c>
      <c r="F17" s="133">
        <v>43942.0</v>
      </c>
      <c r="G17" s="133">
        <v>44335.0</v>
      </c>
      <c r="H17" s="133">
        <v>44336.0</v>
      </c>
      <c r="I17" s="133">
        <v>44336.0</v>
      </c>
      <c r="J17" s="135">
        <v>19.99</v>
      </c>
      <c r="K17" s="135">
        <v>0.0</v>
      </c>
      <c r="L17" s="134">
        <v>19.99</v>
      </c>
      <c r="M17" s="132">
        <v>2.0</v>
      </c>
      <c r="N17" s="134">
        <v>0.0</v>
      </c>
    </row>
    <row r="18">
      <c r="A18" s="132" t="s">
        <v>137</v>
      </c>
      <c r="B18" s="132" t="s">
        <v>140</v>
      </c>
      <c r="C18" s="132">
        <v>899.0</v>
      </c>
      <c r="D18" s="132" t="s">
        <v>733</v>
      </c>
      <c r="E18" s="132" t="s">
        <v>26</v>
      </c>
      <c r="F18" s="133">
        <v>44096.0</v>
      </c>
      <c r="G18" s="133">
        <v>44411.0</v>
      </c>
      <c r="H18" s="133">
        <v>44411.0</v>
      </c>
      <c r="I18" s="133">
        <v>44411.0</v>
      </c>
      <c r="J18" s="135">
        <v>49.99</v>
      </c>
      <c r="K18" s="135">
        <v>0.0</v>
      </c>
      <c r="L18" s="134">
        <v>49.99</v>
      </c>
      <c r="M18" s="132">
        <v>1.0</v>
      </c>
      <c r="N18" s="134">
        <v>0.0</v>
      </c>
    </row>
    <row r="19">
      <c r="A19" s="132" t="s">
        <v>137</v>
      </c>
      <c r="B19" s="132" t="s">
        <v>138</v>
      </c>
      <c r="C19" s="132">
        <v>656.0</v>
      </c>
      <c r="D19" s="132" t="s">
        <v>734</v>
      </c>
      <c r="E19" s="132" t="s">
        <v>26</v>
      </c>
      <c r="F19" s="133">
        <v>44537.0</v>
      </c>
      <c r="G19" s="133">
        <v>44867.0</v>
      </c>
      <c r="H19" s="133">
        <v>44867.0</v>
      </c>
      <c r="I19" s="133">
        <v>44867.0</v>
      </c>
      <c r="J19" s="134">
        <v>20.99</v>
      </c>
      <c r="K19" s="134">
        <v>0.0</v>
      </c>
      <c r="L19" s="134">
        <v>20.99</v>
      </c>
      <c r="M19" s="132">
        <v>1.0</v>
      </c>
      <c r="N19" s="134">
        <v>0.0</v>
      </c>
    </row>
    <row r="20">
      <c r="A20" s="132" t="s">
        <v>137</v>
      </c>
      <c r="B20" s="132" t="s">
        <v>151</v>
      </c>
      <c r="C20" s="132">
        <v>563.0</v>
      </c>
      <c r="D20" s="132" t="s">
        <v>735</v>
      </c>
      <c r="E20" s="132" t="s">
        <v>26</v>
      </c>
      <c r="F20" s="133">
        <v>44784.0</v>
      </c>
      <c r="G20" s="133">
        <v>44894.0</v>
      </c>
      <c r="H20" s="133">
        <v>44894.0</v>
      </c>
      <c r="I20" s="133">
        <v>44896.0</v>
      </c>
      <c r="J20" s="134">
        <v>29.99</v>
      </c>
      <c r="K20" s="134">
        <v>23.99</v>
      </c>
      <c r="L20" s="134">
        <v>6.0</v>
      </c>
      <c r="M20" s="132">
        <v>24.0</v>
      </c>
      <c r="N20" s="134">
        <v>1.0</v>
      </c>
    </row>
    <row r="21">
      <c r="A21" s="132" t="s">
        <v>137</v>
      </c>
      <c r="B21" s="132"/>
      <c r="C21" s="132">
        <v>1004.0</v>
      </c>
      <c r="D21" s="132" t="s">
        <v>736</v>
      </c>
      <c r="E21" s="132" t="s">
        <v>27</v>
      </c>
      <c r="F21" s="133">
        <v>42724.0</v>
      </c>
      <c r="G21" s="133">
        <v>43475.0</v>
      </c>
      <c r="H21" s="133">
        <v>43476.0</v>
      </c>
      <c r="I21" s="133">
        <v>44014.0</v>
      </c>
      <c r="J21" s="134">
        <v>16.99</v>
      </c>
      <c r="K21" s="134">
        <v>16.99</v>
      </c>
      <c r="L21" s="134">
        <v>0.0</v>
      </c>
      <c r="M21" s="132">
        <v>3.0</v>
      </c>
      <c r="N21" s="134">
        <v>5.66</v>
      </c>
    </row>
    <row r="22">
      <c r="A22" s="132" t="s">
        <v>137</v>
      </c>
      <c r="B22" s="132" t="s">
        <v>152</v>
      </c>
      <c r="C22" s="132">
        <v>1035.0</v>
      </c>
      <c r="D22" s="132" t="s">
        <v>737</v>
      </c>
      <c r="E22" s="132" t="s">
        <v>27</v>
      </c>
      <c r="F22" s="133">
        <v>43173.0</v>
      </c>
      <c r="G22" s="133">
        <v>43564.0</v>
      </c>
      <c r="H22" s="133">
        <v>43565.0</v>
      </c>
      <c r="I22" s="133">
        <v>45151.0</v>
      </c>
      <c r="J22" s="134">
        <v>19.99</v>
      </c>
      <c r="K22" s="134">
        <v>7.99</v>
      </c>
      <c r="L22" s="134">
        <v>12.0</v>
      </c>
      <c r="M22" s="132">
        <v>4.0</v>
      </c>
      <c r="N22" s="134">
        <v>2.0</v>
      </c>
    </row>
    <row r="23">
      <c r="A23" s="132" t="s">
        <v>137</v>
      </c>
      <c r="B23" s="132" t="s">
        <v>156</v>
      </c>
      <c r="C23" s="132">
        <v>1006.0</v>
      </c>
      <c r="D23" s="132" t="s">
        <v>738</v>
      </c>
      <c r="E23" s="132" t="s">
        <v>27</v>
      </c>
      <c r="F23" s="133">
        <v>43452.0</v>
      </c>
      <c r="G23" s="133">
        <v>43717.0</v>
      </c>
      <c r="H23" s="133">
        <v>43717.0</v>
      </c>
      <c r="I23" s="133">
        <v>43717.0</v>
      </c>
      <c r="J23" s="134">
        <v>24.99</v>
      </c>
      <c r="K23" s="134">
        <v>12.49</v>
      </c>
      <c r="L23" s="134">
        <v>12.5</v>
      </c>
      <c r="M23" s="132">
        <v>1.0</v>
      </c>
      <c r="N23" s="134">
        <v>12.49</v>
      </c>
    </row>
    <row r="24">
      <c r="A24" s="132" t="s">
        <v>137</v>
      </c>
      <c r="B24" s="132" t="s">
        <v>141</v>
      </c>
      <c r="C24" s="132">
        <v>1064.0</v>
      </c>
      <c r="D24" s="132" t="s">
        <v>739</v>
      </c>
      <c r="E24" s="132" t="s">
        <v>28</v>
      </c>
      <c r="F24" s="133">
        <v>44474.0</v>
      </c>
      <c r="G24" s="133">
        <v>44474.0</v>
      </c>
      <c r="H24" s="133">
        <v>45412.0</v>
      </c>
      <c r="I24" s="133">
        <v>45412.0</v>
      </c>
      <c r="J24" s="134">
        <v>39.99</v>
      </c>
      <c r="K24" s="134">
        <v>0.0</v>
      </c>
      <c r="L24" s="134">
        <v>39.99</v>
      </c>
      <c r="M24" s="132">
        <v>1.0</v>
      </c>
      <c r="N24" s="134">
        <v>0.0</v>
      </c>
    </row>
    <row r="25">
      <c r="A25" s="136">
        <f t="shared" ref="A25:B25" si="1">COUNTA(A2:A24)</f>
        <v>23</v>
      </c>
      <c r="B25" s="136">
        <f t="shared" si="1"/>
        <v>21</v>
      </c>
      <c r="C25" s="136"/>
      <c r="D25" s="137"/>
      <c r="E25" s="138">
        <v>531.35</v>
      </c>
      <c r="F25" s="138">
        <v>209.27</v>
      </c>
      <c r="G25" s="138">
        <v>322.08</v>
      </c>
      <c r="H25" s="136">
        <v>285.0</v>
      </c>
      <c r="I25" s="138">
        <v>0.73</v>
      </c>
      <c r="J25" s="139">
        <f t="shared" ref="J25:M25" si="2">SUM(J2:J24)</f>
        <v>531.35</v>
      </c>
      <c r="K25" s="139">
        <f t="shared" si="2"/>
        <v>209.27</v>
      </c>
      <c r="L25" s="139">
        <f t="shared" si="2"/>
        <v>322.08</v>
      </c>
      <c r="M25" s="137">
        <f t="shared" si="2"/>
        <v>285</v>
      </c>
      <c r="N25" s="139">
        <f>K25/M25</f>
        <v>0.7342807018</v>
      </c>
    </row>
    <row r="26">
      <c r="A26" s="26"/>
      <c r="B26" s="26"/>
      <c r="C26" s="26"/>
      <c r="D26" s="140"/>
      <c r="E26" s="140"/>
      <c r="F26" s="140"/>
      <c r="G26" s="140"/>
      <c r="H26" s="140"/>
      <c r="I26" s="140"/>
      <c r="J26" s="141"/>
      <c r="K26" s="141"/>
      <c r="L26" s="141"/>
      <c r="M26" s="26"/>
      <c r="N26" s="142"/>
    </row>
    <row r="27">
      <c r="A27" s="37" t="s">
        <v>159</v>
      </c>
      <c r="B27" s="37" t="s">
        <v>160</v>
      </c>
      <c r="C27" s="37">
        <v>430.0</v>
      </c>
      <c r="D27" s="37" t="s">
        <v>740</v>
      </c>
      <c r="E27" s="37" t="s">
        <v>25</v>
      </c>
      <c r="F27" s="143">
        <v>40878.0</v>
      </c>
      <c r="G27" s="143">
        <v>43548.0</v>
      </c>
      <c r="H27" s="143">
        <v>43575.0</v>
      </c>
      <c r="I27" s="143">
        <v>45051.0</v>
      </c>
      <c r="J27" s="39">
        <v>9.99</v>
      </c>
      <c r="K27" s="39">
        <v>3.99</v>
      </c>
      <c r="L27" s="39">
        <v>6.0</v>
      </c>
      <c r="M27" s="37">
        <v>2.0</v>
      </c>
      <c r="N27" s="39">
        <v>2.0</v>
      </c>
    </row>
    <row r="28">
      <c r="A28" s="37" t="s">
        <v>159</v>
      </c>
      <c r="B28" s="37" t="s">
        <v>158</v>
      </c>
      <c r="C28" s="37">
        <v>906.0</v>
      </c>
      <c r="D28" s="37" t="s">
        <v>741</v>
      </c>
      <c r="E28" s="37" t="s">
        <v>26</v>
      </c>
      <c r="F28" s="143">
        <v>42205.0</v>
      </c>
      <c r="G28" s="143">
        <v>42859.0</v>
      </c>
      <c r="H28" s="143">
        <v>42860.0</v>
      </c>
      <c r="I28" s="143">
        <v>45183.0</v>
      </c>
      <c r="J28" s="49">
        <v>9.99</v>
      </c>
      <c r="K28" s="49">
        <v>4.99</v>
      </c>
      <c r="L28" s="39">
        <v>5.0</v>
      </c>
      <c r="M28" s="37">
        <v>2.0</v>
      </c>
      <c r="N28" s="39">
        <v>2.5</v>
      </c>
    </row>
    <row r="29">
      <c r="A29" s="37" t="s">
        <v>159</v>
      </c>
      <c r="B29" s="37" t="s">
        <v>161</v>
      </c>
      <c r="C29" s="37">
        <v>851.0</v>
      </c>
      <c r="D29" s="37" t="s">
        <v>742</v>
      </c>
      <c r="E29" s="37" t="s">
        <v>26</v>
      </c>
      <c r="F29" s="143">
        <v>44005.0</v>
      </c>
      <c r="G29" s="143">
        <v>44431.0</v>
      </c>
      <c r="H29" s="143">
        <v>44443.0</v>
      </c>
      <c r="I29" s="143">
        <v>44447.0</v>
      </c>
      <c r="J29" s="39">
        <v>29.99</v>
      </c>
      <c r="K29" s="39">
        <v>17.99</v>
      </c>
      <c r="L29" s="39">
        <v>12.0</v>
      </c>
      <c r="M29" s="37">
        <v>15.0</v>
      </c>
      <c r="N29" s="39">
        <v>1.2</v>
      </c>
    </row>
    <row r="30">
      <c r="A30" s="37" t="s">
        <v>159</v>
      </c>
      <c r="B30" s="37"/>
      <c r="C30" s="37">
        <v>852.0</v>
      </c>
      <c r="D30" s="37" t="s">
        <v>743</v>
      </c>
      <c r="E30" s="37" t="s">
        <v>26</v>
      </c>
      <c r="F30" s="143">
        <v>44957.0</v>
      </c>
      <c r="G30" s="143">
        <v>45331.0</v>
      </c>
      <c r="H30" s="143">
        <v>45337.0</v>
      </c>
      <c r="I30" s="143">
        <v>45341.0</v>
      </c>
      <c r="J30" s="39">
        <v>39.99</v>
      </c>
      <c r="K30" s="39">
        <v>22.99</v>
      </c>
      <c r="L30" s="39">
        <v>17.0</v>
      </c>
      <c r="M30" s="37">
        <v>17.0</v>
      </c>
      <c r="N30" s="39">
        <v>1.35</v>
      </c>
    </row>
    <row r="31">
      <c r="A31" s="37" t="s">
        <v>159</v>
      </c>
      <c r="B31" s="37"/>
      <c r="C31" s="37">
        <v>590.0</v>
      </c>
      <c r="D31" s="37" t="s">
        <v>744</v>
      </c>
      <c r="E31" s="37" t="s">
        <v>26</v>
      </c>
      <c r="F31" s="143">
        <v>45558.0</v>
      </c>
      <c r="G31" s="143">
        <v>45662.0</v>
      </c>
      <c r="H31" s="143">
        <v>45676.0</v>
      </c>
      <c r="I31" s="143">
        <v>45823.0</v>
      </c>
      <c r="J31" s="49">
        <v>59.99</v>
      </c>
      <c r="K31" s="49">
        <v>29.99</v>
      </c>
      <c r="L31" s="39">
        <v>30.0</v>
      </c>
      <c r="M31" s="37">
        <v>4.0</v>
      </c>
      <c r="N31" s="39">
        <v>7.5</v>
      </c>
    </row>
    <row r="32">
      <c r="A32" s="40">
        <f t="shared" ref="A32:B32" si="3">COUNTA(A27:A31)</f>
        <v>5</v>
      </c>
      <c r="B32" s="40">
        <f t="shared" si="3"/>
        <v>3</v>
      </c>
      <c r="C32" s="40"/>
      <c r="D32" s="41"/>
      <c r="E32" s="43">
        <v>149.95</v>
      </c>
      <c r="F32" s="43">
        <v>79.95</v>
      </c>
      <c r="G32" s="43">
        <v>70.0</v>
      </c>
      <c r="H32" s="40">
        <v>40.0</v>
      </c>
      <c r="I32" s="43">
        <v>2.0</v>
      </c>
      <c r="J32" s="47">
        <f t="shared" ref="J32:M32" si="4">SUM(J27:J31)</f>
        <v>149.95</v>
      </c>
      <c r="K32" s="47">
        <f t="shared" si="4"/>
        <v>79.95</v>
      </c>
      <c r="L32" s="47">
        <f t="shared" si="4"/>
        <v>70</v>
      </c>
      <c r="M32" s="41">
        <f t="shared" si="4"/>
        <v>40</v>
      </c>
      <c r="N32" s="47">
        <f>K32/M32</f>
        <v>1.99875</v>
      </c>
    </row>
    <row r="33">
      <c r="A33" s="109"/>
      <c r="B33" s="109"/>
      <c r="C33" s="109"/>
      <c r="D33" s="144"/>
      <c r="E33" s="109"/>
      <c r="F33" s="109"/>
      <c r="G33" s="109"/>
      <c r="H33" s="109"/>
      <c r="I33" s="109"/>
      <c r="J33" s="145"/>
      <c r="K33" s="145"/>
      <c r="L33" s="145"/>
      <c r="M33" s="146"/>
      <c r="N33" s="142"/>
    </row>
    <row r="34">
      <c r="A34" s="147" t="s">
        <v>163</v>
      </c>
      <c r="B34" s="147" t="s">
        <v>164</v>
      </c>
      <c r="C34" s="147">
        <v>932.0</v>
      </c>
      <c r="D34" s="147" t="s">
        <v>745</v>
      </c>
      <c r="E34" s="147" t="s">
        <v>26</v>
      </c>
      <c r="F34" s="148">
        <v>42816.0</v>
      </c>
      <c r="G34" s="148">
        <v>43275.0</v>
      </c>
      <c r="H34" s="148">
        <v>43275.0</v>
      </c>
      <c r="I34" s="148">
        <v>43275.0</v>
      </c>
      <c r="J34" s="149">
        <v>19.99</v>
      </c>
      <c r="K34" s="149">
        <v>2.99</v>
      </c>
      <c r="L34" s="149">
        <v>17.0</v>
      </c>
      <c r="M34" s="147">
        <v>1.0</v>
      </c>
      <c r="N34" s="149">
        <v>2.99</v>
      </c>
    </row>
    <row r="35">
      <c r="A35" s="147" t="s">
        <v>163</v>
      </c>
      <c r="B35" s="147" t="s">
        <v>162</v>
      </c>
      <c r="C35" s="147">
        <v>646.0</v>
      </c>
      <c r="D35" s="147" t="s">
        <v>746</v>
      </c>
      <c r="E35" s="147" t="s">
        <v>26</v>
      </c>
      <c r="F35" s="148">
        <v>44672.0</v>
      </c>
      <c r="G35" s="148">
        <v>45048.0</v>
      </c>
      <c r="H35" s="148">
        <v>45048.0</v>
      </c>
      <c r="I35" s="148">
        <v>45048.0</v>
      </c>
      <c r="J35" s="149">
        <v>19.99</v>
      </c>
      <c r="K35" s="149">
        <v>7.99</v>
      </c>
      <c r="L35" s="149">
        <v>12.0</v>
      </c>
      <c r="M35" s="147">
        <v>1.0</v>
      </c>
      <c r="N35" s="149">
        <v>7.99</v>
      </c>
    </row>
    <row r="36">
      <c r="A36" s="150">
        <f t="shared" ref="A36:B36" si="5">COUNTA(A34:A35)</f>
        <v>2</v>
      </c>
      <c r="B36" s="150">
        <f t="shared" si="5"/>
        <v>2</v>
      </c>
      <c r="C36" s="150"/>
      <c r="D36" s="151"/>
      <c r="E36" s="152">
        <v>39.98</v>
      </c>
      <c r="F36" s="152">
        <v>10.98</v>
      </c>
      <c r="G36" s="152">
        <v>29.0</v>
      </c>
      <c r="H36" s="151">
        <v>2.0</v>
      </c>
      <c r="I36" s="153">
        <v>5.49</v>
      </c>
      <c r="J36" s="154">
        <f t="shared" ref="J36:M36" si="6">SUM(J34:J35)</f>
        <v>39.98</v>
      </c>
      <c r="K36" s="154">
        <f t="shared" si="6"/>
        <v>10.98</v>
      </c>
      <c r="L36" s="154">
        <f t="shared" si="6"/>
        <v>29</v>
      </c>
      <c r="M36" s="151">
        <f t="shared" si="6"/>
        <v>2</v>
      </c>
      <c r="N36" s="154">
        <f>K36/M36</f>
        <v>5.49</v>
      </c>
    </row>
    <row r="37">
      <c r="A37" s="150"/>
      <c r="B37" s="150"/>
      <c r="C37" s="150"/>
      <c r="D37" s="151"/>
      <c r="E37" s="151"/>
      <c r="F37" s="151"/>
      <c r="G37" s="151"/>
      <c r="H37" s="151"/>
      <c r="I37" s="151"/>
      <c r="J37" s="154"/>
      <c r="K37" s="154"/>
      <c r="L37" s="154"/>
      <c r="M37" s="151"/>
      <c r="N37" s="154"/>
    </row>
    <row r="38">
      <c r="A38" s="155" t="s">
        <v>166</v>
      </c>
      <c r="B38" s="155" t="s">
        <v>165</v>
      </c>
      <c r="C38" s="155">
        <v>1031.0</v>
      </c>
      <c r="D38" s="155" t="s">
        <v>747</v>
      </c>
      <c r="E38" s="155" t="s">
        <v>27</v>
      </c>
      <c r="F38" s="156">
        <v>43020.0</v>
      </c>
      <c r="G38" s="156">
        <v>43468.0</v>
      </c>
      <c r="H38" s="156">
        <v>43468.0</v>
      </c>
      <c r="I38" s="156">
        <v>43468.0</v>
      </c>
      <c r="J38" s="157">
        <v>14.49</v>
      </c>
      <c r="K38" s="157">
        <v>11.59</v>
      </c>
      <c r="L38" s="157">
        <v>2.9</v>
      </c>
      <c r="M38" s="155">
        <v>1.0</v>
      </c>
      <c r="N38" s="157">
        <v>11.59</v>
      </c>
    </row>
    <row r="39">
      <c r="A39" s="27">
        <f t="shared" ref="A39:B39" si="7">COUNTA(A38)</f>
        <v>1</v>
      </c>
      <c r="B39" s="27">
        <f t="shared" si="7"/>
        <v>1</v>
      </c>
      <c r="C39" s="27"/>
      <c r="D39" s="11"/>
      <c r="E39" s="81">
        <v>14.49</v>
      </c>
      <c r="F39" s="81">
        <v>11.59</v>
      </c>
      <c r="G39" s="81">
        <v>2.9</v>
      </c>
      <c r="H39" s="27">
        <v>1.0</v>
      </c>
      <c r="I39" s="78">
        <v>11.59</v>
      </c>
      <c r="J39" s="158">
        <f t="shared" ref="J39:M39" si="8">SUM(J38)</f>
        <v>14.49</v>
      </c>
      <c r="K39" s="158">
        <f t="shared" si="8"/>
        <v>11.59</v>
      </c>
      <c r="L39" s="158">
        <f t="shared" si="8"/>
        <v>2.9</v>
      </c>
      <c r="M39" s="11">
        <f t="shared" si="8"/>
        <v>1</v>
      </c>
      <c r="N39" s="158">
        <f>K39/M39</f>
        <v>11.59</v>
      </c>
    </row>
    <row r="40">
      <c r="A40" s="159"/>
      <c r="B40" s="159"/>
      <c r="C40" s="159"/>
      <c r="D40" s="160"/>
      <c r="E40" s="160"/>
      <c r="F40" s="160"/>
      <c r="G40" s="160"/>
      <c r="H40" s="160"/>
      <c r="I40" s="160"/>
      <c r="J40" s="161"/>
      <c r="K40" s="161"/>
      <c r="L40" s="161"/>
      <c r="M40" s="160"/>
      <c r="N40" s="161"/>
    </row>
    <row r="41">
      <c r="A41" s="162" t="s">
        <v>168</v>
      </c>
      <c r="B41" s="162" t="s">
        <v>167</v>
      </c>
      <c r="C41" s="162">
        <v>985.0</v>
      </c>
      <c r="D41" s="162" t="s">
        <v>748</v>
      </c>
      <c r="E41" s="162" t="s">
        <v>27</v>
      </c>
      <c r="F41" s="163">
        <v>43901.0</v>
      </c>
      <c r="G41" s="163">
        <v>43903.0</v>
      </c>
      <c r="H41" s="163">
        <v>44019.0</v>
      </c>
      <c r="I41" s="163">
        <v>44020.0</v>
      </c>
      <c r="J41" s="164">
        <v>5.99</v>
      </c>
      <c r="K41" s="164">
        <v>5.99</v>
      </c>
      <c r="L41" s="164">
        <v>0.0</v>
      </c>
      <c r="M41" s="162">
        <v>3.0</v>
      </c>
      <c r="N41" s="164">
        <v>2.0</v>
      </c>
    </row>
    <row r="42">
      <c r="A42" s="165">
        <f t="shared" ref="A42:B42" si="9">COUNTA(A41)</f>
        <v>1</v>
      </c>
      <c r="B42" s="165">
        <f t="shared" si="9"/>
        <v>1</v>
      </c>
      <c r="C42" s="165"/>
      <c r="D42" s="165"/>
      <c r="E42" s="166">
        <v>5.99</v>
      </c>
      <c r="F42" s="166">
        <v>5.99</v>
      </c>
      <c r="G42" s="166">
        <v>0.0</v>
      </c>
      <c r="H42" s="165">
        <v>3.0</v>
      </c>
      <c r="I42" s="167">
        <v>1.9966666666666668</v>
      </c>
      <c r="J42" s="168">
        <f t="shared" ref="J42:M42" si="10">SUM(J41)</f>
        <v>5.99</v>
      </c>
      <c r="K42" s="168">
        <f t="shared" si="10"/>
        <v>5.99</v>
      </c>
      <c r="L42" s="168">
        <f t="shared" si="10"/>
        <v>0</v>
      </c>
      <c r="M42" s="169">
        <f t="shared" si="10"/>
        <v>3</v>
      </c>
      <c r="N42" s="167">
        <f>K42/M42</f>
        <v>1.996666667</v>
      </c>
    </row>
    <row r="43">
      <c r="A43" s="170"/>
      <c r="B43" s="170"/>
      <c r="C43" s="170"/>
      <c r="D43" s="170"/>
      <c r="E43" s="140"/>
      <c r="F43" s="140"/>
      <c r="G43" s="140"/>
      <c r="H43" s="140"/>
      <c r="I43" s="140"/>
      <c r="J43" s="171"/>
      <c r="K43" s="171"/>
      <c r="L43" s="171"/>
      <c r="M43" s="140"/>
      <c r="N43" s="171"/>
    </row>
    <row r="44">
      <c r="A44" s="147" t="s">
        <v>170</v>
      </c>
      <c r="B44" s="147" t="s">
        <v>169</v>
      </c>
      <c r="C44" s="147">
        <v>944.0</v>
      </c>
      <c r="D44" s="147" t="s">
        <v>749</v>
      </c>
      <c r="E44" s="147" t="s">
        <v>26</v>
      </c>
      <c r="F44" s="148">
        <v>42118.0</v>
      </c>
      <c r="G44" s="148">
        <v>42969.0</v>
      </c>
      <c r="H44" s="148">
        <v>45798.0</v>
      </c>
      <c r="I44" s="148">
        <v>45803.0</v>
      </c>
      <c r="J44" s="149">
        <v>24.99</v>
      </c>
      <c r="K44" s="149">
        <v>9.99</v>
      </c>
      <c r="L44" s="149">
        <v>15.0</v>
      </c>
      <c r="M44" s="147">
        <v>28.0</v>
      </c>
      <c r="N44" s="149">
        <v>0.36</v>
      </c>
    </row>
    <row r="45">
      <c r="A45" s="150">
        <f t="shared" ref="A45:B45" si="11">COUNTA(A44)</f>
        <v>1</v>
      </c>
      <c r="B45" s="150">
        <f t="shared" si="11"/>
        <v>1</v>
      </c>
      <c r="C45" s="150"/>
      <c r="D45" s="151"/>
      <c r="E45" s="152">
        <v>24.99</v>
      </c>
      <c r="F45" s="152">
        <v>9.99</v>
      </c>
      <c r="G45" s="152">
        <v>15.0</v>
      </c>
      <c r="H45" s="150">
        <v>28.0</v>
      </c>
      <c r="I45" s="153">
        <v>0.3567857142857143</v>
      </c>
      <c r="J45" s="154">
        <f t="shared" ref="J45:M45" si="12">SUM(J44)</f>
        <v>24.99</v>
      </c>
      <c r="K45" s="154">
        <f t="shared" si="12"/>
        <v>9.99</v>
      </c>
      <c r="L45" s="154">
        <f t="shared" si="12"/>
        <v>15</v>
      </c>
      <c r="M45" s="151">
        <f t="shared" si="12"/>
        <v>28</v>
      </c>
      <c r="N45" s="154">
        <f>K45/M45</f>
        <v>0.3567857143</v>
      </c>
    </row>
    <row r="46">
      <c r="A46" s="109"/>
      <c r="B46" s="109"/>
      <c r="C46" s="109"/>
      <c r="D46" s="144"/>
      <c r="E46" s="144"/>
      <c r="F46" s="144"/>
      <c r="G46" s="144"/>
      <c r="H46" s="144"/>
      <c r="I46" s="144"/>
      <c r="J46" s="172"/>
      <c r="K46" s="172"/>
      <c r="L46" s="172"/>
      <c r="M46" s="144"/>
      <c r="N46" s="172"/>
    </row>
    <row r="47">
      <c r="A47" s="37" t="s">
        <v>39</v>
      </c>
      <c r="B47" s="37" t="s">
        <v>173</v>
      </c>
      <c r="C47" s="37">
        <v>35.0</v>
      </c>
      <c r="D47" s="37" t="s">
        <v>750</v>
      </c>
      <c r="E47" s="37" t="s">
        <v>21</v>
      </c>
      <c r="F47" s="143">
        <v>37288.0</v>
      </c>
      <c r="G47" s="143">
        <v>42877.0</v>
      </c>
      <c r="H47" s="143">
        <v>42877.0</v>
      </c>
      <c r="I47" s="143">
        <v>42877.0</v>
      </c>
      <c r="J47" s="39">
        <v>1.49</v>
      </c>
      <c r="K47" s="39">
        <v>1.49</v>
      </c>
      <c r="L47" s="39">
        <v>0.0</v>
      </c>
      <c r="M47" s="37">
        <v>20.0</v>
      </c>
      <c r="N47" s="39">
        <v>0.07</v>
      </c>
    </row>
    <row r="48">
      <c r="A48" s="37" t="s">
        <v>39</v>
      </c>
      <c r="B48" s="37" t="s">
        <v>203</v>
      </c>
      <c r="C48" s="37">
        <v>82.0</v>
      </c>
      <c r="D48" s="49" t="s">
        <v>751</v>
      </c>
      <c r="E48" s="49" t="s">
        <v>22</v>
      </c>
      <c r="F48" s="143">
        <v>37602.0</v>
      </c>
      <c r="G48" s="143">
        <v>42875.0</v>
      </c>
      <c r="H48" s="143">
        <v>43681.0</v>
      </c>
      <c r="I48" s="143">
        <v>45006.0</v>
      </c>
      <c r="J48" s="39">
        <v>13.98</v>
      </c>
      <c r="K48" s="39">
        <v>7.98</v>
      </c>
      <c r="L48" s="39">
        <v>6.0</v>
      </c>
      <c r="M48" s="37">
        <v>10.0</v>
      </c>
      <c r="N48" s="39">
        <v>0.8</v>
      </c>
    </row>
    <row r="49">
      <c r="A49" s="37" t="s">
        <v>39</v>
      </c>
      <c r="B49" s="37" t="s">
        <v>213</v>
      </c>
      <c r="C49" s="37">
        <v>120.0</v>
      </c>
      <c r="D49" s="37" t="s">
        <v>752</v>
      </c>
      <c r="E49" s="37" t="s">
        <v>22</v>
      </c>
      <c r="F49" s="143">
        <v>37946.0</v>
      </c>
      <c r="G49" s="143">
        <v>44285.0</v>
      </c>
      <c r="H49" s="143">
        <v>45061.0</v>
      </c>
      <c r="I49" s="143">
        <v>45061.0</v>
      </c>
      <c r="J49" s="39">
        <v>5.0</v>
      </c>
      <c r="K49" s="39">
        <v>5.0</v>
      </c>
      <c r="L49" s="39">
        <v>0.0</v>
      </c>
      <c r="M49" s="37">
        <v>5.0</v>
      </c>
      <c r="N49" s="39">
        <v>1.0</v>
      </c>
    </row>
    <row r="50">
      <c r="A50" s="37" t="s">
        <v>39</v>
      </c>
      <c r="B50" s="37"/>
      <c r="C50" s="37">
        <v>121.0</v>
      </c>
      <c r="D50" s="37" t="s">
        <v>753</v>
      </c>
      <c r="E50" s="37" t="s">
        <v>22</v>
      </c>
      <c r="F50" s="143">
        <v>38324.0</v>
      </c>
      <c r="G50" s="143">
        <v>44285.0</v>
      </c>
      <c r="H50" s="143">
        <v>44285.0</v>
      </c>
      <c r="I50" s="143">
        <v>44285.0</v>
      </c>
      <c r="J50" s="39">
        <v>5.0</v>
      </c>
      <c r="K50" s="39">
        <v>5.0</v>
      </c>
      <c r="L50" s="39">
        <v>0.0</v>
      </c>
      <c r="M50" s="37">
        <v>1.0</v>
      </c>
      <c r="N50" s="39">
        <v>5.0</v>
      </c>
    </row>
    <row r="51">
      <c r="A51" s="37" t="s">
        <v>39</v>
      </c>
      <c r="B51" s="37" t="s">
        <v>207</v>
      </c>
      <c r="C51" s="37">
        <v>144.0</v>
      </c>
      <c r="D51" s="37" t="s">
        <v>754</v>
      </c>
      <c r="E51" s="37" t="s">
        <v>22</v>
      </c>
      <c r="F51" s="143">
        <v>38646.0</v>
      </c>
      <c r="G51" s="143">
        <v>42950.0</v>
      </c>
      <c r="H51" s="143">
        <v>44687.0</v>
      </c>
      <c r="I51" s="143">
        <v>44694.0</v>
      </c>
      <c r="J51" s="39">
        <v>13.99</v>
      </c>
      <c r="K51" s="39">
        <v>5.99</v>
      </c>
      <c r="L51" s="39">
        <v>8.0</v>
      </c>
      <c r="M51" s="37">
        <v>36.0</v>
      </c>
      <c r="N51" s="39">
        <v>0.17</v>
      </c>
    </row>
    <row r="52">
      <c r="A52" s="37" t="s">
        <v>39</v>
      </c>
      <c r="B52" s="37"/>
      <c r="C52" s="37">
        <v>122.0</v>
      </c>
      <c r="D52" s="37" t="s">
        <v>755</v>
      </c>
      <c r="E52" s="37" t="s">
        <v>22</v>
      </c>
      <c r="F52" s="143">
        <v>38688.0</v>
      </c>
      <c r="G52" s="143">
        <v>44285.0</v>
      </c>
      <c r="H52" s="143">
        <v>44285.0</v>
      </c>
      <c r="I52" s="143">
        <v>44285.0</v>
      </c>
      <c r="J52" s="39">
        <v>4.99</v>
      </c>
      <c r="K52" s="39">
        <v>4.99</v>
      </c>
      <c r="L52" s="39">
        <v>0.0</v>
      </c>
      <c r="M52" s="37">
        <v>1.0</v>
      </c>
      <c r="N52" s="39">
        <v>4.99</v>
      </c>
    </row>
    <row r="53">
      <c r="A53" s="37" t="s">
        <v>39</v>
      </c>
      <c r="B53" s="37" t="s">
        <v>208</v>
      </c>
      <c r="C53" s="37">
        <v>81.0</v>
      </c>
      <c r="D53" s="37" t="s">
        <v>756</v>
      </c>
      <c r="E53" s="37" t="s">
        <v>22</v>
      </c>
      <c r="F53" s="143">
        <v>39015.0</v>
      </c>
      <c r="G53" s="143">
        <v>42950.0</v>
      </c>
      <c r="H53" s="143">
        <v>43240.0</v>
      </c>
      <c r="I53" s="143">
        <v>43336.0</v>
      </c>
      <c r="J53" s="39">
        <v>23.98</v>
      </c>
      <c r="K53" s="39">
        <v>15.98</v>
      </c>
      <c r="L53" s="39">
        <v>8.0</v>
      </c>
      <c r="M53" s="37">
        <v>29.0</v>
      </c>
      <c r="N53" s="39">
        <v>0.55</v>
      </c>
    </row>
    <row r="54">
      <c r="A54" s="37" t="s">
        <v>39</v>
      </c>
      <c r="B54" s="37" t="s">
        <v>186</v>
      </c>
      <c r="C54" s="37">
        <v>186.0</v>
      </c>
      <c r="D54" s="37" t="s">
        <v>757</v>
      </c>
      <c r="E54" s="37" t="s">
        <v>24</v>
      </c>
      <c r="F54" s="143">
        <v>39514.0</v>
      </c>
      <c r="G54" s="143">
        <v>44091.0</v>
      </c>
      <c r="H54" s="143">
        <v>44091.0</v>
      </c>
      <c r="I54" s="143">
        <v>44091.0</v>
      </c>
      <c r="J54" s="39">
        <v>14.99</v>
      </c>
      <c r="K54" s="39">
        <v>2.0</v>
      </c>
      <c r="L54" s="39">
        <v>12.99</v>
      </c>
      <c r="M54" s="37">
        <v>2.0</v>
      </c>
      <c r="N54" s="39">
        <v>1.0</v>
      </c>
    </row>
    <row r="55">
      <c r="A55" s="37" t="s">
        <v>39</v>
      </c>
      <c r="B55" s="37"/>
      <c r="C55" s="37">
        <v>235.0</v>
      </c>
      <c r="D55" s="37" t="s">
        <v>758</v>
      </c>
      <c r="E55" s="37" t="s">
        <v>24</v>
      </c>
      <c r="F55" s="143">
        <v>39745.0</v>
      </c>
      <c r="G55" s="143">
        <v>41448.0</v>
      </c>
      <c r="H55" s="143">
        <v>41448.0</v>
      </c>
      <c r="I55" s="143">
        <v>44141.0</v>
      </c>
      <c r="J55" s="39">
        <v>14.99</v>
      </c>
      <c r="K55" s="39">
        <v>2.0</v>
      </c>
      <c r="L55" s="39">
        <v>12.99</v>
      </c>
      <c r="M55" s="37">
        <v>50.0</v>
      </c>
      <c r="N55" s="39">
        <v>0.04</v>
      </c>
    </row>
    <row r="56">
      <c r="A56" s="37" t="s">
        <v>39</v>
      </c>
      <c r="B56" s="37" t="s">
        <v>185</v>
      </c>
      <c r="C56" s="37">
        <v>359.0</v>
      </c>
      <c r="D56" s="37" t="s">
        <v>759</v>
      </c>
      <c r="E56" s="37" t="s">
        <v>24</v>
      </c>
      <c r="F56" s="143">
        <v>39836.0</v>
      </c>
      <c r="G56" s="143">
        <v>40338.0</v>
      </c>
      <c r="H56" s="143">
        <v>40338.0</v>
      </c>
      <c r="I56" s="143">
        <v>40338.0</v>
      </c>
      <c r="J56" s="39">
        <v>19.99</v>
      </c>
      <c r="K56" s="39">
        <v>12.0</v>
      </c>
      <c r="L56" s="39">
        <v>7.99</v>
      </c>
      <c r="M56" s="37">
        <v>10.0</v>
      </c>
      <c r="N56" s="39">
        <v>1.2</v>
      </c>
    </row>
    <row r="57">
      <c r="A57" s="37" t="s">
        <v>39</v>
      </c>
      <c r="B57" s="37" t="s">
        <v>205</v>
      </c>
      <c r="C57" s="37">
        <v>326.0</v>
      </c>
      <c r="D57" s="37" t="s">
        <v>760</v>
      </c>
      <c r="E57" s="37" t="s">
        <v>24</v>
      </c>
      <c r="F57" s="143">
        <v>39976.0</v>
      </c>
      <c r="G57" s="143">
        <v>41553.0</v>
      </c>
      <c r="H57" s="143">
        <v>41553.0</v>
      </c>
      <c r="I57" s="143">
        <v>41745.0</v>
      </c>
      <c r="J57" s="39">
        <v>24.99</v>
      </c>
      <c r="K57" s="39">
        <v>7.99</v>
      </c>
      <c r="L57" s="39">
        <v>17.0</v>
      </c>
      <c r="M57" s="37">
        <v>1.0</v>
      </c>
      <c r="N57" s="39">
        <v>7.99</v>
      </c>
    </row>
    <row r="58">
      <c r="A58" s="37" t="s">
        <v>39</v>
      </c>
      <c r="B58" s="37" t="s">
        <v>215</v>
      </c>
      <c r="C58" s="37">
        <v>301.0</v>
      </c>
      <c r="D58" s="37" t="s">
        <v>761</v>
      </c>
      <c r="E58" s="37" t="s">
        <v>24</v>
      </c>
      <c r="F58" s="143">
        <v>40319.0</v>
      </c>
      <c r="G58" s="143">
        <v>40335.0</v>
      </c>
      <c r="H58" s="143">
        <v>40335.0</v>
      </c>
      <c r="I58" s="143">
        <v>44739.0</v>
      </c>
      <c r="J58" s="39">
        <v>14.99</v>
      </c>
      <c r="K58" s="39">
        <v>6.0</v>
      </c>
      <c r="L58" s="39">
        <v>8.99</v>
      </c>
      <c r="M58" s="37">
        <v>50.0</v>
      </c>
      <c r="N58" s="39">
        <v>0.12</v>
      </c>
    </row>
    <row r="59">
      <c r="A59" s="37" t="s">
        <v>39</v>
      </c>
      <c r="B59" s="37"/>
      <c r="C59" s="37">
        <v>310.0</v>
      </c>
      <c r="D59" s="37" t="s">
        <v>762</v>
      </c>
      <c r="E59" s="37" t="s">
        <v>24</v>
      </c>
      <c r="F59" s="143">
        <v>40354.0</v>
      </c>
      <c r="G59" s="143">
        <v>44115.0</v>
      </c>
      <c r="H59" s="143">
        <v>44178.0</v>
      </c>
      <c r="I59" s="143">
        <v>44178.0</v>
      </c>
      <c r="J59" s="39">
        <v>14.99</v>
      </c>
      <c r="K59" s="39">
        <v>5.0</v>
      </c>
      <c r="L59" s="39">
        <v>9.99</v>
      </c>
      <c r="M59" s="37">
        <v>5.0</v>
      </c>
      <c r="N59" s="39">
        <v>1.0</v>
      </c>
    </row>
    <row r="60">
      <c r="A60" s="37" t="s">
        <v>39</v>
      </c>
      <c r="B60" s="37"/>
      <c r="C60" s="37">
        <v>355.0</v>
      </c>
      <c r="D60" s="37" t="s">
        <v>763</v>
      </c>
      <c r="E60" s="37" t="s">
        <v>24</v>
      </c>
      <c r="F60" s="143">
        <v>40401.0</v>
      </c>
      <c r="G60" s="143">
        <v>44431.0</v>
      </c>
      <c r="H60" s="143">
        <v>45310.0</v>
      </c>
      <c r="I60" s="143">
        <v>45316.0</v>
      </c>
      <c r="J60" s="39">
        <v>14.99</v>
      </c>
      <c r="K60" s="39">
        <v>8.99</v>
      </c>
      <c r="L60" s="39">
        <v>6.0</v>
      </c>
      <c r="M60" s="37">
        <v>2.0</v>
      </c>
      <c r="N60" s="39">
        <v>4.5</v>
      </c>
    </row>
    <row r="61">
      <c r="A61" s="37" t="s">
        <v>39</v>
      </c>
      <c r="B61" s="37" t="s">
        <v>178</v>
      </c>
      <c r="C61" s="37">
        <v>220.0</v>
      </c>
      <c r="D61" s="37" t="s">
        <v>764</v>
      </c>
      <c r="E61" s="37" t="s">
        <v>24</v>
      </c>
      <c r="F61" s="143">
        <v>40445.0</v>
      </c>
      <c r="G61" s="143">
        <v>41856.0</v>
      </c>
      <c r="H61" s="143">
        <v>41856.0</v>
      </c>
      <c r="I61" s="143">
        <v>44811.0</v>
      </c>
      <c r="J61" s="39">
        <v>14.99</v>
      </c>
      <c r="K61" s="39">
        <v>3.5</v>
      </c>
      <c r="L61" s="39">
        <v>11.49</v>
      </c>
      <c r="M61" s="37">
        <v>5.0</v>
      </c>
      <c r="N61" s="39">
        <v>0.7</v>
      </c>
    </row>
    <row r="62">
      <c r="A62" s="37" t="s">
        <v>39</v>
      </c>
      <c r="B62" s="37" t="s">
        <v>175</v>
      </c>
      <c r="C62" s="58">
        <v>295.0</v>
      </c>
      <c r="D62" s="58" t="s">
        <v>765</v>
      </c>
      <c r="E62" s="58" t="s">
        <v>24</v>
      </c>
      <c r="F62" s="38">
        <v>40564.0</v>
      </c>
      <c r="G62" s="38">
        <v>44521.0</v>
      </c>
      <c r="H62" s="38">
        <v>45944.0</v>
      </c>
      <c r="I62" s="38">
        <v>45954.0</v>
      </c>
      <c r="J62" s="173">
        <v>23.0</v>
      </c>
      <c r="K62" s="173">
        <v>14.93</v>
      </c>
      <c r="L62" s="173">
        <v>8.07</v>
      </c>
      <c r="M62" s="58">
        <v>30.0</v>
      </c>
      <c r="N62" s="173">
        <v>0.49766666666666665</v>
      </c>
    </row>
    <row r="63">
      <c r="A63" s="37" t="s">
        <v>39</v>
      </c>
      <c r="B63" s="37" t="s">
        <v>187</v>
      </c>
      <c r="C63" s="37">
        <v>246.0</v>
      </c>
      <c r="D63" s="37" t="s">
        <v>766</v>
      </c>
      <c r="E63" s="37" t="s">
        <v>24</v>
      </c>
      <c r="F63" s="143">
        <v>40606.0</v>
      </c>
      <c r="G63" s="143">
        <v>40732.0</v>
      </c>
      <c r="H63" s="143">
        <v>40732.0</v>
      </c>
      <c r="I63" s="143">
        <v>44750.0</v>
      </c>
      <c r="J63" s="39">
        <v>29.99</v>
      </c>
      <c r="K63" s="39">
        <v>15.0</v>
      </c>
      <c r="L63" s="39">
        <v>14.99</v>
      </c>
      <c r="M63" s="37">
        <v>15.0</v>
      </c>
      <c r="N63" s="39">
        <v>1.0</v>
      </c>
    </row>
    <row r="64">
      <c r="A64" s="37" t="s">
        <v>39</v>
      </c>
      <c r="B64" s="37" t="s">
        <v>188</v>
      </c>
      <c r="C64" s="37">
        <v>225.0</v>
      </c>
      <c r="D64" s="37" t="s">
        <v>767</v>
      </c>
      <c r="E64" s="37" t="s">
        <v>24</v>
      </c>
      <c r="F64" s="143">
        <v>40781.0</v>
      </c>
      <c r="G64" s="143">
        <v>44091.0</v>
      </c>
      <c r="H64" s="143">
        <v>44404.0</v>
      </c>
      <c r="I64" s="143">
        <v>44405.0</v>
      </c>
      <c r="J64" s="39">
        <v>14.99</v>
      </c>
      <c r="K64" s="39">
        <v>6.0</v>
      </c>
      <c r="L64" s="39">
        <v>8.99</v>
      </c>
      <c r="M64" s="37">
        <v>10.0</v>
      </c>
      <c r="N64" s="39">
        <v>0.6</v>
      </c>
    </row>
    <row r="65">
      <c r="A65" s="37" t="s">
        <v>39</v>
      </c>
      <c r="B65" s="37" t="s">
        <v>193</v>
      </c>
      <c r="C65" s="37">
        <v>224.0</v>
      </c>
      <c r="D65" s="37" t="s">
        <v>768</v>
      </c>
      <c r="E65" s="37" t="s">
        <v>24</v>
      </c>
      <c r="F65" s="143">
        <v>40786.0</v>
      </c>
      <c r="G65" s="143">
        <v>44292.0</v>
      </c>
      <c r="H65" s="143">
        <v>45072.0</v>
      </c>
      <c r="I65" s="143">
        <v>45075.0</v>
      </c>
      <c r="J65" s="39">
        <v>12.99</v>
      </c>
      <c r="K65" s="39">
        <v>12.99</v>
      </c>
      <c r="L65" s="39">
        <v>0.0</v>
      </c>
      <c r="M65" s="37">
        <v>30.0</v>
      </c>
      <c r="N65" s="39">
        <v>0.43</v>
      </c>
    </row>
    <row r="66">
      <c r="A66" s="37" t="s">
        <v>39</v>
      </c>
      <c r="B66" s="37"/>
      <c r="C66" s="37">
        <v>313.0</v>
      </c>
      <c r="D66" s="37" t="s">
        <v>769</v>
      </c>
      <c r="E66" s="37" t="s">
        <v>24</v>
      </c>
      <c r="F66" s="143">
        <v>40865.0</v>
      </c>
      <c r="G66" s="143">
        <v>40885.0</v>
      </c>
      <c r="H66" s="143">
        <v>40885.0</v>
      </c>
      <c r="I66" s="143">
        <v>44750.0</v>
      </c>
      <c r="J66" s="39">
        <v>19.99</v>
      </c>
      <c r="K66" s="39">
        <v>4.0</v>
      </c>
      <c r="L66" s="39">
        <v>15.99</v>
      </c>
      <c r="M66" s="37">
        <v>15.0</v>
      </c>
      <c r="N66" s="39">
        <v>0.27</v>
      </c>
    </row>
    <row r="67">
      <c r="A67" s="37" t="s">
        <v>39</v>
      </c>
      <c r="B67" s="37" t="s">
        <v>181</v>
      </c>
      <c r="C67" s="37">
        <v>388.0</v>
      </c>
      <c r="D67" s="37" t="s">
        <v>770</v>
      </c>
      <c r="E67" s="37" t="s">
        <v>24</v>
      </c>
      <c r="F67" s="143">
        <v>40949.0</v>
      </c>
      <c r="G67" s="143">
        <v>44091.0</v>
      </c>
      <c r="H67" s="143">
        <v>45117.0</v>
      </c>
      <c r="I67" s="143">
        <v>45119.0</v>
      </c>
      <c r="J67" s="39">
        <v>29.99</v>
      </c>
      <c r="K67" s="39">
        <v>2.5</v>
      </c>
      <c r="L67" s="39">
        <v>27.49</v>
      </c>
      <c r="M67" s="37">
        <v>25.0</v>
      </c>
      <c r="N67" s="39">
        <v>0.1</v>
      </c>
    </row>
    <row r="68">
      <c r="A68" s="58" t="s">
        <v>39</v>
      </c>
      <c r="B68" s="58"/>
      <c r="C68" s="58">
        <v>296.0</v>
      </c>
      <c r="D68" s="58" t="s">
        <v>771</v>
      </c>
      <c r="E68" s="58" t="s">
        <v>24</v>
      </c>
      <c r="F68" s="38">
        <v>40977.0</v>
      </c>
      <c r="G68" s="38">
        <v>41374.0</v>
      </c>
      <c r="H68" s="38">
        <v>41374.0</v>
      </c>
      <c r="I68" s="38">
        <v>46017.0</v>
      </c>
      <c r="J68" s="173">
        <v>22.99</v>
      </c>
      <c r="K68" s="173">
        <v>14.93</v>
      </c>
      <c r="L68" s="173">
        <v>8.059999999999999</v>
      </c>
      <c r="M68" s="58">
        <v>15.0</v>
      </c>
      <c r="N68" s="173">
        <v>0.9953333333333333</v>
      </c>
    </row>
    <row r="69">
      <c r="A69" s="37" t="s">
        <v>39</v>
      </c>
      <c r="B69" s="37"/>
      <c r="C69" s="37">
        <v>241.0</v>
      </c>
      <c r="D69" s="37" t="s">
        <v>772</v>
      </c>
      <c r="E69" s="37" t="s">
        <v>24</v>
      </c>
      <c r="F69" s="143">
        <v>40984.0</v>
      </c>
      <c r="G69" s="143">
        <v>42138.0</v>
      </c>
      <c r="H69" s="143">
        <v>42138.0</v>
      </c>
      <c r="I69" s="143">
        <v>42138.0</v>
      </c>
      <c r="J69" s="39">
        <v>29.99</v>
      </c>
      <c r="K69" s="39">
        <v>4.0</v>
      </c>
      <c r="L69" s="39">
        <v>25.99</v>
      </c>
      <c r="M69" s="37">
        <v>1.0</v>
      </c>
      <c r="N69" s="39">
        <v>4.0</v>
      </c>
    </row>
    <row r="70">
      <c r="A70" s="37" t="s">
        <v>39</v>
      </c>
      <c r="B70" s="37"/>
      <c r="C70" s="37">
        <v>327.0</v>
      </c>
      <c r="D70" s="37" t="s">
        <v>773</v>
      </c>
      <c r="E70" s="37" t="s">
        <v>24</v>
      </c>
      <c r="F70" s="143">
        <v>41026.0</v>
      </c>
      <c r="G70" s="143">
        <v>42969.0</v>
      </c>
      <c r="H70" s="143">
        <v>42969.0</v>
      </c>
      <c r="I70" s="143">
        <v>42969.0</v>
      </c>
      <c r="J70" s="39">
        <v>24.99</v>
      </c>
      <c r="K70" s="39">
        <v>7.99</v>
      </c>
      <c r="L70" s="39">
        <v>17.0</v>
      </c>
      <c r="M70" s="37">
        <v>1.0</v>
      </c>
      <c r="N70" s="39">
        <v>7.99</v>
      </c>
    </row>
    <row r="71">
      <c r="A71" s="37" t="s">
        <v>39</v>
      </c>
      <c r="B71" s="37" t="s">
        <v>172</v>
      </c>
      <c r="C71" s="37">
        <v>384.0</v>
      </c>
      <c r="D71" s="37" t="s">
        <v>774</v>
      </c>
      <c r="E71" s="37" t="s">
        <v>24</v>
      </c>
      <c r="F71" s="143">
        <v>41089.0</v>
      </c>
      <c r="G71" s="143">
        <v>44115.0</v>
      </c>
      <c r="H71" s="143">
        <v>45090.0</v>
      </c>
      <c r="I71" s="143">
        <v>45096.0</v>
      </c>
      <c r="J71" s="39">
        <v>49.99</v>
      </c>
      <c r="K71" s="39">
        <v>15.0</v>
      </c>
      <c r="L71" s="39">
        <v>34.99</v>
      </c>
      <c r="M71" s="37">
        <v>40.0</v>
      </c>
      <c r="N71" s="39">
        <v>0.38</v>
      </c>
    </row>
    <row r="72">
      <c r="A72" s="37" t="s">
        <v>39</v>
      </c>
      <c r="B72" s="37" t="s">
        <v>204</v>
      </c>
      <c r="C72" s="37">
        <v>366.0</v>
      </c>
      <c r="D72" s="37" t="s">
        <v>775</v>
      </c>
      <c r="E72" s="37" t="s">
        <v>24</v>
      </c>
      <c r="F72" s="143">
        <v>41136.0</v>
      </c>
      <c r="G72" s="143">
        <v>42925.0</v>
      </c>
      <c r="H72" s="143">
        <v>45054.0</v>
      </c>
      <c r="I72" s="143">
        <v>45054.0</v>
      </c>
      <c r="J72" s="39">
        <v>14.99</v>
      </c>
      <c r="K72" s="39">
        <v>3.99</v>
      </c>
      <c r="L72" s="39">
        <v>11.0</v>
      </c>
      <c r="M72" s="37">
        <v>5.0</v>
      </c>
      <c r="N72" s="39">
        <v>0.8</v>
      </c>
    </row>
    <row r="73">
      <c r="A73" s="37" t="s">
        <v>39</v>
      </c>
      <c r="B73" s="37"/>
      <c r="C73" s="37">
        <v>360.0</v>
      </c>
      <c r="D73" s="37" t="s">
        <v>776</v>
      </c>
      <c r="E73" s="37" t="s">
        <v>24</v>
      </c>
      <c r="F73" s="143">
        <v>41138.0</v>
      </c>
      <c r="G73" s="143">
        <v>43652.0</v>
      </c>
      <c r="H73" s="143">
        <v>43659.0</v>
      </c>
      <c r="I73" s="143">
        <v>45203.0</v>
      </c>
      <c r="J73" s="39">
        <v>29.99</v>
      </c>
      <c r="K73" s="39">
        <v>4.49</v>
      </c>
      <c r="L73" s="39">
        <v>25.5</v>
      </c>
      <c r="M73" s="37">
        <v>42.0</v>
      </c>
      <c r="N73" s="39">
        <v>0.11</v>
      </c>
    </row>
    <row r="74">
      <c r="A74" s="37" t="s">
        <v>39</v>
      </c>
      <c r="B74" s="37"/>
      <c r="C74" s="37">
        <v>288.0</v>
      </c>
      <c r="D74" s="37" t="s">
        <v>777</v>
      </c>
      <c r="E74" s="37" t="s">
        <v>24</v>
      </c>
      <c r="F74" s="143">
        <v>41220.0</v>
      </c>
      <c r="G74" s="143">
        <v>41458.0</v>
      </c>
      <c r="H74" s="143">
        <v>41458.0</v>
      </c>
      <c r="I74" s="143">
        <v>44775.0</v>
      </c>
      <c r="J74" s="39">
        <v>19.99</v>
      </c>
      <c r="K74" s="39">
        <v>14.99</v>
      </c>
      <c r="L74" s="39">
        <v>5.0</v>
      </c>
      <c r="M74" s="37">
        <v>25.0</v>
      </c>
      <c r="N74" s="39">
        <v>0.6</v>
      </c>
    </row>
    <row r="75">
      <c r="A75" s="37" t="s">
        <v>39</v>
      </c>
      <c r="B75" s="37"/>
      <c r="C75" s="37">
        <v>236.0</v>
      </c>
      <c r="D75" s="37" t="s">
        <v>778</v>
      </c>
      <c r="E75" s="37" t="s">
        <v>24</v>
      </c>
      <c r="F75" s="143">
        <v>41242.0</v>
      </c>
      <c r="G75" s="143">
        <v>43519.0</v>
      </c>
      <c r="H75" s="143">
        <v>43540.0</v>
      </c>
      <c r="I75" s="143">
        <v>43552.0</v>
      </c>
      <c r="J75" s="39">
        <v>29.99</v>
      </c>
      <c r="K75" s="39">
        <v>17.99</v>
      </c>
      <c r="L75" s="39">
        <v>12.0</v>
      </c>
      <c r="M75" s="37">
        <v>36.0</v>
      </c>
      <c r="N75" s="39">
        <v>0.5</v>
      </c>
    </row>
    <row r="76">
      <c r="A76" s="37" t="s">
        <v>39</v>
      </c>
      <c r="B76" s="37"/>
      <c r="C76" s="58">
        <v>294.0</v>
      </c>
      <c r="D76" s="58" t="s">
        <v>779</v>
      </c>
      <c r="E76" s="58" t="s">
        <v>24</v>
      </c>
      <c r="F76" s="38">
        <v>41250.0</v>
      </c>
      <c r="G76" s="38">
        <v>44521.0</v>
      </c>
      <c r="H76" s="38">
        <v>44718.0</v>
      </c>
      <c r="I76" s="38">
        <v>45943.0</v>
      </c>
      <c r="J76" s="173">
        <v>24.0</v>
      </c>
      <c r="K76" s="173">
        <v>14.93</v>
      </c>
      <c r="L76" s="173">
        <v>9.07</v>
      </c>
      <c r="M76" s="58">
        <v>43.0</v>
      </c>
      <c r="N76" s="173">
        <v>0.3472093023255814</v>
      </c>
    </row>
    <row r="77">
      <c r="A77" s="37" t="s">
        <v>39</v>
      </c>
      <c r="B77" s="37" t="s">
        <v>216</v>
      </c>
      <c r="C77" s="37">
        <v>346.0</v>
      </c>
      <c r="D77" s="37" t="s">
        <v>780</v>
      </c>
      <c r="E77" s="37" t="s">
        <v>24</v>
      </c>
      <c r="F77" s="143">
        <v>41290.0</v>
      </c>
      <c r="G77" s="143">
        <v>42623.0</v>
      </c>
      <c r="H77" s="143">
        <v>42715.0</v>
      </c>
      <c r="I77" s="143">
        <v>44185.0</v>
      </c>
      <c r="J77" s="39">
        <v>9.99</v>
      </c>
      <c r="K77" s="39">
        <v>4.99</v>
      </c>
      <c r="L77" s="39">
        <v>5.0</v>
      </c>
      <c r="M77" s="37">
        <v>3.0</v>
      </c>
      <c r="N77" s="39">
        <v>1.66</v>
      </c>
    </row>
    <row r="78">
      <c r="A78" s="37" t="s">
        <v>39</v>
      </c>
      <c r="B78" s="37" t="s">
        <v>189</v>
      </c>
      <c r="C78" s="37">
        <v>427.0</v>
      </c>
      <c r="D78" s="37" t="s">
        <v>781</v>
      </c>
      <c r="E78" s="37" t="s">
        <v>24</v>
      </c>
      <c r="F78" s="143">
        <v>41395.0</v>
      </c>
      <c r="G78" s="143">
        <v>43345.0</v>
      </c>
      <c r="H78" s="143">
        <v>44284.0</v>
      </c>
      <c r="I78" s="143">
        <v>44294.0</v>
      </c>
      <c r="J78" s="39">
        <v>6.19</v>
      </c>
      <c r="K78" s="39">
        <v>6.19</v>
      </c>
      <c r="L78" s="39">
        <v>0.0</v>
      </c>
      <c r="M78" s="37">
        <v>5.0</v>
      </c>
      <c r="N78" s="39">
        <v>1.24</v>
      </c>
    </row>
    <row r="79">
      <c r="A79" s="37" t="s">
        <v>39</v>
      </c>
      <c r="B79" s="37" t="s">
        <v>202</v>
      </c>
      <c r="C79" s="37">
        <v>240.0</v>
      </c>
      <c r="D79" s="37" t="s">
        <v>782</v>
      </c>
      <c r="E79" s="37" t="s">
        <v>24</v>
      </c>
      <c r="F79" s="143">
        <v>41723.0</v>
      </c>
      <c r="G79" s="143">
        <v>42939.0</v>
      </c>
      <c r="H79" s="143">
        <v>42945.0</v>
      </c>
      <c r="I79" s="143">
        <v>44871.0</v>
      </c>
      <c r="J79" s="39">
        <v>9.99</v>
      </c>
      <c r="K79" s="39">
        <v>1.99</v>
      </c>
      <c r="L79" s="39">
        <v>8.0</v>
      </c>
      <c r="M79" s="37">
        <v>2.0</v>
      </c>
      <c r="N79" s="39">
        <v>1.0</v>
      </c>
    </row>
    <row r="80">
      <c r="A80" s="37" t="s">
        <v>39</v>
      </c>
      <c r="B80" s="37" t="s">
        <v>200</v>
      </c>
      <c r="C80" s="37">
        <v>426.0</v>
      </c>
      <c r="D80" s="37" t="s">
        <v>783</v>
      </c>
      <c r="E80" s="37" t="s">
        <v>24</v>
      </c>
      <c r="F80" s="143">
        <v>41752.0</v>
      </c>
      <c r="G80" s="143">
        <v>41769.0</v>
      </c>
      <c r="H80" s="143">
        <v>41769.0</v>
      </c>
      <c r="I80" s="143">
        <v>41985.0</v>
      </c>
      <c r="J80" s="39">
        <v>9.99</v>
      </c>
      <c r="K80" s="39">
        <v>9.99</v>
      </c>
      <c r="L80" s="39">
        <v>0.0</v>
      </c>
      <c r="M80" s="37">
        <v>30.0</v>
      </c>
      <c r="N80" s="39">
        <v>0.33</v>
      </c>
    </row>
    <row r="81">
      <c r="A81" s="37" t="s">
        <v>39</v>
      </c>
      <c r="B81" s="37"/>
      <c r="C81" s="37">
        <v>211.0</v>
      </c>
      <c r="D81" s="37" t="s">
        <v>784</v>
      </c>
      <c r="E81" s="37" t="s">
        <v>24</v>
      </c>
      <c r="F81" s="143">
        <v>41759.0</v>
      </c>
      <c r="G81" s="143">
        <v>42635.0</v>
      </c>
      <c r="H81" s="143">
        <v>43331.0</v>
      </c>
      <c r="I81" s="143">
        <v>43334.0</v>
      </c>
      <c r="J81" s="39">
        <v>14.99</v>
      </c>
      <c r="K81" s="39">
        <v>4.99</v>
      </c>
      <c r="L81" s="39">
        <v>10.0</v>
      </c>
      <c r="M81" s="37">
        <v>7.0</v>
      </c>
      <c r="N81" s="39">
        <v>0.71</v>
      </c>
    </row>
    <row r="82">
      <c r="A82" s="37" t="s">
        <v>39</v>
      </c>
      <c r="B82" s="37"/>
      <c r="C82" s="37">
        <v>419.0</v>
      </c>
      <c r="D82" s="37" t="s">
        <v>785</v>
      </c>
      <c r="E82" s="37" t="s">
        <v>24</v>
      </c>
      <c r="F82" s="143">
        <v>41786.0</v>
      </c>
      <c r="G82" s="143">
        <v>42818.0</v>
      </c>
      <c r="H82" s="143">
        <v>42818.0</v>
      </c>
      <c r="I82" s="143">
        <v>45635.0</v>
      </c>
      <c r="J82" s="39">
        <v>19.99</v>
      </c>
      <c r="K82" s="39">
        <v>7.99</v>
      </c>
      <c r="L82" s="39">
        <v>12.0</v>
      </c>
      <c r="M82" s="37">
        <v>71.0</v>
      </c>
      <c r="N82" s="39">
        <v>0.11</v>
      </c>
    </row>
    <row r="83">
      <c r="A83" s="37" t="s">
        <v>39</v>
      </c>
      <c r="B83" s="37" t="s">
        <v>180</v>
      </c>
      <c r="C83" s="37">
        <v>348.0</v>
      </c>
      <c r="D83" s="37" t="s">
        <v>786</v>
      </c>
      <c r="E83" s="37" t="s">
        <v>24</v>
      </c>
      <c r="F83" s="143">
        <v>41850.0</v>
      </c>
      <c r="G83" s="143">
        <v>42750.0</v>
      </c>
      <c r="H83" s="143">
        <v>42822.0</v>
      </c>
      <c r="I83" s="143">
        <v>45422.0</v>
      </c>
      <c r="J83" s="39">
        <v>12.99</v>
      </c>
      <c r="K83" s="39">
        <v>4.99</v>
      </c>
      <c r="L83" s="39">
        <v>8.0</v>
      </c>
      <c r="M83" s="37">
        <v>15.0</v>
      </c>
      <c r="N83" s="39">
        <v>0.33</v>
      </c>
    </row>
    <row r="84">
      <c r="A84" s="37" t="s">
        <v>39</v>
      </c>
      <c r="B84" s="37" t="s">
        <v>176</v>
      </c>
      <c r="C84" s="37">
        <v>361.0</v>
      </c>
      <c r="D84" s="37" t="s">
        <v>787</v>
      </c>
      <c r="E84" s="37" t="s">
        <v>24</v>
      </c>
      <c r="F84" s="143">
        <v>41906.0</v>
      </c>
      <c r="G84" s="143">
        <v>44139.0</v>
      </c>
      <c r="H84" s="143">
        <v>44139.0</v>
      </c>
      <c r="I84" s="143">
        <v>44139.0</v>
      </c>
      <c r="J84" s="39">
        <v>9.99</v>
      </c>
      <c r="K84" s="39">
        <v>1.49</v>
      </c>
      <c r="L84" s="39">
        <v>8.5</v>
      </c>
      <c r="M84" s="37">
        <v>1.0</v>
      </c>
      <c r="N84" s="39">
        <v>1.49</v>
      </c>
    </row>
    <row r="85">
      <c r="A85" s="37" t="s">
        <v>39</v>
      </c>
      <c r="B85" s="37"/>
      <c r="C85" s="37">
        <v>237.0</v>
      </c>
      <c r="D85" s="37" t="s">
        <v>788</v>
      </c>
      <c r="E85" s="37" t="s">
        <v>24</v>
      </c>
      <c r="F85" s="143">
        <v>41961.0</v>
      </c>
      <c r="G85" s="143">
        <v>43519.0</v>
      </c>
      <c r="H85" s="143">
        <v>43915.0</v>
      </c>
      <c r="I85" s="143">
        <v>43922.0</v>
      </c>
      <c r="J85" s="39">
        <v>24.99</v>
      </c>
      <c r="K85" s="39">
        <v>7.99</v>
      </c>
      <c r="L85" s="39">
        <v>17.0</v>
      </c>
      <c r="M85" s="37">
        <v>42.0</v>
      </c>
      <c r="N85" s="39">
        <v>0.19</v>
      </c>
    </row>
    <row r="86">
      <c r="A86" s="37" t="s">
        <v>39</v>
      </c>
      <c r="B86" s="37"/>
      <c r="C86" s="37">
        <v>242.0</v>
      </c>
      <c r="D86" s="37" t="s">
        <v>789</v>
      </c>
      <c r="E86" s="37" t="s">
        <v>24</v>
      </c>
      <c r="F86" s="143">
        <v>42272.0</v>
      </c>
      <c r="G86" s="143">
        <v>42272.0</v>
      </c>
      <c r="H86" s="143">
        <v>42272.0</v>
      </c>
      <c r="I86" s="143">
        <v>42272.0</v>
      </c>
      <c r="J86" s="39">
        <v>69.99</v>
      </c>
      <c r="K86" s="39">
        <v>69.99</v>
      </c>
      <c r="L86" s="39">
        <v>0.0</v>
      </c>
      <c r="M86" s="37">
        <v>11.0</v>
      </c>
      <c r="N86" s="39">
        <v>6.36</v>
      </c>
    </row>
    <row r="87">
      <c r="A87" s="37" t="s">
        <v>39</v>
      </c>
      <c r="B87" s="37"/>
      <c r="C87" s="37">
        <v>243.0</v>
      </c>
      <c r="D87" s="37" t="s">
        <v>790</v>
      </c>
      <c r="E87" s="37" t="s">
        <v>24</v>
      </c>
      <c r="F87" s="143">
        <v>42642.0</v>
      </c>
      <c r="G87" s="143">
        <v>42658.0</v>
      </c>
      <c r="H87" s="143">
        <v>42658.0</v>
      </c>
      <c r="I87" s="143">
        <v>42792.0</v>
      </c>
      <c r="J87" s="39">
        <v>69.99</v>
      </c>
      <c r="K87" s="39">
        <v>69.99</v>
      </c>
      <c r="L87" s="39">
        <v>0.0</v>
      </c>
      <c r="M87" s="37">
        <v>18.0</v>
      </c>
      <c r="N87" s="39">
        <v>3.89</v>
      </c>
    </row>
    <row r="88">
      <c r="A88" s="37" t="s">
        <v>39</v>
      </c>
      <c r="B88" s="37"/>
      <c r="C88" s="37">
        <v>244.0</v>
      </c>
      <c r="D88" s="37" t="s">
        <v>791</v>
      </c>
      <c r="E88" s="37" t="s">
        <v>24</v>
      </c>
      <c r="F88" s="143">
        <v>43007.0</v>
      </c>
      <c r="G88" s="143">
        <v>43007.0</v>
      </c>
      <c r="H88" s="143">
        <v>43008.0</v>
      </c>
      <c r="I88" s="143">
        <v>43073.0</v>
      </c>
      <c r="J88" s="39">
        <v>69.99</v>
      </c>
      <c r="K88" s="39">
        <v>69.99</v>
      </c>
      <c r="L88" s="39">
        <v>0.0</v>
      </c>
      <c r="M88" s="37">
        <v>14.0</v>
      </c>
      <c r="N88" s="39">
        <v>5.0</v>
      </c>
    </row>
    <row r="89">
      <c r="A89" s="37" t="s">
        <v>39</v>
      </c>
      <c r="B89" s="37"/>
      <c r="C89" s="37">
        <v>245.0</v>
      </c>
      <c r="D89" s="37" t="s">
        <v>792</v>
      </c>
      <c r="E89" s="37" t="s">
        <v>24</v>
      </c>
      <c r="F89" s="143">
        <v>43371.0</v>
      </c>
      <c r="G89" s="143">
        <v>43430.0</v>
      </c>
      <c r="H89" s="143">
        <v>43432.0</v>
      </c>
      <c r="I89" s="143">
        <v>43439.0</v>
      </c>
      <c r="J89" s="39">
        <v>69.99</v>
      </c>
      <c r="K89" s="39">
        <v>39.89</v>
      </c>
      <c r="L89" s="39">
        <v>30.1</v>
      </c>
      <c r="M89" s="37">
        <v>21.0</v>
      </c>
      <c r="N89" s="39">
        <v>1.9</v>
      </c>
    </row>
    <row r="90">
      <c r="A90" s="37" t="s">
        <v>39</v>
      </c>
      <c r="B90" s="37" t="s">
        <v>174</v>
      </c>
      <c r="C90" s="37">
        <v>448.0</v>
      </c>
      <c r="D90" s="37" t="s">
        <v>793</v>
      </c>
      <c r="E90" s="37" t="s">
        <v>25</v>
      </c>
      <c r="F90" s="143">
        <v>41061.0</v>
      </c>
      <c r="G90" s="143">
        <v>42666.0</v>
      </c>
      <c r="H90" s="143">
        <v>42666.0</v>
      </c>
      <c r="I90" s="143">
        <v>42666.0</v>
      </c>
      <c r="J90" s="39">
        <v>4.99</v>
      </c>
      <c r="K90" s="39">
        <v>1.99</v>
      </c>
      <c r="L90" s="39">
        <v>3.0</v>
      </c>
      <c r="M90" s="37">
        <v>1.0</v>
      </c>
      <c r="N90" s="39">
        <v>1.99</v>
      </c>
    </row>
    <row r="91">
      <c r="A91" s="37" t="s">
        <v>39</v>
      </c>
      <c r="B91" s="37" t="s">
        <v>182</v>
      </c>
      <c r="C91" s="37">
        <v>443.0</v>
      </c>
      <c r="D91" s="37" t="s">
        <v>794</v>
      </c>
      <c r="E91" s="37" t="s">
        <v>25</v>
      </c>
      <c r="F91" s="143">
        <v>41955.0</v>
      </c>
      <c r="G91" s="143">
        <v>42045.0</v>
      </c>
      <c r="H91" s="143">
        <v>45044.0</v>
      </c>
      <c r="I91" s="143">
        <v>45048.0</v>
      </c>
      <c r="J91" s="39">
        <v>0.0</v>
      </c>
      <c r="K91" s="39">
        <v>0.0</v>
      </c>
      <c r="L91" s="39">
        <v>0.0</v>
      </c>
      <c r="M91" s="37">
        <v>10.0</v>
      </c>
      <c r="N91" s="39">
        <v>0.0</v>
      </c>
    </row>
    <row r="92">
      <c r="A92" s="37" t="s">
        <v>39</v>
      </c>
      <c r="B92" s="37" t="s">
        <v>211</v>
      </c>
      <c r="C92" s="37">
        <v>451.0</v>
      </c>
      <c r="D92" s="37" t="s">
        <v>795</v>
      </c>
      <c r="E92" s="37" t="s">
        <v>25</v>
      </c>
      <c r="F92" s="143">
        <v>42423.0</v>
      </c>
      <c r="G92" s="143">
        <v>42832.0</v>
      </c>
      <c r="H92" s="143">
        <v>42832.0</v>
      </c>
      <c r="I92" s="143">
        <v>42832.0</v>
      </c>
      <c r="J92" s="39">
        <v>5.99</v>
      </c>
      <c r="K92" s="39">
        <v>1.99</v>
      </c>
      <c r="L92" s="39">
        <v>4.0</v>
      </c>
      <c r="M92" s="37">
        <v>1.0</v>
      </c>
      <c r="N92" s="39">
        <v>1.99</v>
      </c>
    </row>
    <row r="93">
      <c r="A93" s="37" t="s">
        <v>39</v>
      </c>
      <c r="B93" s="37"/>
      <c r="C93" s="37">
        <v>959.0</v>
      </c>
      <c r="D93" s="37" t="s">
        <v>796</v>
      </c>
      <c r="E93" s="37" t="s">
        <v>26</v>
      </c>
      <c r="F93" s="143">
        <v>41607.0</v>
      </c>
      <c r="G93" s="143">
        <v>44334.0</v>
      </c>
      <c r="H93" s="143">
        <v>44334.0</v>
      </c>
      <c r="I93" s="143">
        <v>44334.0</v>
      </c>
      <c r="J93" s="39">
        <v>0.0</v>
      </c>
      <c r="K93" s="39">
        <v>0.0</v>
      </c>
      <c r="L93" s="39">
        <v>0.0</v>
      </c>
      <c r="M93" s="37">
        <v>1.0</v>
      </c>
      <c r="N93" s="39">
        <v>0.0</v>
      </c>
    </row>
    <row r="94">
      <c r="A94" s="37" t="s">
        <v>39</v>
      </c>
      <c r="B94" s="37" t="s">
        <v>195</v>
      </c>
      <c r="C94" s="37">
        <v>592.0</v>
      </c>
      <c r="D94" s="37" t="s">
        <v>797</v>
      </c>
      <c r="E94" s="37" t="s">
        <v>26</v>
      </c>
      <c r="F94" s="143">
        <v>41647.0</v>
      </c>
      <c r="G94" s="143">
        <v>45048.0</v>
      </c>
      <c r="H94" s="143">
        <v>45048.0</v>
      </c>
      <c r="I94" s="143">
        <v>45048.0</v>
      </c>
      <c r="J94" s="39">
        <v>13.99</v>
      </c>
      <c r="K94" s="39">
        <v>3.49</v>
      </c>
      <c r="L94" s="39">
        <v>10.5</v>
      </c>
      <c r="M94" s="37">
        <v>1.0</v>
      </c>
      <c r="N94" s="39">
        <v>3.49</v>
      </c>
    </row>
    <row r="95">
      <c r="A95" s="37" t="s">
        <v>39</v>
      </c>
      <c r="B95" s="37" t="s">
        <v>206</v>
      </c>
      <c r="C95" s="37">
        <v>781.0</v>
      </c>
      <c r="D95" s="37" t="s">
        <v>798</v>
      </c>
      <c r="E95" s="37" t="s">
        <v>26</v>
      </c>
      <c r="F95" s="143">
        <v>41675.0</v>
      </c>
      <c r="G95" s="143">
        <v>44071.0</v>
      </c>
      <c r="H95" s="143">
        <v>44071.0</v>
      </c>
      <c r="I95" s="143">
        <v>44071.0</v>
      </c>
      <c r="J95" s="39">
        <v>18.99</v>
      </c>
      <c r="K95" s="39">
        <v>3.79</v>
      </c>
      <c r="L95" s="39">
        <v>15.2</v>
      </c>
      <c r="M95" s="37">
        <v>1.0</v>
      </c>
      <c r="N95" s="39">
        <v>3.79</v>
      </c>
    </row>
    <row r="96">
      <c r="A96" s="37" t="s">
        <v>39</v>
      </c>
      <c r="B96" s="37"/>
      <c r="C96" s="37">
        <v>979.0</v>
      </c>
      <c r="D96" s="37" t="s">
        <v>799</v>
      </c>
      <c r="E96" s="37" t="s">
        <v>26</v>
      </c>
      <c r="F96" s="143">
        <v>42216.0</v>
      </c>
      <c r="G96" s="143">
        <v>42257.0</v>
      </c>
      <c r="H96" s="143">
        <v>42258.0</v>
      </c>
      <c r="I96" s="143">
        <v>44094.0</v>
      </c>
      <c r="J96" s="39">
        <v>19.99</v>
      </c>
      <c r="K96" s="39">
        <v>19.99</v>
      </c>
      <c r="L96" s="39">
        <v>0.0</v>
      </c>
      <c r="M96" s="37">
        <v>40.0</v>
      </c>
      <c r="N96" s="39">
        <v>0.5</v>
      </c>
    </row>
    <row r="97">
      <c r="A97" s="37" t="s">
        <v>39</v>
      </c>
      <c r="B97" s="37" t="s">
        <v>171</v>
      </c>
      <c r="C97" s="37">
        <v>718.0</v>
      </c>
      <c r="D97" s="37" t="s">
        <v>800</v>
      </c>
      <c r="E97" s="37" t="s">
        <v>26</v>
      </c>
      <c r="F97" s="143">
        <v>42409.0</v>
      </c>
      <c r="G97" s="143">
        <v>42875.0</v>
      </c>
      <c r="H97" s="143">
        <v>42882.0</v>
      </c>
      <c r="I97" s="143">
        <v>44085.0</v>
      </c>
      <c r="J97" s="39">
        <v>14.99</v>
      </c>
      <c r="K97" s="39">
        <v>4.99</v>
      </c>
      <c r="L97" s="39">
        <v>10.0</v>
      </c>
      <c r="M97" s="37">
        <v>16.0</v>
      </c>
      <c r="N97" s="39">
        <v>0.31</v>
      </c>
    </row>
    <row r="98">
      <c r="A98" s="37" t="s">
        <v>39</v>
      </c>
      <c r="B98" s="37"/>
      <c r="C98" s="37">
        <v>619.0</v>
      </c>
      <c r="D98" s="37" t="s">
        <v>801</v>
      </c>
      <c r="E98" s="37" t="s">
        <v>26</v>
      </c>
      <c r="F98" s="143">
        <v>42423.0</v>
      </c>
      <c r="G98" s="143">
        <v>43519.0</v>
      </c>
      <c r="H98" s="143">
        <v>45392.0</v>
      </c>
      <c r="I98" s="143">
        <v>45404.0</v>
      </c>
      <c r="J98" s="49">
        <v>24.99</v>
      </c>
      <c r="K98" s="49">
        <v>7.99</v>
      </c>
      <c r="L98" s="39">
        <v>17.0</v>
      </c>
      <c r="M98" s="37">
        <v>30.0</v>
      </c>
      <c r="N98" s="39">
        <v>0.27</v>
      </c>
    </row>
    <row r="99">
      <c r="A99" s="37" t="s">
        <v>39</v>
      </c>
      <c r="B99" s="37" t="s">
        <v>190</v>
      </c>
      <c r="C99" s="37">
        <v>502.0</v>
      </c>
      <c r="D99" s="37" t="s">
        <v>802</v>
      </c>
      <c r="E99" s="37" t="s">
        <v>26</v>
      </c>
      <c r="F99" s="143">
        <v>42611.0</v>
      </c>
      <c r="G99" s="143">
        <v>42766.0</v>
      </c>
      <c r="H99" s="143">
        <v>42850.0</v>
      </c>
      <c r="I99" s="143">
        <v>44671.0</v>
      </c>
      <c r="J99" s="39">
        <v>11.99</v>
      </c>
      <c r="K99" s="39">
        <v>7.99</v>
      </c>
      <c r="L99" s="39">
        <v>4.0</v>
      </c>
      <c r="M99" s="37">
        <v>9.0</v>
      </c>
      <c r="N99" s="39">
        <v>0.89</v>
      </c>
    </row>
    <row r="100">
      <c r="A100" s="37" t="s">
        <v>39</v>
      </c>
      <c r="B100" s="37" t="s">
        <v>198</v>
      </c>
      <c r="C100" s="37">
        <v>679.0</v>
      </c>
      <c r="D100" s="37" t="s">
        <v>803</v>
      </c>
      <c r="E100" s="37" t="s">
        <v>26</v>
      </c>
      <c r="F100" s="143">
        <v>42633.0</v>
      </c>
      <c r="G100" s="143">
        <v>42951.0</v>
      </c>
      <c r="H100" s="143">
        <v>42974.0</v>
      </c>
      <c r="I100" s="143">
        <v>44844.0</v>
      </c>
      <c r="J100" s="39">
        <v>17.99</v>
      </c>
      <c r="K100" s="39">
        <v>4.99</v>
      </c>
      <c r="L100" s="39">
        <v>13.0</v>
      </c>
      <c r="M100" s="37">
        <v>4.0</v>
      </c>
      <c r="N100" s="39">
        <v>1.25</v>
      </c>
    </row>
    <row r="101">
      <c r="A101" s="37" t="s">
        <v>39</v>
      </c>
      <c r="B101" s="37" t="s">
        <v>209</v>
      </c>
      <c r="C101" s="37">
        <v>957.0</v>
      </c>
      <c r="D101" s="37" t="s">
        <v>804</v>
      </c>
      <c r="E101" s="37" t="s">
        <v>26</v>
      </c>
      <c r="F101" s="143">
        <v>42647.0</v>
      </c>
      <c r="G101" s="143">
        <v>42648.0</v>
      </c>
      <c r="H101" s="143">
        <v>42648.0</v>
      </c>
      <c r="I101" s="143">
        <v>42648.0</v>
      </c>
      <c r="J101" s="39">
        <v>14.99</v>
      </c>
      <c r="K101" s="39">
        <v>5.99</v>
      </c>
      <c r="L101" s="39">
        <v>9.0</v>
      </c>
      <c r="M101" s="37">
        <v>1.0</v>
      </c>
      <c r="N101" s="39">
        <v>5.99</v>
      </c>
    </row>
    <row r="102">
      <c r="A102" s="37" t="s">
        <v>39</v>
      </c>
      <c r="B102" s="37"/>
      <c r="C102" s="37">
        <v>960.0</v>
      </c>
      <c r="D102" s="37" t="s">
        <v>805</v>
      </c>
      <c r="E102" s="37" t="s">
        <v>26</v>
      </c>
      <c r="F102" s="143">
        <v>42689.0</v>
      </c>
      <c r="G102" s="143">
        <v>43668.0</v>
      </c>
      <c r="H102" s="143">
        <v>43675.0</v>
      </c>
      <c r="I102" s="143">
        <v>45636.0</v>
      </c>
      <c r="J102" s="39">
        <v>69.99</v>
      </c>
      <c r="K102" s="39">
        <v>14.99</v>
      </c>
      <c r="L102" s="39">
        <v>55.0</v>
      </c>
      <c r="M102" s="37">
        <v>56.0</v>
      </c>
      <c r="N102" s="39">
        <v>0.27</v>
      </c>
    </row>
    <row r="103">
      <c r="A103" s="37" t="s">
        <v>39</v>
      </c>
      <c r="B103" s="37" t="s">
        <v>196</v>
      </c>
      <c r="C103" s="37">
        <v>543.0</v>
      </c>
      <c r="D103" s="37" t="s">
        <v>806</v>
      </c>
      <c r="E103" s="37" t="s">
        <v>26</v>
      </c>
      <c r="F103" s="143">
        <v>43125.0</v>
      </c>
      <c r="G103" s="143">
        <v>43335.0</v>
      </c>
      <c r="H103" s="143">
        <v>43338.0</v>
      </c>
      <c r="I103" s="143">
        <v>43338.0</v>
      </c>
      <c r="J103" s="39">
        <v>19.99</v>
      </c>
      <c r="K103" s="39">
        <v>11.99</v>
      </c>
      <c r="L103" s="39">
        <v>8.0</v>
      </c>
      <c r="M103" s="37">
        <v>2.0</v>
      </c>
      <c r="N103" s="39">
        <v>6.0</v>
      </c>
    </row>
    <row r="104">
      <c r="A104" s="37" t="s">
        <v>39</v>
      </c>
      <c r="B104" s="37"/>
      <c r="C104" s="37">
        <v>620.0</v>
      </c>
      <c r="D104" s="37" t="s">
        <v>807</v>
      </c>
      <c r="E104" s="37" t="s">
        <v>26</v>
      </c>
      <c r="F104" s="143">
        <v>43186.0</v>
      </c>
      <c r="G104" s="143">
        <v>43372.0</v>
      </c>
      <c r="H104" s="143">
        <v>43373.0</v>
      </c>
      <c r="I104" s="143">
        <v>43987.0</v>
      </c>
      <c r="J104" s="39">
        <v>99.98</v>
      </c>
      <c r="K104" s="39">
        <v>49.98</v>
      </c>
      <c r="L104" s="39">
        <v>50.0</v>
      </c>
      <c r="M104" s="37">
        <v>103.0</v>
      </c>
      <c r="N104" s="39">
        <v>0.49</v>
      </c>
    </row>
    <row r="105">
      <c r="A105" s="37" t="s">
        <v>39</v>
      </c>
      <c r="B105" s="37"/>
      <c r="C105" s="37">
        <v>833.0</v>
      </c>
      <c r="D105" s="37" t="s">
        <v>808</v>
      </c>
      <c r="E105" s="37" t="s">
        <v>26</v>
      </c>
      <c r="F105" s="143">
        <v>43357.0</v>
      </c>
      <c r="G105" s="143">
        <v>45014.0</v>
      </c>
      <c r="H105" s="143">
        <v>45264.0</v>
      </c>
      <c r="I105" s="143">
        <v>45316.0</v>
      </c>
      <c r="J105" s="39">
        <v>39.99</v>
      </c>
      <c r="K105" s="39">
        <v>6.98</v>
      </c>
      <c r="L105" s="39">
        <v>33.01</v>
      </c>
      <c r="M105" s="37">
        <v>44.0</v>
      </c>
      <c r="N105" s="39">
        <v>0.16</v>
      </c>
    </row>
    <row r="106">
      <c r="A106" s="37" t="s">
        <v>39</v>
      </c>
      <c r="B106" s="37"/>
      <c r="C106" s="37">
        <v>621.0</v>
      </c>
      <c r="D106" s="37" t="s">
        <v>809</v>
      </c>
      <c r="E106" s="37" t="s">
        <v>26</v>
      </c>
      <c r="F106" s="143">
        <v>43511.0</v>
      </c>
      <c r="G106" s="143">
        <v>43548.0</v>
      </c>
      <c r="H106" s="143">
        <v>43618.0</v>
      </c>
      <c r="I106" s="143">
        <v>45310.0</v>
      </c>
      <c r="J106" s="39">
        <v>54.99</v>
      </c>
      <c r="K106" s="39">
        <v>27.49</v>
      </c>
      <c r="L106" s="39">
        <v>27.5</v>
      </c>
      <c r="M106" s="37">
        <v>51.0</v>
      </c>
      <c r="N106" s="39">
        <v>0.54</v>
      </c>
    </row>
    <row r="107">
      <c r="A107" s="37" t="s">
        <v>39</v>
      </c>
      <c r="B107" s="37"/>
      <c r="C107" s="37">
        <v>560.0</v>
      </c>
      <c r="D107" s="37" t="s">
        <v>810</v>
      </c>
      <c r="E107" s="37" t="s">
        <v>26</v>
      </c>
      <c r="F107" s="143">
        <v>43637.0</v>
      </c>
      <c r="G107" s="143">
        <v>43441.0</v>
      </c>
      <c r="H107" s="143">
        <v>43637.0</v>
      </c>
      <c r="I107" s="143">
        <v>44129.0</v>
      </c>
      <c r="J107" s="39">
        <v>59.99</v>
      </c>
      <c r="K107" s="39">
        <v>59.99</v>
      </c>
      <c r="L107" s="39">
        <v>0.0</v>
      </c>
      <c r="M107" s="37">
        <v>168.0</v>
      </c>
      <c r="N107" s="39">
        <v>0.36</v>
      </c>
    </row>
    <row r="108">
      <c r="A108" s="37" t="s">
        <v>39</v>
      </c>
      <c r="B108" s="37"/>
      <c r="C108" s="37">
        <v>625.0</v>
      </c>
      <c r="D108" s="37" t="s">
        <v>811</v>
      </c>
      <c r="E108" s="37" t="s">
        <v>26</v>
      </c>
      <c r="F108" s="143">
        <v>43735.0</v>
      </c>
      <c r="G108" s="143">
        <v>43922.0</v>
      </c>
      <c r="H108" s="143">
        <v>43974.0</v>
      </c>
      <c r="I108" s="143">
        <v>43981.0</v>
      </c>
      <c r="J108" s="39">
        <v>69.99</v>
      </c>
      <c r="K108" s="39">
        <v>27.99</v>
      </c>
      <c r="L108" s="39">
        <v>42.0</v>
      </c>
      <c r="M108" s="37">
        <v>28.0</v>
      </c>
      <c r="N108" s="39">
        <v>1.0</v>
      </c>
    </row>
    <row r="109">
      <c r="A109" s="89" t="s">
        <v>39</v>
      </c>
      <c r="B109" s="89" t="s">
        <v>212</v>
      </c>
      <c r="C109" s="89">
        <v>1098.0</v>
      </c>
      <c r="D109" s="89" t="s">
        <v>812</v>
      </c>
      <c r="E109" s="89" t="s">
        <v>26</v>
      </c>
      <c r="F109" s="174">
        <v>43858.0</v>
      </c>
      <c r="G109" s="174">
        <v>46005.0</v>
      </c>
      <c r="H109" s="174">
        <v>46013.0</v>
      </c>
      <c r="I109" s="174">
        <v>46017.0</v>
      </c>
      <c r="J109" s="175">
        <v>29.99</v>
      </c>
      <c r="K109" s="175">
        <v>5.99</v>
      </c>
      <c r="L109" s="175">
        <v>24.0</v>
      </c>
      <c r="M109" s="89">
        <v>25.0</v>
      </c>
      <c r="N109" s="175">
        <v>0.2396</v>
      </c>
    </row>
    <row r="110">
      <c r="A110" s="37" t="s">
        <v>39</v>
      </c>
      <c r="B110" s="37"/>
      <c r="C110" s="37">
        <v>603.0</v>
      </c>
      <c r="D110" s="37" t="s">
        <v>813</v>
      </c>
      <c r="E110" s="37" t="s">
        <v>26</v>
      </c>
      <c r="F110" s="143">
        <v>44057.0</v>
      </c>
      <c r="G110" s="143">
        <v>44593.0</v>
      </c>
      <c r="H110" s="143">
        <v>44593.0</v>
      </c>
      <c r="I110" s="143">
        <v>44593.0</v>
      </c>
      <c r="J110" s="39">
        <v>69.99</v>
      </c>
      <c r="K110" s="39">
        <v>0.0</v>
      </c>
      <c r="L110" s="39">
        <v>69.99</v>
      </c>
      <c r="M110" s="37">
        <v>1.0</v>
      </c>
      <c r="N110" s="39">
        <v>0.0</v>
      </c>
    </row>
    <row r="111">
      <c r="A111" s="37" t="s">
        <v>39</v>
      </c>
      <c r="B111" s="37" t="s">
        <v>192</v>
      </c>
      <c r="C111" s="37">
        <v>792.0</v>
      </c>
      <c r="D111" s="37" t="s">
        <v>814</v>
      </c>
      <c r="E111" s="37" t="s">
        <v>26</v>
      </c>
      <c r="F111" s="143">
        <v>44064.0</v>
      </c>
      <c r="G111" s="143">
        <v>44474.0</v>
      </c>
      <c r="H111" s="143">
        <v>44474.0</v>
      </c>
      <c r="I111" s="143">
        <v>44474.0</v>
      </c>
      <c r="J111" s="39">
        <v>59.99</v>
      </c>
      <c r="K111" s="39">
        <v>0.0</v>
      </c>
      <c r="L111" s="39">
        <v>59.99</v>
      </c>
      <c r="M111" s="37">
        <v>1.0</v>
      </c>
      <c r="N111" s="39">
        <v>0.0</v>
      </c>
    </row>
    <row r="112">
      <c r="A112" s="37" t="s">
        <v>39</v>
      </c>
      <c r="B112" s="37"/>
      <c r="C112" s="37">
        <v>626.0</v>
      </c>
      <c r="D112" s="37" t="s">
        <v>815</v>
      </c>
      <c r="E112" s="37" t="s">
        <v>26</v>
      </c>
      <c r="F112" s="143">
        <v>44113.0</v>
      </c>
      <c r="G112" s="143">
        <v>44334.0</v>
      </c>
      <c r="H112" s="143">
        <v>44339.0</v>
      </c>
      <c r="I112" s="143">
        <v>44339.0</v>
      </c>
      <c r="J112" s="39">
        <v>89.99</v>
      </c>
      <c r="K112" s="39">
        <v>24.29</v>
      </c>
      <c r="L112" s="39">
        <v>65.7</v>
      </c>
      <c r="M112" s="37">
        <v>4.0</v>
      </c>
      <c r="N112" s="39">
        <v>6.07</v>
      </c>
    </row>
    <row r="113">
      <c r="A113" s="37" t="s">
        <v>39</v>
      </c>
      <c r="B113" s="37" t="s">
        <v>214</v>
      </c>
      <c r="C113" s="37">
        <v>961.0</v>
      </c>
      <c r="D113" s="37" t="s">
        <v>816</v>
      </c>
      <c r="E113" s="37" t="s">
        <v>26</v>
      </c>
      <c r="F113" s="143">
        <v>44133.0</v>
      </c>
      <c r="G113" s="143">
        <v>44349.0</v>
      </c>
      <c r="H113" s="143">
        <v>44351.0</v>
      </c>
      <c r="I113" s="143">
        <v>45641.0</v>
      </c>
      <c r="J113" s="39">
        <v>69.99</v>
      </c>
      <c r="K113" s="39">
        <v>34.99</v>
      </c>
      <c r="L113" s="39">
        <v>35.0</v>
      </c>
      <c r="M113" s="37">
        <v>79.0</v>
      </c>
      <c r="N113" s="39">
        <v>0.44</v>
      </c>
    </row>
    <row r="114">
      <c r="A114" s="37" t="s">
        <v>39</v>
      </c>
      <c r="B114" s="37"/>
      <c r="C114" s="37">
        <v>516.0</v>
      </c>
      <c r="D114" s="37" t="s">
        <v>817</v>
      </c>
      <c r="E114" s="37" t="s">
        <v>26</v>
      </c>
      <c r="F114" s="143">
        <v>44145.0</v>
      </c>
      <c r="G114" s="143">
        <v>44521.0</v>
      </c>
      <c r="H114" s="143">
        <v>44927.0</v>
      </c>
      <c r="I114" s="143">
        <v>44936.0</v>
      </c>
      <c r="J114" s="39">
        <v>119.99</v>
      </c>
      <c r="K114" s="39">
        <v>59.99</v>
      </c>
      <c r="L114" s="39">
        <v>60.0</v>
      </c>
      <c r="M114" s="37">
        <v>22.0</v>
      </c>
      <c r="N114" s="39">
        <v>2.73</v>
      </c>
    </row>
    <row r="115">
      <c r="A115" s="37" t="s">
        <v>39</v>
      </c>
      <c r="B115" s="37" t="s">
        <v>199</v>
      </c>
      <c r="C115" s="37">
        <v>941.0</v>
      </c>
      <c r="D115" s="37" t="s">
        <v>818</v>
      </c>
      <c r="E115" s="37" t="s">
        <v>26</v>
      </c>
      <c r="F115" s="143">
        <v>44404.0</v>
      </c>
      <c r="G115" s="143">
        <v>44684.0</v>
      </c>
      <c r="H115" s="143">
        <v>44684.0</v>
      </c>
      <c r="I115" s="143">
        <v>44684.0</v>
      </c>
      <c r="J115" s="39">
        <v>19.99</v>
      </c>
      <c r="K115" s="39">
        <v>0.0</v>
      </c>
      <c r="L115" s="39">
        <v>19.99</v>
      </c>
      <c r="M115" s="37">
        <v>1.0</v>
      </c>
      <c r="N115" s="39">
        <v>0.0</v>
      </c>
    </row>
    <row r="116">
      <c r="A116" s="37" t="s">
        <v>39</v>
      </c>
      <c r="B116" s="37" t="s">
        <v>177</v>
      </c>
      <c r="C116" s="37">
        <v>519.0</v>
      </c>
      <c r="D116" s="37" t="s">
        <v>819</v>
      </c>
      <c r="E116" s="37" t="s">
        <v>26</v>
      </c>
      <c r="F116" s="143">
        <v>44467.0</v>
      </c>
      <c r="G116" s="143">
        <v>44467.0</v>
      </c>
      <c r="H116" s="143">
        <v>44468.0</v>
      </c>
      <c r="I116" s="143">
        <v>44468.0</v>
      </c>
      <c r="J116" s="39">
        <v>29.99</v>
      </c>
      <c r="K116" s="39">
        <v>0.0</v>
      </c>
      <c r="L116" s="39">
        <v>29.99</v>
      </c>
      <c r="M116" s="37">
        <v>2.0</v>
      </c>
      <c r="N116" s="39">
        <v>0.0</v>
      </c>
    </row>
    <row r="117">
      <c r="A117" s="37" t="s">
        <v>39</v>
      </c>
      <c r="B117" s="37"/>
      <c r="C117" s="37">
        <v>627.0</v>
      </c>
      <c r="D117" s="37" t="s">
        <v>820</v>
      </c>
      <c r="E117" s="37" t="s">
        <v>26</v>
      </c>
      <c r="F117" s="143">
        <v>44470.0</v>
      </c>
      <c r="G117" s="143">
        <v>44684.0</v>
      </c>
      <c r="H117" s="143">
        <v>44694.0</v>
      </c>
      <c r="I117" s="143">
        <v>44694.0</v>
      </c>
      <c r="J117" s="39">
        <v>79.99</v>
      </c>
      <c r="K117" s="39">
        <v>0.0</v>
      </c>
      <c r="L117" s="39">
        <v>79.99</v>
      </c>
      <c r="M117" s="37">
        <v>25.0</v>
      </c>
      <c r="N117" s="39">
        <v>0.0</v>
      </c>
    </row>
    <row r="118">
      <c r="A118" s="37" t="s">
        <v>39</v>
      </c>
      <c r="B118" s="37"/>
      <c r="C118" s="37">
        <v>515.0</v>
      </c>
      <c r="D118" s="37" t="s">
        <v>821</v>
      </c>
      <c r="E118" s="37" t="s">
        <v>26</v>
      </c>
      <c r="F118" s="143">
        <v>44475.0</v>
      </c>
      <c r="G118" s="143">
        <v>44623.0</v>
      </c>
      <c r="H118" s="143">
        <v>44664.0</v>
      </c>
      <c r="I118" s="143">
        <v>44684.0</v>
      </c>
      <c r="J118" s="39">
        <v>20.99</v>
      </c>
      <c r="K118" s="39">
        <v>13.64</v>
      </c>
      <c r="L118" s="39">
        <v>7.35</v>
      </c>
      <c r="M118" s="37">
        <v>42.0</v>
      </c>
      <c r="N118" s="39">
        <v>0.32</v>
      </c>
    </row>
    <row r="119">
      <c r="A119" s="37" t="s">
        <v>39</v>
      </c>
      <c r="B119" s="37"/>
      <c r="C119" s="37">
        <v>622.0</v>
      </c>
      <c r="D119" s="37" t="s">
        <v>822</v>
      </c>
      <c r="E119" s="37" t="s">
        <v>26</v>
      </c>
      <c r="F119" s="143">
        <v>44476.0</v>
      </c>
      <c r="G119" s="143">
        <v>44594.0</v>
      </c>
      <c r="H119" s="143">
        <v>44598.0</v>
      </c>
      <c r="I119" s="143">
        <v>44607.0</v>
      </c>
      <c r="J119" s="39">
        <v>99.99</v>
      </c>
      <c r="K119" s="39">
        <v>59.99</v>
      </c>
      <c r="L119" s="39">
        <v>40.0</v>
      </c>
      <c r="M119" s="37">
        <v>55.0</v>
      </c>
      <c r="N119" s="39">
        <v>1.09</v>
      </c>
    </row>
    <row r="120">
      <c r="A120" s="37" t="s">
        <v>39</v>
      </c>
      <c r="B120" s="37" t="s">
        <v>183</v>
      </c>
      <c r="C120" s="37">
        <v>773.0</v>
      </c>
      <c r="D120" s="37" t="s">
        <v>823</v>
      </c>
      <c r="E120" s="37" t="s">
        <v>26</v>
      </c>
      <c r="F120" s="143">
        <v>44665.0</v>
      </c>
      <c r="G120" s="143">
        <v>45304.0</v>
      </c>
      <c r="H120" s="143">
        <v>45487.0</v>
      </c>
      <c r="I120" s="143">
        <v>45499.0</v>
      </c>
      <c r="J120" s="39">
        <v>24.99</v>
      </c>
      <c r="K120" s="39">
        <v>0.0</v>
      </c>
      <c r="L120" s="39">
        <v>24.99</v>
      </c>
      <c r="M120" s="37">
        <v>37.0</v>
      </c>
      <c r="N120" s="39">
        <v>0.0</v>
      </c>
    </row>
    <row r="121">
      <c r="A121" s="37" t="s">
        <v>39</v>
      </c>
      <c r="B121" s="37" t="s">
        <v>40</v>
      </c>
      <c r="C121" s="37">
        <v>589.0</v>
      </c>
      <c r="D121" s="37" t="s">
        <v>41</v>
      </c>
      <c r="E121" s="37" t="s">
        <v>26</v>
      </c>
      <c r="F121" s="38">
        <v>44810.0</v>
      </c>
      <c r="G121" s="38">
        <v>44883.0</v>
      </c>
      <c r="H121" s="38">
        <v>44901.0</v>
      </c>
      <c r="I121" s="38">
        <v>46053.0</v>
      </c>
      <c r="J121" s="39">
        <v>29.99</v>
      </c>
      <c r="K121" s="39">
        <v>23.99</v>
      </c>
      <c r="L121" s="39">
        <f>J121-K121</f>
        <v>6</v>
      </c>
      <c r="M121" s="37">
        <v>196.0</v>
      </c>
      <c r="N121" s="39">
        <f>K121/M121</f>
        <v>0.1223979592</v>
      </c>
    </row>
    <row r="122">
      <c r="A122" s="37" t="s">
        <v>39</v>
      </c>
      <c r="B122" s="37" t="s">
        <v>194</v>
      </c>
      <c r="C122" s="37">
        <v>946.0</v>
      </c>
      <c r="D122" s="37" t="s">
        <v>824</v>
      </c>
      <c r="E122" s="37" t="s">
        <v>26</v>
      </c>
      <c r="F122" s="143">
        <v>44831.0</v>
      </c>
      <c r="G122" s="143">
        <v>45050.0</v>
      </c>
      <c r="H122" s="143">
        <v>45511.0</v>
      </c>
      <c r="I122" s="143">
        <v>45511.0</v>
      </c>
      <c r="J122" s="39">
        <v>29.99</v>
      </c>
      <c r="K122" s="39">
        <v>0.0</v>
      </c>
      <c r="L122" s="39">
        <v>29.99</v>
      </c>
      <c r="M122" s="37">
        <v>2.0</v>
      </c>
      <c r="N122" s="39">
        <v>0.0</v>
      </c>
    </row>
    <row r="123">
      <c r="A123" s="37" t="s">
        <v>39</v>
      </c>
      <c r="B123" s="37"/>
      <c r="C123" s="37">
        <v>628.0</v>
      </c>
      <c r="D123" s="37" t="s">
        <v>825</v>
      </c>
      <c r="E123" s="37" t="s">
        <v>26</v>
      </c>
      <c r="F123" s="143">
        <v>44834.0</v>
      </c>
      <c r="G123" s="143">
        <v>45070.0</v>
      </c>
      <c r="H123" s="143">
        <v>45070.0</v>
      </c>
      <c r="I123" s="143">
        <v>45070.0</v>
      </c>
      <c r="J123" s="39">
        <v>79.99</v>
      </c>
      <c r="K123" s="39">
        <v>31.99</v>
      </c>
      <c r="L123" s="39">
        <v>48.0</v>
      </c>
      <c r="M123" s="37">
        <v>2.0</v>
      </c>
      <c r="N123" s="39">
        <v>16.0</v>
      </c>
    </row>
    <row r="124">
      <c r="A124" s="37" t="s">
        <v>39</v>
      </c>
      <c r="B124" s="37" t="s">
        <v>191</v>
      </c>
      <c r="C124" s="37">
        <v>766.0</v>
      </c>
      <c r="D124" s="37" t="s">
        <v>826</v>
      </c>
      <c r="E124" s="37" t="s">
        <v>26</v>
      </c>
      <c r="F124" s="143">
        <v>44855.0</v>
      </c>
      <c r="G124" s="143">
        <v>45058.0</v>
      </c>
      <c r="H124" s="143">
        <v>45242.0</v>
      </c>
      <c r="I124" s="143">
        <v>45243.0</v>
      </c>
      <c r="J124" s="39">
        <v>39.99</v>
      </c>
      <c r="K124" s="39">
        <v>19.99</v>
      </c>
      <c r="L124" s="39">
        <v>20.0</v>
      </c>
      <c r="M124" s="37">
        <v>13.0</v>
      </c>
      <c r="N124" s="39">
        <v>1.54</v>
      </c>
    </row>
    <row r="125">
      <c r="A125" s="37" t="s">
        <v>39</v>
      </c>
      <c r="B125" s="37"/>
      <c r="C125" s="37">
        <v>729.0</v>
      </c>
      <c r="D125" s="37" t="s">
        <v>827</v>
      </c>
      <c r="E125" s="37" t="s">
        <v>26</v>
      </c>
      <c r="F125" s="143">
        <v>45020.0</v>
      </c>
      <c r="G125" s="143">
        <v>45020.0</v>
      </c>
      <c r="H125" s="143">
        <v>45020.0</v>
      </c>
      <c r="I125" s="143">
        <v>45020.0</v>
      </c>
      <c r="J125" s="39">
        <v>0.0</v>
      </c>
      <c r="K125" s="39">
        <v>0.0</v>
      </c>
      <c r="L125" s="39">
        <v>0.0</v>
      </c>
      <c r="M125" s="37">
        <v>1.0</v>
      </c>
      <c r="N125" s="39">
        <v>0.0</v>
      </c>
    </row>
    <row r="126">
      <c r="A126" s="37" t="s">
        <v>39</v>
      </c>
      <c r="B126" s="37" t="s">
        <v>179</v>
      </c>
      <c r="C126" s="37">
        <v>652.0</v>
      </c>
      <c r="D126" s="37" t="s">
        <v>828</v>
      </c>
      <c r="E126" s="37" t="s">
        <v>26</v>
      </c>
      <c r="F126" s="143">
        <v>45049.0</v>
      </c>
      <c r="G126" s="143">
        <v>45177.0</v>
      </c>
      <c r="H126" s="143">
        <v>45773.0</v>
      </c>
      <c r="I126" s="143">
        <v>45783.0</v>
      </c>
      <c r="J126" s="39">
        <v>19.99</v>
      </c>
      <c r="K126" s="39">
        <v>0.0</v>
      </c>
      <c r="L126" s="39">
        <v>19.99</v>
      </c>
      <c r="M126" s="37">
        <v>54.0</v>
      </c>
      <c r="N126" s="39">
        <v>0.0</v>
      </c>
    </row>
    <row r="127">
      <c r="A127" s="37" t="s">
        <v>39</v>
      </c>
      <c r="B127" s="37"/>
      <c r="C127" s="37">
        <v>602.0</v>
      </c>
      <c r="D127" s="37" t="s">
        <v>829</v>
      </c>
      <c r="E127" s="37" t="s">
        <v>26</v>
      </c>
      <c r="F127" s="143">
        <v>45198.0</v>
      </c>
      <c r="G127" s="143">
        <v>45377.0</v>
      </c>
      <c r="H127" s="143">
        <v>45385.0</v>
      </c>
      <c r="I127" s="143">
        <v>45467.0</v>
      </c>
      <c r="J127" s="39">
        <v>79.99</v>
      </c>
      <c r="K127" s="39">
        <v>15.99</v>
      </c>
      <c r="L127" s="39">
        <v>64.0</v>
      </c>
      <c r="M127" s="37">
        <v>8.0</v>
      </c>
      <c r="N127" s="39">
        <v>2.0</v>
      </c>
    </row>
    <row r="128">
      <c r="A128" s="37" t="s">
        <v>39</v>
      </c>
      <c r="B128" s="37"/>
      <c r="C128" s="37">
        <v>767.0</v>
      </c>
      <c r="D128" s="37" t="s">
        <v>830</v>
      </c>
      <c r="E128" s="37" t="s">
        <v>26</v>
      </c>
      <c r="F128" s="143">
        <v>45205.0</v>
      </c>
      <c r="G128" s="143">
        <v>45475.0</v>
      </c>
      <c r="H128" s="143">
        <v>45475.0</v>
      </c>
      <c r="I128" s="143">
        <v>45475.0</v>
      </c>
      <c r="J128" s="39">
        <v>79.99</v>
      </c>
      <c r="K128" s="39">
        <v>0.0</v>
      </c>
      <c r="L128" s="39">
        <v>79.99</v>
      </c>
      <c r="M128" s="37">
        <v>1.0</v>
      </c>
      <c r="N128" s="39">
        <v>0.0</v>
      </c>
    </row>
    <row r="129">
      <c r="A129" s="37" t="s">
        <v>39</v>
      </c>
      <c r="B129" s="37" t="s">
        <v>184</v>
      </c>
      <c r="C129" s="37">
        <v>529.0</v>
      </c>
      <c r="D129" s="37" t="s">
        <v>831</v>
      </c>
      <c r="E129" s="37" t="s">
        <v>26</v>
      </c>
      <c r="F129" s="143">
        <v>45349.0</v>
      </c>
      <c r="G129" s="143">
        <v>45482.0</v>
      </c>
      <c r="H129" s="143">
        <v>45484.0</v>
      </c>
      <c r="I129" s="143">
        <v>45484.0</v>
      </c>
      <c r="J129" s="39">
        <v>14.99</v>
      </c>
      <c r="K129" s="39">
        <v>9.89</v>
      </c>
      <c r="L129" s="39">
        <v>5.1</v>
      </c>
      <c r="M129" s="37">
        <v>2.0</v>
      </c>
      <c r="N129" s="39">
        <v>4.95</v>
      </c>
    </row>
    <row r="130">
      <c r="A130" s="37" t="s">
        <v>39</v>
      </c>
      <c r="B130" s="37" t="s">
        <v>210</v>
      </c>
      <c r="C130" s="37">
        <v>1014.0</v>
      </c>
      <c r="D130" s="37" t="s">
        <v>832</v>
      </c>
      <c r="E130" s="37" t="s">
        <v>27</v>
      </c>
      <c r="F130" s="143">
        <v>42656.0</v>
      </c>
      <c r="G130" s="143">
        <v>44623.0</v>
      </c>
      <c r="H130" s="143">
        <v>44623.0</v>
      </c>
      <c r="I130" s="143">
        <v>44623.0</v>
      </c>
      <c r="J130" s="39">
        <v>14.99</v>
      </c>
      <c r="K130" s="39">
        <v>7.49</v>
      </c>
      <c r="L130" s="39">
        <v>7.5</v>
      </c>
      <c r="M130" s="37">
        <v>1.0</v>
      </c>
      <c r="N130" s="39">
        <v>7.49</v>
      </c>
    </row>
    <row r="131">
      <c r="A131" s="37" t="s">
        <v>39</v>
      </c>
      <c r="B131" s="37"/>
      <c r="C131" s="37">
        <v>1000.0</v>
      </c>
      <c r="D131" s="37" t="s">
        <v>833</v>
      </c>
      <c r="E131" s="37" t="s">
        <v>27</v>
      </c>
      <c r="F131" s="143">
        <v>42682.0</v>
      </c>
      <c r="G131" s="143">
        <v>43466.0</v>
      </c>
      <c r="H131" s="143">
        <v>43467.0</v>
      </c>
      <c r="I131" s="143">
        <v>43467.0</v>
      </c>
      <c r="J131" s="39">
        <v>39.99</v>
      </c>
      <c r="K131" s="39">
        <v>12.99</v>
      </c>
      <c r="L131" s="39">
        <v>27.0</v>
      </c>
      <c r="M131" s="37">
        <v>1.0</v>
      </c>
      <c r="N131" s="39">
        <v>12.99</v>
      </c>
    </row>
    <row r="132">
      <c r="A132" s="37" t="s">
        <v>39</v>
      </c>
      <c r="B132" s="37" t="s">
        <v>217</v>
      </c>
      <c r="C132" s="37">
        <v>1020.0</v>
      </c>
      <c r="D132" s="37" t="s">
        <v>834</v>
      </c>
      <c r="E132" s="37" t="s">
        <v>27</v>
      </c>
      <c r="F132" s="143">
        <v>42787.0</v>
      </c>
      <c r="G132" s="143">
        <v>43466.0</v>
      </c>
      <c r="H132" s="143">
        <v>43543.0</v>
      </c>
      <c r="I132" s="143">
        <v>43543.0</v>
      </c>
      <c r="J132" s="39">
        <v>15.99</v>
      </c>
      <c r="K132" s="39">
        <v>4.99</v>
      </c>
      <c r="L132" s="39">
        <v>11.0</v>
      </c>
      <c r="M132" s="37">
        <v>1.0</v>
      </c>
      <c r="N132" s="39">
        <v>4.99</v>
      </c>
    </row>
    <row r="133">
      <c r="A133" s="37" t="s">
        <v>39</v>
      </c>
      <c r="B133" s="37" t="s">
        <v>201</v>
      </c>
      <c r="C133" s="37">
        <v>1017.0</v>
      </c>
      <c r="D133" s="37" t="s">
        <v>835</v>
      </c>
      <c r="E133" s="37" t="s">
        <v>27</v>
      </c>
      <c r="F133" s="143">
        <v>43270.0</v>
      </c>
      <c r="G133" s="143">
        <v>43804.0</v>
      </c>
      <c r="H133" s="143">
        <v>43804.0</v>
      </c>
      <c r="I133" s="143">
        <v>43804.0</v>
      </c>
      <c r="J133" s="39">
        <v>19.99</v>
      </c>
      <c r="K133" s="39">
        <v>3.99</v>
      </c>
      <c r="L133" s="39">
        <v>16.0</v>
      </c>
      <c r="M133" s="37">
        <v>1.0</v>
      </c>
      <c r="N133" s="39">
        <v>3.99</v>
      </c>
    </row>
    <row r="134">
      <c r="A134" s="37" t="s">
        <v>39</v>
      </c>
      <c r="B134" s="37" t="s">
        <v>197</v>
      </c>
      <c r="C134" s="37">
        <v>1057.0</v>
      </c>
      <c r="D134" s="37" t="s">
        <v>836</v>
      </c>
      <c r="E134" s="37" t="s">
        <v>28</v>
      </c>
      <c r="F134" s="143">
        <v>44953.0</v>
      </c>
      <c r="G134" s="143">
        <v>45520.0</v>
      </c>
      <c r="H134" s="143">
        <v>45531.0</v>
      </c>
      <c r="I134" s="143">
        <v>45535.0</v>
      </c>
      <c r="J134" s="39">
        <v>79.99</v>
      </c>
      <c r="K134" s="39">
        <v>27.99</v>
      </c>
      <c r="L134" s="39">
        <v>52.0</v>
      </c>
      <c r="M134" s="37">
        <v>5.0</v>
      </c>
      <c r="N134" s="39">
        <v>5.6</v>
      </c>
    </row>
    <row r="135">
      <c r="A135" s="40">
        <f t="shared" ref="A135:B135" si="13">COUNTA(A47:A134)</f>
        <v>88</v>
      </c>
      <c r="B135" s="40">
        <f t="shared" si="13"/>
        <v>48</v>
      </c>
      <c r="C135" s="40">
        <v>88.0</v>
      </c>
      <c r="D135" s="40">
        <v>48.0</v>
      </c>
      <c r="E135" s="42">
        <v>2805.86</v>
      </c>
      <c r="F135" s="42">
        <v>1168.91</v>
      </c>
      <c r="G135" s="42">
        <v>1636.95</v>
      </c>
      <c r="H135" s="40">
        <v>1949.0</v>
      </c>
      <c r="I135" s="43">
        <v>0.6</v>
      </c>
      <c r="J135" s="47">
        <f t="shared" ref="J135:M135" si="14">SUM(J47:J134)</f>
        <v>2805.86</v>
      </c>
      <c r="K135" s="47">
        <f t="shared" si="14"/>
        <v>1168.91</v>
      </c>
      <c r="L135" s="47">
        <f t="shared" si="14"/>
        <v>1636.95</v>
      </c>
      <c r="M135" s="41">
        <f t="shared" si="14"/>
        <v>1949</v>
      </c>
      <c r="N135" s="47">
        <f>K135/M135</f>
        <v>0.599748589</v>
      </c>
    </row>
    <row r="136">
      <c r="A136" s="112"/>
      <c r="B136" s="112"/>
      <c r="C136" s="112"/>
      <c r="D136" s="176"/>
      <c r="E136" s="176"/>
      <c r="F136" s="176"/>
      <c r="G136" s="176"/>
      <c r="H136" s="176"/>
      <c r="I136" s="176"/>
      <c r="J136" s="7"/>
      <c r="K136" s="7"/>
      <c r="L136" s="7"/>
      <c r="M136" s="7"/>
      <c r="N136" s="7"/>
    </row>
    <row r="137">
      <c r="A137" s="37" t="s">
        <v>219</v>
      </c>
      <c r="B137" s="37" t="s">
        <v>223</v>
      </c>
      <c r="C137" s="37">
        <v>44.0</v>
      </c>
      <c r="D137" s="37" t="s">
        <v>837</v>
      </c>
      <c r="E137" s="37" t="s">
        <v>21</v>
      </c>
      <c r="F137" s="143">
        <v>36777.0</v>
      </c>
      <c r="G137" s="143">
        <v>41763.0</v>
      </c>
      <c r="H137" s="143">
        <v>41763.0</v>
      </c>
      <c r="I137" s="143">
        <v>41763.0</v>
      </c>
      <c r="J137" s="39">
        <v>4.99</v>
      </c>
      <c r="K137" s="39">
        <v>4.99</v>
      </c>
      <c r="L137" s="39">
        <v>0.0</v>
      </c>
      <c r="M137" s="37">
        <v>35.0</v>
      </c>
      <c r="N137" s="39">
        <v>0.14</v>
      </c>
    </row>
    <row r="138">
      <c r="A138" s="37" t="s">
        <v>219</v>
      </c>
      <c r="B138" s="37" t="s">
        <v>222</v>
      </c>
      <c r="C138" s="37">
        <v>417.0</v>
      </c>
      <c r="D138" s="37" t="s">
        <v>838</v>
      </c>
      <c r="E138" s="37" t="s">
        <v>24</v>
      </c>
      <c r="F138" s="143">
        <v>40087.0</v>
      </c>
      <c r="G138" s="143">
        <v>44539.0</v>
      </c>
      <c r="H138" s="143">
        <v>44539.0</v>
      </c>
      <c r="I138" s="143">
        <v>44539.0</v>
      </c>
      <c r="J138" s="39">
        <v>19.99</v>
      </c>
      <c r="K138" s="39">
        <v>7.99</v>
      </c>
      <c r="L138" s="39">
        <v>12.0</v>
      </c>
      <c r="M138" s="37">
        <v>1.0</v>
      </c>
      <c r="N138" s="39">
        <v>7.99</v>
      </c>
    </row>
    <row r="139">
      <c r="A139" s="37" t="s">
        <v>219</v>
      </c>
      <c r="B139" s="37" t="s">
        <v>221</v>
      </c>
      <c r="C139" s="37">
        <v>181.0</v>
      </c>
      <c r="D139" s="37" t="s">
        <v>839</v>
      </c>
      <c r="E139" s="37" t="s">
        <v>24</v>
      </c>
      <c r="F139" s="143">
        <v>40710.0</v>
      </c>
      <c r="G139" s="143">
        <v>44237.0</v>
      </c>
      <c r="H139" s="143">
        <v>44244.0</v>
      </c>
      <c r="I139" s="143">
        <v>44261.0</v>
      </c>
      <c r="J139" s="39">
        <v>19.99</v>
      </c>
      <c r="K139" s="39">
        <v>19.99</v>
      </c>
      <c r="L139" s="39">
        <v>0.0</v>
      </c>
      <c r="M139" s="37">
        <v>30.0</v>
      </c>
      <c r="N139" s="39">
        <v>0.67</v>
      </c>
    </row>
    <row r="140">
      <c r="A140" s="37" t="s">
        <v>219</v>
      </c>
      <c r="B140" s="37" t="s">
        <v>218</v>
      </c>
      <c r="C140" s="37">
        <v>983.0</v>
      </c>
      <c r="D140" s="37" t="s">
        <v>840</v>
      </c>
      <c r="E140" s="37" t="s">
        <v>27</v>
      </c>
      <c r="F140" s="143">
        <v>43242.0</v>
      </c>
      <c r="G140" s="143">
        <v>43912.0</v>
      </c>
      <c r="H140" s="143">
        <v>44019.0</v>
      </c>
      <c r="I140" s="143">
        <v>44019.0</v>
      </c>
      <c r="J140" s="39">
        <v>14.99</v>
      </c>
      <c r="K140" s="39">
        <v>4.99</v>
      </c>
      <c r="L140" s="39">
        <v>10.0</v>
      </c>
      <c r="M140" s="37">
        <v>2.0</v>
      </c>
      <c r="N140" s="39">
        <v>2.5</v>
      </c>
    </row>
    <row r="141">
      <c r="A141" s="37" t="s">
        <v>219</v>
      </c>
      <c r="B141" s="37" t="s">
        <v>220</v>
      </c>
      <c r="C141" s="37">
        <v>639.0</v>
      </c>
      <c r="D141" s="37" t="s">
        <v>841</v>
      </c>
      <c r="E141" s="37" t="s">
        <v>26</v>
      </c>
      <c r="F141" s="143">
        <v>44102.0</v>
      </c>
      <c r="G141" s="143">
        <v>44334.0</v>
      </c>
      <c r="H141" s="143">
        <v>44334.0</v>
      </c>
      <c r="I141" s="143">
        <v>44334.0</v>
      </c>
      <c r="J141" s="39">
        <v>0.0</v>
      </c>
      <c r="K141" s="39">
        <v>0.0</v>
      </c>
      <c r="L141" s="39">
        <v>0.0</v>
      </c>
      <c r="M141" s="37">
        <v>1.0</v>
      </c>
      <c r="N141" s="39">
        <v>0.0</v>
      </c>
    </row>
    <row r="142">
      <c r="A142" s="58" t="s">
        <v>219</v>
      </c>
      <c r="B142" s="58" t="s">
        <v>224</v>
      </c>
      <c r="C142" s="37">
        <v>1084.0</v>
      </c>
      <c r="D142" s="37" t="s">
        <v>842</v>
      </c>
      <c r="E142" s="37" t="s">
        <v>28</v>
      </c>
      <c r="F142" s="143">
        <v>45699.0</v>
      </c>
      <c r="G142" s="143">
        <v>45800.0</v>
      </c>
      <c r="H142" s="143">
        <v>45800.0</v>
      </c>
      <c r="I142" s="143">
        <v>45800.0</v>
      </c>
      <c r="J142" s="49">
        <v>16.99</v>
      </c>
      <c r="K142" s="49">
        <v>11.04</v>
      </c>
      <c r="L142" s="49">
        <v>5.95</v>
      </c>
      <c r="M142" s="37">
        <v>1.0</v>
      </c>
      <c r="N142" s="49">
        <v>11.04</v>
      </c>
    </row>
    <row r="143">
      <c r="A143" s="40">
        <f t="shared" ref="A143:B143" si="15">COUNTA(A137:A142)</f>
        <v>6</v>
      </c>
      <c r="B143" s="40">
        <f t="shared" si="15"/>
        <v>6</v>
      </c>
      <c r="C143" s="40"/>
      <c r="D143" s="40"/>
      <c r="E143" s="43">
        <v>76.95</v>
      </c>
      <c r="F143" s="43">
        <v>49.0</v>
      </c>
      <c r="G143" s="43">
        <v>27.95</v>
      </c>
      <c r="H143" s="40">
        <v>70.0</v>
      </c>
      <c r="I143" s="43">
        <v>0.7</v>
      </c>
      <c r="J143" s="47">
        <f t="shared" ref="J143:M143" si="16">SUM(J137:J142)</f>
        <v>76.95</v>
      </c>
      <c r="K143" s="47">
        <f t="shared" si="16"/>
        <v>49</v>
      </c>
      <c r="L143" s="47">
        <f t="shared" si="16"/>
        <v>27.95</v>
      </c>
      <c r="M143" s="41">
        <f t="shared" si="16"/>
        <v>70</v>
      </c>
      <c r="N143" s="47">
        <f>K143/M143</f>
        <v>0.7</v>
      </c>
    </row>
    <row r="144">
      <c r="A144" s="177"/>
      <c r="B144" s="112"/>
      <c r="C144" s="112"/>
      <c r="D144" s="112"/>
      <c r="E144" s="176"/>
      <c r="F144" s="176"/>
      <c r="G144" s="176"/>
      <c r="H144" s="176"/>
      <c r="I144" s="176"/>
      <c r="J144" s="178"/>
      <c r="K144" s="178"/>
      <c r="L144" s="178"/>
      <c r="M144" s="176"/>
      <c r="N144" s="178"/>
    </row>
    <row r="145">
      <c r="A145" s="179" t="s">
        <v>226</v>
      </c>
      <c r="B145" s="179" t="s">
        <v>225</v>
      </c>
      <c r="C145" s="179">
        <v>458.0</v>
      </c>
      <c r="D145" s="179" t="s">
        <v>843</v>
      </c>
      <c r="E145" s="179" t="s">
        <v>25</v>
      </c>
      <c r="F145" s="180">
        <v>42206.0</v>
      </c>
      <c r="G145" s="180">
        <v>42887.0</v>
      </c>
      <c r="H145" s="180">
        <v>42904.0</v>
      </c>
      <c r="I145" s="180">
        <v>44841.0</v>
      </c>
      <c r="J145" s="181">
        <v>7.99</v>
      </c>
      <c r="K145" s="181">
        <v>2.99</v>
      </c>
      <c r="L145" s="181">
        <v>5.0</v>
      </c>
      <c r="M145" s="179">
        <v>6.0</v>
      </c>
      <c r="N145" s="181">
        <v>0.5</v>
      </c>
    </row>
    <row r="146">
      <c r="A146" s="182">
        <f t="shared" ref="A146:B146" si="17">COUNTA(A145)</f>
        <v>1</v>
      </c>
      <c r="B146" s="182">
        <f t="shared" si="17"/>
        <v>1</v>
      </c>
      <c r="C146" s="182"/>
      <c r="D146" s="183"/>
      <c r="E146" s="184">
        <v>7.99</v>
      </c>
      <c r="F146" s="184">
        <v>2.99</v>
      </c>
      <c r="G146" s="184">
        <v>5.0</v>
      </c>
      <c r="H146" s="182">
        <v>6.0</v>
      </c>
      <c r="I146" s="185">
        <v>0.49833333333333335</v>
      </c>
      <c r="J146" s="186">
        <f t="shared" ref="J146:M146" si="18">SUM(J145)</f>
        <v>7.99</v>
      </c>
      <c r="K146" s="186">
        <f t="shared" si="18"/>
        <v>2.99</v>
      </c>
      <c r="L146" s="186">
        <f t="shared" si="18"/>
        <v>5</v>
      </c>
      <c r="M146" s="183">
        <f t="shared" si="18"/>
        <v>6</v>
      </c>
      <c r="N146" s="186">
        <f>K146/M146</f>
        <v>0.4983333333</v>
      </c>
    </row>
    <row r="147">
      <c r="A147" s="54"/>
      <c r="B147" s="54"/>
      <c r="C147" s="54"/>
      <c r="D147" s="55"/>
      <c r="E147" s="54"/>
      <c r="F147" s="54"/>
      <c r="G147" s="54"/>
      <c r="H147" s="54"/>
      <c r="I147" s="54"/>
      <c r="J147" s="187"/>
      <c r="K147" s="187"/>
      <c r="L147" s="187"/>
      <c r="M147" s="55"/>
      <c r="N147" s="187"/>
    </row>
    <row r="148">
      <c r="A148" s="50" t="s">
        <v>228</v>
      </c>
      <c r="B148" s="50" t="s">
        <v>227</v>
      </c>
      <c r="C148" s="50">
        <v>356.0</v>
      </c>
      <c r="D148" s="50" t="s">
        <v>844</v>
      </c>
      <c r="E148" s="50" t="s">
        <v>24</v>
      </c>
      <c r="F148" s="188">
        <v>41772.0</v>
      </c>
      <c r="G148" s="188">
        <v>45700.0</v>
      </c>
      <c r="H148" s="188">
        <v>45700.0</v>
      </c>
      <c r="I148" s="188">
        <v>45700.0</v>
      </c>
      <c r="J148" s="189">
        <v>9.99</v>
      </c>
      <c r="K148" s="189">
        <v>1.49</v>
      </c>
      <c r="L148" s="189">
        <v>8.5</v>
      </c>
      <c r="M148" s="50">
        <v>1.0</v>
      </c>
      <c r="N148" s="189">
        <v>1.49</v>
      </c>
    </row>
    <row r="149">
      <c r="A149" s="50" t="s">
        <v>228</v>
      </c>
      <c r="B149" s="50"/>
      <c r="C149" s="50">
        <v>926.0</v>
      </c>
      <c r="D149" s="50" t="s">
        <v>845</v>
      </c>
      <c r="E149" s="50" t="s">
        <v>26</v>
      </c>
      <c r="F149" s="188">
        <v>42290.0</v>
      </c>
      <c r="G149" s="188">
        <v>45707.0</v>
      </c>
      <c r="H149" s="188">
        <v>45707.0</v>
      </c>
      <c r="I149" s="188">
        <v>45707.0</v>
      </c>
      <c r="J149" s="189">
        <v>29.99</v>
      </c>
      <c r="K149" s="189">
        <v>4.49</v>
      </c>
      <c r="L149" s="189">
        <v>25.5</v>
      </c>
      <c r="M149" s="50">
        <v>1.0</v>
      </c>
      <c r="N149" s="189">
        <v>4.49</v>
      </c>
    </row>
    <row r="150">
      <c r="A150" s="50" t="s">
        <v>228</v>
      </c>
      <c r="B150" s="50" t="s">
        <v>229</v>
      </c>
      <c r="C150" s="50">
        <v>526.0</v>
      </c>
      <c r="D150" s="50" t="s">
        <v>846</v>
      </c>
      <c r="E150" s="50" t="s">
        <v>26</v>
      </c>
      <c r="F150" s="188">
        <v>43655.0</v>
      </c>
      <c r="G150" s="188">
        <v>43867.0</v>
      </c>
      <c r="H150" s="188">
        <v>43867.0</v>
      </c>
      <c r="I150" s="188">
        <v>43867.0</v>
      </c>
      <c r="J150" s="189">
        <v>14.99</v>
      </c>
      <c r="K150" s="189">
        <v>7.49</v>
      </c>
      <c r="L150" s="189">
        <v>7.5</v>
      </c>
      <c r="M150" s="50">
        <v>2.0</v>
      </c>
      <c r="N150" s="189">
        <v>3.75</v>
      </c>
    </row>
    <row r="151">
      <c r="A151" s="50" t="s">
        <v>228</v>
      </c>
      <c r="B151" s="50"/>
      <c r="C151" s="50">
        <v>831.0</v>
      </c>
      <c r="D151" s="50" t="s">
        <v>847</v>
      </c>
      <c r="E151" s="50" t="s">
        <v>26</v>
      </c>
      <c r="F151" s="188">
        <v>43893.0</v>
      </c>
      <c r="G151" s="188">
        <v>45700.0</v>
      </c>
      <c r="H151" s="188">
        <v>45736.0</v>
      </c>
      <c r="I151" s="188">
        <v>45737.0</v>
      </c>
      <c r="J151" s="189">
        <v>10.0</v>
      </c>
      <c r="K151" s="189">
        <v>1.5</v>
      </c>
      <c r="L151" s="189">
        <v>8.5</v>
      </c>
      <c r="M151" s="50">
        <v>2.0</v>
      </c>
      <c r="N151" s="189">
        <v>0.75</v>
      </c>
    </row>
    <row r="152">
      <c r="A152" s="50" t="s">
        <v>228</v>
      </c>
      <c r="B152" s="50"/>
      <c r="C152" s="50">
        <v>832.0</v>
      </c>
      <c r="D152" s="50" t="s">
        <v>848</v>
      </c>
      <c r="E152" s="50" t="s">
        <v>26</v>
      </c>
      <c r="F152" s="188">
        <v>43893.0</v>
      </c>
      <c r="G152" s="188">
        <v>45700.0</v>
      </c>
      <c r="H152" s="188">
        <v>45700.0</v>
      </c>
      <c r="I152" s="188">
        <v>45700.0</v>
      </c>
      <c r="J152" s="190">
        <v>10.0</v>
      </c>
      <c r="K152" s="190">
        <v>1.5</v>
      </c>
      <c r="L152" s="189">
        <v>8.5</v>
      </c>
      <c r="M152" s="50">
        <v>1.0</v>
      </c>
      <c r="N152" s="189">
        <v>1.5</v>
      </c>
    </row>
    <row r="153">
      <c r="A153" s="54">
        <f t="shared" ref="A153:B153" si="19">COUNTA(A148:A152)</f>
        <v>5</v>
      </c>
      <c r="B153" s="54">
        <f t="shared" si="19"/>
        <v>2</v>
      </c>
      <c r="C153" s="54"/>
      <c r="D153" s="176"/>
      <c r="E153" s="191">
        <v>74.97</v>
      </c>
      <c r="F153" s="191">
        <v>16.47</v>
      </c>
      <c r="G153" s="191">
        <v>58.5</v>
      </c>
      <c r="H153" s="54">
        <v>7.0</v>
      </c>
      <c r="I153" s="57">
        <v>2.3528571428571428</v>
      </c>
      <c r="J153" s="187">
        <f t="shared" ref="J153:M153" si="20">SUM(J148:J152)</f>
        <v>74.97</v>
      </c>
      <c r="K153" s="187">
        <f t="shared" si="20"/>
        <v>16.47</v>
      </c>
      <c r="L153" s="187">
        <f t="shared" si="20"/>
        <v>58.5</v>
      </c>
      <c r="M153" s="55">
        <f t="shared" si="20"/>
        <v>7</v>
      </c>
      <c r="N153" s="187">
        <f>K153/M153</f>
        <v>2.352857143</v>
      </c>
    </row>
    <row r="154">
      <c r="A154" s="112"/>
      <c r="B154" s="112"/>
      <c r="C154" s="112"/>
      <c r="D154" s="176"/>
      <c r="E154" s="176"/>
      <c r="F154" s="176"/>
      <c r="G154" s="176"/>
      <c r="H154" s="176"/>
      <c r="I154" s="176"/>
      <c r="J154" s="1"/>
      <c r="K154" s="1"/>
      <c r="L154" s="1"/>
      <c r="M154" s="1"/>
      <c r="N154" s="1"/>
    </row>
    <row r="155">
      <c r="A155" s="54" t="s">
        <v>231</v>
      </c>
      <c r="B155" s="54" t="s">
        <v>230</v>
      </c>
      <c r="C155" s="54">
        <v>292.0</v>
      </c>
      <c r="D155" s="54" t="s">
        <v>849</v>
      </c>
      <c r="E155" s="54" t="s">
        <v>24</v>
      </c>
      <c r="F155" s="192">
        <v>40417.0</v>
      </c>
      <c r="G155" s="192">
        <v>41495.0</v>
      </c>
      <c r="H155" s="192">
        <v>41495.0</v>
      </c>
      <c r="I155" s="192">
        <v>44781.0</v>
      </c>
      <c r="J155" s="191">
        <v>29.99</v>
      </c>
      <c r="K155" s="191">
        <v>10.0</v>
      </c>
      <c r="L155" s="191">
        <v>19.99</v>
      </c>
      <c r="M155" s="54">
        <v>45.0</v>
      </c>
      <c r="N155" s="191">
        <v>0.22</v>
      </c>
    </row>
    <row r="156">
      <c r="A156" s="54" t="s">
        <v>231</v>
      </c>
      <c r="B156" s="54" t="s">
        <v>234</v>
      </c>
      <c r="C156" s="54">
        <v>268.0</v>
      </c>
      <c r="D156" s="54" t="s">
        <v>850</v>
      </c>
      <c r="E156" s="54" t="s">
        <v>24</v>
      </c>
      <c r="F156" s="192">
        <v>41919.0</v>
      </c>
      <c r="G156" s="192">
        <v>43295.0</v>
      </c>
      <c r="H156" s="192">
        <v>43423.0</v>
      </c>
      <c r="I156" s="192">
        <v>44872.0</v>
      </c>
      <c r="J156" s="191">
        <v>6.99</v>
      </c>
      <c r="K156" s="191">
        <v>6.99</v>
      </c>
      <c r="L156" s="191">
        <v>0.0</v>
      </c>
      <c r="M156" s="54">
        <v>3.0</v>
      </c>
      <c r="N156" s="191">
        <v>2.33</v>
      </c>
    </row>
    <row r="157">
      <c r="A157" s="54" t="s">
        <v>231</v>
      </c>
      <c r="B157" s="54" t="s">
        <v>233</v>
      </c>
      <c r="C157" s="54">
        <v>586.0</v>
      </c>
      <c r="D157" s="54" t="s">
        <v>851</v>
      </c>
      <c r="E157" s="54" t="s">
        <v>26</v>
      </c>
      <c r="F157" s="192">
        <v>42563.0</v>
      </c>
      <c r="G157" s="192">
        <v>42844.0</v>
      </c>
      <c r="H157" s="192">
        <v>44846.0</v>
      </c>
      <c r="I157" s="192">
        <v>44847.0</v>
      </c>
      <c r="J157" s="191">
        <v>19.99</v>
      </c>
      <c r="K157" s="191">
        <v>9.99</v>
      </c>
      <c r="L157" s="191">
        <v>10.0</v>
      </c>
      <c r="M157" s="54">
        <v>17.0</v>
      </c>
      <c r="N157" s="191">
        <v>0.59</v>
      </c>
    </row>
    <row r="158">
      <c r="A158" s="54" t="s">
        <v>231</v>
      </c>
      <c r="B158" s="54" t="s">
        <v>232</v>
      </c>
      <c r="C158" s="54">
        <v>989.0</v>
      </c>
      <c r="D158" s="54" t="s">
        <v>852</v>
      </c>
      <c r="E158" s="54" t="s">
        <v>27</v>
      </c>
      <c r="F158" s="192">
        <v>43221.0</v>
      </c>
      <c r="G158" s="192">
        <v>43475.0</v>
      </c>
      <c r="H158" s="192">
        <v>43479.0</v>
      </c>
      <c r="I158" s="192">
        <v>43481.0</v>
      </c>
      <c r="J158" s="57">
        <v>29.99</v>
      </c>
      <c r="K158" s="57">
        <v>29.99</v>
      </c>
      <c r="L158" s="191">
        <v>0.0</v>
      </c>
      <c r="M158" s="54">
        <v>1.0</v>
      </c>
      <c r="N158" s="191">
        <v>29.99</v>
      </c>
    </row>
    <row r="159">
      <c r="A159" s="54" t="s">
        <v>231</v>
      </c>
      <c r="B159" s="54" t="s">
        <v>235</v>
      </c>
      <c r="C159" s="54">
        <v>1056.0</v>
      </c>
      <c r="D159" s="54" t="s">
        <v>853</v>
      </c>
      <c r="E159" s="54" t="s">
        <v>28</v>
      </c>
      <c r="F159" s="192">
        <v>45092.0</v>
      </c>
      <c r="G159" s="192">
        <v>45719.0</v>
      </c>
      <c r="H159" s="192">
        <v>45719.0</v>
      </c>
      <c r="I159" s="192">
        <v>45719.0</v>
      </c>
      <c r="J159" s="191">
        <v>19.99</v>
      </c>
      <c r="K159" s="191">
        <v>4.99</v>
      </c>
      <c r="L159" s="191">
        <v>15.0</v>
      </c>
      <c r="M159" s="54">
        <v>1.0</v>
      </c>
      <c r="N159" s="191">
        <v>4.99</v>
      </c>
    </row>
    <row r="160">
      <c r="A160" s="50">
        <f t="shared" ref="A160:B160" si="21">COUNTA(A155:A159)</f>
        <v>5</v>
      </c>
      <c r="B160" s="50">
        <f t="shared" si="21"/>
        <v>5</v>
      </c>
      <c r="C160" s="50"/>
      <c r="D160" s="193"/>
      <c r="E160" s="189">
        <v>106.95</v>
      </c>
      <c r="F160" s="189">
        <v>61.96</v>
      </c>
      <c r="G160" s="189">
        <v>44.99</v>
      </c>
      <c r="H160" s="50">
        <v>67.0</v>
      </c>
      <c r="I160" s="189">
        <v>0.9247761194029851</v>
      </c>
      <c r="J160" s="53">
        <f t="shared" ref="J160:M160" si="22">SUM(J155:J159)</f>
        <v>106.95</v>
      </c>
      <c r="K160" s="53">
        <f t="shared" si="22"/>
        <v>61.96</v>
      </c>
      <c r="L160" s="53">
        <f t="shared" si="22"/>
        <v>44.99</v>
      </c>
      <c r="M160" s="193">
        <f t="shared" si="22"/>
        <v>67</v>
      </c>
      <c r="N160" s="53">
        <f>K160/M160</f>
        <v>0.9247761194</v>
      </c>
    </row>
    <row r="161">
      <c r="A161" s="55"/>
      <c r="B161" s="54"/>
      <c r="C161" s="54"/>
      <c r="D161" s="55"/>
      <c r="E161" s="55"/>
      <c r="F161" s="55"/>
      <c r="G161" s="55"/>
      <c r="H161" s="55"/>
      <c r="I161" s="55"/>
      <c r="J161" s="187"/>
      <c r="K161" s="187"/>
      <c r="L161" s="187"/>
      <c r="M161" s="55"/>
      <c r="N161" s="187"/>
    </row>
    <row r="162">
      <c r="A162" s="37" t="s">
        <v>237</v>
      </c>
      <c r="B162" s="37" t="s">
        <v>236</v>
      </c>
      <c r="C162" s="37">
        <v>16.0</v>
      </c>
      <c r="D162" s="37" t="s">
        <v>854</v>
      </c>
      <c r="E162" s="37" t="s">
        <v>21</v>
      </c>
      <c r="F162" s="143">
        <v>35765.0</v>
      </c>
      <c r="G162" s="143">
        <v>42363.0</v>
      </c>
      <c r="H162" s="143">
        <v>43123.0</v>
      </c>
      <c r="I162" s="143">
        <v>44022.0</v>
      </c>
      <c r="J162" s="39">
        <v>22.98</v>
      </c>
      <c r="K162" s="39">
        <v>8.98</v>
      </c>
      <c r="L162" s="39">
        <v>14.0</v>
      </c>
      <c r="M162" s="37">
        <v>1.0</v>
      </c>
      <c r="N162" s="39">
        <v>8.98</v>
      </c>
    </row>
    <row r="163">
      <c r="A163" s="37" t="s">
        <v>237</v>
      </c>
      <c r="B163" s="37" t="s">
        <v>242</v>
      </c>
      <c r="C163" s="37">
        <v>272.0</v>
      </c>
      <c r="D163" s="37" t="s">
        <v>855</v>
      </c>
      <c r="E163" s="37" t="s">
        <v>24</v>
      </c>
      <c r="F163" s="143">
        <v>39409.0</v>
      </c>
      <c r="G163" s="143">
        <v>44091.0</v>
      </c>
      <c r="H163" s="143">
        <v>44091.0</v>
      </c>
      <c r="I163" s="143">
        <v>44091.0</v>
      </c>
      <c r="J163" s="39">
        <v>19.99</v>
      </c>
      <c r="K163" s="39">
        <v>2.0</v>
      </c>
      <c r="L163" s="39">
        <v>17.99</v>
      </c>
      <c r="M163" s="37">
        <v>1.0</v>
      </c>
      <c r="N163" s="39">
        <v>2.0</v>
      </c>
    </row>
    <row r="164">
      <c r="A164" s="37" t="s">
        <v>237</v>
      </c>
      <c r="B164" s="37"/>
      <c r="C164" s="37">
        <v>273.0</v>
      </c>
      <c r="D164" s="37" t="s">
        <v>856</v>
      </c>
      <c r="E164" s="37" t="s">
        <v>24</v>
      </c>
      <c r="F164" s="143">
        <v>40410.0</v>
      </c>
      <c r="G164" s="143">
        <v>44091.0</v>
      </c>
      <c r="H164" s="143">
        <v>44091.0</v>
      </c>
      <c r="I164" s="143">
        <v>44091.0</v>
      </c>
      <c r="J164" s="39">
        <v>21.99</v>
      </c>
      <c r="K164" s="39">
        <v>2.0</v>
      </c>
      <c r="L164" s="39">
        <v>19.99</v>
      </c>
      <c r="M164" s="37">
        <v>1.0</v>
      </c>
      <c r="N164" s="39">
        <v>2.0</v>
      </c>
    </row>
    <row r="165">
      <c r="A165" s="37" t="s">
        <v>237</v>
      </c>
      <c r="B165" s="37"/>
      <c r="C165" s="37">
        <v>260.0</v>
      </c>
      <c r="D165" s="37" t="s">
        <v>857</v>
      </c>
      <c r="E165" s="37" t="s">
        <v>24</v>
      </c>
      <c r="F165" s="143">
        <v>41233.0</v>
      </c>
      <c r="G165" s="143">
        <v>44115.0</v>
      </c>
      <c r="H165" s="143">
        <v>45134.0</v>
      </c>
      <c r="I165" s="143">
        <v>45134.0</v>
      </c>
      <c r="J165" s="39">
        <v>19.99</v>
      </c>
      <c r="K165" s="39">
        <v>5.0</v>
      </c>
      <c r="L165" s="39">
        <v>14.99</v>
      </c>
      <c r="M165" s="37">
        <v>5.0</v>
      </c>
      <c r="N165" s="39">
        <v>1.0</v>
      </c>
    </row>
    <row r="166">
      <c r="A166" s="37" t="s">
        <v>237</v>
      </c>
      <c r="B166" s="37" t="s">
        <v>238</v>
      </c>
      <c r="C166" s="37">
        <v>860.0</v>
      </c>
      <c r="D166" s="37" t="s">
        <v>858</v>
      </c>
      <c r="E166" s="37" t="s">
        <v>26</v>
      </c>
      <c r="F166" s="143">
        <v>42465.0</v>
      </c>
      <c r="G166" s="143">
        <v>43964.0</v>
      </c>
      <c r="H166" s="143">
        <v>44039.0</v>
      </c>
      <c r="I166" s="143">
        <v>44039.0</v>
      </c>
      <c r="J166" s="39">
        <v>9.99</v>
      </c>
      <c r="K166" s="39">
        <v>4.49</v>
      </c>
      <c r="L166" s="39">
        <v>5.5</v>
      </c>
      <c r="M166" s="37">
        <v>2.0</v>
      </c>
      <c r="N166" s="39">
        <v>2.25</v>
      </c>
    </row>
    <row r="167">
      <c r="A167" s="37" t="s">
        <v>237</v>
      </c>
      <c r="B167" s="37"/>
      <c r="C167" s="58">
        <v>659.0</v>
      </c>
      <c r="D167" s="58" t="s">
        <v>859</v>
      </c>
      <c r="E167" s="58" t="s">
        <v>26</v>
      </c>
      <c r="F167" s="38">
        <v>43417.0</v>
      </c>
      <c r="G167" s="38">
        <v>44461.0</v>
      </c>
      <c r="H167" s="38">
        <v>45937.0</v>
      </c>
      <c r="I167" s="38">
        <v>45937.0</v>
      </c>
      <c r="J167" s="173">
        <v>69.99</v>
      </c>
      <c r="K167" s="173">
        <v>0.0</v>
      </c>
      <c r="L167" s="173">
        <v>69.99</v>
      </c>
      <c r="M167" s="58">
        <v>2.0</v>
      </c>
      <c r="N167" s="173">
        <v>0.0</v>
      </c>
    </row>
    <row r="168">
      <c r="A168" s="37" t="s">
        <v>237</v>
      </c>
      <c r="B168" s="37" t="s">
        <v>243</v>
      </c>
      <c r="C168" s="37">
        <v>643.0</v>
      </c>
      <c r="D168" s="37" t="s">
        <v>860</v>
      </c>
      <c r="E168" s="37" t="s">
        <v>26</v>
      </c>
      <c r="F168" s="143">
        <v>44131.0</v>
      </c>
      <c r="G168" s="143">
        <v>44621.0</v>
      </c>
      <c r="H168" s="143">
        <v>44621.0</v>
      </c>
      <c r="I168" s="143">
        <v>44621.0</v>
      </c>
      <c r="J168" s="39">
        <v>29.99</v>
      </c>
      <c r="K168" s="39">
        <v>0.0</v>
      </c>
      <c r="L168" s="39">
        <v>29.99</v>
      </c>
      <c r="M168" s="37">
        <v>2.0</v>
      </c>
      <c r="N168" s="39">
        <v>0.0</v>
      </c>
    </row>
    <row r="169">
      <c r="A169" s="37" t="s">
        <v>237</v>
      </c>
      <c r="B169" s="37" t="s">
        <v>241</v>
      </c>
      <c r="C169" s="37">
        <v>631.0</v>
      </c>
      <c r="D169" s="37" t="s">
        <v>861</v>
      </c>
      <c r="E169" s="37" t="s">
        <v>26</v>
      </c>
      <c r="F169" s="143">
        <v>44502.0</v>
      </c>
      <c r="G169" s="143">
        <v>44502.0</v>
      </c>
      <c r="H169" s="143">
        <v>44502.0</v>
      </c>
      <c r="I169" s="143">
        <v>44502.0</v>
      </c>
      <c r="J169" s="39">
        <v>19.99</v>
      </c>
      <c r="K169" s="39">
        <v>0.0</v>
      </c>
      <c r="L169" s="39">
        <v>19.99</v>
      </c>
      <c r="M169" s="37">
        <v>1.0</v>
      </c>
      <c r="N169" s="39">
        <v>0.0</v>
      </c>
    </row>
    <row r="170">
      <c r="A170" s="37" t="s">
        <v>237</v>
      </c>
      <c r="B170" s="37" t="s">
        <v>240</v>
      </c>
      <c r="C170" s="37">
        <v>580.0</v>
      </c>
      <c r="D170" s="37" t="s">
        <v>862</v>
      </c>
      <c r="E170" s="37" t="s">
        <v>26</v>
      </c>
      <c r="F170" s="143">
        <v>44565.0</v>
      </c>
      <c r="G170" s="143">
        <v>44565.0</v>
      </c>
      <c r="H170" s="143">
        <v>44565.0</v>
      </c>
      <c r="I170" s="143">
        <v>44565.0</v>
      </c>
      <c r="J170" s="39">
        <v>29.99</v>
      </c>
      <c r="K170" s="39">
        <v>0.0</v>
      </c>
      <c r="L170" s="39">
        <v>29.99</v>
      </c>
      <c r="M170" s="37">
        <v>1.0</v>
      </c>
      <c r="N170" s="39">
        <v>0.0</v>
      </c>
    </row>
    <row r="171">
      <c r="A171" s="173" t="s">
        <v>237</v>
      </c>
      <c r="B171" s="58" t="s">
        <v>239</v>
      </c>
      <c r="C171" s="58">
        <v>1093.0</v>
      </c>
      <c r="D171" s="58" t="s">
        <v>863</v>
      </c>
      <c r="E171" s="58" t="s">
        <v>26</v>
      </c>
      <c r="F171" s="143">
        <v>45198.0</v>
      </c>
      <c r="G171" s="143">
        <v>45937.0</v>
      </c>
      <c r="H171" s="143">
        <v>45937.0</v>
      </c>
      <c r="I171" s="143">
        <v>45937.0</v>
      </c>
      <c r="J171" s="194">
        <v>24.99</v>
      </c>
      <c r="K171" s="194">
        <v>0.0</v>
      </c>
      <c r="L171" s="194">
        <f>J171-K171</f>
        <v>24.99</v>
      </c>
      <c r="M171" s="195">
        <v>1.0</v>
      </c>
      <c r="N171" s="194">
        <f t="shared" ref="N171:N172" si="25">K171/M171</f>
        <v>0</v>
      </c>
    </row>
    <row r="172">
      <c r="A172" s="40">
        <f t="shared" ref="A172:B172" si="23">COUNTA(A162:A171)</f>
        <v>10</v>
      </c>
      <c r="B172" s="40">
        <f t="shared" si="23"/>
        <v>7</v>
      </c>
      <c r="C172" s="40"/>
      <c r="D172" s="41"/>
      <c r="E172" s="196">
        <v>269.89</v>
      </c>
      <c r="F172" s="196">
        <v>22.47</v>
      </c>
      <c r="G172" s="196">
        <v>247.42</v>
      </c>
      <c r="H172" s="40">
        <v>17.0</v>
      </c>
      <c r="I172" s="43">
        <v>1.321764705882353</v>
      </c>
      <c r="J172" s="47">
        <f t="shared" ref="J172:M172" si="24">SUM(J162:J171)</f>
        <v>269.89</v>
      </c>
      <c r="K172" s="47">
        <f t="shared" si="24"/>
        <v>22.47</v>
      </c>
      <c r="L172" s="47">
        <f t="shared" si="24"/>
        <v>247.42</v>
      </c>
      <c r="M172" s="41">
        <f t="shared" si="24"/>
        <v>17</v>
      </c>
      <c r="N172" s="47">
        <f t="shared" si="25"/>
        <v>1.321764706</v>
      </c>
    </row>
    <row r="173">
      <c r="A173" s="109"/>
      <c r="B173" s="109"/>
      <c r="C173" s="109"/>
      <c r="D173" s="144"/>
      <c r="E173" s="109"/>
      <c r="F173" s="109"/>
      <c r="G173" s="109"/>
      <c r="H173" s="109"/>
      <c r="I173" s="109"/>
      <c r="J173" s="7"/>
      <c r="K173" s="7"/>
      <c r="L173" s="7"/>
      <c r="M173" s="7"/>
      <c r="N173" s="172"/>
    </row>
    <row r="174">
      <c r="A174" s="50" t="s">
        <v>245</v>
      </c>
      <c r="B174" s="50" t="s">
        <v>244</v>
      </c>
      <c r="C174" s="50">
        <v>433.0</v>
      </c>
      <c r="D174" s="50" t="s">
        <v>864</v>
      </c>
      <c r="E174" s="50" t="s">
        <v>25</v>
      </c>
      <c r="F174" s="188">
        <v>43732.0</v>
      </c>
      <c r="G174" s="188">
        <v>43912.0</v>
      </c>
      <c r="H174" s="188">
        <v>44911.0</v>
      </c>
      <c r="I174" s="188">
        <v>44912.0</v>
      </c>
      <c r="J174" s="190">
        <v>1.99</v>
      </c>
      <c r="K174" s="190">
        <v>1.99</v>
      </c>
      <c r="L174" s="190">
        <v>0.0</v>
      </c>
      <c r="M174" s="50">
        <v>2.0</v>
      </c>
      <c r="N174" s="190">
        <v>1.0</v>
      </c>
    </row>
    <row r="175">
      <c r="A175" s="54">
        <f t="shared" ref="A175:B175" si="26">COUNTA(A174)</f>
        <v>1</v>
      </c>
      <c r="B175" s="54">
        <f t="shared" si="26"/>
        <v>1</v>
      </c>
      <c r="C175" s="54"/>
      <c r="D175" s="55"/>
      <c r="E175" s="56">
        <v>1.99</v>
      </c>
      <c r="F175" s="56">
        <v>1.99</v>
      </c>
      <c r="G175" s="56">
        <v>0.0</v>
      </c>
      <c r="H175" s="54">
        <v>2.0</v>
      </c>
      <c r="I175" s="57">
        <v>0.995</v>
      </c>
      <c r="J175" s="187">
        <f t="shared" ref="J175:M175" si="27">SUM(J174)</f>
        <v>1.99</v>
      </c>
      <c r="K175" s="187">
        <f t="shared" si="27"/>
        <v>1.99</v>
      </c>
      <c r="L175" s="187">
        <f t="shared" si="27"/>
        <v>0</v>
      </c>
      <c r="M175" s="55">
        <f t="shared" si="27"/>
        <v>2</v>
      </c>
      <c r="N175" s="187">
        <f>K175/M175</f>
        <v>0.995</v>
      </c>
    </row>
    <row r="176">
      <c r="A176" s="54"/>
      <c r="B176" s="54"/>
      <c r="C176" s="54"/>
      <c r="D176" s="55"/>
      <c r="E176" s="55"/>
      <c r="F176" s="55"/>
      <c r="G176" s="55"/>
      <c r="H176" s="55"/>
      <c r="I176" s="55"/>
      <c r="J176" s="187"/>
      <c r="K176" s="187"/>
      <c r="L176" s="187"/>
      <c r="M176" s="55"/>
      <c r="N176" s="187"/>
    </row>
    <row r="177">
      <c r="A177" s="40" t="s">
        <v>36</v>
      </c>
      <c r="B177" s="40" t="s">
        <v>310</v>
      </c>
      <c r="C177" s="40">
        <v>75.0</v>
      </c>
      <c r="D177" s="40" t="s">
        <v>865</v>
      </c>
      <c r="E177" s="40" t="s">
        <v>21</v>
      </c>
      <c r="F177" s="197">
        <v>34971.0</v>
      </c>
      <c r="G177" s="197">
        <v>43014.0</v>
      </c>
      <c r="H177" s="197">
        <v>43014.0</v>
      </c>
      <c r="I177" s="197">
        <v>43014.0</v>
      </c>
      <c r="J177" s="196">
        <v>9.99</v>
      </c>
      <c r="K177" s="196">
        <v>1.99</v>
      </c>
      <c r="L177" s="196">
        <v>8.0</v>
      </c>
      <c r="M177" s="40">
        <v>1.0</v>
      </c>
      <c r="N177" s="196">
        <v>1.99</v>
      </c>
    </row>
    <row r="178">
      <c r="A178" s="40" t="s">
        <v>36</v>
      </c>
      <c r="B178" s="40" t="s">
        <v>324</v>
      </c>
      <c r="C178" s="40">
        <v>12.0</v>
      </c>
      <c r="D178" s="40" t="s">
        <v>866</v>
      </c>
      <c r="E178" s="40" t="s">
        <v>21</v>
      </c>
      <c r="F178" s="197">
        <v>34992.0</v>
      </c>
      <c r="G178" s="197">
        <v>43014.0</v>
      </c>
      <c r="H178" s="197">
        <v>43014.0</v>
      </c>
      <c r="I178" s="197">
        <v>43014.0</v>
      </c>
      <c r="J178" s="43">
        <v>4.99</v>
      </c>
      <c r="K178" s="43">
        <v>2.99</v>
      </c>
      <c r="L178" s="196">
        <v>2.0</v>
      </c>
      <c r="M178" s="40">
        <v>10.0</v>
      </c>
      <c r="N178" s="196">
        <v>0.3</v>
      </c>
    </row>
    <row r="179">
      <c r="A179" s="40" t="s">
        <v>36</v>
      </c>
      <c r="B179" s="40" t="s">
        <v>298</v>
      </c>
      <c r="C179" s="40">
        <v>63.0</v>
      </c>
      <c r="D179" s="40" t="s">
        <v>867</v>
      </c>
      <c r="E179" s="40" t="s">
        <v>21</v>
      </c>
      <c r="F179" s="197">
        <v>35391.0</v>
      </c>
      <c r="G179" s="197">
        <v>42806.0</v>
      </c>
      <c r="H179" s="197">
        <v>42806.0</v>
      </c>
      <c r="I179" s="197">
        <v>42806.0</v>
      </c>
      <c r="J179" s="44">
        <v>15.99</v>
      </c>
      <c r="K179" s="44">
        <v>3.99</v>
      </c>
      <c r="L179" s="44">
        <f t="shared" ref="L179:L180" si="28">J179-K179</f>
        <v>12</v>
      </c>
      <c r="M179" s="41">
        <v>1.0</v>
      </c>
      <c r="N179" s="47">
        <f t="shared" ref="N179:N180" si="29">K179/M179</f>
        <v>3.99</v>
      </c>
    </row>
    <row r="180">
      <c r="A180" s="41" t="s">
        <v>36</v>
      </c>
      <c r="B180" s="41" t="s">
        <v>249</v>
      </c>
      <c r="C180" s="41">
        <v>1091.0</v>
      </c>
      <c r="D180" s="41" t="s">
        <v>868</v>
      </c>
      <c r="E180" s="41" t="s">
        <v>21</v>
      </c>
      <c r="F180" s="197">
        <v>35699.0</v>
      </c>
      <c r="G180" s="197">
        <v>45920.0</v>
      </c>
      <c r="H180" s="197">
        <v>45921.0</v>
      </c>
      <c r="I180" s="197">
        <v>45922.0</v>
      </c>
      <c r="J180" s="44">
        <v>29.99</v>
      </c>
      <c r="K180" s="44">
        <v>0.0</v>
      </c>
      <c r="L180" s="44">
        <f t="shared" si="28"/>
        <v>29.99</v>
      </c>
      <c r="M180" s="41">
        <v>6.0</v>
      </c>
      <c r="N180" s="44">
        <f t="shared" si="29"/>
        <v>0</v>
      </c>
    </row>
    <row r="181">
      <c r="A181" s="40" t="s">
        <v>36</v>
      </c>
      <c r="B181" s="40" t="s">
        <v>262</v>
      </c>
      <c r="C181" s="40">
        <v>27.0</v>
      </c>
      <c r="D181" s="40" t="s">
        <v>869</v>
      </c>
      <c r="E181" s="40" t="s">
        <v>21</v>
      </c>
      <c r="F181" s="197">
        <v>35748.0</v>
      </c>
      <c r="G181" s="197">
        <v>42655.0</v>
      </c>
      <c r="H181" s="197">
        <v>42655.0</v>
      </c>
      <c r="I181" s="197">
        <v>42655.0</v>
      </c>
      <c r="J181" s="196">
        <v>1.99</v>
      </c>
      <c r="K181" s="196">
        <v>1.99</v>
      </c>
      <c r="L181" s="196">
        <v>0.0</v>
      </c>
      <c r="M181" s="40">
        <v>1.0</v>
      </c>
      <c r="N181" s="196">
        <v>1.99</v>
      </c>
    </row>
    <row r="182">
      <c r="A182" s="40" t="s">
        <v>36</v>
      </c>
      <c r="B182" s="40"/>
      <c r="C182" s="40">
        <v>64.0</v>
      </c>
      <c r="D182" s="40" t="s">
        <v>870</v>
      </c>
      <c r="E182" s="40" t="s">
        <v>21</v>
      </c>
      <c r="F182" s="197">
        <v>35755.0</v>
      </c>
      <c r="G182" s="197">
        <v>42806.0</v>
      </c>
      <c r="H182" s="197">
        <v>42806.0</v>
      </c>
      <c r="I182" s="197">
        <v>42806.0</v>
      </c>
      <c r="J182" s="44">
        <v>15.99</v>
      </c>
      <c r="K182" s="44">
        <v>3.99</v>
      </c>
      <c r="L182" s="44">
        <f>J182-K182</f>
        <v>12</v>
      </c>
      <c r="M182" s="41">
        <v>1.0</v>
      </c>
      <c r="N182" s="47">
        <f>K182/M182</f>
        <v>3.99</v>
      </c>
    </row>
    <row r="183">
      <c r="A183" s="40" t="s">
        <v>36</v>
      </c>
      <c r="B183" s="40" t="s">
        <v>281</v>
      </c>
      <c r="C183" s="40">
        <v>62.0</v>
      </c>
      <c r="D183" s="40" t="s">
        <v>871</v>
      </c>
      <c r="E183" s="40" t="s">
        <v>21</v>
      </c>
      <c r="F183" s="197">
        <v>35827.0</v>
      </c>
      <c r="G183" s="197">
        <v>40696.0</v>
      </c>
      <c r="H183" s="197">
        <v>40696.0</v>
      </c>
      <c r="I183" s="197">
        <v>40696.0</v>
      </c>
      <c r="J183" s="196">
        <v>4.99</v>
      </c>
      <c r="K183" s="196">
        <v>4.99</v>
      </c>
      <c r="L183" s="196">
        <v>0.0</v>
      </c>
      <c r="M183" s="40">
        <v>1.0</v>
      </c>
      <c r="N183" s="196">
        <v>4.99</v>
      </c>
    </row>
    <row r="184">
      <c r="A184" s="40" t="s">
        <v>36</v>
      </c>
      <c r="B184" s="40" t="s">
        <v>257</v>
      </c>
      <c r="C184" s="40">
        <v>6.0</v>
      </c>
      <c r="D184" s="40" t="s">
        <v>872</v>
      </c>
      <c r="E184" s="40" t="s">
        <v>21</v>
      </c>
      <c r="F184" s="197">
        <v>35991.0</v>
      </c>
      <c r="G184" s="197">
        <v>40538.0</v>
      </c>
      <c r="H184" s="197">
        <v>40538.0</v>
      </c>
      <c r="I184" s="197">
        <v>40538.0</v>
      </c>
      <c r="J184" s="196">
        <v>9.99</v>
      </c>
      <c r="K184" s="196">
        <v>9.99</v>
      </c>
      <c r="L184" s="196">
        <v>0.0</v>
      </c>
      <c r="M184" s="40">
        <v>70.0</v>
      </c>
      <c r="N184" s="196">
        <v>0.14</v>
      </c>
    </row>
    <row r="185">
      <c r="A185" s="40" t="s">
        <v>36</v>
      </c>
      <c r="B185" s="40" t="s">
        <v>274</v>
      </c>
      <c r="C185" s="40">
        <v>32.0</v>
      </c>
      <c r="D185" s="40" t="s">
        <v>873</v>
      </c>
      <c r="E185" s="40" t="s">
        <v>21</v>
      </c>
      <c r="F185" s="197">
        <v>36077.0</v>
      </c>
      <c r="G185" s="197">
        <v>41551.0</v>
      </c>
      <c r="H185" s="197">
        <v>45479.0</v>
      </c>
      <c r="I185" s="197">
        <v>45483.0</v>
      </c>
      <c r="J185" s="196">
        <v>4.99</v>
      </c>
      <c r="K185" s="196">
        <v>4.99</v>
      </c>
      <c r="L185" s="196">
        <v>0.0</v>
      </c>
      <c r="M185" s="40">
        <v>15.0</v>
      </c>
      <c r="N185" s="196">
        <v>0.33</v>
      </c>
    </row>
    <row r="186">
      <c r="A186" s="40" t="s">
        <v>36</v>
      </c>
      <c r="B186" s="40"/>
      <c r="C186" s="40">
        <v>65.0</v>
      </c>
      <c r="D186" s="40" t="s">
        <v>874</v>
      </c>
      <c r="E186" s="40" t="s">
        <v>21</v>
      </c>
      <c r="F186" s="197">
        <v>36119.0</v>
      </c>
      <c r="G186" s="197">
        <v>42806.0</v>
      </c>
      <c r="H186" s="197">
        <v>42806.0</v>
      </c>
      <c r="I186" s="197">
        <v>42806.0</v>
      </c>
      <c r="J186" s="44">
        <v>15.98</v>
      </c>
      <c r="K186" s="44">
        <v>3.98</v>
      </c>
      <c r="L186" s="44">
        <f>J186-K186</f>
        <v>12</v>
      </c>
      <c r="M186" s="41">
        <v>1.0</v>
      </c>
      <c r="N186" s="47">
        <f>K186/M186</f>
        <v>3.98</v>
      </c>
    </row>
    <row r="187">
      <c r="A187" s="40" t="s">
        <v>36</v>
      </c>
      <c r="B187" s="40" t="s">
        <v>320</v>
      </c>
      <c r="C187" s="40">
        <v>1.0</v>
      </c>
      <c r="D187" s="40" t="s">
        <v>875</v>
      </c>
      <c r="E187" s="40" t="s">
        <v>21</v>
      </c>
      <c r="F187" s="197">
        <v>36192.0</v>
      </c>
      <c r="G187" s="197">
        <v>42877.0</v>
      </c>
      <c r="H187" s="197">
        <v>42877.0</v>
      </c>
      <c r="I187" s="197">
        <v>42877.0</v>
      </c>
      <c r="J187" s="196">
        <v>1.49</v>
      </c>
      <c r="K187" s="196">
        <v>1.49</v>
      </c>
      <c r="L187" s="196">
        <v>0.0</v>
      </c>
      <c r="M187" s="40">
        <v>15.0</v>
      </c>
      <c r="N187" s="196">
        <v>0.1</v>
      </c>
    </row>
    <row r="188">
      <c r="A188" s="40" t="s">
        <v>36</v>
      </c>
      <c r="B188" s="40"/>
      <c r="C188" s="40">
        <v>15.0</v>
      </c>
      <c r="D188" s="40" t="s">
        <v>876</v>
      </c>
      <c r="E188" s="40" t="s">
        <v>21</v>
      </c>
      <c r="F188" s="197">
        <v>36336.0</v>
      </c>
      <c r="G188" s="197">
        <v>42218.0</v>
      </c>
      <c r="H188" s="197">
        <v>42218.0</v>
      </c>
      <c r="I188" s="197">
        <v>42218.0</v>
      </c>
      <c r="J188" s="196">
        <v>2.49</v>
      </c>
      <c r="K188" s="196">
        <v>2.49</v>
      </c>
      <c r="L188" s="196">
        <v>0.0</v>
      </c>
      <c r="M188" s="40">
        <v>5.0</v>
      </c>
      <c r="N188" s="196">
        <v>0.5</v>
      </c>
    </row>
    <row r="189">
      <c r="A189" s="40" t="s">
        <v>36</v>
      </c>
      <c r="B189" s="40" t="s">
        <v>314</v>
      </c>
      <c r="C189" s="40">
        <v>41.0</v>
      </c>
      <c r="D189" s="40" t="s">
        <v>877</v>
      </c>
      <c r="E189" s="40" t="s">
        <v>21</v>
      </c>
      <c r="F189" s="197">
        <v>36455.0</v>
      </c>
      <c r="G189" s="197">
        <v>41568.0</v>
      </c>
      <c r="H189" s="197">
        <v>41568.0</v>
      </c>
      <c r="I189" s="197">
        <v>41568.0</v>
      </c>
      <c r="J189" s="196">
        <v>4.99</v>
      </c>
      <c r="K189" s="196">
        <v>4.99</v>
      </c>
      <c r="L189" s="196">
        <v>0.0</v>
      </c>
      <c r="M189" s="40">
        <v>50.0</v>
      </c>
      <c r="N189" s="196">
        <v>0.1</v>
      </c>
    </row>
    <row r="190">
      <c r="A190" s="40" t="s">
        <v>36</v>
      </c>
      <c r="B190" s="40"/>
      <c r="C190" s="40">
        <v>66.0</v>
      </c>
      <c r="D190" s="40" t="s">
        <v>878</v>
      </c>
      <c r="E190" s="40" t="s">
        <v>21</v>
      </c>
      <c r="F190" s="197">
        <v>36497.0</v>
      </c>
      <c r="G190" s="197">
        <v>42806.0</v>
      </c>
      <c r="H190" s="197">
        <v>42806.0</v>
      </c>
      <c r="I190" s="197">
        <v>42806.0</v>
      </c>
      <c r="J190" s="196">
        <v>5.99</v>
      </c>
      <c r="K190" s="196">
        <v>1.99</v>
      </c>
      <c r="L190" s="196">
        <v>4.0</v>
      </c>
      <c r="M190" s="40">
        <v>1.0</v>
      </c>
      <c r="N190" s="196">
        <v>1.99</v>
      </c>
    </row>
    <row r="191">
      <c r="A191" s="40" t="s">
        <v>36</v>
      </c>
      <c r="B191" s="40"/>
      <c r="C191" s="40">
        <v>70.0</v>
      </c>
      <c r="D191" s="40" t="s">
        <v>879</v>
      </c>
      <c r="E191" s="40" t="s">
        <v>21</v>
      </c>
      <c r="F191" s="197">
        <v>36560.0</v>
      </c>
      <c r="G191" s="197">
        <v>42653.0</v>
      </c>
      <c r="H191" s="197">
        <v>45479.0</v>
      </c>
      <c r="I191" s="197">
        <v>45485.0</v>
      </c>
      <c r="J191" s="196">
        <v>1.99</v>
      </c>
      <c r="K191" s="196">
        <v>1.99</v>
      </c>
      <c r="L191" s="196">
        <v>0.0</v>
      </c>
      <c r="M191" s="40">
        <v>15.0</v>
      </c>
      <c r="N191" s="196">
        <v>0.13</v>
      </c>
    </row>
    <row r="192">
      <c r="A192" s="47" t="s">
        <v>36</v>
      </c>
      <c r="B192" s="41"/>
      <c r="C192" s="40">
        <v>33.0</v>
      </c>
      <c r="D192" s="40" t="s">
        <v>880</v>
      </c>
      <c r="E192" s="40" t="s">
        <v>21</v>
      </c>
      <c r="F192" s="197">
        <v>36637.0</v>
      </c>
      <c r="G192" s="197">
        <v>45800.0</v>
      </c>
      <c r="H192" s="197">
        <v>45805.0</v>
      </c>
      <c r="I192" s="197">
        <v>45807.0</v>
      </c>
      <c r="J192" s="43">
        <v>9.99</v>
      </c>
      <c r="K192" s="43">
        <v>4.99</v>
      </c>
      <c r="L192" s="43">
        <v>5.0</v>
      </c>
      <c r="M192" s="40">
        <v>11.0</v>
      </c>
      <c r="N192" s="43">
        <v>0.45</v>
      </c>
    </row>
    <row r="193">
      <c r="A193" s="40" t="s">
        <v>36</v>
      </c>
      <c r="B193" s="40" t="s">
        <v>277</v>
      </c>
      <c r="C193" s="40">
        <v>28.0</v>
      </c>
      <c r="D193" s="40" t="s">
        <v>881</v>
      </c>
      <c r="E193" s="40" t="s">
        <v>21</v>
      </c>
      <c r="F193" s="197">
        <v>36763.0</v>
      </c>
      <c r="G193" s="197">
        <v>40538.0</v>
      </c>
      <c r="H193" s="197">
        <v>40538.0</v>
      </c>
      <c r="I193" s="197">
        <v>40538.0</v>
      </c>
      <c r="J193" s="196">
        <v>9.99</v>
      </c>
      <c r="K193" s="196">
        <v>9.99</v>
      </c>
      <c r="L193" s="196">
        <v>0.0</v>
      </c>
      <c r="M193" s="40">
        <v>70.0</v>
      </c>
      <c r="N193" s="196">
        <v>0.14</v>
      </c>
    </row>
    <row r="194">
      <c r="A194" s="40" t="s">
        <v>36</v>
      </c>
      <c r="B194" s="40"/>
      <c r="C194" s="40">
        <v>67.0</v>
      </c>
      <c r="D194" s="40" t="s">
        <v>882</v>
      </c>
      <c r="E194" s="40" t="s">
        <v>21</v>
      </c>
      <c r="F194" s="197">
        <v>36847.0</v>
      </c>
      <c r="G194" s="197">
        <v>42806.0</v>
      </c>
      <c r="H194" s="197">
        <v>42806.0</v>
      </c>
      <c r="I194" s="197">
        <v>42806.0</v>
      </c>
      <c r="J194" s="196">
        <v>5.99</v>
      </c>
      <c r="K194" s="196">
        <v>1.99</v>
      </c>
      <c r="L194" s="196">
        <v>4.0</v>
      </c>
      <c r="M194" s="40">
        <v>1.0</v>
      </c>
      <c r="N194" s="196">
        <v>1.99</v>
      </c>
    </row>
    <row r="195">
      <c r="A195" s="40" t="s">
        <v>36</v>
      </c>
      <c r="B195" s="40"/>
      <c r="C195" s="40">
        <v>11.0</v>
      </c>
      <c r="D195" s="43" t="s">
        <v>883</v>
      </c>
      <c r="E195" s="43" t="s">
        <v>21</v>
      </c>
      <c r="F195" s="197">
        <v>36859.0</v>
      </c>
      <c r="G195" s="197">
        <v>40538.0</v>
      </c>
      <c r="H195" s="197">
        <v>40538.0</v>
      </c>
      <c r="I195" s="197">
        <v>40538.0</v>
      </c>
      <c r="J195" s="196">
        <v>9.99</v>
      </c>
      <c r="K195" s="196">
        <v>9.99</v>
      </c>
      <c r="L195" s="196">
        <v>0.0</v>
      </c>
      <c r="M195" s="40">
        <v>45.0</v>
      </c>
      <c r="N195" s="196">
        <v>0.22</v>
      </c>
    </row>
    <row r="196">
      <c r="A196" s="40" t="s">
        <v>36</v>
      </c>
      <c r="B196" s="40"/>
      <c r="C196" s="40">
        <v>3.0</v>
      </c>
      <c r="D196" s="40" t="s">
        <v>884</v>
      </c>
      <c r="E196" s="40" t="s">
        <v>21</v>
      </c>
      <c r="F196" s="197">
        <v>36924.0</v>
      </c>
      <c r="G196" s="197">
        <v>42877.0</v>
      </c>
      <c r="H196" s="197">
        <v>42877.0</v>
      </c>
      <c r="I196" s="197">
        <v>42877.0</v>
      </c>
      <c r="J196" s="196">
        <v>1.99</v>
      </c>
      <c r="K196" s="196">
        <v>1.99</v>
      </c>
      <c r="L196" s="196">
        <v>0.0</v>
      </c>
      <c r="M196" s="40">
        <v>10.0</v>
      </c>
      <c r="N196" s="196">
        <v>0.2</v>
      </c>
    </row>
    <row r="197">
      <c r="A197" s="40" t="s">
        <v>36</v>
      </c>
      <c r="B197" s="40"/>
      <c r="C197" s="40">
        <v>71.0</v>
      </c>
      <c r="D197" s="40" t="s">
        <v>885</v>
      </c>
      <c r="E197" s="40" t="s">
        <v>21</v>
      </c>
      <c r="F197" s="197">
        <v>36973.0</v>
      </c>
      <c r="G197" s="197">
        <v>42877.0</v>
      </c>
      <c r="H197" s="197">
        <v>42877.0</v>
      </c>
      <c r="I197" s="197">
        <v>42877.0</v>
      </c>
      <c r="J197" s="196">
        <v>1.99</v>
      </c>
      <c r="K197" s="196">
        <v>1.99</v>
      </c>
      <c r="L197" s="196">
        <v>0.0</v>
      </c>
      <c r="M197" s="40">
        <v>20.0</v>
      </c>
      <c r="N197" s="196">
        <v>0.1</v>
      </c>
    </row>
    <row r="198">
      <c r="A198" s="40" t="s">
        <v>36</v>
      </c>
      <c r="B198" s="40" t="s">
        <v>269</v>
      </c>
      <c r="C198" s="40">
        <v>145.0</v>
      </c>
      <c r="D198" s="40" t="s">
        <v>886</v>
      </c>
      <c r="E198" s="40" t="s">
        <v>22</v>
      </c>
      <c r="F198" s="197">
        <v>36854.0</v>
      </c>
      <c r="G198" s="197">
        <v>45586.0</v>
      </c>
      <c r="H198" s="197">
        <v>45586.0</v>
      </c>
      <c r="I198" s="197">
        <v>45586.0</v>
      </c>
      <c r="J198" s="196">
        <v>9.99</v>
      </c>
      <c r="K198" s="196">
        <v>6.99</v>
      </c>
      <c r="L198" s="196">
        <v>3.0</v>
      </c>
      <c r="M198" s="40">
        <v>1.0</v>
      </c>
      <c r="N198" s="196">
        <v>6.99</v>
      </c>
    </row>
    <row r="199">
      <c r="A199" s="40" t="s">
        <v>36</v>
      </c>
      <c r="B199" s="40"/>
      <c r="C199" s="40">
        <v>146.0</v>
      </c>
      <c r="D199" s="40" t="s">
        <v>887</v>
      </c>
      <c r="E199" s="40" t="s">
        <v>22</v>
      </c>
      <c r="F199" s="197">
        <v>37547.0</v>
      </c>
      <c r="G199" s="197">
        <v>45586.0</v>
      </c>
      <c r="H199" s="197">
        <v>45586.0</v>
      </c>
      <c r="I199" s="197">
        <v>45586.0</v>
      </c>
      <c r="J199" s="196">
        <v>9.99</v>
      </c>
      <c r="K199" s="196">
        <v>6.99</v>
      </c>
      <c r="L199" s="196">
        <v>3.0</v>
      </c>
      <c r="M199" s="40">
        <v>1.0</v>
      </c>
      <c r="N199" s="196">
        <v>6.99</v>
      </c>
    </row>
    <row r="200">
      <c r="A200" s="40" t="s">
        <v>36</v>
      </c>
      <c r="B200" s="40"/>
      <c r="C200" s="40">
        <v>119.0</v>
      </c>
      <c r="D200" s="40" t="s">
        <v>888</v>
      </c>
      <c r="E200" s="40" t="s">
        <v>22</v>
      </c>
      <c r="F200" s="197">
        <v>37722.0</v>
      </c>
      <c r="G200" s="197">
        <v>45177.0</v>
      </c>
      <c r="H200" s="197">
        <v>45797.0</v>
      </c>
      <c r="I200" s="197">
        <v>45798.0</v>
      </c>
      <c r="J200" s="196">
        <v>9.99</v>
      </c>
      <c r="K200" s="196">
        <v>0.0</v>
      </c>
      <c r="L200" s="196">
        <v>9.99</v>
      </c>
      <c r="M200" s="40">
        <v>2.0</v>
      </c>
      <c r="N200" s="196">
        <v>0.0</v>
      </c>
    </row>
    <row r="201">
      <c r="A201" s="40" t="s">
        <v>36</v>
      </c>
      <c r="B201" s="40"/>
      <c r="C201" s="40">
        <v>147.0</v>
      </c>
      <c r="D201" s="40" t="s">
        <v>889</v>
      </c>
      <c r="E201" s="40" t="s">
        <v>22</v>
      </c>
      <c r="F201" s="197">
        <v>38435.0</v>
      </c>
      <c r="G201" s="197">
        <v>45586.0</v>
      </c>
      <c r="H201" s="197">
        <v>45586.0</v>
      </c>
      <c r="I201" s="197">
        <v>45586.0</v>
      </c>
      <c r="J201" s="43">
        <v>9.99</v>
      </c>
      <c r="K201" s="43">
        <v>6.99</v>
      </c>
      <c r="L201" s="196">
        <v>3.0</v>
      </c>
      <c r="M201" s="40">
        <v>1.0</v>
      </c>
      <c r="N201" s="196">
        <v>6.99</v>
      </c>
    </row>
    <row r="202">
      <c r="A202" s="40" t="s">
        <v>36</v>
      </c>
      <c r="B202" s="40"/>
      <c r="C202" s="40">
        <v>140.0</v>
      </c>
      <c r="D202" s="40" t="s">
        <v>890</v>
      </c>
      <c r="E202" s="40" t="s">
        <v>22</v>
      </c>
      <c r="F202" s="197">
        <v>38898.0</v>
      </c>
      <c r="G202" s="197">
        <v>43373.0</v>
      </c>
      <c r="H202" s="197">
        <v>43373.0</v>
      </c>
      <c r="I202" s="197">
        <v>43373.0</v>
      </c>
      <c r="J202" s="196">
        <v>4.49</v>
      </c>
      <c r="K202" s="196">
        <v>4.49</v>
      </c>
      <c r="L202" s="196">
        <v>0.0</v>
      </c>
      <c r="M202" s="40">
        <v>1.0</v>
      </c>
      <c r="N202" s="196">
        <v>4.49</v>
      </c>
    </row>
    <row r="203">
      <c r="A203" s="40" t="s">
        <v>36</v>
      </c>
      <c r="B203" s="40"/>
      <c r="C203" s="40">
        <v>111.0</v>
      </c>
      <c r="D203" s="40" t="s">
        <v>891</v>
      </c>
      <c r="E203" s="40" t="s">
        <v>22</v>
      </c>
      <c r="F203" s="197">
        <v>39605.0</v>
      </c>
      <c r="G203" s="197">
        <v>42236.0</v>
      </c>
      <c r="H203" s="197">
        <v>42236.0</v>
      </c>
      <c r="I203" s="197">
        <v>42236.0</v>
      </c>
      <c r="J203" s="196">
        <v>9.99</v>
      </c>
      <c r="K203" s="196">
        <v>0.0</v>
      </c>
      <c r="L203" s="196">
        <v>9.99</v>
      </c>
      <c r="M203" s="40">
        <v>1.0</v>
      </c>
      <c r="N203" s="196">
        <v>0.0</v>
      </c>
    </row>
    <row r="204">
      <c r="A204" s="40" t="s">
        <v>36</v>
      </c>
      <c r="B204" s="40"/>
      <c r="C204" s="40">
        <v>112.0</v>
      </c>
      <c r="D204" s="40" t="s">
        <v>892</v>
      </c>
      <c r="E204" s="40" t="s">
        <v>22</v>
      </c>
      <c r="F204" s="197">
        <v>39731.0</v>
      </c>
      <c r="G204" s="197">
        <v>42236.0</v>
      </c>
      <c r="H204" s="197">
        <v>42236.0</v>
      </c>
      <c r="I204" s="197">
        <v>42236.0</v>
      </c>
      <c r="J204" s="196">
        <v>9.99</v>
      </c>
      <c r="K204" s="196">
        <v>0.0</v>
      </c>
      <c r="L204" s="196">
        <v>9.99</v>
      </c>
      <c r="M204" s="40">
        <v>1.0</v>
      </c>
      <c r="N204" s="196">
        <v>0.0</v>
      </c>
    </row>
    <row r="205">
      <c r="A205" s="40" t="s">
        <v>36</v>
      </c>
      <c r="B205" s="40" t="s">
        <v>323</v>
      </c>
      <c r="C205" s="40">
        <v>92.0</v>
      </c>
      <c r="D205" s="40" t="s">
        <v>893</v>
      </c>
      <c r="E205" s="40" t="s">
        <v>22</v>
      </c>
      <c r="F205" s="197">
        <v>40115.0</v>
      </c>
      <c r="G205" s="197">
        <v>40336.0</v>
      </c>
      <c r="H205" s="197">
        <v>40336.0</v>
      </c>
      <c r="I205" s="197">
        <v>44125.0</v>
      </c>
      <c r="J205" s="196">
        <v>2.5</v>
      </c>
      <c r="K205" s="196">
        <v>2.5</v>
      </c>
      <c r="L205" s="196">
        <v>0.0</v>
      </c>
      <c r="M205" s="40">
        <v>10.0</v>
      </c>
      <c r="N205" s="196">
        <v>0.25</v>
      </c>
    </row>
    <row r="206">
      <c r="A206" s="40" t="s">
        <v>36</v>
      </c>
      <c r="B206" s="40" t="s">
        <v>35</v>
      </c>
      <c r="C206" s="40">
        <v>154.0</v>
      </c>
      <c r="D206" s="40" t="s">
        <v>65</v>
      </c>
      <c r="E206" s="40" t="s">
        <v>23</v>
      </c>
      <c r="F206" s="197">
        <v>38611.0</v>
      </c>
      <c r="G206" s="197">
        <v>43373.0</v>
      </c>
      <c r="H206" s="197">
        <v>43373.0</v>
      </c>
      <c r="I206" s="197">
        <v>43373.0</v>
      </c>
      <c r="J206" s="196">
        <v>9.99</v>
      </c>
      <c r="K206" s="196">
        <v>9.99</v>
      </c>
      <c r="L206" s="196">
        <v>0.0</v>
      </c>
      <c r="M206" s="40">
        <v>1.0</v>
      </c>
      <c r="N206" s="196">
        <v>9.99</v>
      </c>
    </row>
    <row r="207">
      <c r="A207" s="40" t="s">
        <v>36</v>
      </c>
      <c r="B207" s="40" t="s">
        <v>302</v>
      </c>
      <c r="C207" s="40">
        <v>164.0</v>
      </c>
      <c r="D207" s="40" t="s">
        <v>894</v>
      </c>
      <c r="E207" s="40" t="s">
        <v>23</v>
      </c>
      <c r="F207" s="197">
        <v>38660.0</v>
      </c>
      <c r="G207" s="197">
        <v>42700.0</v>
      </c>
      <c r="H207" s="197">
        <v>42700.0</v>
      </c>
      <c r="I207" s="197">
        <v>42700.0</v>
      </c>
      <c r="J207" s="196">
        <v>11.66</v>
      </c>
      <c r="K207" s="196">
        <v>4.99</v>
      </c>
      <c r="L207" s="196">
        <v>6.67</v>
      </c>
      <c r="M207" s="40">
        <v>1.0</v>
      </c>
      <c r="N207" s="196">
        <v>4.99</v>
      </c>
    </row>
    <row r="208">
      <c r="A208" s="40" t="s">
        <v>36</v>
      </c>
      <c r="B208" s="40" t="s">
        <v>316</v>
      </c>
      <c r="C208" s="40">
        <v>172.0</v>
      </c>
      <c r="D208" s="40" t="s">
        <v>895</v>
      </c>
      <c r="E208" s="40" t="s">
        <v>23</v>
      </c>
      <c r="F208" s="197">
        <v>38786.0</v>
      </c>
      <c r="G208" s="197">
        <v>43373.0</v>
      </c>
      <c r="H208" s="197">
        <v>43373.0</v>
      </c>
      <c r="I208" s="197">
        <v>43373.0</v>
      </c>
      <c r="J208" s="196">
        <v>12.98</v>
      </c>
      <c r="K208" s="196">
        <v>12.98</v>
      </c>
      <c r="L208" s="196">
        <v>0.0</v>
      </c>
      <c r="M208" s="40">
        <v>1.0</v>
      </c>
      <c r="N208" s="196">
        <v>12.98</v>
      </c>
    </row>
    <row r="209">
      <c r="A209" s="40" t="s">
        <v>36</v>
      </c>
      <c r="B209" s="40"/>
      <c r="C209" s="40">
        <v>165.0</v>
      </c>
      <c r="D209" s="40" t="s">
        <v>896</v>
      </c>
      <c r="E209" s="40" t="s">
        <v>23</v>
      </c>
      <c r="F209" s="197">
        <v>39024.0</v>
      </c>
      <c r="G209" s="197">
        <v>42700.0</v>
      </c>
      <c r="H209" s="197">
        <v>45685.0</v>
      </c>
      <c r="I209" s="197">
        <v>45688.0</v>
      </c>
      <c r="J209" s="196">
        <v>11.66</v>
      </c>
      <c r="K209" s="196">
        <v>5.0</v>
      </c>
      <c r="L209" s="196">
        <v>6.66</v>
      </c>
      <c r="M209" s="40">
        <v>3.0</v>
      </c>
      <c r="N209" s="196">
        <v>1.67</v>
      </c>
    </row>
    <row r="210">
      <c r="A210" s="40" t="s">
        <v>36</v>
      </c>
      <c r="B210" s="40"/>
      <c r="C210" s="40">
        <v>179.0</v>
      </c>
      <c r="D210" s="40" t="s">
        <v>897</v>
      </c>
      <c r="E210" s="40" t="s">
        <v>23</v>
      </c>
      <c r="F210" s="197">
        <v>39430.0</v>
      </c>
      <c r="G210" s="197">
        <v>43014.0</v>
      </c>
      <c r="H210" s="197">
        <v>43014.0</v>
      </c>
      <c r="I210" s="197">
        <v>43014.0</v>
      </c>
      <c r="J210" s="196">
        <v>7.99</v>
      </c>
      <c r="K210" s="196">
        <v>7.99</v>
      </c>
      <c r="L210" s="196">
        <v>0.0</v>
      </c>
      <c r="M210" s="40">
        <v>1.0</v>
      </c>
      <c r="N210" s="196">
        <v>7.99</v>
      </c>
    </row>
    <row r="211">
      <c r="A211" s="40" t="s">
        <v>36</v>
      </c>
      <c r="B211" s="40"/>
      <c r="C211" s="40">
        <v>166.0</v>
      </c>
      <c r="D211" s="40" t="s">
        <v>898</v>
      </c>
      <c r="E211" s="40" t="s">
        <v>23</v>
      </c>
      <c r="F211" s="197">
        <v>40109.0</v>
      </c>
      <c r="G211" s="197">
        <v>42700.0</v>
      </c>
      <c r="H211" s="197">
        <v>42700.0</v>
      </c>
      <c r="I211" s="197">
        <v>42700.0</v>
      </c>
      <c r="J211" s="196">
        <v>11.66</v>
      </c>
      <c r="K211" s="196">
        <v>5.0</v>
      </c>
      <c r="L211" s="196">
        <v>6.66</v>
      </c>
      <c r="M211" s="40">
        <v>1.0</v>
      </c>
      <c r="N211" s="196">
        <v>5.0</v>
      </c>
    </row>
    <row r="212">
      <c r="A212" s="40" t="s">
        <v>36</v>
      </c>
      <c r="B212" s="40"/>
      <c r="C212" s="40">
        <v>170.0</v>
      </c>
      <c r="D212" s="40" t="s">
        <v>899</v>
      </c>
      <c r="E212" s="40" t="s">
        <v>23</v>
      </c>
      <c r="F212" s="197">
        <v>40627.0</v>
      </c>
      <c r="G212" s="197">
        <v>42236.0</v>
      </c>
      <c r="H212" s="197">
        <v>42236.0</v>
      </c>
      <c r="I212" s="197">
        <v>42236.0</v>
      </c>
      <c r="J212" s="196">
        <v>4.99</v>
      </c>
      <c r="K212" s="196">
        <v>0.0</v>
      </c>
      <c r="L212" s="196">
        <v>4.99</v>
      </c>
      <c r="M212" s="40">
        <v>1.0</v>
      </c>
      <c r="N212" s="196">
        <v>0.0</v>
      </c>
    </row>
    <row r="213">
      <c r="A213" s="40" t="s">
        <v>36</v>
      </c>
      <c r="B213" s="40"/>
      <c r="C213" s="40">
        <v>171.0</v>
      </c>
      <c r="D213" s="40" t="s">
        <v>900</v>
      </c>
      <c r="E213" s="40" t="s">
        <v>23</v>
      </c>
      <c r="F213" s="197">
        <v>40676.0</v>
      </c>
      <c r="G213" s="197">
        <v>42236.0</v>
      </c>
      <c r="H213" s="197">
        <v>42236.0</v>
      </c>
      <c r="I213" s="197">
        <v>42236.0</v>
      </c>
      <c r="J213" s="196">
        <v>4.99</v>
      </c>
      <c r="K213" s="196">
        <v>0.0</v>
      </c>
      <c r="L213" s="196">
        <v>4.99</v>
      </c>
      <c r="M213" s="40">
        <v>1.0</v>
      </c>
      <c r="N213" s="196">
        <v>0.0</v>
      </c>
    </row>
    <row r="214">
      <c r="A214" s="40" t="s">
        <v>36</v>
      </c>
      <c r="B214" s="40" t="s">
        <v>297</v>
      </c>
      <c r="C214" s="40">
        <v>403.0</v>
      </c>
      <c r="D214" s="40" t="s">
        <v>901</v>
      </c>
      <c r="E214" s="40" t="s">
        <v>24</v>
      </c>
      <c r="F214" s="197">
        <v>38789.0</v>
      </c>
      <c r="G214" s="197">
        <v>42811.0</v>
      </c>
      <c r="H214" s="197">
        <v>42837.0</v>
      </c>
      <c r="I214" s="197">
        <v>45406.0</v>
      </c>
      <c r="J214" s="196">
        <v>9.99</v>
      </c>
      <c r="K214" s="196">
        <v>9.99</v>
      </c>
      <c r="L214" s="196">
        <v>0.0</v>
      </c>
      <c r="M214" s="40">
        <v>3.0</v>
      </c>
      <c r="N214" s="196">
        <v>3.33</v>
      </c>
    </row>
    <row r="215">
      <c r="A215" s="40" t="s">
        <v>36</v>
      </c>
      <c r="B215" s="40" t="s">
        <v>311</v>
      </c>
      <c r="C215" s="40">
        <v>374.0</v>
      </c>
      <c r="D215" s="40" t="s">
        <v>902</v>
      </c>
      <c r="E215" s="40" t="s">
        <v>24</v>
      </c>
      <c r="F215" s="197">
        <v>39178.0</v>
      </c>
      <c r="G215" s="197">
        <v>44299.0</v>
      </c>
      <c r="H215" s="197">
        <v>44299.0</v>
      </c>
      <c r="I215" s="197">
        <v>44299.0</v>
      </c>
      <c r="J215" s="196">
        <v>4.99</v>
      </c>
      <c r="K215" s="196">
        <v>4.99</v>
      </c>
      <c r="L215" s="196">
        <v>0.0</v>
      </c>
      <c r="M215" s="40">
        <v>1.0</v>
      </c>
      <c r="N215" s="196">
        <v>4.99</v>
      </c>
    </row>
    <row r="216">
      <c r="A216" s="40" t="s">
        <v>36</v>
      </c>
      <c r="B216" s="40"/>
      <c r="C216" s="40">
        <v>206.0</v>
      </c>
      <c r="D216" s="40" t="s">
        <v>66</v>
      </c>
      <c r="E216" s="40" t="s">
        <v>24</v>
      </c>
      <c r="F216" s="197">
        <v>39472.0</v>
      </c>
      <c r="G216" s="197">
        <v>40705.0</v>
      </c>
      <c r="H216" s="197">
        <v>40705.0</v>
      </c>
      <c r="I216" s="197">
        <v>45675.0</v>
      </c>
      <c r="J216" s="196">
        <v>59.98</v>
      </c>
      <c r="K216" s="196">
        <v>9.99</v>
      </c>
      <c r="L216" s="196">
        <v>49.99</v>
      </c>
      <c r="M216" s="40">
        <v>17.0</v>
      </c>
      <c r="N216" s="196">
        <v>0.59</v>
      </c>
    </row>
    <row r="217">
      <c r="A217" s="40" t="s">
        <v>36</v>
      </c>
      <c r="B217" s="40"/>
      <c r="C217" s="40">
        <v>421.0</v>
      </c>
      <c r="D217" s="40" t="s">
        <v>903</v>
      </c>
      <c r="E217" s="40" t="s">
        <v>24</v>
      </c>
      <c r="F217" s="197">
        <v>39716.0</v>
      </c>
      <c r="G217" s="197">
        <v>43463.0</v>
      </c>
      <c r="H217" s="197">
        <v>43463.0</v>
      </c>
      <c r="I217" s="197">
        <v>43463.0</v>
      </c>
      <c r="J217" s="196">
        <v>22.49</v>
      </c>
      <c r="K217" s="196">
        <v>5.0</v>
      </c>
      <c r="L217" s="196">
        <v>17.49</v>
      </c>
      <c r="M217" s="40">
        <v>5.0</v>
      </c>
      <c r="N217" s="196">
        <v>1.0</v>
      </c>
    </row>
    <row r="218">
      <c r="A218" s="40" t="s">
        <v>36</v>
      </c>
      <c r="B218" s="40" t="s">
        <v>288</v>
      </c>
      <c r="C218" s="40">
        <v>286.0</v>
      </c>
      <c r="D218" s="40" t="s">
        <v>904</v>
      </c>
      <c r="E218" s="40" t="s">
        <v>24</v>
      </c>
      <c r="F218" s="197">
        <v>39757.0</v>
      </c>
      <c r="G218" s="197">
        <v>40178.0</v>
      </c>
      <c r="H218" s="197">
        <v>40178.0</v>
      </c>
      <c r="I218" s="197">
        <v>44777.0</v>
      </c>
      <c r="J218" s="196">
        <v>14.99</v>
      </c>
      <c r="K218" s="196">
        <v>10.5</v>
      </c>
      <c r="L218" s="196">
        <v>4.49</v>
      </c>
      <c r="M218" s="40">
        <v>20.0</v>
      </c>
      <c r="N218" s="196">
        <v>0.53</v>
      </c>
    </row>
    <row r="219">
      <c r="A219" s="40" t="s">
        <v>36</v>
      </c>
      <c r="B219" s="40" t="s">
        <v>263</v>
      </c>
      <c r="C219" s="40">
        <v>307.0</v>
      </c>
      <c r="D219" s="40" t="s">
        <v>905</v>
      </c>
      <c r="E219" s="40" t="s">
        <v>24</v>
      </c>
      <c r="F219" s="197">
        <v>39759.0</v>
      </c>
      <c r="G219" s="197">
        <v>40302.0</v>
      </c>
      <c r="H219" s="197">
        <v>40302.0</v>
      </c>
      <c r="I219" s="197">
        <v>44735.0</v>
      </c>
      <c r="J219" s="196">
        <v>5.0</v>
      </c>
      <c r="K219" s="196">
        <v>5.0</v>
      </c>
      <c r="L219" s="196">
        <v>0.0</v>
      </c>
      <c r="M219" s="40">
        <v>20.0</v>
      </c>
      <c r="N219" s="196">
        <v>0.25</v>
      </c>
    </row>
    <row r="220">
      <c r="A220" s="40" t="s">
        <v>36</v>
      </c>
      <c r="B220" s="40" t="s">
        <v>303</v>
      </c>
      <c r="C220" s="40">
        <v>190.0</v>
      </c>
      <c r="D220" s="40" t="s">
        <v>906</v>
      </c>
      <c r="E220" s="40" t="s">
        <v>24</v>
      </c>
      <c r="F220" s="197">
        <v>40053.0</v>
      </c>
      <c r="G220" s="197">
        <v>43922.0</v>
      </c>
      <c r="H220" s="197">
        <v>43927.0</v>
      </c>
      <c r="I220" s="197">
        <v>45647.0</v>
      </c>
      <c r="J220" s="196">
        <v>19.99</v>
      </c>
      <c r="K220" s="196">
        <v>7.99</v>
      </c>
      <c r="L220" s="196">
        <v>12.0</v>
      </c>
      <c r="M220" s="40">
        <v>22.0</v>
      </c>
      <c r="N220" s="196">
        <v>0.36</v>
      </c>
    </row>
    <row r="221">
      <c r="A221" s="40" t="s">
        <v>36</v>
      </c>
      <c r="B221" s="40" t="s">
        <v>307</v>
      </c>
      <c r="C221" s="40">
        <v>311.0</v>
      </c>
      <c r="D221" s="40" t="s">
        <v>907</v>
      </c>
      <c r="E221" s="40" t="s">
        <v>24</v>
      </c>
      <c r="F221" s="197">
        <v>40073.0</v>
      </c>
      <c r="G221" s="197">
        <v>40140.0</v>
      </c>
      <c r="H221" s="197">
        <v>40140.0</v>
      </c>
      <c r="I221" s="197">
        <v>44727.0</v>
      </c>
      <c r="J221" s="196">
        <v>19.99</v>
      </c>
      <c r="K221" s="196">
        <v>4.0</v>
      </c>
      <c r="L221" s="196">
        <v>15.99</v>
      </c>
      <c r="M221" s="40">
        <v>60.0</v>
      </c>
      <c r="N221" s="196">
        <v>0.07</v>
      </c>
    </row>
    <row r="222">
      <c r="A222" s="40" t="s">
        <v>36</v>
      </c>
      <c r="B222" s="40" t="s">
        <v>300</v>
      </c>
      <c r="C222" s="40">
        <v>207.0</v>
      </c>
      <c r="D222" s="40" t="s">
        <v>908</v>
      </c>
      <c r="E222" s="40" t="s">
        <v>24</v>
      </c>
      <c r="F222" s="197">
        <v>40116.0</v>
      </c>
      <c r="G222" s="197">
        <v>40317.0</v>
      </c>
      <c r="H222" s="197">
        <v>40317.0</v>
      </c>
      <c r="I222" s="197">
        <v>44125.0</v>
      </c>
      <c r="J222" s="196">
        <v>29.99</v>
      </c>
      <c r="K222" s="196">
        <v>29.99</v>
      </c>
      <c r="L222" s="196">
        <v>0.0</v>
      </c>
      <c r="M222" s="40">
        <v>5.0</v>
      </c>
      <c r="N222" s="196">
        <v>6.0</v>
      </c>
    </row>
    <row r="223">
      <c r="A223" s="40" t="s">
        <v>36</v>
      </c>
      <c r="B223" s="40" t="s">
        <v>280</v>
      </c>
      <c r="C223" s="40">
        <v>258.0</v>
      </c>
      <c r="D223" s="40" t="s">
        <v>909</v>
      </c>
      <c r="E223" s="40" t="s">
        <v>24</v>
      </c>
      <c r="F223" s="197">
        <v>40141.0</v>
      </c>
      <c r="G223" s="197">
        <v>42236.0</v>
      </c>
      <c r="H223" s="197">
        <v>45062.0</v>
      </c>
      <c r="I223" s="197">
        <v>45066.0</v>
      </c>
      <c r="J223" s="196">
        <v>3.99</v>
      </c>
      <c r="K223" s="196">
        <v>3.99</v>
      </c>
      <c r="L223" s="196">
        <v>0.0</v>
      </c>
      <c r="M223" s="40">
        <v>10.0</v>
      </c>
      <c r="N223" s="196">
        <v>0.4</v>
      </c>
    </row>
    <row r="224">
      <c r="A224" s="40" t="s">
        <v>36</v>
      </c>
      <c r="B224" s="40" t="s">
        <v>252</v>
      </c>
      <c r="C224" s="40">
        <v>200.0</v>
      </c>
      <c r="D224" s="40" t="s">
        <v>910</v>
      </c>
      <c r="E224" s="40" t="s">
        <v>24</v>
      </c>
      <c r="F224" s="197">
        <v>40326.0</v>
      </c>
      <c r="G224" s="197">
        <v>40327.0</v>
      </c>
      <c r="H224" s="197">
        <v>40327.0</v>
      </c>
      <c r="I224" s="197">
        <v>40331.0</v>
      </c>
      <c r="J224" s="43">
        <v>19.99</v>
      </c>
      <c r="K224" s="43">
        <v>18.0</v>
      </c>
      <c r="L224" s="196">
        <v>1.99</v>
      </c>
      <c r="M224" s="40">
        <v>25.0</v>
      </c>
      <c r="N224" s="196">
        <v>0.72</v>
      </c>
    </row>
    <row r="225">
      <c r="A225" s="40" t="s">
        <v>36</v>
      </c>
      <c r="B225" s="40"/>
      <c r="C225" s="40">
        <v>278.0</v>
      </c>
      <c r="D225" s="40" t="s">
        <v>911</v>
      </c>
      <c r="E225" s="40" t="s">
        <v>24</v>
      </c>
      <c r="F225" s="197">
        <v>40354.0</v>
      </c>
      <c r="G225" s="197">
        <v>42832.0</v>
      </c>
      <c r="H225" s="197">
        <v>42836.0</v>
      </c>
      <c r="I225" s="197">
        <v>45165.0</v>
      </c>
      <c r="J225" s="43">
        <v>20.0</v>
      </c>
      <c r="K225" s="43">
        <v>10.0</v>
      </c>
      <c r="L225" s="196">
        <v>10.0</v>
      </c>
      <c r="M225" s="40">
        <v>10.0</v>
      </c>
      <c r="N225" s="196">
        <v>1.0</v>
      </c>
    </row>
    <row r="226">
      <c r="A226" s="40" t="s">
        <v>36</v>
      </c>
      <c r="B226" s="40"/>
      <c r="C226" s="40">
        <v>228.0</v>
      </c>
      <c r="D226" s="40" t="s">
        <v>912</v>
      </c>
      <c r="E226" s="40" t="s">
        <v>24</v>
      </c>
      <c r="F226" s="197">
        <v>40473.0</v>
      </c>
      <c r="G226" s="197">
        <v>44115.0</v>
      </c>
      <c r="H226" s="197">
        <v>45127.0</v>
      </c>
      <c r="I226" s="197">
        <v>45134.0</v>
      </c>
      <c r="J226" s="43">
        <v>2.5</v>
      </c>
      <c r="K226" s="43">
        <v>2.5</v>
      </c>
      <c r="L226" s="196">
        <v>0.0</v>
      </c>
      <c r="M226" s="40">
        <v>5.0</v>
      </c>
      <c r="N226" s="196">
        <v>0.5</v>
      </c>
    </row>
    <row r="227">
      <c r="A227" s="40" t="s">
        <v>36</v>
      </c>
      <c r="B227" s="40"/>
      <c r="C227" s="40">
        <v>312.0</v>
      </c>
      <c r="D227" s="40" t="s">
        <v>67</v>
      </c>
      <c r="E227" s="40" t="s">
        <v>24</v>
      </c>
      <c r="F227" s="197">
        <v>40501.0</v>
      </c>
      <c r="G227" s="197">
        <v>45664.0</v>
      </c>
      <c r="H227" s="197">
        <v>45822.0</v>
      </c>
      <c r="I227" s="197">
        <v>45830.0</v>
      </c>
      <c r="J227" s="43">
        <v>39.99</v>
      </c>
      <c r="K227" s="43">
        <v>0.0</v>
      </c>
      <c r="L227" s="196">
        <v>39.99</v>
      </c>
      <c r="M227" s="40">
        <v>30.0</v>
      </c>
      <c r="N227" s="196">
        <v>0.0</v>
      </c>
    </row>
    <row r="228">
      <c r="A228" s="40" t="s">
        <v>36</v>
      </c>
      <c r="B228" s="40"/>
      <c r="C228" s="40">
        <v>287.0</v>
      </c>
      <c r="D228" s="40" t="s">
        <v>913</v>
      </c>
      <c r="E228" s="40" t="s">
        <v>24</v>
      </c>
      <c r="F228" s="197">
        <v>40562.0</v>
      </c>
      <c r="G228" s="197">
        <v>40895.0</v>
      </c>
      <c r="H228" s="197">
        <v>40895.0</v>
      </c>
      <c r="I228" s="197">
        <v>44777.0</v>
      </c>
      <c r="J228" s="196">
        <v>29.99</v>
      </c>
      <c r="K228" s="196">
        <v>19.49</v>
      </c>
      <c r="L228" s="196">
        <v>10.5</v>
      </c>
      <c r="M228" s="40">
        <v>20.0</v>
      </c>
      <c r="N228" s="196">
        <v>0.97</v>
      </c>
    </row>
    <row r="229">
      <c r="A229" s="40" t="s">
        <v>36</v>
      </c>
      <c r="B229" s="40"/>
      <c r="C229" s="40">
        <v>308.0</v>
      </c>
      <c r="D229" s="40" t="s">
        <v>914</v>
      </c>
      <c r="E229" s="40" t="s">
        <v>24</v>
      </c>
      <c r="F229" s="197">
        <v>40633.0</v>
      </c>
      <c r="G229" s="197">
        <v>41392.0</v>
      </c>
      <c r="H229" s="197">
        <v>41392.0</v>
      </c>
      <c r="I229" s="197">
        <v>44778.0</v>
      </c>
      <c r="J229" s="196">
        <v>14.99</v>
      </c>
      <c r="K229" s="196">
        <v>14.99</v>
      </c>
      <c r="L229" s="196">
        <v>0.0</v>
      </c>
      <c r="M229" s="40">
        <v>10.0</v>
      </c>
      <c r="N229" s="196">
        <v>1.5</v>
      </c>
    </row>
    <row r="230">
      <c r="A230" s="40" t="s">
        <v>36</v>
      </c>
      <c r="B230" s="40" t="s">
        <v>309</v>
      </c>
      <c r="C230" s="40">
        <v>204.0</v>
      </c>
      <c r="D230" s="40" t="s">
        <v>915</v>
      </c>
      <c r="E230" s="40" t="s">
        <v>24</v>
      </c>
      <c r="F230" s="197">
        <v>40676.0</v>
      </c>
      <c r="G230" s="197">
        <v>41632.0</v>
      </c>
      <c r="H230" s="197">
        <v>41632.0</v>
      </c>
      <c r="I230" s="197">
        <v>44792.0</v>
      </c>
      <c r="J230" s="43">
        <v>19.99</v>
      </c>
      <c r="K230" s="43">
        <v>0.5</v>
      </c>
      <c r="L230" s="196">
        <v>19.49</v>
      </c>
      <c r="M230" s="40">
        <v>7.0</v>
      </c>
      <c r="N230" s="196">
        <v>0.07</v>
      </c>
    </row>
    <row r="231">
      <c r="A231" s="40" t="s">
        <v>36</v>
      </c>
      <c r="B231" s="40" t="s">
        <v>259</v>
      </c>
      <c r="C231" s="40">
        <v>194.0</v>
      </c>
      <c r="D231" s="40" t="s">
        <v>916</v>
      </c>
      <c r="E231" s="40" t="s">
        <v>24</v>
      </c>
      <c r="F231" s="197">
        <v>40834.0</v>
      </c>
      <c r="G231" s="197">
        <v>40944.0</v>
      </c>
      <c r="H231" s="197">
        <v>40944.0</v>
      </c>
      <c r="I231" s="197">
        <v>44762.0</v>
      </c>
      <c r="J231" s="196">
        <v>6.99</v>
      </c>
      <c r="K231" s="196">
        <v>6.99</v>
      </c>
      <c r="L231" s="196">
        <v>0.0</v>
      </c>
      <c r="M231" s="40">
        <v>20.0</v>
      </c>
      <c r="N231" s="196">
        <v>0.35</v>
      </c>
    </row>
    <row r="232">
      <c r="A232" s="40" t="s">
        <v>36</v>
      </c>
      <c r="B232" s="40"/>
      <c r="C232" s="40">
        <v>191.0</v>
      </c>
      <c r="D232" s="40" t="s">
        <v>917</v>
      </c>
      <c r="E232" s="40" t="s">
        <v>24</v>
      </c>
      <c r="F232" s="197">
        <v>40837.0</v>
      </c>
      <c r="G232" s="197">
        <v>43922.0</v>
      </c>
      <c r="H232" s="197">
        <v>43976.0</v>
      </c>
      <c r="I232" s="197">
        <v>45648.0</v>
      </c>
      <c r="J232" s="196">
        <v>19.99</v>
      </c>
      <c r="K232" s="196">
        <v>7.99</v>
      </c>
      <c r="L232" s="196">
        <v>12.0</v>
      </c>
      <c r="M232" s="40">
        <v>20.0</v>
      </c>
      <c r="N232" s="196">
        <v>0.4</v>
      </c>
    </row>
    <row r="233">
      <c r="A233" s="40" t="s">
        <v>36</v>
      </c>
      <c r="B233" s="40"/>
      <c r="C233" s="40">
        <v>279.0</v>
      </c>
      <c r="D233" s="40" t="s">
        <v>918</v>
      </c>
      <c r="E233" s="40" t="s">
        <v>24</v>
      </c>
      <c r="F233" s="197">
        <v>40865.0</v>
      </c>
      <c r="G233" s="197">
        <v>42832.0</v>
      </c>
      <c r="H233" s="197">
        <v>42832.0</v>
      </c>
      <c r="I233" s="197">
        <v>42832.0</v>
      </c>
      <c r="J233" s="196">
        <v>19.99</v>
      </c>
      <c r="K233" s="196">
        <v>9.99</v>
      </c>
      <c r="L233" s="196">
        <v>10.0</v>
      </c>
      <c r="M233" s="40">
        <v>10.0</v>
      </c>
      <c r="N233" s="196">
        <v>1.0</v>
      </c>
    </row>
    <row r="234">
      <c r="A234" s="40" t="s">
        <v>36</v>
      </c>
      <c r="B234" s="40"/>
      <c r="C234" s="40">
        <v>309.0</v>
      </c>
      <c r="D234" s="40" t="s">
        <v>919</v>
      </c>
      <c r="E234" s="40" t="s">
        <v>24</v>
      </c>
      <c r="F234" s="197">
        <v>40961.0</v>
      </c>
      <c r="G234" s="197">
        <v>43014.0</v>
      </c>
      <c r="H234" s="197">
        <v>44110.0</v>
      </c>
      <c r="I234" s="197">
        <v>44872.0</v>
      </c>
      <c r="J234" s="196">
        <v>8.99</v>
      </c>
      <c r="K234" s="196">
        <v>3.99</v>
      </c>
      <c r="L234" s="196">
        <v>5.0</v>
      </c>
      <c r="M234" s="40">
        <v>25.0</v>
      </c>
      <c r="N234" s="196">
        <v>0.16</v>
      </c>
    </row>
    <row r="235">
      <c r="A235" s="40" t="s">
        <v>36</v>
      </c>
      <c r="B235" s="40"/>
      <c r="C235" s="40">
        <v>363.0</v>
      </c>
      <c r="D235" s="40" t="s">
        <v>920</v>
      </c>
      <c r="E235" s="40" t="s">
        <v>24</v>
      </c>
      <c r="F235" s="197">
        <v>41033.0</v>
      </c>
      <c r="G235" s="197">
        <v>44708.0</v>
      </c>
      <c r="H235" s="197">
        <v>44708.0</v>
      </c>
      <c r="I235" s="197">
        <v>44708.0</v>
      </c>
      <c r="J235" s="196">
        <v>34.99</v>
      </c>
      <c r="K235" s="196">
        <v>3.49</v>
      </c>
      <c r="L235" s="196">
        <v>31.5</v>
      </c>
      <c r="M235" s="40">
        <v>1.0</v>
      </c>
      <c r="N235" s="196">
        <v>3.49</v>
      </c>
    </row>
    <row r="236">
      <c r="A236" s="40" t="s">
        <v>36</v>
      </c>
      <c r="B236" s="40"/>
      <c r="C236" s="40">
        <v>280.0</v>
      </c>
      <c r="D236" s="40" t="s">
        <v>921</v>
      </c>
      <c r="E236" s="40" t="s">
        <v>24</v>
      </c>
      <c r="F236" s="197">
        <v>41082.0</v>
      </c>
      <c r="G236" s="197">
        <v>42236.0</v>
      </c>
      <c r="H236" s="197">
        <v>42236.0</v>
      </c>
      <c r="I236" s="197">
        <v>44865.0</v>
      </c>
      <c r="J236" s="196">
        <v>19.99</v>
      </c>
      <c r="K236" s="196">
        <v>0.0</v>
      </c>
      <c r="L236" s="196">
        <v>19.99</v>
      </c>
      <c r="M236" s="40">
        <v>30.0</v>
      </c>
      <c r="N236" s="196">
        <v>0.0</v>
      </c>
    </row>
    <row r="237">
      <c r="A237" s="40" t="s">
        <v>36</v>
      </c>
      <c r="B237" s="40" t="s">
        <v>275</v>
      </c>
      <c r="C237" s="40">
        <v>270.0</v>
      </c>
      <c r="D237" s="40" t="s">
        <v>922</v>
      </c>
      <c r="E237" s="40" t="s">
        <v>24</v>
      </c>
      <c r="F237" s="197">
        <v>41192.0</v>
      </c>
      <c r="G237" s="197">
        <v>41373.0</v>
      </c>
      <c r="H237" s="197">
        <v>41373.0</v>
      </c>
      <c r="I237" s="197">
        <v>44754.0</v>
      </c>
      <c r="J237" s="196">
        <v>12.99</v>
      </c>
      <c r="K237" s="196">
        <v>12.99</v>
      </c>
      <c r="L237" s="196">
        <v>0.0</v>
      </c>
      <c r="M237" s="40">
        <v>7.0</v>
      </c>
      <c r="N237" s="196">
        <v>1.86</v>
      </c>
    </row>
    <row r="238">
      <c r="A238" s="40" t="s">
        <v>36</v>
      </c>
      <c r="B238" s="40"/>
      <c r="C238" s="40">
        <v>423.0</v>
      </c>
      <c r="D238" s="43" t="s">
        <v>923</v>
      </c>
      <c r="E238" s="43" t="s">
        <v>24</v>
      </c>
      <c r="F238" s="197">
        <v>41192.0</v>
      </c>
      <c r="G238" s="197">
        <v>42201.0</v>
      </c>
      <c r="H238" s="197">
        <v>42201.0</v>
      </c>
      <c r="I238" s="197">
        <v>44861.0</v>
      </c>
      <c r="J238" s="196">
        <v>14.99</v>
      </c>
      <c r="K238" s="196">
        <v>0.0</v>
      </c>
      <c r="L238" s="196">
        <v>14.99</v>
      </c>
      <c r="M238" s="40">
        <v>5.0</v>
      </c>
      <c r="N238" s="196">
        <v>0.0</v>
      </c>
    </row>
    <row r="239">
      <c r="A239" s="40" t="s">
        <v>36</v>
      </c>
      <c r="B239" s="40"/>
      <c r="C239" s="40">
        <v>314.0</v>
      </c>
      <c r="D239" s="40" t="s">
        <v>68</v>
      </c>
      <c r="E239" s="40" t="s">
        <v>24</v>
      </c>
      <c r="F239" s="197">
        <v>41215.0</v>
      </c>
      <c r="G239" s="197">
        <v>41493.0</v>
      </c>
      <c r="H239" s="197">
        <v>41494.0</v>
      </c>
      <c r="I239" s="197">
        <v>44783.0</v>
      </c>
      <c r="J239" s="196">
        <v>19.99</v>
      </c>
      <c r="K239" s="196">
        <v>0.0</v>
      </c>
      <c r="L239" s="196">
        <v>19.99</v>
      </c>
      <c r="M239" s="40">
        <v>25.0</v>
      </c>
      <c r="N239" s="196">
        <v>0.0</v>
      </c>
    </row>
    <row r="240">
      <c r="A240" s="40" t="s">
        <v>36</v>
      </c>
      <c r="B240" s="40" t="s">
        <v>255</v>
      </c>
      <c r="C240" s="40">
        <v>420.0</v>
      </c>
      <c r="D240" s="40" t="s">
        <v>924</v>
      </c>
      <c r="E240" s="40" t="s">
        <v>24</v>
      </c>
      <c r="F240" s="197">
        <v>41219.0</v>
      </c>
      <c r="G240" s="197">
        <v>44422.0</v>
      </c>
      <c r="H240" s="197">
        <v>45060.0</v>
      </c>
      <c r="I240" s="197">
        <v>45068.0</v>
      </c>
      <c r="J240" s="196">
        <v>4.99</v>
      </c>
      <c r="K240" s="196">
        <v>4.99</v>
      </c>
      <c r="L240" s="196">
        <v>0.0</v>
      </c>
      <c r="M240" s="40">
        <v>5.0</v>
      </c>
      <c r="N240" s="196">
        <v>1.0</v>
      </c>
    </row>
    <row r="241">
      <c r="A241" s="40" t="s">
        <v>36</v>
      </c>
      <c r="B241" s="40" t="s">
        <v>271</v>
      </c>
      <c r="C241" s="40">
        <v>386.0</v>
      </c>
      <c r="D241" s="40" t="s">
        <v>925</v>
      </c>
      <c r="E241" s="40" t="s">
        <v>24</v>
      </c>
      <c r="F241" s="197">
        <v>41229.0</v>
      </c>
      <c r="G241" s="197">
        <v>44299.0</v>
      </c>
      <c r="H241" s="197">
        <v>44377.0</v>
      </c>
      <c r="I241" s="197">
        <v>44377.0</v>
      </c>
      <c r="J241" s="196">
        <v>9.99</v>
      </c>
      <c r="K241" s="196">
        <v>9.99</v>
      </c>
      <c r="L241" s="196">
        <v>0.0</v>
      </c>
      <c r="M241" s="40">
        <v>2.0</v>
      </c>
      <c r="N241" s="196">
        <v>5.0</v>
      </c>
    </row>
    <row r="242">
      <c r="A242" s="40" t="s">
        <v>36</v>
      </c>
      <c r="B242" s="40" t="s">
        <v>258</v>
      </c>
      <c r="C242" s="40">
        <v>232.0</v>
      </c>
      <c r="D242" s="40" t="s">
        <v>926</v>
      </c>
      <c r="E242" s="40" t="s">
        <v>24</v>
      </c>
      <c r="F242" s="197">
        <v>41229.0</v>
      </c>
      <c r="G242" s="197">
        <v>41374.0</v>
      </c>
      <c r="H242" s="197">
        <v>41375.0</v>
      </c>
      <c r="I242" s="197">
        <v>44764.0</v>
      </c>
      <c r="J242" s="196">
        <v>24.99</v>
      </c>
      <c r="K242" s="196">
        <v>9.99</v>
      </c>
      <c r="L242" s="196">
        <v>15.0</v>
      </c>
      <c r="M242" s="40">
        <v>25.0</v>
      </c>
      <c r="N242" s="196">
        <v>0.4</v>
      </c>
    </row>
    <row r="243">
      <c r="A243" s="40" t="s">
        <v>36</v>
      </c>
      <c r="B243" s="40"/>
      <c r="C243" s="40">
        <v>413.0</v>
      </c>
      <c r="D243" s="40" t="s">
        <v>927</v>
      </c>
      <c r="E243" s="40" t="s">
        <v>24</v>
      </c>
      <c r="F243" s="197">
        <v>41351.0</v>
      </c>
      <c r="G243" s="197">
        <v>42811.0</v>
      </c>
      <c r="H243" s="197">
        <v>42828.0</v>
      </c>
      <c r="I243" s="197">
        <v>45408.0</v>
      </c>
      <c r="J243" s="196">
        <v>9.99</v>
      </c>
      <c r="K243" s="196">
        <v>9.99</v>
      </c>
      <c r="L243" s="196">
        <v>0.0</v>
      </c>
      <c r="M243" s="40">
        <v>5.0</v>
      </c>
      <c r="N243" s="196">
        <v>2.0</v>
      </c>
    </row>
    <row r="244">
      <c r="A244" s="40" t="s">
        <v>36</v>
      </c>
      <c r="B244" s="40" t="s">
        <v>251</v>
      </c>
      <c r="C244" s="40">
        <v>401.0</v>
      </c>
      <c r="D244" s="40" t="s">
        <v>928</v>
      </c>
      <c r="E244" s="40" t="s">
        <v>24</v>
      </c>
      <c r="F244" s="197">
        <v>41388.0</v>
      </c>
      <c r="G244" s="197">
        <v>41410.0</v>
      </c>
      <c r="H244" s="197">
        <v>41410.0</v>
      </c>
      <c r="I244" s="197">
        <v>44764.0</v>
      </c>
      <c r="J244" s="196">
        <v>7.99</v>
      </c>
      <c r="K244" s="196">
        <v>0.0</v>
      </c>
      <c r="L244" s="196">
        <v>7.99</v>
      </c>
      <c r="M244" s="40">
        <v>2.0</v>
      </c>
      <c r="N244" s="196">
        <v>0.0</v>
      </c>
    </row>
    <row r="245">
      <c r="A245" s="40" t="s">
        <v>36</v>
      </c>
      <c r="B245" s="40" t="s">
        <v>260</v>
      </c>
      <c r="C245" s="40">
        <v>370.0</v>
      </c>
      <c r="D245" s="40" t="s">
        <v>929</v>
      </c>
      <c r="E245" s="40" t="s">
        <v>24</v>
      </c>
      <c r="F245" s="197">
        <v>41479.0</v>
      </c>
      <c r="G245" s="197">
        <v>41522.0</v>
      </c>
      <c r="H245" s="197">
        <v>41522.0</v>
      </c>
      <c r="I245" s="197">
        <v>44791.0</v>
      </c>
      <c r="J245" s="196">
        <v>8.49</v>
      </c>
      <c r="K245" s="196">
        <v>2.49</v>
      </c>
      <c r="L245" s="196">
        <v>6.0</v>
      </c>
      <c r="M245" s="40">
        <v>5.0</v>
      </c>
      <c r="N245" s="196">
        <v>0.5</v>
      </c>
    </row>
    <row r="246">
      <c r="A246" s="40" t="s">
        <v>36</v>
      </c>
      <c r="B246" s="40"/>
      <c r="C246" s="40">
        <v>376.0</v>
      </c>
      <c r="D246" s="40" t="s">
        <v>930</v>
      </c>
      <c r="E246" s="40" t="s">
        <v>24</v>
      </c>
      <c r="F246" s="197">
        <v>41486.0</v>
      </c>
      <c r="G246" s="197">
        <v>41558.0</v>
      </c>
      <c r="H246" s="197">
        <v>41558.0</v>
      </c>
      <c r="I246" s="197">
        <v>44793.0</v>
      </c>
      <c r="J246" s="196">
        <v>9.99</v>
      </c>
      <c r="K246" s="196">
        <v>9.99</v>
      </c>
      <c r="L246" s="196">
        <v>0.0</v>
      </c>
      <c r="M246" s="40">
        <v>30.0</v>
      </c>
      <c r="N246" s="196">
        <v>0.33</v>
      </c>
    </row>
    <row r="247">
      <c r="A247" s="40" t="s">
        <v>36</v>
      </c>
      <c r="B247" s="40" t="s">
        <v>312</v>
      </c>
      <c r="C247" s="40">
        <v>291.0</v>
      </c>
      <c r="D247" s="40" t="s">
        <v>931</v>
      </c>
      <c r="E247" s="40" t="s">
        <v>24</v>
      </c>
      <c r="F247" s="197">
        <v>41542.0</v>
      </c>
      <c r="G247" s="197">
        <v>43373.0</v>
      </c>
      <c r="H247" s="197">
        <v>43373.0</v>
      </c>
      <c r="I247" s="197">
        <v>43373.0</v>
      </c>
      <c r="J247" s="196">
        <v>9.99</v>
      </c>
      <c r="K247" s="196">
        <v>9.99</v>
      </c>
      <c r="L247" s="196">
        <v>0.0</v>
      </c>
      <c r="M247" s="40">
        <v>1.0</v>
      </c>
      <c r="N247" s="196">
        <v>9.99</v>
      </c>
    </row>
    <row r="248">
      <c r="A248" s="40" t="s">
        <v>36</v>
      </c>
      <c r="B248" s="40"/>
      <c r="C248" s="40">
        <v>281.0</v>
      </c>
      <c r="D248" s="40" t="s">
        <v>932</v>
      </c>
      <c r="E248" s="40" t="s">
        <v>24</v>
      </c>
      <c r="F248" s="197">
        <v>41593.0</v>
      </c>
      <c r="G248" s="197">
        <v>44203.0</v>
      </c>
      <c r="H248" s="197">
        <v>44220.0</v>
      </c>
      <c r="I248" s="197">
        <v>44222.0</v>
      </c>
      <c r="J248" s="196">
        <v>39.99</v>
      </c>
      <c r="K248" s="196">
        <v>9.99</v>
      </c>
      <c r="L248" s="196">
        <v>30.0</v>
      </c>
      <c r="M248" s="40">
        <v>7.0</v>
      </c>
      <c r="N248" s="196">
        <v>1.43</v>
      </c>
    </row>
    <row r="249">
      <c r="A249" s="40" t="s">
        <v>36</v>
      </c>
      <c r="B249" s="40" t="s">
        <v>315</v>
      </c>
      <c r="C249" s="40">
        <v>329.0</v>
      </c>
      <c r="D249" s="40" t="s">
        <v>933</v>
      </c>
      <c r="E249" s="40" t="s">
        <v>24</v>
      </c>
      <c r="F249" s="197">
        <v>41607.0</v>
      </c>
      <c r="G249" s="197">
        <v>43433.0</v>
      </c>
      <c r="H249" s="197">
        <v>43434.0</v>
      </c>
      <c r="I249" s="197">
        <v>44442.0</v>
      </c>
      <c r="J249" s="196">
        <v>24.99</v>
      </c>
      <c r="K249" s="196">
        <v>6.99</v>
      </c>
      <c r="L249" s="196">
        <v>18.0</v>
      </c>
      <c r="M249" s="40">
        <v>9.0</v>
      </c>
      <c r="N249" s="196">
        <v>0.78</v>
      </c>
    </row>
    <row r="250">
      <c r="A250" s="40" t="s">
        <v>36</v>
      </c>
      <c r="B250" s="40" t="s">
        <v>276</v>
      </c>
      <c r="C250" s="40">
        <v>261.0</v>
      </c>
      <c r="D250" s="40" t="s">
        <v>934</v>
      </c>
      <c r="E250" s="40" t="s">
        <v>24</v>
      </c>
      <c r="F250" s="197">
        <v>41864.0</v>
      </c>
      <c r="G250" s="197">
        <v>42925.0</v>
      </c>
      <c r="H250" s="197">
        <v>42925.0</v>
      </c>
      <c r="I250" s="197">
        <v>42925.0</v>
      </c>
      <c r="J250" s="196">
        <v>12.99</v>
      </c>
      <c r="K250" s="196">
        <v>3.99</v>
      </c>
      <c r="L250" s="196">
        <v>9.0</v>
      </c>
      <c r="M250" s="40">
        <v>1.0</v>
      </c>
      <c r="N250" s="196">
        <v>3.99</v>
      </c>
    </row>
    <row r="251">
      <c r="A251" s="40" t="s">
        <v>36</v>
      </c>
      <c r="B251" s="40" t="s">
        <v>287</v>
      </c>
      <c r="C251" s="40">
        <v>251.0</v>
      </c>
      <c r="D251" s="40" t="s">
        <v>935</v>
      </c>
      <c r="E251" s="40" t="s">
        <v>24</v>
      </c>
      <c r="F251" s="197">
        <v>41968.0</v>
      </c>
      <c r="G251" s="197">
        <v>42887.0</v>
      </c>
      <c r="H251" s="197">
        <v>42904.0</v>
      </c>
      <c r="I251" s="197">
        <v>45426.0</v>
      </c>
      <c r="J251" s="196">
        <v>14.99</v>
      </c>
      <c r="K251" s="196">
        <v>3.99</v>
      </c>
      <c r="L251" s="196">
        <v>11.0</v>
      </c>
      <c r="M251" s="40">
        <v>5.0</v>
      </c>
      <c r="N251" s="196">
        <v>0.8</v>
      </c>
    </row>
    <row r="252">
      <c r="A252" s="40" t="s">
        <v>36</v>
      </c>
      <c r="B252" s="40"/>
      <c r="C252" s="40">
        <v>289.0</v>
      </c>
      <c r="D252" s="40" t="s">
        <v>936</v>
      </c>
      <c r="E252" s="40" t="s">
        <v>24</v>
      </c>
      <c r="F252" s="197">
        <v>41969.0</v>
      </c>
      <c r="G252" s="197">
        <v>43014.0</v>
      </c>
      <c r="H252" s="197">
        <v>43014.0</v>
      </c>
      <c r="I252" s="197">
        <v>43014.0</v>
      </c>
      <c r="J252" s="196">
        <v>49.99</v>
      </c>
      <c r="K252" s="196">
        <v>9.99</v>
      </c>
      <c r="L252" s="196">
        <v>40.0</v>
      </c>
      <c r="M252" s="40">
        <v>1.0</v>
      </c>
      <c r="N252" s="196">
        <v>9.99</v>
      </c>
    </row>
    <row r="253">
      <c r="A253" s="40" t="s">
        <v>36</v>
      </c>
      <c r="B253" s="40"/>
      <c r="C253" s="40">
        <v>371.0</v>
      </c>
      <c r="D253" s="40" t="s">
        <v>937</v>
      </c>
      <c r="E253" s="40" t="s">
        <v>24</v>
      </c>
      <c r="F253" s="197">
        <v>42102.0</v>
      </c>
      <c r="G253" s="197">
        <v>42811.0</v>
      </c>
      <c r="H253" s="197">
        <v>43189.0</v>
      </c>
      <c r="I253" s="197">
        <v>44791.0</v>
      </c>
      <c r="J253" s="196">
        <v>8.49</v>
      </c>
      <c r="K253" s="196">
        <v>2.49</v>
      </c>
      <c r="L253" s="196">
        <v>6.0</v>
      </c>
      <c r="M253" s="40">
        <v>1.0</v>
      </c>
      <c r="N253" s="196">
        <v>2.49</v>
      </c>
    </row>
    <row r="254">
      <c r="A254" s="40" t="s">
        <v>36</v>
      </c>
      <c r="B254" s="40" t="s">
        <v>329</v>
      </c>
      <c r="C254" s="40">
        <v>328.0</v>
      </c>
      <c r="D254" s="40" t="s">
        <v>938</v>
      </c>
      <c r="E254" s="40" t="s">
        <v>24</v>
      </c>
      <c r="F254" s="197">
        <v>42269.0</v>
      </c>
      <c r="G254" s="197">
        <v>42939.0</v>
      </c>
      <c r="H254" s="197">
        <v>42939.0</v>
      </c>
      <c r="I254" s="197">
        <v>42939.0</v>
      </c>
      <c r="J254" s="196">
        <v>9.99</v>
      </c>
      <c r="K254" s="196">
        <v>2.99</v>
      </c>
      <c r="L254" s="196">
        <v>7.0</v>
      </c>
      <c r="M254" s="40">
        <v>1.0</v>
      </c>
      <c r="N254" s="196">
        <v>2.99</v>
      </c>
    </row>
    <row r="255">
      <c r="A255" s="40" t="s">
        <v>36</v>
      </c>
      <c r="B255" s="40"/>
      <c r="C255" s="40">
        <v>493.0</v>
      </c>
      <c r="D255" s="40" t="s">
        <v>939</v>
      </c>
      <c r="E255" s="40" t="s">
        <v>25</v>
      </c>
      <c r="F255" s="197">
        <v>40961.0</v>
      </c>
      <c r="G255" s="197">
        <v>43463.0</v>
      </c>
      <c r="H255" s="197">
        <v>43463.0</v>
      </c>
      <c r="I255" s="197">
        <v>43463.0</v>
      </c>
      <c r="J255" s="196">
        <v>22.49</v>
      </c>
      <c r="K255" s="196">
        <v>4.99</v>
      </c>
      <c r="L255" s="196">
        <v>17.5</v>
      </c>
      <c r="M255" s="40">
        <v>10.0</v>
      </c>
      <c r="N255" s="196">
        <v>0.5</v>
      </c>
    </row>
    <row r="256">
      <c r="A256" s="40" t="s">
        <v>36</v>
      </c>
      <c r="B256" s="40"/>
      <c r="C256" s="40">
        <v>468.0</v>
      </c>
      <c r="D256" s="40" t="s">
        <v>940</v>
      </c>
      <c r="E256" s="40" t="s">
        <v>25</v>
      </c>
      <c r="F256" s="197">
        <v>41194.0</v>
      </c>
      <c r="G256" s="197">
        <v>43373.0</v>
      </c>
      <c r="H256" s="197">
        <v>45041.0</v>
      </c>
      <c r="I256" s="197">
        <v>45043.0</v>
      </c>
      <c r="J256" s="196">
        <v>19.99</v>
      </c>
      <c r="K256" s="196">
        <v>19.99</v>
      </c>
      <c r="L256" s="196">
        <v>0.0</v>
      </c>
      <c r="M256" s="40">
        <v>25.0</v>
      </c>
      <c r="N256" s="196">
        <v>0.8</v>
      </c>
    </row>
    <row r="257">
      <c r="A257" s="40" t="s">
        <v>36</v>
      </c>
      <c r="B257" s="40" t="s">
        <v>264</v>
      </c>
      <c r="C257" s="40">
        <v>459.0</v>
      </c>
      <c r="D257" s="40" t="s">
        <v>941</v>
      </c>
      <c r="E257" s="40" t="s">
        <v>25</v>
      </c>
      <c r="F257" s="197">
        <v>41365.0</v>
      </c>
      <c r="G257" s="197">
        <v>42840.0</v>
      </c>
      <c r="H257" s="197">
        <v>42868.0</v>
      </c>
      <c r="I257" s="197">
        <v>44871.0</v>
      </c>
      <c r="J257" s="196">
        <v>3.59</v>
      </c>
      <c r="K257" s="196">
        <v>3.59</v>
      </c>
      <c r="L257" s="196">
        <v>0.0</v>
      </c>
      <c r="M257" s="40">
        <v>5.0</v>
      </c>
      <c r="N257" s="196">
        <v>0.72</v>
      </c>
    </row>
    <row r="258">
      <c r="A258" s="40" t="s">
        <v>36</v>
      </c>
      <c r="B258" s="40" t="s">
        <v>272</v>
      </c>
      <c r="C258" s="40">
        <v>489.0</v>
      </c>
      <c r="D258" s="40" t="s">
        <v>942</v>
      </c>
      <c r="E258" s="40" t="s">
        <v>25</v>
      </c>
      <c r="F258" s="197">
        <v>41409.0</v>
      </c>
      <c r="G258" s="197">
        <v>42224.0</v>
      </c>
      <c r="H258" s="197">
        <v>42224.0</v>
      </c>
      <c r="I258" s="197">
        <v>44866.0</v>
      </c>
      <c r="J258" s="196">
        <v>7.99</v>
      </c>
      <c r="K258" s="196">
        <v>7.99</v>
      </c>
      <c r="L258" s="196">
        <v>0.0</v>
      </c>
      <c r="M258" s="40">
        <v>5.0</v>
      </c>
      <c r="N258" s="196">
        <v>1.6</v>
      </c>
    </row>
    <row r="259">
      <c r="A259" s="40" t="s">
        <v>36</v>
      </c>
      <c r="B259" s="40" t="s">
        <v>304</v>
      </c>
      <c r="C259" s="40">
        <v>453.0</v>
      </c>
      <c r="D259" s="40" t="s">
        <v>943</v>
      </c>
      <c r="E259" s="40" t="s">
        <v>25</v>
      </c>
      <c r="F259" s="197">
        <v>41661.0</v>
      </c>
      <c r="G259" s="197">
        <v>42791.0</v>
      </c>
      <c r="H259" s="197">
        <v>42791.0</v>
      </c>
      <c r="I259" s="197">
        <v>42791.0</v>
      </c>
      <c r="J259" s="196">
        <v>24.99</v>
      </c>
      <c r="K259" s="196">
        <v>9.99</v>
      </c>
      <c r="L259" s="196">
        <v>15.0</v>
      </c>
      <c r="M259" s="40">
        <v>1.0</v>
      </c>
      <c r="N259" s="196">
        <v>9.99</v>
      </c>
    </row>
    <row r="260">
      <c r="A260" s="40" t="s">
        <v>36</v>
      </c>
      <c r="B260" s="40"/>
      <c r="C260" s="40">
        <v>475.0</v>
      </c>
      <c r="D260" s="40" t="s">
        <v>944</v>
      </c>
      <c r="E260" s="40" t="s">
        <v>25</v>
      </c>
      <c r="F260" s="197">
        <v>41675.0</v>
      </c>
      <c r="G260" s="197">
        <v>43373.0</v>
      </c>
      <c r="H260" s="197">
        <v>43423.0</v>
      </c>
      <c r="I260" s="197">
        <v>44948.0</v>
      </c>
      <c r="J260" s="196">
        <v>4.99</v>
      </c>
      <c r="K260" s="196">
        <v>4.99</v>
      </c>
      <c r="L260" s="196">
        <v>0.0</v>
      </c>
      <c r="M260" s="40">
        <v>5.0</v>
      </c>
      <c r="N260" s="196">
        <v>1.0</v>
      </c>
    </row>
    <row r="261">
      <c r="A261" s="40" t="s">
        <v>36</v>
      </c>
      <c r="B261" s="40" t="s">
        <v>285</v>
      </c>
      <c r="C261" s="40">
        <v>484.0</v>
      </c>
      <c r="D261" s="40" t="s">
        <v>945</v>
      </c>
      <c r="E261" s="40" t="s">
        <v>25</v>
      </c>
      <c r="F261" s="197">
        <v>41682.0</v>
      </c>
      <c r="G261" s="197">
        <v>42363.0</v>
      </c>
      <c r="H261" s="197">
        <v>42363.0</v>
      </c>
      <c r="I261" s="197">
        <v>42363.0</v>
      </c>
      <c r="J261" s="196">
        <v>6.99</v>
      </c>
      <c r="K261" s="196">
        <v>6.99</v>
      </c>
      <c r="L261" s="196">
        <v>0.0</v>
      </c>
      <c r="M261" s="40">
        <v>1.0</v>
      </c>
      <c r="N261" s="196">
        <v>6.99</v>
      </c>
    </row>
    <row r="262">
      <c r="A262" s="40" t="s">
        <v>36</v>
      </c>
      <c r="B262" s="40" t="s">
        <v>44</v>
      </c>
      <c r="C262" s="40">
        <v>440.0</v>
      </c>
      <c r="D262" s="40" t="s">
        <v>64</v>
      </c>
      <c r="E262" s="40" t="s">
        <v>25</v>
      </c>
      <c r="F262" s="197">
        <v>41740.0</v>
      </c>
      <c r="G262" s="197">
        <v>41791.0</v>
      </c>
      <c r="H262" s="197">
        <v>41791.0</v>
      </c>
      <c r="I262" s="197">
        <v>41791.0</v>
      </c>
      <c r="J262" s="196">
        <v>39.99</v>
      </c>
      <c r="K262" s="196">
        <v>39.99</v>
      </c>
      <c r="L262" s="196">
        <v>0.0</v>
      </c>
      <c r="M262" s="40">
        <v>1.0</v>
      </c>
      <c r="N262" s="196">
        <v>39.99</v>
      </c>
    </row>
    <row r="263">
      <c r="A263" s="40" t="s">
        <v>36</v>
      </c>
      <c r="B263" s="40" t="s">
        <v>308</v>
      </c>
      <c r="C263" s="40">
        <v>457.0</v>
      </c>
      <c r="D263" s="40" t="s">
        <v>946</v>
      </c>
      <c r="E263" s="40" t="s">
        <v>25</v>
      </c>
      <c r="F263" s="197">
        <v>41796.0</v>
      </c>
      <c r="G263" s="197">
        <v>42218.0</v>
      </c>
      <c r="H263" s="197">
        <v>42235.0</v>
      </c>
      <c r="I263" s="197">
        <v>44960.0</v>
      </c>
      <c r="J263" s="196">
        <v>24.99</v>
      </c>
      <c r="K263" s="196">
        <v>9.99</v>
      </c>
      <c r="L263" s="196">
        <v>15.0</v>
      </c>
      <c r="M263" s="40">
        <v>25.0</v>
      </c>
      <c r="N263" s="196">
        <v>0.4</v>
      </c>
    </row>
    <row r="264">
      <c r="A264" s="40" t="s">
        <v>36</v>
      </c>
      <c r="B264" s="40" t="s">
        <v>278</v>
      </c>
      <c r="C264" s="40">
        <v>465.0</v>
      </c>
      <c r="D264" s="40" t="s">
        <v>947</v>
      </c>
      <c r="E264" s="40" t="s">
        <v>25</v>
      </c>
      <c r="F264" s="197">
        <v>41829.0</v>
      </c>
      <c r="G264" s="197">
        <v>42832.0</v>
      </c>
      <c r="H264" s="197">
        <v>42832.0</v>
      </c>
      <c r="I264" s="197">
        <v>43574.0</v>
      </c>
      <c r="J264" s="196">
        <v>3.99</v>
      </c>
      <c r="K264" s="196">
        <v>3.99</v>
      </c>
      <c r="L264" s="196">
        <v>0.0</v>
      </c>
      <c r="M264" s="40">
        <v>2.0</v>
      </c>
      <c r="N264" s="196">
        <v>2.0</v>
      </c>
    </row>
    <row r="265">
      <c r="A265" s="40" t="s">
        <v>36</v>
      </c>
      <c r="B265" s="40" t="s">
        <v>294</v>
      </c>
      <c r="C265" s="40">
        <v>479.0</v>
      </c>
      <c r="D265" s="40" t="s">
        <v>948</v>
      </c>
      <c r="E265" s="40" t="s">
        <v>25</v>
      </c>
      <c r="F265" s="197">
        <v>41856.0</v>
      </c>
      <c r="G265" s="197">
        <v>43749.0</v>
      </c>
      <c r="H265" s="197">
        <v>43749.0</v>
      </c>
      <c r="I265" s="197">
        <v>45007.0</v>
      </c>
      <c r="J265" s="196">
        <v>2.99</v>
      </c>
      <c r="K265" s="196">
        <v>2.99</v>
      </c>
      <c r="L265" s="196">
        <v>0.0</v>
      </c>
      <c r="M265" s="40">
        <v>25.0</v>
      </c>
      <c r="N265" s="196">
        <v>0.12</v>
      </c>
    </row>
    <row r="266">
      <c r="A266" s="40" t="s">
        <v>36</v>
      </c>
      <c r="B266" s="40"/>
      <c r="C266" s="40">
        <v>490.0</v>
      </c>
      <c r="D266" s="40" t="s">
        <v>949</v>
      </c>
      <c r="E266" s="40" t="s">
        <v>25</v>
      </c>
      <c r="F266" s="197">
        <v>41885.0</v>
      </c>
      <c r="G266" s="197">
        <v>42326.0</v>
      </c>
      <c r="H266" s="197">
        <v>42326.0</v>
      </c>
      <c r="I266" s="197">
        <v>42326.0</v>
      </c>
      <c r="J266" s="196">
        <v>15.99</v>
      </c>
      <c r="K266" s="196">
        <v>6.4</v>
      </c>
      <c r="L266" s="196">
        <v>9.59</v>
      </c>
      <c r="M266" s="40">
        <v>5.0</v>
      </c>
      <c r="N266" s="196">
        <v>1.28</v>
      </c>
    </row>
    <row r="267">
      <c r="A267" s="40" t="s">
        <v>36</v>
      </c>
      <c r="B267" s="40" t="s">
        <v>319</v>
      </c>
      <c r="C267" s="40">
        <v>462.0</v>
      </c>
      <c r="D267" s="40" t="s">
        <v>950</v>
      </c>
      <c r="E267" s="40" t="s">
        <v>25</v>
      </c>
      <c r="F267" s="197">
        <v>41982.0</v>
      </c>
      <c r="G267" s="197">
        <v>42832.0</v>
      </c>
      <c r="H267" s="197">
        <v>42832.0</v>
      </c>
      <c r="I267" s="197">
        <v>44186.0</v>
      </c>
      <c r="J267" s="196">
        <v>5.49</v>
      </c>
      <c r="K267" s="196">
        <v>5.49</v>
      </c>
      <c r="L267" s="196">
        <v>0.0</v>
      </c>
      <c r="M267" s="40">
        <v>4.0</v>
      </c>
      <c r="N267" s="196">
        <v>1.37</v>
      </c>
    </row>
    <row r="268">
      <c r="A268" s="40" t="s">
        <v>36</v>
      </c>
      <c r="B268" s="40" t="s">
        <v>250</v>
      </c>
      <c r="C268" s="40">
        <v>476.0</v>
      </c>
      <c r="D268" s="40" t="s">
        <v>951</v>
      </c>
      <c r="E268" s="40" t="s">
        <v>25</v>
      </c>
      <c r="F268" s="197">
        <v>41990.0</v>
      </c>
      <c r="G268" s="197">
        <v>42363.0</v>
      </c>
      <c r="H268" s="197">
        <v>42363.0</v>
      </c>
      <c r="I268" s="197">
        <v>42363.0</v>
      </c>
      <c r="J268" s="196">
        <v>10.99</v>
      </c>
      <c r="K268" s="196">
        <v>3.99</v>
      </c>
      <c r="L268" s="196">
        <v>7.0</v>
      </c>
      <c r="M268" s="40">
        <v>1.0</v>
      </c>
      <c r="N268" s="196">
        <v>3.99</v>
      </c>
    </row>
    <row r="269">
      <c r="A269" s="40" t="s">
        <v>36</v>
      </c>
      <c r="B269" s="40" t="s">
        <v>299</v>
      </c>
      <c r="C269" s="40">
        <v>449.0</v>
      </c>
      <c r="D269" s="40" t="s">
        <v>952</v>
      </c>
      <c r="E269" s="40" t="s">
        <v>25</v>
      </c>
      <c r="F269" s="197">
        <v>42045.0</v>
      </c>
      <c r="G269" s="197">
        <v>42832.0</v>
      </c>
      <c r="H269" s="197">
        <v>42832.0</v>
      </c>
      <c r="I269" s="197">
        <v>45025.0</v>
      </c>
      <c r="J269" s="196">
        <v>4.49</v>
      </c>
      <c r="K269" s="196">
        <v>3.49</v>
      </c>
      <c r="L269" s="196">
        <v>1.0</v>
      </c>
      <c r="M269" s="40">
        <v>2.0</v>
      </c>
      <c r="N269" s="196">
        <v>1.75</v>
      </c>
    </row>
    <row r="270">
      <c r="A270" s="40" t="s">
        <v>36</v>
      </c>
      <c r="B270" s="40"/>
      <c r="C270" s="40">
        <v>454.0</v>
      </c>
      <c r="D270" s="40" t="s">
        <v>953</v>
      </c>
      <c r="E270" s="40" t="s">
        <v>25</v>
      </c>
      <c r="F270" s="197">
        <v>42067.0</v>
      </c>
      <c r="G270" s="197">
        <v>42791.0</v>
      </c>
      <c r="H270" s="197">
        <v>42791.0</v>
      </c>
      <c r="I270" s="197">
        <v>42791.0</v>
      </c>
      <c r="J270" s="196">
        <v>12.99</v>
      </c>
      <c r="K270" s="196">
        <v>6.49</v>
      </c>
      <c r="L270" s="196">
        <v>6.5</v>
      </c>
      <c r="M270" s="40">
        <v>1.0</v>
      </c>
      <c r="N270" s="196">
        <v>6.49</v>
      </c>
    </row>
    <row r="271">
      <c r="A271" s="40" t="s">
        <v>36</v>
      </c>
      <c r="B271" s="40" t="s">
        <v>283</v>
      </c>
      <c r="C271" s="40">
        <v>439.0</v>
      </c>
      <c r="D271" s="40" t="s">
        <v>954</v>
      </c>
      <c r="E271" s="40" t="s">
        <v>25</v>
      </c>
      <c r="F271" s="197">
        <v>42074.0</v>
      </c>
      <c r="G271" s="197">
        <v>43373.0</v>
      </c>
      <c r="H271" s="197">
        <v>43373.0</v>
      </c>
      <c r="I271" s="197">
        <v>43373.0</v>
      </c>
      <c r="J271" s="196">
        <v>9.99</v>
      </c>
      <c r="K271" s="196">
        <v>9.99</v>
      </c>
      <c r="L271" s="196">
        <v>0.0</v>
      </c>
      <c r="M271" s="40">
        <v>1.0</v>
      </c>
      <c r="N271" s="196">
        <v>9.99</v>
      </c>
    </row>
    <row r="272">
      <c r="A272" s="40" t="s">
        <v>36</v>
      </c>
      <c r="B272" s="40" t="s">
        <v>289</v>
      </c>
      <c r="C272" s="40">
        <v>447.0</v>
      </c>
      <c r="D272" s="40" t="s">
        <v>955</v>
      </c>
      <c r="E272" s="40" t="s">
        <v>25</v>
      </c>
      <c r="F272" s="197">
        <v>42207.0</v>
      </c>
      <c r="G272" s="197">
        <v>42875.0</v>
      </c>
      <c r="H272" s="197">
        <v>42875.0</v>
      </c>
      <c r="I272" s="197">
        <v>42875.0</v>
      </c>
      <c r="J272" s="196">
        <v>9.99</v>
      </c>
      <c r="K272" s="196">
        <v>2.99</v>
      </c>
      <c r="L272" s="196">
        <v>7.0</v>
      </c>
      <c r="M272" s="40">
        <v>1.0</v>
      </c>
      <c r="N272" s="196">
        <v>2.99</v>
      </c>
    </row>
    <row r="273">
      <c r="A273" s="40" t="s">
        <v>36</v>
      </c>
      <c r="B273" s="40" t="s">
        <v>284</v>
      </c>
      <c r="C273" s="40">
        <v>456.0</v>
      </c>
      <c r="D273" s="40" t="s">
        <v>956</v>
      </c>
      <c r="E273" s="40" t="s">
        <v>25</v>
      </c>
      <c r="F273" s="197">
        <v>43214.0</v>
      </c>
      <c r="G273" s="197">
        <v>43414.0</v>
      </c>
      <c r="H273" s="197">
        <v>43427.0</v>
      </c>
      <c r="I273" s="197">
        <v>44952.0</v>
      </c>
      <c r="J273" s="196">
        <v>7.99</v>
      </c>
      <c r="K273" s="196">
        <v>3.99</v>
      </c>
      <c r="L273" s="196">
        <v>4.0</v>
      </c>
      <c r="M273" s="40">
        <v>15.0</v>
      </c>
      <c r="N273" s="196">
        <v>0.27</v>
      </c>
    </row>
    <row r="274">
      <c r="A274" s="40" t="s">
        <v>36</v>
      </c>
      <c r="B274" s="40"/>
      <c r="C274" s="40">
        <v>969.0</v>
      </c>
      <c r="D274" s="40" t="s">
        <v>957</v>
      </c>
      <c r="E274" s="40" t="s">
        <v>26</v>
      </c>
      <c r="F274" s="197">
        <v>41789.0</v>
      </c>
      <c r="G274" s="197">
        <v>42969.0</v>
      </c>
      <c r="H274" s="197">
        <v>42970.0</v>
      </c>
      <c r="I274" s="197">
        <v>43089.0</v>
      </c>
      <c r="J274" s="196">
        <v>17.49</v>
      </c>
      <c r="K274" s="196">
        <v>8.99</v>
      </c>
      <c r="L274" s="196">
        <v>8.5</v>
      </c>
      <c r="M274" s="40">
        <v>1.0</v>
      </c>
      <c r="N274" s="196">
        <v>8.99</v>
      </c>
    </row>
    <row r="275">
      <c r="A275" s="40" t="s">
        <v>36</v>
      </c>
      <c r="B275" s="40"/>
      <c r="C275" s="40">
        <v>776.0</v>
      </c>
      <c r="D275" s="40" t="s">
        <v>958</v>
      </c>
      <c r="E275" s="40" t="s">
        <v>26</v>
      </c>
      <c r="F275" s="197">
        <v>41843.0</v>
      </c>
      <c r="G275" s="197">
        <v>42123.0</v>
      </c>
      <c r="H275" s="197">
        <v>42123.0</v>
      </c>
      <c r="I275" s="197">
        <v>44140.0</v>
      </c>
      <c r="J275" s="196">
        <v>23.58</v>
      </c>
      <c r="K275" s="196">
        <v>20.98</v>
      </c>
      <c r="L275" s="196">
        <v>2.6</v>
      </c>
      <c r="M275" s="40">
        <v>58.0</v>
      </c>
      <c r="N275" s="196">
        <v>0.36</v>
      </c>
    </row>
    <row r="276">
      <c r="A276" s="40" t="s">
        <v>36</v>
      </c>
      <c r="B276" s="40" t="s">
        <v>253</v>
      </c>
      <c r="C276" s="40">
        <v>877.0</v>
      </c>
      <c r="D276" s="40" t="s">
        <v>959</v>
      </c>
      <c r="E276" s="40" t="s">
        <v>26</v>
      </c>
      <c r="F276" s="197">
        <v>41864.0</v>
      </c>
      <c r="G276" s="197">
        <v>43804.0</v>
      </c>
      <c r="H276" s="197">
        <v>43809.0</v>
      </c>
      <c r="I276" s="197">
        <v>43809.0</v>
      </c>
      <c r="J276" s="196">
        <v>30.98</v>
      </c>
      <c r="K276" s="196">
        <v>24.98</v>
      </c>
      <c r="L276" s="196">
        <v>6.0</v>
      </c>
      <c r="M276" s="40">
        <v>5.0</v>
      </c>
      <c r="N276" s="196">
        <v>5.0</v>
      </c>
    </row>
    <row r="277">
      <c r="A277" s="40" t="s">
        <v>36</v>
      </c>
      <c r="B277" s="40"/>
      <c r="C277" s="40">
        <v>634.0</v>
      </c>
      <c r="D277" s="40" t="s">
        <v>960</v>
      </c>
      <c r="E277" s="40" t="s">
        <v>26</v>
      </c>
      <c r="F277" s="197">
        <v>41901.0</v>
      </c>
      <c r="G277" s="197">
        <v>42811.0</v>
      </c>
      <c r="H277" s="197">
        <v>42811.0</v>
      </c>
      <c r="I277" s="197">
        <v>42811.0</v>
      </c>
      <c r="J277" s="196">
        <v>24.99</v>
      </c>
      <c r="K277" s="196">
        <v>4.99</v>
      </c>
      <c r="L277" s="196">
        <v>20.0</v>
      </c>
      <c r="M277" s="40">
        <v>1.0</v>
      </c>
      <c r="N277" s="196">
        <v>4.99</v>
      </c>
    </row>
    <row r="278">
      <c r="A278" s="40" t="s">
        <v>36</v>
      </c>
      <c r="B278" s="40" t="s">
        <v>290</v>
      </c>
      <c r="C278" s="40">
        <v>696.0</v>
      </c>
      <c r="D278" s="40" t="s">
        <v>961</v>
      </c>
      <c r="E278" s="40" t="s">
        <v>26</v>
      </c>
      <c r="F278" s="197">
        <v>42116.0</v>
      </c>
      <c r="G278" s="197">
        <v>42811.0</v>
      </c>
      <c r="H278" s="197">
        <v>45623.0</v>
      </c>
      <c r="I278" s="197">
        <v>45624.0</v>
      </c>
      <c r="J278" s="196">
        <v>13.99</v>
      </c>
      <c r="K278" s="196">
        <v>2.99</v>
      </c>
      <c r="L278" s="196">
        <v>11.0</v>
      </c>
      <c r="M278" s="40">
        <v>6.0</v>
      </c>
      <c r="N278" s="196">
        <v>0.5</v>
      </c>
    </row>
    <row r="279">
      <c r="A279" s="40" t="s">
        <v>36</v>
      </c>
      <c r="B279" s="40" t="s">
        <v>291</v>
      </c>
      <c r="C279" s="40">
        <v>912.0</v>
      </c>
      <c r="D279" s="40" t="s">
        <v>962</v>
      </c>
      <c r="E279" s="40" t="s">
        <v>26</v>
      </c>
      <c r="F279" s="197">
        <v>42153.0</v>
      </c>
      <c r="G279" s="197">
        <v>42754.0</v>
      </c>
      <c r="H279" s="197">
        <v>43080.0</v>
      </c>
      <c r="I279" s="197">
        <v>45172.0</v>
      </c>
      <c r="J279" s="196">
        <v>17.99</v>
      </c>
      <c r="K279" s="196">
        <v>6.99</v>
      </c>
      <c r="L279" s="196">
        <v>11.0</v>
      </c>
      <c r="M279" s="40">
        <v>9.0</v>
      </c>
      <c r="N279" s="196">
        <v>0.78</v>
      </c>
    </row>
    <row r="280">
      <c r="A280" s="40" t="s">
        <v>36</v>
      </c>
      <c r="B280" s="40"/>
      <c r="C280" s="40">
        <v>523.0</v>
      </c>
      <c r="D280" s="40" t="s">
        <v>963</v>
      </c>
      <c r="E280" s="40" t="s">
        <v>26</v>
      </c>
      <c r="F280" s="197">
        <v>42178.0</v>
      </c>
      <c r="G280" s="197">
        <v>43922.0</v>
      </c>
      <c r="H280" s="197">
        <v>43922.0</v>
      </c>
      <c r="I280" s="197">
        <v>43922.0</v>
      </c>
      <c r="J280" s="196">
        <v>19.99</v>
      </c>
      <c r="K280" s="196">
        <v>7.99</v>
      </c>
      <c r="L280" s="196">
        <v>12.0</v>
      </c>
      <c r="M280" s="40">
        <v>1.0</v>
      </c>
      <c r="N280" s="196">
        <v>7.99</v>
      </c>
    </row>
    <row r="281">
      <c r="A281" s="40" t="s">
        <v>36</v>
      </c>
      <c r="B281" s="40"/>
      <c r="C281" s="40">
        <v>958.0</v>
      </c>
      <c r="D281" s="40" t="s">
        <v>964</v>
      </c>
      <c r="E281" s="40" t="s">
        <v>26</v>
      </c>
      <c r="F281" s="197">
        <v>42234.0</v>
      </c>
      <c r="G281" s="197">
        <v>42950.0</v>
      </c>
      <c r="H281" s="197">
        <v>43082.0</v>
      </c>
      <c r="I281" s="197">
        <v>44957.0</v>
      </c>
      <c r="J281" s="196">
        <v>17.99</v>
      </c>
      <c r="K281" s="196">
        <v>4.99</v>
      </c>
      <c r="L281" s="196">
        <v>13.0</v>
      </c>
      <c r="M281" s="40">
        <v>5.0</v>
      </c>
      <c r="N281" s="196">
        <v>1.0</v>
      </c>
    </row>
    <row r="282">
      <c r="A282" s="40" t="s">
        <v>36</v>
      </c>
      <c r="B282" s="40"/>
      <c r="C282" s="40">
        <v>671.0</v>
      </c>
      <c r="D282" s="40" t="s">
        <v>965</v>
      </c>
      <c r="E282" s="40" t="s">
        <v>26</v>
      </c>
      <c r="F282" s="197">
        <v>42241.0</v>
      </c>
      <c r="G282" s="197">
        <v>44640.0</v>
      </c>
      <c r="H282" s="197">
        <v>44837.0</v>
      </c>
      <c r="I282" s="197">
        <v>44837.0</v>
      </c>
      <c r="J282" s="196">
        <v>12.99</v>
      </c>
      <c r="K282" s="196">
        <v>2.59</v>
      </c>
      <c r="L282" s="196">
        <v>10.4</v>
      </c>
      <c r="M282" s="40">
        <v>1.0</v>
      </c>
      <c r="N282" s="196">
        <v>2.59</v>
      </c>
    </row>
    <row r="283">
      <c r="A283" s="40" t="s">
        <v>36</v>
      </c>
      <c r="B283" s="40" t="s">
        <v>313</v>
      </c>
      <c r="C283" s="40">
        <v>955.0</v>
      </c>
      <c r="D283" s="40" t="s">
        <v>966</v>
      </c>
      <c r="E283" s="40" t="s">
        <v>26</v>
      </c>
      <c r="F283" s="197">
        <v>42242.0</v>
      </c>
      <c r="G283" s="197">
        <v>42273.0</v>
      </c>
      <c r="H283" s="197">
        <v>42273.0</v>
      </c>
      <c r="I283" s="197">
        <v>44479.0</v>
      </c>
      <c r="J283" s="196">
        <v>59.99</v>
      </c>
      <c r="K283" s="196">
        <v>34.99</v>
      </c>
      <c r="L283" s="196">
        <v>25.0</v>
      </c>
      <c r="M283" s="40">
        <v>70.0</v>
      </c>
      <c r="N283" s="196">
        <v>0.5</v>
      </c>
    </row>
    <row r="284">
      <c r="A284" s="40" t="s">
        <v>36</v>
      </c>
      <c r="B284" s="40"/>
      <c r="C284" s="40">
        <v>883.0</v>
      </c>
      <c r="D284" s="40" t="s">
        <v>967</v>
      </c>
      <c r="E284" s="40" t="s">
        <v>26</v>
      </c>
      <c r="F284" s="197">
        <v>42256.0</v>
      </c>
      <c r="G284" s="197">
        <v>42954.0</v>
      </c>
      <c r="H284" s="197">
        <v>42954.0</v>
      </c>
      <c r="I284" s="197">
        <v>42954.0</v>
      </c>
      <c r="J284" s="196">
        <v>19.99</v>
      </c>
      <c r="K284" s="196">
        <v>11.99</v>
      </c>
      <c r="L284" s="196">
        <v>8.0</v>
      </c>
      <c r="M284" s="40">
        <v>1.0</v>
      </c>
      <c r="N284" s="196">
        <v>11.99</v>
      </c>
    </row>
    <row r="285">
      <c r="A285" s="40" t="s">
        <v>36</v>
      </c>
      <c r="B285" s="40" t="s">
        <v>282</v>
      </c>
      <c r="C285" s="40">
        <v>664.0</v>
      </c>
      <c r="D285" s="40" t="s">
        <v>968</v>
      </c>
      <c r="E285" s="40" t="s">
        <v>26</v>
      </c>
      <c r="F285" s="197">
        <v>42263.0</v>
      </c>
      <c r="G285" s="197">
        <v>42859.0</v>
      </c>
      <c r="H285" s="197">
        <v>43060.0</v>
      </c>
      <c r="I285" s="197">
        <v>45425.0</v>
      </c>
      <c r="J285" s="196">
        <v>6.99</v>
      </c>
      <c r="K285" s="196">
        <v>1.99</v>
      </c>
      <c r="L285" s="196">
        <v>5.0</v>
      </c>
      <c r="M285" s="40">
        <v>1.0</v>
      </c>
      <c r="N285" s="196">
        <v>1.99</v>
      </c>
    </row>
    <row r="286">
      <c r="A286" s="40" t="s">
        <v>36</v>
      </c>
      <c r="B286" s="40" t="s">
        <v>321</v>
      </c>
      <c r="C286" s="40">
        <v>546.0</v>
      </c>
      <c r="D286" s="40" t="s">
        <v>969</v>
      </c>
      <c r="E286" s="40" t="s">
        <v>26</v>
      </c>
      <c r="F286" s="197">
        <v>42320.0</v>
      </c>
      <c r="G286" s="197">
        <v>42939.0</v>
      </c>
      <c r="H286" s="197">
        <v>42939.0</v>
      </c>
      <c r="I286" s="197">
        <v>42939.0</v>
      </c>
      <c r="J286" s="196">
        <v>9.99</v>
      </c>
      <c r="K286" s="196">
        <v>2.99</v>
      </c>
      <c r="L286" s="196">
        <v>7.0</v>
      </c>
      <c r="M286" s="40">
        <v>1.0</v>
      </c>
      <c r="N286" s="196">
        <v>2.99</v>
      </c>
    </row>
    <row r="287">
      <c r="A287" s="40" t="s">
        <v>36</v>
      </c>
      <c r="B287" s="40" t="s">
        <v>267</v>
      </c>
      <c r="C287" s="40">
        <v>499.0</v>
      </c>
      <c r="D287" s="40" t="s">
        <v>970</v>
      </c>
      <c r="E287" s="40" t="s">
        <v>26</v>
      </c>
      <c r="F287" s="197">
        <v>42451.0</v>
      </c>
      <c r="G287" s="197">
        <v>42932.0</v>
      </c>
      <c r="H287" s="197">
        <v>42932.0</v>
      </c>
      <c r="I287" s="197">
        <v>42932.0</v>
      </c>
      <c r="J287" s="196">
        <v>9.99</v>
      </c>
      <c r="K287" s="196">
        <v>4.99</v>
      </c>
      <c r="L287" s="196">
        <v>5.0</v>
      </c>
      <c r="M287" s="40">
        <v>1.0</v>
      </c>
      <c r="N287" s="196">
        <v>4.99</v>
      </c>
    </row>
    <row r="288">
      <c r="A288" s="40" t="s">
        <v>36</v>
      </c>
      <c r="B288" s="40"/>
      <c r="C288" s="40">
        <v>878.0</v>
      </c>
      <c r="D288" s="40" t="s">
        <v>971</v>
      </c>
      <c r="E288" s="40" t="s">
        <v>26</v>
      </c>
      <c r="F288" s="197">
        <v>42493.0</v>
      </c>
      <c r="G288" s="197">
        <v>43749.0</v>
      </c>
      <c r="H288" s="197">
        <v>44035.0</v>
      </c>
      <c r="I288" s="197">
        <v>44037.0</v>
      </c>
      <c r="J288" s="196">
        <v>12.98</v>
      </c>
      <c r="K288" s="196">
        <v>12.98</v>
      </c>
      <c r="L288" s="196">
        <v>0.0</v>
      </c>
      <c r="M288" s="40">
        <v>14.0</v>
      </c>
      <c r="N288" s="196">
        <v>0.93</v>
      </c>
    </row>
    <row r="289">
      <c r="A289" s="40" t="s">
        <v>36</v>
      </c>
      <c r="B289" s="40" t="s">
        <v>318</v>
      </c>
      <c r="C289" s="40">
        <v>566.0</v>
      </c>
      <c r="D289" s="40" t="s">
        <v>972</v>
      </c>
      <c r="E289" s="40" t="s">
        <v>26</v>
      </c>
      <c r="F289" s="197">
        <v>42524.0</v>
      </c>
      <c r="G289" s="197">
        <v>43519.0</v>
      </c>
      <c r="H289" s="197">
        <v>43526.0</v>
      </c>
      <c r="I289" s="197">
        <v>43526.0</v>
      </c>
      <c r="J289" s="196">
        <v>7.99</v>
      </c>
      <c r="K289" s="196">
        <v>2.99</v>
      </c>
      <c r="L289" s="196">
        <v>5.0</v>
      </c>
      <c r="M289" s="40">
        <v>1.0</v>
      </c>
      <c r="N289" s="196">
        <v>2.99</v>
      </c>
    </row>
    <row r="290">
      <c r="A290" s="40" t="s">
        <v>36</v>
      </c>
      <c r="B290" s="40" t="s">
        <v>273</v>
      </c>
      <c r="C290" s="40">
        <v>782.0</v>
      </c>
      <c r="D290" s="40" t="s">
        <v>973</v>
      </c>
      <c r="E290" s="40" t="s">
        <v>26</v>
      </c>
      <c r="F290" s="197">
        <v>42584.0</v>
      </c>
      <c r="G290" s="197">
        <v>42859.0</v>
      </c>
      <c r="H290" s="197">
        <v>42862.0</v>
      </c>
      <c r="I290" s="197">
        <v>44345.0</v>
      </c>
      <c r="J290" s="196">
        <v>64.22</v>
      </c>
      <c r="K290" s="196">
        <v>47.43</v>
      </c>
      <c r="L290" s="196">
        <v>16.79</v>
      </c>
      <c r="M290" s="40">
        <v>7.0</v>
      </c>
      <c r="N290" s="196">
        <v>6.78</v>
      </c>
    </row>
    <row r="291">
      <c r="A291" s="40" t="s">
        <v>36</v>
      </c>
      <c r="B291" s="40"/>
      <c r="C291" s="40">
        <v>772.0</v>
      </c>
      <c r="D291" s="40" t="s">
        <v>974</v>
      </c>
      <c r="E291" s="40" t="s">
        <v>26</v>
      </c>
      <c r="F291" s="197">
        <v>42592.0</v>
      </c>
      <c r="G291" s="197">
        <v>44349.0</v>
      </c>
      <c r="H291" s="197">
        <v>44350.0</v>
      </c>
      <c r="I291" s="197">
        <v>44350.0</v>
      </c>
      <c r="J291" s="196">
        <v>49.99</v>
      </c>
      <c r="K291" s="196">
        <v>24.99</v>
      </c>
      <c r="L291" s="196">
        <v>25.0</v>
      </c>
      <c r="M291" s="40">
        <v>5.0</v>
      </c>
      <c r="N291" s="196">
        <v>5.0</v>
      </c>
    </row>
    <row r="292">
      <c r="A292" s="40" t="s">
        <v>36</v>
      </c>
      <c r="B292" s="40"/>
      <c r="C292" s="40">
        <v>970.0</v>
      </c>
      <c r="D292" s="40" t="s">
        <v>975</v>
      </c>
      <c r="E292" s="40" t="s">
        <v>26</v>
      </c>
      <c r="F292" s="197">
        <v>42605.0</v>
      </c>
      <c r="G292" s="197">
        <v>42969.0</v>
      </c>
      <c r="H292" s="197">
        <v>42969.0</v>
      </c>
      <c r="I292" s="197">
        <v>42969.0</v>
      </c>
      <c r="J292" s="196">
        <v>17.49</v>
      </c>
      <c r="K292" s="196">
        <v>8.99</v>
      </c>
      <c r="L292" s="196">
        <v>8.5</v>
      </c>
      <c r="M292" s="40">
        <v>1.0</v>
      </c>
      <c r="N292" s="196">
        <v>8.99</v>
      </c>
    </row>
    <row r="293">
      <c r="A293" s="40" t="s">
        <v>36</v>
      </c>
      <c r="B293" s="40" t="s">
        <v>265</v>
      </c>
      <c r="C293" s="40">
        <v>669.0</v>
      </c>
      <c r="D293" s="40" t="s">
        <v>976</v>
      </c>
      <c r="E293" s="40" t="s">
        <v>26</v>
      </c>
      <c r="F293" s="197">
        <v>42612.0</v>
      </c>
      <c r="G293" s="197">
        <v>42811.0</v>
      </c>
      <c r="H293" s="197">
        <v>42822.0</v>
      </c>
      <c r="I293" s="197">
        <v>42824.0</v>
      </c>
      <c r="J293" s="196">
        <v>14.99</v>
      </c>
      <c r="K293" s="196">
        <v>4.99</v>
      </c>
      <c r="L293" s="196">
        <v>10.0</v>
      </c>
      <c r="M293" s="40">
        <v>10.0</v>
      </c>
      <c r="N293" s="196">
        <v>0.5</v>
      </c>
    </row>
    <row r="294">
      <c r="A294" s="40" t="s">
        <v>36</v>
      </c>
      <c r="B294" s="40" t="s">
        <v>296</v>
      </c>
      <c r="C294" s="40">
        <v>951.0</v>
      </c>
      <c r="D294" s="40" t="s">
        <v>977</v>
      </c>
      <c r="E294" s="40" t="s">
        <v>26</v>
      </c>
      <c r="F294" s="197">
        <v>42618.0</v>
      </c>
      <c r="G294" s="197">
        <v>44708.0</v>
      </c>
      <c r="H294" s="197">
        <v>44713.0</v>
      </c>
      <c r="I294" s="197">
        <v>44719.0</v>
      </c>
      <c r="J294" s="196">
        <v>24.99</v>
      </c>
      <c r="K294" s="196">
        <v>4.99</v>
      </c>
      <c r="L294" s="196">
        <v>20.0</v>
      </c>
      <c r="M294" s="40">
        <v>2.0</v>
      </c>
      <c r="N294" s="196">
        <v>2.5</v>
      </c>
    </row>
    <row r="295">
      <c r="A295" s="40" t="s">
        <v>36</v>
      </c>
      <c r="B295" s="40" t="s">
        <v>305</v>
      </c>
      <c r="C295" s="40">
        <v>901.0</v>
      </c>
      <c r="D295" s="40" t="s">
        <v>978</v>
      </c>
      <c r="E295" s="40" t="s">
        <v>26</v>
      </c>
      <c r="F295" s="197">
        <v>42668.0</v>
      </c>
      <c r="G295" s="197">
        <v>42710.0</v>
      </c>
      <c r="H295" s="197">
        <v>42710.0</v>
      </c>
      <c r="I295" s="197">
        <v>42710.0</v>
      </c>
      <c r="J295" s="196">
        <v>28.49</v>
      </c>
      <c r="K295" s="196">
        <v>28.49</v>
      </c>
      <c r="L295" s="196">
        <v>0.0</v>
      </c>
      <c r="M295" s="40">
        <v>1.0</v>
      </c>
      <c r="N295" s="196">
        <v>28.49</v>
      </c>
    </row>
    <row r="296">
      <c r="A296" s="40" t="s">
        <v>36</v>
      </c>
      <c r="B296" s="40" t="s">
        <v>317</v>
      </c>
      <c r="C296" s="40">
        <v>508.0</v>
      </c>
      <c r="D296" s="40" t="s">
        <v>979</v>
      </c>
      <c r="E296" s="40" t="s">
        <v>26</v>
      </c>
      <c r="F296" s="197">
        <v>42696.0</v>
      </c>
      <c r="G296" s="197">
        <v>44139.0</v>
      </c>
      <c r="H296" s="197">
        <v>44139.0</v>
      </c>
      <c r="I296" s="197">
        <v>44139.0</v>
      </c>
      <c r="J296" s="196">
        <v>14.24</v>
      </c>
      <c r="K296" s="196">
        <v>1.56</v>
      </c>
      <c r="L296" s="196">
        <v>12.68</v>
      </c>
      <c r="M296" s="40">
        <v>1.0</v>
      </c>
      <c r="N296" s="196">
        <v>1.56</v>
      </c>
    </row>
    <row r="297">
      <c r="A297" s="40" t="s">
        <v>36</v>
      </c>
      <c r="B297" s="40"/>
      <c r="C297" s="40">
        <v>697.0</v>
      </c>
      <c r="D297" s="40" t="s">
        <v>980</v>
      </c>
      <c r="E297" s="40" t="s">
        <v>26</v>
      </c>
      <c r="F297" s="197">
        <v>42832.0</v>
      </c>
      <c r="G297" s="197">
        <v>43519.0</v>
      </c>
      <c r="H297" s="197">
        <v>43527.0</v>
      </c>
      <c r="I297" s="197">
        <v>43540.0</v>
      </c>
      <c r="J297" s="196">
        <v>59.99</v>
      </c>
      <c r="K297" s="196">
        <v>16.99</v>
      </c>
      <c r="L297" s="196">
        <v>43.0</v>
      </c>
      <c r="M297" s="40">
        <v>10.0</v>
      </c>
      <c r="N297" s="196">
        <v>1.7</v>
      </c>
    </row>
    <row r="298">
      <c r="A298" s="40" t="s">
        <v>36</v>
      </c>
      <c r="B298" s="40" t="s">
        <v>295</v>
      </c>
      <c r="C298" s="40">
        <v>977.0</v>
      </c>
      <c r="D298" s="40" t="s">
        <v>981</v>
      </c>
      <c r="E298" s="40" t="s">
        <v>26</v>
      </c>
      <c r="F298" s="197">
        <v>42836.0</v>
      </c>
      <c r="G298" s="197">
        <v>43519.0</v>
      </c>
      <c r="H298" s="197">
        <v>43521.0</v>
      </c>
      <c r="I298" s="197">
        <v>43847.0</v>
      </c>
      <c r="J298" s="196">
        <v>39.99</v>
      </c>
      <c r="K298" s="196">
        <v>11.99</v>
      </c>
      <c r="L298" s="196">
        <v>28.0</v>
      </c>
      <c r="M298" s="40">
        <v>3.0</v>
      </c>
      <c r="N298" s="196">
        <v>4.0</v>
      </c>
    </row>
    <row r="299">
      <c r="A299" s="40" t="s">
        <v>36</v>
      </c>
      <c r="B299" s="40"/>
      <c r="C299" s="40">
        <v>796.0</v>
      </c>
      <c r="D299" s="40" t="s">
        <v>982</v>
      </c>
      <c r="E299" s="40" t="s">
        <v>26</v>
      </c>
      <c r="F299" s="197">
        <v>42864.0</v>
      </c>
      <c r="G299" s="197">
        <v>43155.0</v>
      </c>
      <c r="H299" s="197">
        <v>43189.0</v>
      </c>
      <c r="I299" s="197">
        <v>43468.0</v>
      </c>
      <c r="J299" s="196">
        <v>16.99</v>
      </c>
      <c r="K299" s="196">
        <v>4.99</v>
      </c>
      <c r="L299" s="196">
        <v>12.0</v>
      </c>
      <c r="M299" s="40">
        <v>1.0</v>
      </c>
      <c r="N299" s="196">
        <v>4.99</v>
      </c>
    </row>
    <row r="300">
      <c r="A300" s="40" t="s">
        <v>36</v>
      </c>
      <c r="B300" s="40"/>
      <c r="C300" s="40">
        <v>567.0</v>
      </c>
      <c r="D300" s="40" t="s">
        <v>983</v>
      </c>
      <c r="E300" s="40" t="s">
        <v>26</v>
      </c>
      <c r="F300" s="197">
        <v>42885.0</v>
      </c>
      <c r="G300" s="197">
        <v>43519.0</v>
      </c>
      <c r="H300" s="197">
        <v>43520.0</v>
      </c>
      <c r="I300" s="197">
        <v>43520.0</v>
      </c>
      <c r="J300" s="196">
        <v>10.99</v>
      </c>
      <c r="K300" s="196">
        <v>2.99</v>
      </c>
      <c r="L300" s="196">
        <v>8.0</v>
      </c>
      <c r="M300" s="40">
        <v>1.0</v>
      </c>
      <c r="N300" s="196">
        <v>2.99</v>
      </c>
    </row>
    <row r="301">
      <c r="A301" s="40" t="s">
        <v>36</v>
      </c>
      <c r="B301" s="40"/>
      <c r="C301" s="40">
        <v>750.0</v>
      </c>
      <c r="D301" s="40" t="s">
        <v>984</v>
      </c>
      <c r="E301" s="40" t="s">
        <v>26</v>
      </c>
      <c r="F301" s="197">
        <v>42916.0</v>
      </c>
      <c r="G301" s="197">
        <v>42810.0</v>
      </c>
      <c r="H301" s="197">
        <v>42916.0</v>
      </c>
      <c r="I301" s="197">
        <v>42916.0</v>
      </c>
      <c r="J301" s="196">
        <v>39.99</v>
      </c>
      <c r="K301" s="196">
        <v>26.99</v>
      </c>
      <c r="L301" s="196">
        <v>13.0</v>
      </c>
      <c r="M301" s="40">
        <v>1.0</v>
      </c>
      <c r="N301" s="196">
        <v>26.99</v>
      </c>
    </row>
    <row r="302">
      <c r="A302" s="40" t="s">
        <v>36</v>
      </c>
      <c r="B302" s="40" t="s">
        <v>327</v>
      </c>
      <c r="C302" s="40">
        <v>904.0</v>
      </c>
      <c r="D302" s="40" t="s">
        <v>985</v>
      </c>
      <c r="E302" s="40" t="s">
        <v>26</v>
      </c>
      <c r="F302" s="197">
        <v>42920.0</v>
      </c>
      <c r="G302" s="197">
        <v>42920.0</v>
      </c>
      <c r="H302" s="197">
        <v>42920.0</v>
      </c>
      <c r="I302" s="197">
        <v>42920.0</v>
      </c>
      <c r="J302" s="196">
        <v>0.0</v>
      </c>
      <c r="K302" s="196">
        <v>0.0</v>
      </c>
      <c r="L302" s="196">
        <v>0.0</v>
      </c>
      <c r="M302" s="40">
        <v>1.0</v>
      </c>
      <c r="N302" s="196">
        <v>0.0</v>
      </c>
    </row>
    <row r="303">
      <c r="A303" s="40" t="s">
        <v>36</v>
      </c>
      <c r="B303" s="40" t="s">
        <v>266</v>
      </c>
      <c r="C303" s="40">
        <v>920.0</v>
      </c>
      <c r="D303" s="40" t="s">
        <v>986</v>
      </c>
      <c r="E303" s="40" t="s">
        <v>26</v>
      </c>
      <c r="F303" s="197">
        <v>43305.0</v>
      </c>
      <c r="G303" s="197">
        <v>44590.0</v>
      </c>
      <c r="H303" s="197">
        <v>44590.0</v>
      </c>
      <c r="I303" s="197">
        <v>44590.0</v>
      </c>
      <c r="J303" s="196">
        <v>29.99</v>
      </c>
      <c r="K303" s="196">
        <v>0.0</v>
      </c>
      <c r="L303" s="196">
        <v>29.99</v>
      </c>
      <c r="M303" s="40">
        <v>1.0</v>
      </c>
      <c r="N303" s="196">
        <v>0.0</v>
      </c>
    </row>
    <row r="304">
      <c r="A304" s="40" t="s">
        <v>36</v>
      </c>
      <c r="B304" s="40"/>
      <c r="C304" s="40">
        <v>783.0</v>
      </c>
      <c r="D304" s="40" t="s">
        <v>987</v>
      </c>
      <c r="E304" s="40" t="s">
        <v>26</v>
      </c>
      <c r="F304" s="197">
        <v>43319.0</v>
      </c>
      <c r="G304" s="197">
        <v>43268.0</v>
      </c>
      <c r="H304" s="197">
        <v>43323.0</v>
      </c>
      <c r="I304" s="197">
        <v>44345.0</v>
      </c>
      <c r="J304" s="196">
        <v>64.22</v>
      </c>
      <c r="K304" s="196">
        <v>47.42</v>
      </c>
      <c r="L304" s="196">
        <v>16.8</v>
      </c>
      <c r="M304" s="40">
        <v>4.0</v>
      </c>
      <c r="N304" s="196">
        <v>11.86</v>
      </c>
    </row>
    <row r="305">
      <c r="A305" s="40" t="s">
        <v>36</v>
      </c>
      <c r="B305" s="40"/>
      <c r="C305" s="40">
        <v>698.0</v>
      </c>
      <c r="D305" s="40" t="s">
        <v>988</v>
      </c>
      <c r="E305" s="40" t="s">
        <v>26</v>
      </c>
      <c r="F305" s="197">
        <v>43392.0</v>
      </c>
      <c r="G305" s="197">
        <v>44539.0</v>
      </c>
      <c r="H305" s="197">
        <v>44539.0</v>
      </c>
      <c r="I305" s="197">
        <v>44539.0</v>
      </c>
      <c r="J305" s="196">
        <v>59.99</v>
      </c>
      <c r="K305" s="196">
        <v>0.0</v>
      </c>
      <c r="L305" s="196">
        <v>59.99</v>
      </c>
      <c r="M305" s="40">
        <v>1.0</v>
      </c>
      <c r="N305" s="196">
        <v>0.0</v>
      </c>
    </row>
    <row r="306">
      <c r="A306" s="40" t="s">
        <v>36</v>
      </c>
      <c r="B306" s="40"/>
      <c r="C306" s="40">
        <v>568.0</v>
      </c>
      <c r="D306" s="40" t="s">
        <v>989</v>
      </c>
      <c r="E306" s="40" t="s">
        <v>26</v>
      </c>
      <c r="F306" s="197">
        <v>43564.0</v>
      </c>
      <c r="G306" s="197">
        <v>44431.0</v>
      </c>
      <c r="H306" s="197">
        <v>44431.0</v>
      </c>
      <c r="I306" s="197">
        <v>44431.0</v>
      </c>
      <c r="J306" s="196">
        <v>29.99</v>
      </c>
      <c r="K306" s="196">
        <v>7.49</v>
      </c>
      <c r="L306" s="196">
        <v>22.5</v>
      </c>
      <c r="M306" s="40">
        <v>1.0</v>
      </c>
      <c r="N306" s="196">
        <v>7.49</v>
      </c>
    </row>
    <row r="307">
      <c r="A307" s="40" t="s">
        <v>36</v>
      </c>
      <c r="B307" s="40"/>
      <c r="C307" s="40">
        <v>882.0</v>
      </c>
      <c r="D307" s="40" t="s">
        <v>990</v>
      </c>
      <c r="E307" s="40" t="s">
        <v>26</v>
      </c>
      <c r="F307" s="197">
        <v>43606.0</v>
      </c>
      <c r="G307" s="197">
        <v>44621.0</v>
      </c>
      <c r="H307" s="197">
        <v>44897.0</v>
      </c>
      <c r="I307" s="197">
        <v>44897.0</v>
      </c>
      <c r="J307" s="196">
        <v>39.99</v>
      </c>
      <c r="K307" s="196">
        <v>0.0</v>
      </c>
      <c r="L307" s="196">
        <v>39.99</v>
      </c>
      <c r="M307" s="40">
        <v>2.0</v>
      </c>
      <c r="N307" s="196">
        <v>0.0</v>
      </c>
    </row>
    <row r="308">
      <c r="A308" s="40" t="s">
        <v>36</v>
      </c>
      <c r="B308" s="40"/>
      <c r="C308" s="40">
        <v>978.0</v>
      </c>
      <c r="D308" s="40" t="s">
        <v>991</v>
      </c>
      <c r="E308" s="40" t="s">
        <v>26</v>
      </c>
      <c r="F308" s="197">
        <v>43746.0</v>
      </c>
      <c r="G308" s="197">
        <v>43824.0</v>
      </c>
      <c r="H308" s="197">
        <v>43831.0</v>
      </c>
      <c r="I308" s="197">
        <v>43834.0</v>
      </c>
      <c r="J308" s="196">
        <v>29.99</v>
      </c>
      <c r="K308" s="196">
        <v>0.0</v>
      </c>
      <c r="L308" s="196">
        <v>29.99</v>
      </c>
      <c r="M308" s="40">
        <v>21.0</v>
      </c>
      <c r="N308" s="196">
        <v>0.0</v>
      </c>
    </row>
    <row r="309">
      <c r="A309" s="40" t="s">
        <v>36</v>
      </c>
      <c r="B309" s="40"/>
      <c r="C309" s="40">
        <v>598.0</v>
      </c>
      <c r="D309" s="40" t="s">
        <v>992</v>
      </c>
      <c r="E309" s="40" t="s">
        <v>26</v>
      </c>
      <c r="F309" s="197">
        <v>43875.0</v>
      </c>
      <c r="G309" s="197">
        <v>43907.0</v>
      </c>
      <c r="H309" s="197">
        <v>43907.0</v>
      </c>
      <c r="I309" s="197">
        <v>43907.0</v>
      </c>
      <c r="J309" s="196">
        <v>39.99</v>
      </c>
      <c r="K309" s="196">
        <v>29.99</v>
      </c>
      <c r="L309" s="196">
        <v>10.0</v>
      </c>
      <c r="M309" s="40">
        <v>1.0</v>
      </c>
      <c r="N309" s="196">
        <v>29.99</v>
      </c>
    </row>
    <row r="310">
      <c r="A310" s="40" t="s">
        <v>36</v>
      </c>
      <c r="B310" s="40" t="s">
        <v>322</v>
      </c>
      <c r="C310" s="40">
        <v>948.0</v>
      </c>
      <c r="D310" s="40" t="s">
        <v>993</v>
      </c>
      <c r="E310" s="40" t="s">
        <v>26</v>
      </c>
      <c r="F310" s="197">
        <v>43886.0</v>
      </c>
      <c r="G310" s="197">
        <v>44006.0</v>
      </c>
      <c r="H310" s="197">
        <v>44006.0</v>
      </c>
      <c r="I310" s="197">
        <v>44385.0</v>
      </c>
      <c r="J310" s="196">
        <v>56.98</v>
      </c>
      <c r="K310" s="196">
        <v>37.58</v>
      </c>
      <c r="L310" s="196">
        <v>19.4</v>
      </c>
      <c r="M310" s="40">
        <v>15.0</v>
      </c>
      <c r="N310" s="196">
        <v>2.51</v>
      </c>
    </row>
    <row r="311">
      <c r="A311" s="40" t="s">
        <v>36</v>
      </c>
      <c r="B311" s="40" t="s">
        <v>254</v>
      </c>
      <c r="C311" s="40">
        <v>797.0</v>
      </c>
      <c r="D311" s="40" t="s">
        <v>994</v>
      </c>
      <c r="E311" s="40" t="s">
        <v>26</v>
      </c>
      <c r="F311" s="197">
        <v>43921.0</v>
      </c>
      <c r="G311" s="197">
        <v>44609.0</v>
      </c>
      <c r="H311" s="197">
        <v>44610.0</v>
      </c>
      <c r="I311" s="197">
        <v>45631.0</v>
      </c>
      <c r="J311" s="196">
        <v>17.99</v>
      </c>
      <c r="K311" s="196">
        <v>8.99</v>
      </c>
      <c r="L311" s="196">
        <v>9.0</v>
      </c>
      <c r="M311" s="40">
        <v>11.0</v>
      </c>
      <c r="N311" s="196">
        <v>0.82</v>
      </c>
    </row>
    <row r="312">
      <c r="A312" s="40" t="s">
        <v>36</v>
      </c>
      <c r="B312" s="40" t="s">
        <v>301</v>
      </c>
      <c r="C312" s="40">
        <v>635.0</v>
      </c>
      <c r="D312" s="40" t="s">
        <v>995</v>
      </c>
      <c r="E312" s="40" t="s">
        <v>26</v>
      </c>
      <c r="F312" s="197">
        <v>43965.0</v>
      </c>
      <c r="G312" s="197">
        <v>44708.0</v>
      </c>
      <c r="H312" s="197">
        <v>45626.0</v>
      </c>
      <c r="I312" s="197">
        <v>45627.0</v>
      </c>
      <c r="J312" s="196">
        <v>5.99</v>
      </c>
      <c r="K312" s="196">
        <v>3.59</v>
      </c>
      <c r="L312" s="196">
        <v>2.4</v>
      </c>
      <c r="M312" s="40">
        <v>2.0</v>
      </c>
      <c r="N312" s="196">
        <v>1.8</v>
      </c>
    </row>
    <row r="313">
      <c r="A313" s="40" t="s">
        <v>36</v>
      </c>
      <c r="B313" s="40"/>
      <c r="C313" s="40">
        <v>616.0</v>
      </c>
      <c r="D313" s="40" t="s">
        <v>996</v>
      </c>
      <c r="E313" s="40" t="s">
        <v>26</v>
      </c>
      <c r="F313" s="197">
        <v>44047.0</v>
      </c>
      <c r="G313" s="197">
        <v>44058.0</v>
      </c>
      <c r="H313" s="197">
        <v>44058.0</v>
      </c>
      <c r="I313" s="197">
        <v>45809.0</v>
      </c>
      <c r="J313" s="196">
        <v>19.99</v>
      </c>
      <c r="K313" s="196">
        <v>0.0</v>
      </c>
      <c r="L313" s="196">
        <v>19.99</v>
      </c>
      <c r="M313" s="40">
        <v>55.0</v>
      </c>
      <c r="N313" s="196">
        <v>0.0</v>
      </c>
    </row>
    <row r="314">
      <c r="A314" s="40" t="s">
        <v>36</v>
      </c>
      <c r="B314" s="40"/>
      <c r="C314" s="40">
        <v>587.0</v>
      </c>
      <c r="D314" s="40" t="s">
        <v>997</v>
      </c>
      <c r="E314" s="40" t="s">
        <v>26</v>
      </c>
      <c r="F314" s="197">
        <v>44141.0</v>
      </c>
      <c r="G314" s="197">
        <v>44565.0</v>
      </c>
      <c r="H314" s="197">
        <v>44565.0</v>
      </c>
      <c r="I314" s="197">
        <v>44565.0</v>
      </c>
      <c r="J314" s="196">
        <v>69.99</v>
      </c>
      <c r="K314" s="196">
        <v>0.0</v>
      </c>
      <c r="L314" s="196">
        <v>69.99</v>
      </c>
      <c r="M314" s="40">
        <v>1.0</v>
      </c>
      <c r="N314" s="196">
        <v>0.0</v>
      </c>
    </row>
    <row r="315">
      <c r="A315" s="40" t="s">
        <v>36</v>
      </c>
      <c r="B315" s="40" t="s">
        <v>270</v>
      </c>
      <c r="C315" s="40">
        <v>793.0</v>
      </c>
      <c r="D315" s="40" t="s">
        <v>998</v>
      </c>
      <c r="E315" s="40" t="s">
        <v>26</v>
      </c>
      <c r="F315" s="197">
        <v>44145.0</v>
      </c>
      <c r="G315" s="197">
        <v>44593.0</v>
      </c>
      <c r="H315" s="197">
        <v>44593.0</v>
      </c>
      <c r="I315" s="197">
        <v>44593.0</v>
      </c>
      <c r="J315" s="43">
        <v>44.99</v>
      </c>
      <c r="K315" s="43">
        <v>0.0</v>
      </c>
      <c r="L315" s="196">
        <v>44.99</v>
      </c>
      <c r="M315" s="40">
        <v>1.0</v>
      </c>
      <c r="N315" s="196">
        <v>0.0</v>
      </c>
    </row>
    <row r="316">
      <c r="A316" s="40" t="s">
        <v>36</v>
      </c>
      <c r="B316" s="40"/>
      <c r="C316" s="40">
        <v>825.0</v>
      </c>
      <c r="D316" s="40" t="s">
        <v>999</v>
      </c>
      <c r="E316" s="40" t="s">
        <v>26</v>
      </c>
      <c r="F316" s="197">
        <v>44147.0</v>
      </c>
      <c r="G316" s="197">
        <v>44883.0</v>
      </c>
      <c r="H316" s="197">
        <v>44885.0</v>
      </c>
      <c r="I316" s="197">
        <v>44889.0</v>
      </c>
      <c r="J316" s="196">
        <v>69.99</v>
      </c>
      <c r="K316" s="196">
        <v>29.39</v>
      </c>
      <c r="L316" s="196">
        <v>40.6</v>
      </c>
      <c r="M316" s="40">
        <v>30.0</v>
      </c>
      <c r="N316" s="196">
        <v>0.98</v>
      </c>
    </row>
    <row r="317">
      <c r="A317" s="40" t="s">
        <v>36</v>
      </c>
      <c r="B317" s="40" t="s">
        <v>248</v>
      </c>
      <c r="C317" s="40">
        <v>535.0</v>
      </c>
      <c r="D317" s="40" t="s">
        <v>1000</v>
      </c>
      <c r="E317" s="40" t="s">
        <v>26</v>
      </c>
      <c r="F317" s="197">
        <v>44165.0</v>
      </c>
      <c r="G317" s="197">
        <v>45070.0</v>
      </c>
      <c r="H317" s="197">
        <v>45070.0</v>
      </c>
      <c r="I317" s="197">
        <v>45070.0</v>
      </c>
      <c r="J317" s="196">
        <v>10.99</v>
      </c>
      <c r="K317" s="196">
        <v>0.54</v>
      </c>
      <c r="L317" s="196">
        <v>10.45</v>
      </c>
      <c r="M317" s="40">
        <v>1.0</v>
      </c>
      <c r="N317" s="196">
        <v>0.54</v>
      </c>
    </row>
    <row r="318">
      <c r="A318" s="40" t="s">
        <v>36</v>
      </c>
      <c r="B318" s="40"/>
      <c r="C318" s="40">
        <v>971.0</v>
      </c>
      <c r="D318" s="40" t="s">
        <v>1001</v>
      </c>
      <c r="E318" s="40" t="s">
        <v>26</v>
      </c>
      <c r="F318" s="197">
        <v>44166.0</v>
      </c>
      <c r="G318" s="197">
        <v>44335.0</v>
      </c>
      <c r="H318" s="197">
        <v>44335.0</v>
      </c>
      <c r="I318" s="197">
        <v>44335.0</v>
      </c>
      <c r="J318" s="196">
        <v>14.99</v>
      </c>
      <c r="K318" s="196">
        <v>9.74</v>
      </c>
      <c r="L318" s="196">
        <v>5.25</v>
      </c>
      <c r="M318" s="40">
        <v>1.0</v>
      </c>
      <c r="N318" s="196">
        <v>9.74</v>
      </c>
    </row>
    <row r="319">
      <c r="A319" s="40" t="s">
        <v>36</v>
      </c>
      <c r="B319" s="40"/>
      <c r="C319" s="40">
        <v>925.0</v>
      </c>
      <c r="D319" s="40" t="s">
        <v>1002</v>
      </c>
      <c r="E319" s="40" t="s">
        <v>26</v>
      </c>
      <c r="F319" s="197">
        <v>44196.0</v>
      </c>
      <c r="G319" s="197">
        <v>45382.0</v>
      </c>
      <c r="H319" s="197">
        <v>45382.0</v>
      </c>
      <c r="I319" s="197">
        <v>45382.0</v>
      </c>
      <c r="J319" s="196">
        <v>26.48</v>
      </c>
      <c r="K319" s="196">
        <v>0.0</v>
      </c>
      <c r="L319" s="196">
        <v>26.48</v>
      </c>
      <c r="M319" s="40">
        <v>1.0</v>
      </c>
      <c r="N319" s="196">
        <v>0.0</v>
      </c>
    </row>
    <row r="320">
      <c r="A320" s="40" t="s">
        <v>36</v>
      </c>
      <c r="B320" s="40" t="s">
        <v>256</v>
      </c>
      <c r="C320" s="40">
        <v>873.0</v>
      </c>
      <c r="D320" s="40" t="s">
        <v>1003</v>
      </c>
      <c r="E320" s="40" t="s">
        <v>26</v>
      </c>
      <c r="F320" s="197">
        <v>44273.0</v>
      </c>
      <c r="G320" s="197">
        <v>44335.0</v>
      </c>
      <c r="H320" s="197">
        <v>44424.0</v>
      </c>
      <c r="I320" s="197">
        <v>44427.0</v>
      </c>
      <c r="J320" s="196">
        <v>5.99</v>
      </c>
      <c r="K320" s="196">
        <v>4.19</v>
      </c>
      <c r="L320" s="196">
        <v>1.8</v>
      </c>
      <c r="M320" s="40">
        <v>5.0</v>
      </c>
      <c r="N320" s="196">
        <v>0.84</v>
      </c>
    </row>
    <row r="321">
      <c r="A321" s="41" t="s">
        <v>36</v>
      </c>
      <c r="B321" s="41" t="s">
        <v>268</v>
      </c>
      <c r="C321" s="41">
        <v>1089.0</v>
      </c>
      <c r="D321" s="41" t="s">
        <v>1004</v>
      </c>
      <c r="E321" s="41" t="s">
        <v>26</v>
      </c>
      <c r="F321" s="46">
        <v>44274.0</v>
      </c>
      <c r="G321" s="46">
        <v>45920.0</v>
      </c>
      <c r="H321" s="46">
        <v>45922.0</v>
      </c>
      <c r="I321" s="46">
        <v>45936.0</v>
      </c>
      <c r="J321" s="44">
        <v>5.0</v>
      </c>
      <c r="K321" s="44">
        <v>0.0</v>
      </c>
      <c r="L321" s="44">
        <v>5.0</v>
      </c>
      <c r="M321" s="41">
        <v>6.0</v>
      </c>
      <c r="N321" s="44">
        <v>0.0</v>
      </c>
    </row>
    <row r="322">
      <c r="A322" s="41" t="s">
        <v>36</v>
      </c>
      <c r="B322" s="41"/>
      <c r="C322" s="41">
        <v>1090.0</v>
      </c>
      <c r="D322" s="41" t="s">
        <v>1005</v>
      </c>
      <c r="E322" s="41" t="s">
        <v>26</v>
      </c>
      <c r="F322" s="46">
        <v>44274.0</v>
      </c>
      <c r="G322" s="46">
        <v>45920.0</v>
      </c>
      <c r="H322" s="46">
        <v>45922.0</v>
      </c>
      <c r="I322" s="46">
        <v>45936.0</v>
      </c>
      <c r="J322" s="44">
        <v>4.99</v>
      </c>
      <c r="K322" s="44">
        <v>0.0</v>
      </c>
      <c r="L322" s="44">
        <v>4.99</v>
      </c>
      <c r="M322" s="41">
        <v>5.0</v>
      </c>
      <c r="N322" s="44">
        <v>0.0</v>
      </c>
    </row>
    <row r="323">
      <c r="A323" s="40" t="s">
        <v>36</v>
      </c>
      <c r="B323" s="40"/>
      <c r="C323" s="40">
        <v>613.0</v>
      </c>
      <c r="D323" s="40" t="s">
        <v>1006</v>
      </c>
      <c r="E323" s="40" t="s">
        <v>26</v>
      </c>
      <c r="F323" s="197">
        <v>44393.0</v>
      </c>
      <c r="G323" s="197">
        <v>44446.0</v>
      </c>
      <c r="H323" s="197">
        <v>44448.0</v>
      </c>
      <c r="I323" s="197">
        <v>44469.0</v>
      </c>
      <c r="J323" s="196">
        <v>69.99</v>
      </c>
      <c r="K323" s="196">
        <v>0.0</v>
      </c>
      <c r="L323" s="196">
        <v>69.99</v>
      </c>
      <c r="M323" s="40">
        <v>103.0</v>
      </c>
      <c r="N323" s="196">
        <v>0.0</v>
      </c>
    </row>
    <row r="324">
      <c r="A324" s="41" t="s">
        <v>36</v>
      </c>
      <c r="B324" s="41" t="s">
        <v>293</v>
      </c>
      <c r="C324" s="40">
        <v>879.0</v>
      </c>
      <c r="D324" s="40" t="s">
        <v>1007</v>
      </c>
      <c r="E324" s="40" t="s">
        <v>26</v>
      </c>
      <c r="F324" s="197">
        <v>44456.0</v>
      </c>
      <c r="G324" s="197">
        <v>45020.0</v>
      </c>
      <c r="H324" s="197">
        <v>45754.0</v>
      </c>
      <c r="I324" s="197">
        <v>45757.0</v>
      </c>
      <c r="J324" s="196">
        <v>24.99</v>
      </c>
      <c r="K324" s="196">
        <v>0.0</v>
      </c>
      <c r="L324" s="196">
        <v>24.99</v>
      </c>
      <c r="M324" s="40">
        <v>15.0</v>
      </c>
      <c r="N324" s="196">
        <v>0.0</v>
      </c>
    </row>
    <row r="325">
      <c r="A325" s="40" t="s">
        <v>36</v>
      </c>
      <c r="B325" s="40"/>
      <c r="C325" s="40">
        <v>681.0</v>
      </c>
      <c r="D325" s="40" t="s">
        <v>1008</v>
      </c>
      <c r="E325" s="40" t="s">
        <v>26</v>
      </c>
      <c r="F325" s="197">
        <v>44509.0</v>
      </c>
      <c r="G325" s="197">
        <v>45083.0</v>
      </c>
      <c r="H325" s="197">
        <v>45083.0</v>
      </c>
      <c r="I325" s="197">
        <v>45083.0</v>
      </c>
      <c r="J325" s="196">
        <v>59.99</v>
      </c>
      <c r="K325" s="196">
        <v>0.0</v>
      </c>
      <c r="L325" s="196">
        <v>59.99</v>
      </c>
      <c r="M325" s="40">
        <v>1.0</v>
      </c>
      <c r="N325" s="196">
        <v>0.0</v>
      </c>
    </row>
    <row r="326">
      <c r="A326" s="40" t="s">
        <v>36</v>
      </c>
      <c r="B326" s="40" t="s">
        <v>246</v>
      </c>
      <c r="C326" s="40">
        <v>578.0</v>
      </c>
      <c r="D326" s="40" t="s">
        <v>1009</v>
      </c>
      <c r="E326" s="40" t="s">
        <v>26</v>
      </c>
      <c r="F326" s="197">
        <v>44523.0</v>
      </c>
      <c r="G326" s="197">
        <v>45140.0</v>
      </c>
      <c r="H326" s="197">
        <v>45809.0</v>
      </c>
      <c r="I326" s="197">
        <v>45809.0</v>
      </c>
      <c r="J326" s="196">
        <v>19.99</v>
      </c>
      <c r="K326" s="196">
        <v>0.0</v>
      </c>
      <c r="L326" s="196">
        <v>19.99</v>
      </c>
      <c r="M326" s="40">
        <v>2.0</v>
      </c>
      <c r="N326" s="196">
        <v>0.0</v>
      </c>
    </row>
    <row r="327">
      <c r="A327" s="40" t="s">
        <v>36</v>
      </c>
      <c r="B327" s="40"/>
      <c r="C327" s="40">
        <v>778.0</v>
      </c>
      <c r="D327" s="40" t="s">
        <v>1010</v>
      </c>
      <c r="E327" s="40" t="s">
        <v>26</v>
      </c>
      <c r="F327" s="197">
        <v>44600.0</v>
      </c>
      <c r="G327" s="197">
        <v>44923.0</v>
      </c>
      <c r="H327" s="197">
        <v>45475.0</v>
      </c>
      <c r="I327" s="197">
        <v>45475.0</v>
      </c>
      <c r="J327" s="196">
        <v>29.99</v>
      </c>
      <c r="K327" s="196">
        <v>9.89</v>
      </c>
      <c r="L327" s="196">
        <v>20.1</v>
      </c>
      <c r="M327" s="40">
        <v>2.0</v>
      </c>
      <c r="N327" s="196">
        <v>4.95</v>
      </c>
    </row>
    <row r="328">
      <c r="A328" s="40" t="s">
        <v>36</v>
      </c>
      <c r="B328" s="40"/>
      <c r="C328" s="40">
        <v>651.0</v>
      </c>
      <c r="D328" s="40" t="s">
        <v>1011</v>
      </c>
      <c r="E328" s="40" t="s">
        <v>26</v>
      </c>
      <c r="F328" s="197">
        <v>44617.0</v>
      </c>
      <c r="G328" s="197">
        <v>45048.0</v>
      </c>
      <c r="H328" s="197">
        <v>45236.0</v>
      </c>
      <c r="I328" s="197">
        <v>45246.0</v>
      </c>
      <c r="J328" s="196">
        <v>69.99</v>
      </c>
      <c r="K328" s="196">
        <v>0.0</v>
      </c>
      <c r="L328" s="196">
        <v>69.99</v>
      </c>
      <c r="M328" s="40">
        <v>60.0</v>
      </c>
      <c r="N328" s="196">
        <v>0.0</v>
      </c>
    </row>
    <row r="329">
      <c r="A329" s="40" t="s">
        <v>36</v>
      </c>
      <c r="B329" s="40"/>
      <c r="C329" s="40">
        <v>699.0</v>
      </c>
      <c r="D329" s="40" t="s">
        <v>1012</v>
      </c>
      <c r="E329" s="40" t="s">
        <v>26</v>
      </c>
      <c r="F329" s="197">
        <v>44656.0</v>
      </c>
      <c r="G329" s="197">
        <v>45511.0</v>
      </c>
      <c r="H329" s="197">
        <v>45511.0</v>
      </c>
      <c r="I329" s="197">
        <v>45511.0</v>
      </c>
      <c r="J329" s="196">
        <v>59.99</v>
      </c>
      <c r="K329" s="196">
        <v>0.0</v>
      </c>
      <c r="L329" s="196">
        <v>59.99</v>
      </c>
      <c r="M329" s="40">
        <v>1.0</v>
      </c>
      <c r="N329" s="196">
        <v>0.0</v>
      </c>
    </row>
    <row r="330">
      <c r="A330" s="40" t="s">
        <v>36</v>
      </c>
      <c r="B330" s="40"/>
      <c r="C330" s="40">
        <v>949.0</v>
      </c>
      <c r="D330" s="40" t="s">
        <v>1013</v>
      </c>
      <c r="E330" s="40" t="s">
        <v>26</v>
      </c>
      <c r="F330" s="197">
        <v>44782.0</v>
      </c>
      <c r="G330" s="197">
        <v>45143.0</v>
      </c>
      <c r="H330" s="197">
        <v>45424.0</v>
      </c>
      <c r="I330" s="197">
        <v>45430.0</v>
      </c>
      <c r="J330" s="196">
        <v>29.99</v>
      </c>
      <c r="K330" s="196">
        <v>14.99</v>
      </c>
      <c r="L330" s="196">
        <v>15.0</v>
      </c>
      <c r="M330" s="40">
        <v>1.0</v>
      </c>
      <c r="N330" s="196">
        <v>14.99</v>
      </c>
    </row>
    <row r="331">
      <c r="A331" s="40" t="s">
        <v>36</v>
      </c>
      <c r="B331" s="40"/>
      <c r="C331" s="40">
        <v>821.0</v>
      </c>
      <c r="D331" s="40" t="s">
        <v>1014</v>
      </c>
      <c r="E331" s="40" t="s">
        <v>26</v>
      </c>
      <c r="F331" s="197">
        <v>44789.0</v>
      </c>
      <c r="G331" s="197">
        <v>45328.0</v>
      </c>
      <c r="H331" s="197">
        <v>45328.0</v>
      </c>
      <c r="I331" s="197">
        <v>45328.0</v>
      </c>
      <c r="J331" s="196">
        <v>29.99</v>
      </c>
      <c r="K331" s="196">
        <v>0.0</v>
      </c>
      <c r="L331" s="196">
        <v>29.99</v>
      </c>
      <c r="M331" s="40">
        <v>1.0</v>
      </c>
      <c r="N331" s="196">
        <v>0.0</v>
      </c>
    </row>
    <row r="332">
      <c r="A332" s="40" t="s">
        <v>36</v>
      </c>
      <c r="B332" s="40"/>
      <c r="C332" s="40">
        <v>615.0</v>
      </c>
      <c r="D332" s="40" t="s">
        <v>1015</v>
      </c>
      <c r="E332" s="40" t="s">
        <v>26</v>
      </c>
      <c r="F332" s="197">
        <v>44803.0</v>
      </c>
      <c r="G332" s="197">
        <v>44922.0</v>
      </c>
      <c r="H332" s="197">
        <v>45357.0</v>
      </c>
      <c r="I332" s="197">
        <v>45357.0</v>
      </c>
      <c r="J332" s="196">
        <v>54.99</v>
      </c>
      <c r="K332" s="196">
        <v>0.0</v>
      </c>
      <c r="L332" s="196">
        <v>54.99</v>
      </c>
      <c r="M332" s="40">
        <v>2.0</v>
      </c>
      <c r="N332" s="196">
        <v>0.0</v>
      </c>
    </row>
    <row r="333">
      <c r="A333" s="40" t="s">
        <v>36</v>
      </c>
      <c r="B333" s="40"/>
      <c r="C333" s="40">
        <v>801.0</v>
      </c>
      <c r="D333" s="40" t="s">
        <v>1016</v>
      </c>
      <c r="E333" s="40" t="s">
        <v>26</v>
      </c>
      <c r="F333" s="197">
        <v>44957.0</v>
      </c>
      <c r="G333" s="197">
        <v>45265.0</v>
      </c>
      <c r="H333" s="197">
        <v>45265.0</v>
      </c>
      <c r="I333" s="197">
        <v>45506.0</v>
      </c>
      <c r="J333" s="196">
        <v>32.98</v>
      </c>
      <c r="K333" s="196">
        <v>2.99</v>
      </c>
      <c r="L333" s="196">
        <v>29.99</v>
      </c>
      <c r="M333" s="40">
        <v>76.0</v>
      </c>
      <c r="N333" s="196">
        <v>0.04</v>
      </c>
    </row>
    <row r="334">
      <c r="A334" s="40" t="s">
        <v>36</v>
      </c>
      <c r="B334" s="40" t="s">
        <v>261</v>
      </c>
      <c r="C334" s="40">
        <v>575.0</v>
      </c>
      <c r="D334" s="40" t="s">
        <v>1017</v>
      </c>
      <c r="E334" s="40" t="s">
        <v>26</v>
      </c>
      <c r="F334" s="197">
        <v>45037.0</v>
      </c>
      <c r="G334" s="197">
        <v>45491.0</v>
      </c>
      <c r="H334" s="197">
        <v>45496.0</v>
      </c>
      <c r="I334" s="197">
        <v>45514.0</v>
      </c>
      <c r="J334" s="196">
        <v>69.99</v>
      </c>
      <c r="K334" s="196">
        <v>34.99</v>
      </c>
      <c r="L334" s="196">
        <v>35.0</v>
      </c>
      <c r="M334" s="40">
        <v>42.0</v>
      </c>
      <c r="N334" s="196">
        <v>0.83</v>
      </c>
    </row>
    <row r="335">
      <c r="A335" s="41" t="s">
        <v>36</v>
      </c>
      <c r="B335" s="41"/>
      <c r="C335" s="40">
        <v>688.0</v>
      </c>
      <c r="D335" s="40" t="s">
        <v>1018</v>
      </c>
      <c r="E335" s="40" t="s">
        <v>26</v>
      </c>
      <c r="F335" s="197">
        <v>45078.0</v>
      </c>
      <c r="G335" s="197">
        <v>45734.0</v>
      </c>
      <c r="H335" s="197">
        <v>45743.0</v>
      </c>
      <c r="I335" s="197">
        <v>45743.0</v>
      </c>
      <c r="J335" s="43">
        <v>24.99</v>
      </c>
      <c r="K335" s="43">
        <v>8.49</v>
      </c>
      <c r="L335" s="43">
        <v>16.5</v>
      </c>
      <c r="M335" s="40">
        <v>3.0</v>
      </c>
      <c r="N335" s="43">
        <v>2.83</v>
      </c>
    </row>
    <row r="336">
      <c r="A336" s="40" t="s">
        <v>36</v>
      </c>
      <c r="B336" s="40"/>
      <c r="C336" s="40">
        <v>614.0</v>
      </c>
      <c r="D336" s="40" t="s">
        <v>1019</v>
      </c>
      <c r="E336" s="40" t="s">
        <v>26</v>
      </c>
      <c r="F336" s="197">
        <v>45093.0</v>
      </c>
      <c r="G336" s="197">
        <v>45356.0</v>
      </c>
      <c r="H336" s="197">
        <v>45356.0</v>
      </c>
      <c r="I336" s="197">
        <v>45369.0</v>
      </c>
      <c r="J336" s="196">
        <v>79.99</v>
      </c>
      <c r="K336" s="196">
        <v>0.0</v>
      </c>
      <c r="L336" s="196">
        <v>79.99</v>
      </c>
      <c r="M336" s="40">
        <v>82.0</v>
      </c>
      <c r="N336" s="196">
        <v>0.0</v>
      </c>
    </row>
    <row r="337">
      <c r="A337" s="41" t="s">
        <v>36</v>
      </c>
      <c r="B337" s="41" t="s">
        <v>279</v>
      </c>
      <c r="C337" s="41">
        <v>1099.0</v>
      </c>
      <c r="D337" s="41" t="s">
        <v>1020</v>
      </c>
      <c r="E337" s="41" t="s">
        <v>26</v>
      </c>
      <c r="F337" s="46">
        <v>45337.0</v>
      </c>
      <c r="G337" s="46">
        <v>46005.0</v>
      </c>
      <c r="H337" s="46">
        <v>46013.0</v>
      </c>
      <c r="I337" s="46">
        <v>46022.0</v>
      </c>
      <c r="J337" s="44">
        <v>19.99</v>
      </c>
      <c r="K337" s="44">
        <v>3.99</v>
      </c>
      <c r="L337" s="44">
        <v>15.999999999999998</v>
      </c>
      <c r="M337" s="41">
        <v>6.0</v>
      </c>
      <c r="N337" s="44">
        <v>0.665</v>
      </c>
    </row>
    <row r="338">
      <c r="A338" s="198" t="s">
        <v>36</v>
      </c>
      <c r="B338" s="199" t="s">
        <v>42</v>
      </c>
      <c r="C338" s="200">
        <v>1101.0</v>
      </c>
      <c r="D338" s="201" t="s">
        <v>43</v>
      </c>
      <c r="E338" s="201" t="s">
        <v>26</v>
      </c>
      <c r="F338" s="202">
        <v>45505.0</v>
      </c>
      <c r="G338" s="202">
        <v>46016.0</v>
      </c>
      <c r="H338" s="202">
        <v>46023.0</v>
      </c>
      <c r="I338" s="202">
        <v>46024.0</v>
      </c>
      <c r="J338" s="198">
        <v>17.99</v>
      </c>
      <c r="K338" s="198">
        <v>0.0</v>
      </c>
      <c r="L338" s="198">
        <f>J338-K338</f>
        <v>17.99</v>
      </c>
      <c r="M338" s="199">
        <v>7.0</v>
      </c>
      <c r="N338" s="198">
        <f>K338/M338</f>
        <v>0</v>
      </c>
    </row>
    <row r="339">
      <c r="A339" s="40" t="s">
        <v>36</v>
      </c>
      <c r="B339" s="40" t="s">
        <v>326</v>
      </c>
      <c r="C339" s="40">
        <v>1010.0</v>
      </c>
      <c r="D339" s="40" t="s">
        <v>1021</v>
      </c>
      <c r="E339" s="40" t="s">
        <v>27</v>
      </c>
      <c r="F339" s="197">
        <v>42290.0</v>
      </c>
      <c r="G339" s="197">
        <v>43468.0</v>
      </c>
      <c r="H339" s="197">
        <v>43468.0</v>
      </c>
      <c r="I339" s="197">
        <v>43468.0</v>
      </c>
      <c r="J339" s="196">
        <v>19.99</v>
      </c>
      <c r="K339" s="196">
        <v>9.99</v>
      </c>
      <c r="L339" s="196">
        <v>10.0</v>
      </c>
      <c r="M339" s="40">
        <v>1.0</v>
      </c>
      <c r="N339" s="196">
        <v>9.99</v>
      </c>
    </row>
    <row r="340">
      <c r="A340" s="40" t="s">
        <v>36</v>
      </c>
      <c r="B340" s="40" t="s">
        <v>286</v>
      </c>
      <c r="C340" s="40">
        <v>1023.0</v>
      </c>
      <c r="D340" s="40" t="s">
        <v>1022</v>
      </c>
      <c r="E340" s="40" t="s">
        <v>27</v>
      </c>
      <c r="F340" s="197">
        <v>42653.0</v>
      </c>
      <c r="G340" s="197">
        <v>43463.0</v>
      </c>
      <c r="H340" s="197">
        <v>43463.0</v>
      </c>
      <c r="I340" s="197">
        <v>45150.0</v>
      </c>
      <c r="J340" s="196">
        <v>29.99</v>
      </c>
      <c r="K340" s="196">
        <v>0.0</v>
      </c>
      <c r="L340" s="196">
        <v>29.99</v>
      </c>
      <c r="M340" s="40">
        <v>11.0</v>
      </c>
      <c r="N340" s="196">
        <v>0.0</v>
      </c>
    </row>
    <row r="341">
      <c r="A341" s="40" t="s">
        <v>36</v>
      </c>
      <c r="B341" s="40"/>
      <c r="C341" s="40">
        <v>988.0</v>
      </c>
      <c r="D341" s="40" t="s">
        <v>1023</v>
      </c>
      <c r="E341" s="40" t="s">
        <v>27</v>
      </c>
      <c r="F341" s="197">
        <v>42654.0</v>
      </c>
      <c r="G341" s="197">
        <v>43472.0</v>
      </c>
      <c r="H341" s="197">
        <v>44034.0</v>
      </c>
      <c r="I341" s="197">
        <v>44035.0</v>
      </c>
      <c r="J341" s="196">
        <v>19.99</v>
      </c>
      <c r="K341" s="196">
        <v>9.99</v>
      </c>
      <c r="L341" s="196">
        <v>10.0</v>
      </c>
      <c r="M341" s="40">
        <v>4.0</v>
      </c>
      <c r="N341" s="196">
        <v>2.5</v>
      </c>
    </row>
    <row r="342">
      <c r="A342" s="40" t="s">
        <v>36</v>
      </c>
      <c r="B342" s="40"/>
      <c r="C342" s="40">
        <v>998.0</v>
      </c>
      <c r="D342" s="40" t="s">
        <v>1024</v>
      </c>
      <c r="E342" s="40" t="s">
        <v>27</v>
      </c>
      <c r="F342" s="197">
        <v>42656.0</v>
      </c>
      <c r="G342" s="197">
        <v>43475.0</v>
      </c>
      <c r="H342" s="197">
        <v>43537.0</v>
      </c>
      <c r="I342" s="197">
        <v>43537.0</v>
      </c>
      <c r="J342" s="196">
        <v>19.99</v>
      </c>
      <c r="K342" s="196">
        <v>19.99</v>
      </c>
      <c r="L342" s="196">
        <v>0.0</v>
      </c>
      <c r="M342" s="40">
        <v>2.0</v>
      </c>
      <c r="N342" s="196">
        <v>10.0</v>
      </c>
    </row>
    <row r="343">
      <c r="A343" s="40" t="s">
        <v>36</v>
      </c>
      <c r="B343" s="40"/>
      <c r="C343" s="40">
        <v>1027.0</v>
      </c>
      <c r="D343" s="40" t="s">
        <v>1025</v>
      </c>
      <c r="E343" s="40" t="s">
        <v>27</v>
      </c>
      <c r="F343" s="197">
        <v>42656.0</v>
      </c>
      <c r="G343" s="197">
        <v>43466.0</v>
      </c>
      <c r="H343" s="197">
        <v>43480.0</v>
      </c>
      <c r="I343" s="197">
        <v>43480.0</v>
      </c>
      <c r="J343" s="196">
        <v>19.99</v>
      </c>
      <c r="K343" s="196">
        <v>9.99</v>
      </c>
      <c r="L343" s="196">
        <v>10.0</v>
      </c>
      <c r="M343" s="40">
        <v>1.0</v>
      </c>
      <c r="N343" s="196">
        <v>9.99</v>
      </c>
    </row>
    <row r="344">
      <c r="A344" s="40" t="s">
        <v>36</v>
      </c>
      <c r="B344" s="40"/>
      <c r="C344" s="40">
        <v>1043.0</v>
      </c>
      <c r="D344" s="40" t="s">
        <v>1026</v>
      </c>
      <c r="E344" s="40" t="s">
        <v>27</v>
      </c>
      <c r="F344" s="197">
        <v>42656.0</v>
      </c>
      <c r="G344" s="197">
        <v>43466.0</v>
      </c>
      <c r="H344" s="197">
        <v>43543.0</v>
      </c>
      <c r="I344" s="197">
        <v>43543.0</v>
      </c>
      <c r="J344" s="196">
        <v>9.99</v>
      </c>
      <c r="K344" s="196">
        <v>3.99</v>
      </c>
      <c r="L344" s="196">
        <v>6.0</v>
      </c>
      <c r="M344" s="40">
        <v>1.0</v>
      </c>
      <c r="N344" s="196">
        <v>3.99</v>
      </c>
    </row>
    <row r="345">
      <c r="A345" s="40" t="s">
        <v>36</v>
      </c>
      <c r="B345" s="40"/>
      <c r="C345" s="40">
        <v>1045.0</v>
      </c>
      <c r="D345" s="40" t="s">
        <v>1027</v>
      </c>
      <c r="E345" s="40" t="s">
        <v>27</v>
      </c>
      <c r="F345" s="197">
        <v>42656.0</v>
      </c>
      <c r="G345" s="197">
        <v>43468.0</v>
      </c>
      <c r="H345" s="197">
        <v>43477.0</v>
      </c>
      <c r="I345" s="197">
        <v>43896.0</v>
      </c>
      <c r="J345" s="196">
        <v>19.99</v>
      </c>
      <c r="K345" s="196">
        <v>9.99</v>
      </c>
      <c r="L345" s="196">
        <v>10.0</v>
      </c>
      <c r="M345" s="40">
        <v>1.0</v>
      </c>
      <c r="N345" s="196">
        <v>9.99</v>
      </c>
    </row>
    <row r="346">
      <c r="A346" s="40" t="s">
        <v>36</v>
      </c>
      <c r="B346" s="40"/>
      <c r="C346" s="40">
        <v>1018.0</v>
      </c>
      <c r="D346" s="40" t="s">
        <v>1028</v>
      </c>
      <c r="E346" s="40" t="s">
        <v>27</v>
      </c>
      <c r="F346" s="197">
        <v>42682.0</v>
      </c>
      <c r="G346" s="197">
        <v>43804.0</v>
      </c>
      <c r="H346" s="197">
        <v>43810.0</v>
      </c>
      <c r="I346" s="197">
        <v>43810.0</v>
      </c>
      <c r="J346" s="196">
        <v>19.99</v>
      </c>
      <c r="K346" s="196">
        <v>7.99</v>
      </c>
      <c r="L346" s="196">
        <v>12.0</v>
      </c>
      <c r="M346" s="40">
        <v>2.0</v>
      </c>
      <c r="N346" s="196">
        <v>4.0</v>
      </c>
    </row>
    <row r="347">
      <c r="A347" s="40" t="s">
        <v>36</v>
      </c>
      <c r="B347" s="40"/>
      <c r="C347" s="40">
        <v>1040.0</v>
      </c>
      <c r="D347" s="40" t="s">
        <v>1029</v>
      </c>
      <c r="E347" s="40" t="s">
        <v>27</v>
      </c>
      <c r="F347" s="197">
        <v>42941.0</v>
      </c>
      <c r="G347" s="197">
        <v>43475.0</v>
      </c>
      <c r="H347" s="197">
        <v>43543.0</v>
      </c>
      <c r="I347" s="197">
        <v>43543.0</v>
      </c>
      <c r="J347" s="196">
        <v>15.99</v>
      </c>
      <c r="K347" s="196">
        <v>15.99</v>
      </c>
      <c r="L347" s="196">
        <v>0.0</v>
      </c>
      <c r="M347" s="40">
        <v>1.0</v>
      </c>
      <c r="N347" s="196">
        <v>15.99</v>
      </c>
    </row>
    <row r="348">
      <c r="A348" s="40" t="s">
        <v>36</v>
      </c>
      <c r="B348" s="40" t="s">
        <v>325</v>
      </c>
      <c r="C348" s="40">
        <v>1047.0</v>
      </c>
      <c r="D348" s="40" t="s">
        <v>1030</v>
      </c>
      <c r="E348" s="40" t="s">
        <v>27</v>
      </c>
      <c r="F348" s="197">
        <v>42990.0</v>
      </c>
      <c r="G348" s="197">
        <v>43615.0</v>
      </c>
      <c r="H348" s="197">
        <v>43616.0</v>
      </c>
      <c r="I348" s="197">
        <v>43616.0</v>
      </c>
      <c r="J348" s="196">
        <v>24.99</v>
      </c>
      <c r="K348" s="196">
        <v>9.99</v>
      </c>
      <c r="L348" s="196">
        <v>15.0</v>
      </c>
      <c r="M348" s="40">
        <v>1.0</v>
      </c>
      <c r="N348" s="196">
        <v>9.99</v>
      </c>
    </row>
    <row r="349">
      <c r="A349" s="40" t="s">
        <v>36</v>
      </c>
      <c r="B349" s="40" t="s">
        <v>292</v>
      </c>
      <c r="C349" s="40">
        <v>1029.0</v>
      </c>
      <c r="D349" s="40" t="s">
        <v>1031</v>
      </c>
      <c r="E349" s="40" t="s">
        <v>27</v>
      </c>
      <c r="F349" s="197">
        <v>43119.0</v>
      </c>
      <c r="G349" s="197">
        <v>43468.0</v>
      </c>
      <c r="H349" s="197">
        <v>43543.0</v>
      </c>
      <c r="I349" s="197">
        <v>44027.0</v>
      </c>
      <c r="J349" s="196">
        <v>19.99</v>
      </c>
      <c r="K349" s="196">
        <v>11.99</v>
      </c>
      <c r="L349" s="196">
        <v>8.0</v>
      </c>
      <c r="M349" s="40">
        <v>18.0</v>
      </c>
      <c r="N349" s="196">
        <v>0.67</v>
      </c>
    </row>
    <row r="350">
      <c r="A350" s="40" t="s">
        <v>36</v>
      </c>
      <c r="B350" s="40" t="s">
        <v>328</v>
      </c>
      <c r="C350" s="40">
        <v>1009.0</v>
      </c>
      <c r="D350" s="40" t="s">
        <v>1032</v>
      </c>
      <c r="E350" s="40" t="s">
        <v>27</v>
      </c>
      <c r="F350" s="197">
        <v>43979.0</v>
      </c>
      <c r="G350" s="197">
        <v>44252.0</v>
      </c>
      <c r="H350" s="197">
        <v>44254.0</v>
      </c>
      <c r="I350" s="197">
        <v>44254.0</v>
      </c>
      <c r="J350" s="196">
        <v>18.99</v>
      </c>
      <c r="K350" s="196">
        <v>11.39</v>
      </c>
      <c r="L350" s="196">
        <v>7.6</v>
      </c>
      <c r="M350" s="40">
        <v>2.0</v>
      </c>
      <c r="N350" s="196">
        <v>5.7</v>
      </c>
    </row>
    <row r="351">
      <c r="A351" s="40" t="s">
        <v>36</v>
      </c>
      <c r="B351" s="40"/>
      <c r="C351" s="40">
        <v>1030.0</v>
      </c>
      <c r="D351" s="40" t="s">
        <v>1033</v>
      </c>
      <c r="E351" s="40" t="s">
        <v>27</v>
      </c>
      <c r="F351" s="197">
        <v>44385.0</v>
      </c>
      <c r="G351" s="197">
        <v>44708.0</v>
      </c>
      <c r="H351" s="197">
        <v>44708.0</v>
      </c>
      <c r="I351" s="197">
        <v>44708.0</v>
      </c>
      <c r="J351" s="196">
        <v>29.99</v>
      </c>
      <c r="K351" s="196">
        <v>13.49</v>
      </c>
      <c r="L351" s="196">
        <v>16.5</v>
      </c>
      <c r="M351" s="40">
        <v>1.0</v>
      </c>
      <c r="N351" s="196">
        <v>13.49</v>
      </c>
    </row>
    <row r="352">
      <c r="A352" s="40" t="s">
        <v>36</v>
      </c>
      <c r="B352" s="40" t="s">
        <v>306</v>
      </c>
      <c r="C352" s="40">
        <v>1076.0</v>
      </c>
      <c r="D352" s="40" t="s">
        <v>1034</v>
      </c>
      <c r="E352" s="40" t="s">
        <v>28</v>
      </c>
      <c r="F352" s="197">
        <v>44894.0</v>
      </c>
      <c r="G352" s="197">
        <v>45265.0</v>
      </c>
      <c r="H352" s="197">
        <v>45265.0</v>
      </c>
      <c r="I352" s="197">
        <v>45265.0</v>
      </c>
      <c r="J352" s="196">
        <v>24.99</v>
      </c>
      <c r="K352" s="196">
        <v>0.0</v>
      </c>
      <c r="L352" s="196">
        <v>24.99</v>
      </c>
      <c r="M352" s="40">
        <v>1.0</v>
      </c>
      <c r="N352" s="196">
        <v>0.0</v>
      </c>
    </row>
    <row r="353">
      <c r="A353" s="203" t="s">
        <v>36</v>
      </c>
      <c r="B353" s="204"/>
      <c r="C353" s="205">
        <v>1107.0</v>
      </c>
      <c r="D353" s="206" t="s">
        <v>46</v>
      </c>
      <c r="E353" s="206" t="s">
        <v>28</v>
      </c>
      <c r="F353" s="207">
        <v>44897.0</v>
      </c>
      <c r="G353" s="207">
        <v>46030.0</v>
      </c>
      <c r="H353" s="207">
        <v>46033.0</v>
      </c>
      <c r="I353" s="207">
        <v>46046.0</v>
      </c>
      <c r="J353" s="203">
        <v>79.99</v>
      </c>
      <c r="K353" s="203">
        <v>0.0</v>
      </c>
      <c r="L353" s="203">
        <f t="shared" ref="L353:L354" si="30">J353-K353</f>
        <v>79.99</v>
      </c>
      <c r="M353" s="204">
        <v>48.0</v>
      </c>
      <c r="N353" s="203">
        <f t="shared" ref="N353:N354" si="31">K353/M353</f>
        <v>0</v>
      </c>
    </row>
    <row r="354">
      <c r="A354" s="203" t="s">
        <v>36</v>
      </c>
      <c r="B354" s="204"/>
      <c r="C354" s="205">
        <v>1060.0</v>
      </c>
      <c r="D354" s="206" t="s">
        <v>45</v>
      </c>
      <c r="E354" s="206" t="s">
        <v>28</v>
      </c>
      <c r="F354" s="207">
        <v>45267.0</v>
      </c>
      <c r="G354" s="207">
        <v>45734.0</v>
      </c>
      <c r="H354" s="207">
        <v>46024.0</v>
      </c>
      <c r="I354" s="207">
        <v>46024.0</v>
      </c>
      <c r="J354" s="203">
        <v>59.99</v>
      </c>
      <c r="K354" s="203">
        <v>23.99</v>
      </c>
      <c r="L354" s="208">
        <f t="shared" si="30"/>
        <v>36</v>
      </c>
      <c r="M354" s="204">
        <v>2.0</v>
      </c>
      <c r="N354" s="208">
        <f t="shared" si="31"/>
        <v>11.995</v>
      </c>
    </row>
    <row r="355">
      <c r="A355" s="40" t="s">
        <v>36</v>
      </c>
      <c r="B355" s="40"/>
      <c r="C355" s="40">
        <v>1072.0</v>
      </c>
      <c r="D355" s="40" t="s">
        <v>1035</v>
      </c>
      <c r="E355" s="40" t="s">
        <v>28</v>
      </c>
      <c r="F355" s="197">
        <v>45377.0</v>
      </c>
      <c r="G355" s="197">
        <v>45445.0</v>
      </c>
      <c r="H355" s="197">
        <v>45445.0</v>
      </c>
      <c r="I355" s="197">
        <v>45445.0</v>
      </c>
      <c r="J355" s="196">
        <v>74.98</v>
      </c>
      <c r="K355" s="196">
        <v>65.48</v>
      </c>
      <c r="L355" s="196">
        <v>9.5</v>
      </c>
      <c r="M355" s="40">
        <v>1.0</v>
      </c>
      <c r="N355" s="196">
        <v>65.48</v>
      </c>
    </row>
    <row r="356">
      <c r="A356" s="40" t="s">
        <v>36</v>
      </c>
      <c r="B356" s="40" t="s">
        <v>247</v>
      </c>
      <c r="C356" s="40">
        <v>1082.0</v>
      </c>
      <c r="D356" s="40" t="s">
        <v>1036</v>
      </c>
      <c r="E356" s="40" t="s">
        <v>28</v>
      </c>
      <c r="F356" s="197">
        <v>45552.0</v>
      </c>
      <c r="G356" s="197">
        <v>45554.0</v>
      </c>
      <c r="H356" s="197">
        <v>45555.0</v>
      </c>
      <c r="I356" s="197">
        <v>45559.0</v>
      </c>
      <c r="J356" s="196">
        <v>29.99</v>
      </c>
      <c r="K356" s="196">
        <v>0.0</v>
      </c>
      <c r="L356" s="196">
        <v>29.99</v>
      </c>
      <c r="M356" s="40">
        <v>10.0</v>
      </c>
      <c r="N356" s="196">
        <v>0.0</v>
      </c>
    </row>
    <row r="357">
      <c r="A357" s="58">
        <f t="shared" ref="A357:B357" si="32">COUNTA(A177:A356)</f>
        <v>180</v>
      </c>
      <c r="B357" s="58">
        <f t="shared" si="32"/>
        <v>87</v>
      </c>
      <c r="C357" s="37">
        <v>180.0</v>
      </c>
      <c r="D357" s="37">
        <v>87.0</v>
      </c>
      <c r="E357" s="49">
        <v>3875.58</v>
      </c>
      <c r="F357" s="49">
        <v>1437.55</v>
      </c>
      <c r="G357" s="39">
        <v>2438.03</v>
      </c>
      <c r="H357" s="37">
        <v>1923.0</v>
      </c>
      <c r="I357" s="49">
        <v>0.75</v>
      </c>
      <c r="J357" s="173">
        <f t="shared" ref="J357:M357" si="33">SUM(J177:J356)</f>
        <v>3875.58</v>
      </c>
      <c r="K357" s="173">
        <f t="shared" si="33"/>
        <v>1437.55</v>
      </c>
      <c r="L357" s="173">
        <f t="shared" si="33"/>
        <v>2438.03</v>
      </c>
      <c r="M357" s="58">
        <f t="shared" si="33"/>
        <v>1923</v>
      </c>
      <c r="N357" s="173">
        <f>K357/M357</f>
        <v>0.7475559022</v>
      </c>
    </row>
    <row r="358">
      <c r="A358" s="109"/>
      <c r="B358" s="109"/>
      <c r="C358" s="109"/>
      <c r="D358" s="144"/>
      <c r="E358" s="144"/>
      <c r="F358" s="144"/>
      <c r="G358" s="144"/>
      <c r="H358" s="144"/>
      <c r="I358" s="144"/>
      <c r="J358" s="7"/>
      <c r="K358" s="7"/>
      <c r="L358" s="7"/>
      <c r="M358" s="7"/>
      <c r="N358" s="7"/>
    </row>
    <row r="359">
      <c r="A359" s="54" t="s">
        <v>331</v>
      </c>
      <c r="B359" s="54" t="s">
        <v>330</v>
      </c>
      <c r="C359" s="209">
        <v>1100.0</v>
      </c>
      <c r="D359" s="209" t="s">
        <v>1037</v>
      </c>
      <c r="E359" s="209" t="s">
        <v>26</v>
      </c>
      <c r="F359" s="210">
        <v>44285.0</v>
      </c>
      <c r="G359" s="210">
        <v>46016.0</v>
      </c>
      <c r="H359" s="210">
        <v>46016.0</v>
      </c>
      <c r="I359" s="210">
        <v>46016.0</v>
      </c>
      <c r="J359" s="187">
        <v>39.99</v>
      </c>
      <c r="K359" s="187">
        <v>0.0</v>
      </c>
      <c r="L359" s="187">
        <v>39.99</v>
      </c>
      <c r="M359" s="209">
        <v>1.0</v>
      </c>
      <c r="N359" s="187">
        <v>0.0</v>
      </c>
    </row>
    <row r="360">
      <c r="A360" s="50">
        <f t="shared" ref="A360:B360" si="34">COUNTA(A359)</f>
        <v>1</v>
      </c>
      <c r="B360" s="50">
        <f t="shared" si="34"/>
        <v>1</v>
      </c>
      <c r="C360" s="50"/>
      <c r="D360" s="50"/>
      <c r="E360" s="189">
        <v>39.99</v>
      </c>
      <c r="F360" s="189">
        <v>0.0</v>
      </c>
      <c r="G360" s="189">
        <v>39.99</v>
      </c>
      <c r="H360" s="50">
        <v>1.0</v>
      </c>
      <c r="I360" s="189">
        <v>0.0</v>
      </c>
      <c r="J360" s="53">
        <f t="shared" ref="J360:M360" si="35">SUM(J359)</f>
        <v>39.99</v>
      </c>
      <c r="K360" s="53">
        <f t="shared" si="35"/>
        <v>0</v>
      </c>
      <c r="L360" s="53">
        <f t="shared" si="35"/>
        <v>39.99</v>
      </c>
      <c r="M360" s="193">
        <f t="shared" si="35"/>
        <v>1</v>
      </c>
      <c r="N360" s="53">
        <f>K360/M360</f>
        <v>0</v>
      </c>
    </row>
    <row r="361">
      <c r="A361" s="109"/>
      <c r="B361" s="109"/>
      <c r="C361" s="109"/>
      <c r="D361" s="144"/>
      <c r="E361" s="144"/>
      <c r="F361" s="144"/>
      <c r="G361" s="144"/>
      <c r="H361" s="144"/>
      <c r="I361" s="144"/>
      <c r="J361" s="7"/>
      <c r="K361" s="7"/>
      <c r="L361" s="7"/>
      <c r="M361" s="7"/>
      <c r="N361" s="7"/>
    </row>
    <row r="362">
      <c r="A362" s="54" t="s">
        <v>333</v>
      </c>
      <c r="B362" s="54" t="s">
        <v>340</v>
      </c>
      <c r="C362" s="54">
        <v>114.0</v>
      </c>
      <c r="D362" s="54" t="s">
        <v>1038</v>
      </c>
      <c r="E362" s="54" t="s">
        <v>22</v>
      </c>
      <c r="F362" s="192">
        <v>37267.0</v>
      </c>
      <c r="G362" s="192">
        <v>42950.0</v>
      </c>
      <c r="H362" s="192">
        <v>44181.0</v>
      </c>
      <c r="I362" s="192">
        <v>44181.0</v>
      </c>
      <c r="J362" s="191">
        <v>13.99</v>
      </c>
      <c r="K362" s="191">
        <v>5.99</v>
      </c>
      <c r="L362" s="191">
        <v>8.0</v>
      </c>
      <c r="M362" s="54">
        <v>2.0</v>
      </c>
      <c r="N362" s="191">
        <v>3.0</v>
      </c>
    </row>
    <row r="363">
      <c r="A363" s="54" t="s">
        <v>333</v>
      </c>
      <c r="B363" s="54" t="s">
        <v>338</v>
      </c>
      <c r="C363" s="54">
        <v>375.0</v>
      </c>
      <c r="D363" s="54" t="s">
        <v>1039</v>
      </c>
      <c r="E363" s="54" t="s">
        <v>24</v>
      </c>
      <c r="F363" s="192">
        <v>39443.0</v>
      </c>
      <c r="G363" s="192">
        <v>42754.0</v>
      </c>
      <c r="H363" s="192">
        <v>42754.0</v>
      </c>
      <c r="I363" s="192">
        <v>42754.0</v>
      </c>
      <c r="J363" s="191">
        <v>32.98</v>
      </c>
      <c r="K363" s="191">
        <v>17.98</v>
      </c>
      <c r="L363" s="191">
        <v>15.0</v>
      </c>
      <c r="M363" s="54">
        <v>1.0</v>
      </c>
      <c r="N363" s="191">
        <v>17.98</v>
      </c>
    </row>
    <row r="364">
      <c r="A364" s="54" t="s">
        <v>333</v>
      </c>
      <c r="B364" s="54" t="s">
        <v>337</v>
      </c>
      <c r="C364" s="54">
        <v>409.0</v>
      </c>
      <c r="D364" s="54" t="s">
        <v>1040</v>
      </c>
      <c r="E364" s="54" t="s">
        <v>24</v>
      </c>
      <c r="F364" s="192">
        <v>40073.0</v>
      </c>
      <c r="G364" s="192">
        <v>42951.0</v>
      </c>
      <c r="H364" s="192">
        <v>43095.0</v>
      </c>
      <c r="I364" s="192">
        <v>45183.0</v>
      </c>
      <c r="J364" s="191">
        <v>9.99</v>
      </c>
      <c r="K364" s="191">
        <v>2.99</v>
      </c>
      <c r="L364" s="191">
        <v>7.0</v>
      </c>
      <c r="M364" s="54">
        <v>2.0</v>
      </c>
      <c r="N364" s="191">
        <v>1.5</v>
      </c>
    </row>
    <row r="365">
      <c r="A365" s="54" t="s">
        <v>333</v>
      </c>
      <c r="B365" s="54"/>
      <c r="C365" s="54">
        <v>410.0</v>
      </c>
      <c r="D365" s="54" t="s">
        <v>1041</v>
      </c>
      <c r="E365" s="54" t="s">
        <v>24</v>
      </c>
      <c r="F365" s="192">
        <v>40975.0</v>
      </c>
      <c r="G365" s="192">
        <v>42951.0</v>
      </c>
      <c r="H365" s="192">
        <v>43095.0</v>
      </c>
      <c r="I365" s="192">
        <v>43095.0</v>
      </c>
      <c r="J365" s="191">
        <v>9.99</v>
      </c>
      <c r="K365" s="191">
        <v>2.99</v>
      </c>
      <c r="L365" s="191">
        <v>7.0</v>
      </c>
      <c r="M365" s="54">
        <v>1.0</v>
      </c>
      <c r="N365" s="191">
        <v>2.99</v>
      </c>
    </row>
    <row r="366">
      <c r="A366" s="54" t="s">
        <v>333</v>
      </c>
      <c r="B366" s="54" t="s">
        <v>341</v>
      </c>
      <c r="C366" s="54">
        <v>182.0</v>
      </c>
      <c r="D366" s="54" t="s">
        <v>1042</v>
      </c>
      <c r="E366" s="54" t="s">
        <v>24</v>
      </c>
      <c r="F366" s="192">
        <v>41180.0</v>
      </c>
      <c r="G366" s="192">
        <v>41999.0</v>
      </c>
      <c r="H366" s="192">
        <v>42001.0</v>
      </c>
      <c r="I366" s="192">
        <v>44799.0</v>
      </c>
      <c r="J366" s="191">
        <v>10.0</v>
      </c>
      <c r="K366" s="191">
        <v>10.0</v>
      </c>
      <c r="L366" s="191">
        <v>0.0</v>
      </c>
      <c r="M366" s="54">
        <v>5.0</v>
      </c>
      <c r="N366" s="191">
        <v>2.0</v>
      </c>
    </row>
    <row r="367">
      <c r="A367" s="54" t="s">
        <v>333</v>
      </c>
      <c r="B367" s="54"/>
      <c r="C367" s="54">
        <v>183.0</v>
      </c>
      <c r="D367" s="54" t="s">
        <v>1043</v>
      </c>
      <c r="E367" s="54" t="s">
        <v>24</v>
      </c>
      <c r="F367" s="192">
        <v>41180.0</v>
      </c>
      <c r="G367" s="192">
        <v>41999.0</v>
      </c>
      <c r="H367" s="192">
        <v>42001.0</v>
      </c>
      <c r="I367" s="192">
        <v>44799.0</v>
      </c>
      <c r="J367" s="191">
        <v>10.0</v>
      </c>
      <c r="K367" s="191">
        <v>10.0</v>
      </c>
      <c r="L367" s="191">
        <v>0.0</v>
      </c>
      <c r="M367" s="54">
        <v>2.0</v>
      </c>
      <c r="N367" s="191">
        <v>5.0</v>
      </c>
    </row>
    <row r="368">
      <c r="A368" s="54" t="s">
        <v>333</v>
      </c>
      <c r="B368" s="54"/>
      <c r="C368" s="54">
        <v>184.0</v>
      </c>
      <c r="D368" s="54" t="s">
        <v>1044</v>
      </c>
      <c r="E368" s="54" t="s">
        <v>24</v>
      </c>
      <c r="F368" s="192">
        <v>41180.0</v>
      </c>
      <c r="G368" s="192">
        <v>41999.0</v>
      </c>
      <c r="H368" s="192">
        <v>42001.0</v>
      </c>
      <c r="I368" s="192">
        <v>44799.0</v>
      </c>
      <c r="J368" s="191">
        <v>9.99</v>
      </c>
      <c r="K368" s="191">
        <v>9.99</v>
      </c>
      <c r="L368" s="191">
        <v>0.0</v>
      </c>
      <c r="M368" s="54">
        <v>1.0</v>
      </c>
      <c r="N368" s="191">
        <v>9.99</v>
      </c>
    </row>
    <row r="369">
      <c r="A369" s="54" t="s">
        <v>333</v>
      </c>
      <c r="B369" s="54" t="s">
        <v>336</v>
      </c>
      <c r="C369" s="54">
        <v>396.0</v>
      </c>
      <c r="D369" s="54" t="s">
        <v>1045</v>
      </c>
      <c r="E369" s="54" t="s">
        <v>24</v>
      </c>
      <c r="F369" s="192">
        <v>41857.0</v>
      </c>
      <c r="G369" s="192">
        <v>42875.0</v>
      </c>
      <c r="H369" s="192">
        <v>42875.0</v>
      </c>
      <c r="I369" s="192">
        <v>42875.0</v>
      </c>
      <c r="J369" s="191">
        <v>14.99</v>
      </c>
      <c r="K369" s="191">
        <v>3.99</v>
      </c>
      <c r="L369" s="191">
        <v>11.0</v>
      </c>
      <c r="M369" s="54">
        <v>4.0</v>
      </c>
      <c r="N369" s="191">
        <v>1.0</v>
      </c>
    </row>
    <row r="370">
      <c r="A370" s="54" t="s">
        <v>333</v>
      </c>
      <c r="B370" s="54" t="s">
        <v>332</v>
      </c>
      <c r="C370" s="54">
        <v>382.0</v>
      </c>
      <c r="D370" s="54" t="s">
        <v>1046</v>
      </c>
      <c r="E370" s="54" t="s">
        <v>24</v>
      </c>
      <c r="F370" s="192">
        <v>41955.0</v>
      </c>
      <c r="G370" s="192">
        <v>42832.0</v>
      </c>
      <c r="H370" s="192">
        <v>44027.0</v>
      </c>
      <c r="I370" s="192">
        <v>44027.0</v>
      </c>
      <c r="J370" s="191">
        <v>9.98</v>
      </c>
      <c r="K370" s="191">
        <v>9.98</v>
      </c>
      <c r="L370" s="191">
        <v>0.0</v>
      </c>
      <c r="M370" s="54">
        <v>5.0</v>
      </c>
      <c r="N370" s="191">
        <v>2.0</v>
      </c>
    </row>
    <row r="371">
      <c r="A371" s="54" t="s">
        <v>333</v>
      </c>
      <c r="B371" s="54" t="s">
        <v>339</v>
      </c>
      <c r="C371" s="54">
        <v>188.0</v>
      </c>
      <c r="D371" s="54" t="s">
        <v>1047</v>
      </c>
      <c r="E371" s="54" t="s">
        <v>24</v>
      </c>
      <c r="F371" s="192">
        <v>42152.0</v>
      </c>
      <c r="G371" s="192">
        <v>43519.0</v>
      </c>
      <c r="H371" s="192">
        <v>43675.0</v>
      </c>
      <c r="I371" s="192">
        <v>43681.0</v>
      </c>
      <c r="J371" s="191">
        <v>11.99</v>
      </c>
      <c r="K371" s="191">
        <v>4.99</v>
      </c>
      <c r="L371" s="191">
        <v>7.0</v>
      </c>
      <c r="M371" s="54">
        <v>2.0</v>
      </c>
      <c r="N371" s="191">
        <v>2.5</v>
      </c>
    </row>
    <row r="372">
      <c r="A372" s="54" t="s">
        <v>333</v>
      </c>
      <c r="B372" s="54"/>
      <c r="C372" s="54">
        <v>495.0</v>
      </c>
      <c r="D372" s="54" t="s">
        <v>1048</v>
      </c>
      <c r="E372" s="54" t="s">
        <v>25</v>
      </c>
      <c r="F372" s="192">
        <v>42752.0</v>
      </c>
      <c r="G372" s="192">
        <v>42950.0</v>
      </c>
      <c r="H372" s="192">
        <v>42950.0</v>
      </c>
      <c r="I372" s="192">
        <v>42950.0</v>
      </c>
      <c r="J372" s="191">
        <v>9.99</v>
      </c>
      <c r="K372" s="191">
        <v>3.99</v>
      </c>
      <c r="L372" s="191">
        <v>6.0</v>
      </c>
      <c r="M372" s="54">
        <v>1.0</v>
      </c>
      <c r="N372" s="191">
        <v>3.99</v>
      </c>
    </row>
    <row r="373">
      <c r="A373" s="54" t="s">
        <v>333</v>
      </c>
      <c r="B373" s="54"/>
      <c r="C373" s="54">
        <v>814.0</v>
      </c>
      <c r="D373" s="54" t="s">
        <v>1049</v>
      </c>
      <c r="E373" s="54" t="s">
        <v>26</v>
      </c>
      <c r="F373" s="192">
        <v>41607.0</v>
      </c>
      <c r="G373" s="192">
        <v>42925.0</v>
      </c>
      <c r="H373" s="192">
        <v>43080.0</v>
      </c>
      <c r="I373" s="192">
        <v>45354.0</v>
      </c>
      <c r="J373" s="191">
        <v>12.99</v>
      </c>
      <c r="K373" s="191">
        <v>3.99</v>
      </c>
      <c r="L373" s="191">
        <v>9.0</v>
      </c>
      <c r="M373" s="54">
        <v>7.0</v>
      </c>
      <c r="N373" s="191">
        <v>0.57</v>
      </c>
    </row>
    <row r="374">
      <c r="A374" s="54" t="s">
        <v>333</v>
      </c>
      <c r="B374" s="54"/>
      <c r="C374" s="54">
        <v>943.0</v>
      </c>
      <c r="D374" s="54" t="s">
        <v>1050</v>
      </c>
      <c r="E374" s="54" t="s">
        <v>26</v>
      </c>
      <c r="F374" s="192">
        <v>42360.0</v>
      </c>
      <c r="G374" s="192">
        <v>42951.0</v>
      </c>
      <c r="H374" s="192">
        <v>43095.0</v>
      </c>
      <c r="I374" s="192">
        <v>43095.0</v>
      </c>
      <c r="J374" s="57">
        <v>9.99</v>
      </c>
      <c r="K374" s="57">
        <v>1.99</v>
      </c>
      <c r="L374" s="191">
        <v>8.0</v>
      </c>
      <c r="M374" s="54">
        <v>1.0</v>
      </c>
      <c r="N374" s="191">
        <v>1.99</v>
      </c>
    </row>
    <row r="375">
      <c r="A375" s="54" t="s">
        <v>333</v>
      </c>
      <c r="B375" s="54"/>
      <c r="C375" s="54">
        <v>764.0</v>
      </c>
      <c r="D375" s="54" t="s">
        <v>1051</v>
      </c>
      <c r="E375" s="54" t="s">
        <v>26</v>
      </c>
      <c r="F375" s="192">
        <v>42521.0</v>
      </c>
      <c r="G375" s="192">
        <v>42811.0</v>
      </c>
      <c r="H375" s="192">
        <v>42823.0</v>
      </c>
      <c r="I375" s="192">
        <v>45425.0</v>
      </c>
      <c r="J375" s="191">
        <v>14.99</v>
      </c>
      <c r="K375" s="191">
        <v>4.49</v>
      </c>
      <c r="L375" s="191">
        <v>10.5</v>
      </c>
      <c r="M375" s="54">
        <v>33.0</v>
      </c>
      <c r="N375" s="191">
        <v>0.14</v>
      </c>
    </row>
    <row r="376">
      <c r="A376" s="54" t="s">
        <v>333</v>
      </c>
      <c r="B376" s="54" t="s">
        <v>335</v>
      </c>
      <c r="C376" s="54">
        <v>549.0</v>
      </c>
      <c r="D376" s="54" t="s">
        <v>1052</v>
      </c>
      <c r="E376" s="54" t="s">
        <v>26</v>
      </c>
      <c r="F376" s="192">
        <v>42962.0</v>
      </c>
      <c r="G376" s="192">
        <v>43699.0</v>
      </c>
      <c r="H376" s="192">
        <v>43701.0</v>
      </c>
      <c r="I376" s="192">
        <v>43701.0</v>
      </c>
      <c r="J376" s="191">
        <v>139.98</v>
      </c>
      <c r="K376" s="191">
        <v>84.98</v>
      </c>
      <c r="L376" s="191">
        <v>55.0</v>
      </c>
      <c r="M376" s="54">
        <v>2.0</v>
      </c>
      <c r="N376" s="191">
        <v>42.49</v>
      </c>
    </row>
    <row r="377">
      <c r="A377" s="54" t="s">
        <v>333</v>
      </c>
      <c r="B377" s="54" t="s">
        <v>334</v>
      </c>
      <c r="C377" s="54">
        <v>973.0</v>
      </c>
      <c r="D377" s="54" t="s">
        <v>1053</v>
      </c>
      <c r="E377" s="54" t="s">
        <v>26</v>
      </c>
      <c r="F377" s="192">
        <v>43704.0</v>
      </c>
      <c r="G377" s="192">
        <v>44334.0</v>
      </c>
      <c r="H377" s="192">
        <v>44342.0</v>
      </c>
      <c r="I377" s="192">
        <v>44354.0</v>
      </c>
      <c r="J377" s="191">
        <v>29.99</v>
      </c>
      <c r="K377" s="191">
        <v>0.0</v>
      </c>
      <c r="L377" s="191">
        <v>29.99</v>
      </c>
      <c r="M377" s="54">
        <v>43.0</v>
      </c>
      <c r="N377" s="191">
        <v>0.0</v>
      </c>
    </row>
    <row r="378">
      <c r="A378" s="54" t="s">
        <v>333</v>
      </c>
      <c r="B378" s="54"/>
      <c r="C378" s="54">
        <v>505.0</v>
      </c>
      <c r="D378" s="54" t="s">
        <v>1054</v>
      </c>
      <c r="E378" s="54" t="s">
        <v>26</v>
      </c>
      <c r="F378" s="192">
        <v>44474.0</v>
      </c>
      <c r="G378" s="192">
        <v>45111.0</v>
      </c>
      <c r="H378" s="192">
        <v>45111.0</v>
      </c>
      <c r="I378" s="192">
        <v>45111.0</v>
      </c>
      <c r="J378" s="191">
        <v>29.99</v>
      </c>
      <c r="K378" s="191">
        <v>0.0</v>
      </c>
      <c r="L378" s="191">
        <v>29.99</v>
      </c>
      <c r="M378" s="54">
        <v>1.0</v>
      </c>
      <c r="N378" s="191">
        <v>0.0</v>
      </c>
    </row>
    <row r="379">
      <c r="A379" s="54" t="s">
        <v>333</v>
      </c>
      <c r="B379" s="54"/>
      <c r="C379" s="54">
        <v>1074.0</v>
      </c>
      <c r="D379" s="54" t="s">
        <v>1055</v>
      </c>
      <c r="E379" s="54" t="s">
        <v>28</v>
      </c>
      <c r="F379" s="192">
        <v>44316.0</v>
      </c>
      <c r="G379" s="192">
        <v>44883.0</v>
      </c>
      <c r="H379" s="192">
        <v>45521.0</v>
      </c>
      <c r="I379" s="192">
        <v>45521.0</v>
      </c>
      <c r="J379" s="191">
        <v>79.99</v>
      </c>
      <c r="K379" s="191">
        <v>39.99</v>
      </c>
      <c r="L379" s="191">
        <v>40.0</v>
      </c>
      <c r="M379" s="54">
        <v>2.0</v>
      </c>
      <c r="N379" s="191">
        <v>20.0</v>
      </c>
    </row>
    <row r="380">
      <c r="A380" s="50">
        <f t="shared" ref="A380:B380" si="36">COUNTA(A362:A379)</f>
        <v>18</v>
      </c>
      <c r="B380" s="50">
        <f t="shared" si="36"/>
        <v>9</v>
      </c>
      <c r="C380" s="50"/>
      <c r="D380" s="50"/>
      <c r="E380" s="211">
        <v>461.81</v>
      </c>
      <c r="F380" s="211">
        <v>218.33</v>
      </c>
      <c r="G380" s="211">
        <v>243.48</v>
      </c>
      <c r="H380" s="50">
        <v>115.0</v>
      </c>
      <c r="I380" s="189">
        <v>1.898521739130435</v>
      </c>
      <c r="J380" s="53">
        <f t="shared" ref="J380:M380" si="37">SUM(J362:J379)</f>
        <v>461.81</v>
      </c>
      <c r="K380" s="53">
        <f t="shared" si="37"/>
        <v>218.33</v>
      </c>
      <c r="L380" s="53">
        <f t="shared" si="37"/>
        <v>243.48</v>
      </c>
      <c r="M380" s="193">
        <f t="shared" si="37"/>
        <v>115</v>
      </c>
      <c r="N380" s="53">
        <f>K380/M380</f>
        <v>1.898521739</v>
      </c>
    </row>
    <row r="381">
      <c r="A381" s="55"/>
      <c r="B381" s="54"/>
      <c r="C381" s="54"/>
      <c r="D381" s="54"/>
      <c r="E381" s="55"/>
      <c r="F381" s="55"/>
      <c r="G381" s="55"/>
      <c r="H381" s="55"/>
      <c r="I381" s="55"/>
      <c r="J381" s="187"/>
      <c r="K381" s="187"/>
      <c r="L381" s="187"/>
      <c r="M381" s="55"/>
      <c r="N381" s="187"/>
    </row>
    <row r="382">
      <c r="A382" s="50" t="s">
        <v>47</v>
      </c>
      <c r="B382" s="50" t="s">
        <v>365</v>
      </c>
      <c r="C382" s="50">
        <v>43.0</v>
      </c>
      <c r="D382" s="50" t="s">
        <v>1056</v>
      </c>
      <c r="E382" s="50" t="s">
        <v>21</v>
      </c>
      <c r="F382" s="188">
        <v>34971.0</v>
      </c>
      <c r="G382" s="188">
        <v>41763.0</v>
      </c>
      <c r="H382" s="188">
        <v>41763.0</v>
      </c>
      <c r="I382" s="188">
        <v>41763.0</v>
      </c>
      <c r="J382" s="190">
        <v>4.99</v>
      </c>
      <c r="K382" s="190">
        <v>4.99</v>
      </c>
      <c r="L382" s="190">
        <v>0.0</v>
      </c>
      <c r="M382" s="50">
        <v>50.0</v>
      </c>
      <c r="N382" s="190">
        <v>0.1</v>
      </c>
    </row>
    <row r="383">
      <c r="A383" s="50" t="s">
        <v>47</v>
      </c>
      <c r="B383" s="50" t="s">
        <v>344</v>
      </c>
      <c r="C383" s="50">
        <v>48.0</v>
      </c>
      <c r="D383" s="50" t="s">
        <v>1057</v>
      </c>
      <c r="E383" s="50" t="s">
        <v>21</v>
      </c>
      <c r="F383" s="188">
        <v>37148.0</v>
      </c>
      <c r="G383" s="188">
        <v>40538.0</v>
      </c>
      <c r="H383" s="188">
        <v>40538.0</v>
      </c>
      <c r="I383" s="188">
        <v>40538.0</v>
      </c>
      <c r="J383" s="190">
        <v>9.99</v>
      </c>
      <c r="K383" s="190">
        <v>9.99</v>
      </c>
      <c r="L383" s="190">
        <v>0.0</v>
      </c>
      <c r="M383" s="50">
        <v>45.0</v>
      </c>
      <c r="N383" s="190">
        <v>0.22</v>
      </c>
    </row>
    <row r="384">
      <c r="A384" s="50" t="s">
        <v>47</v>
      </c>
      <c r="B384" s="50"/>
      <c r="C384" s="50">
        <v>128.0</v>
      </c>
      <c r="D384" s="50" t="s">
        <v>1058</v>
      </c>
      <c r="E384" s="50" t="s">
        <v>22</v>
      </c>
      <c r="F384" s="188">
        <v>37694.0</v>
      </c>
      <c r="G384" s="188">
        <v>44237.0</v>
      </c>
      <c r="H384" s="188">
        <v>44283.0</v>
      </c>
      <c r="I384" s="188">
        <v>44284.0</v>
      </c>
      <c r="J384" s="190">
        <v>9.99</v>
      </c>
      <c r="K384" s="190">
        <v>9.99</v>
      </c>
      <c r="L384" s="190">
        <v>0.0</v>
      </c>
      <c r="M384" s="50">
        <v>3.0</v>
      </c>
      <c r="N384" s="190">
        <v>3.33</v>
      </c>
    </row>
    <row r="385">
      <c r="A385" s="50" t="s">
        <v>47</v>
      </c>
      <c r="B385" s="50"/>
      <c r="C385" s="50">
        <v>78.0</v>
      </c>
      <c r="D385" s="50" t="s">
        <v>1059</v>
      </c>
      <c r="E385" s="50" t="s">
        <v>22</v>
      </c>
      <c r="F385" s="188">
        <v>37939.0</v>
      </c>
      <c r="G385" s="188">
        <v>44237.0</v>
      </c>
      <c r="H385" s="188">
        <v>44261.0</v>
      </c>
      <c r="I385" s="188">
        <v>44265.0</v>
      </c>
      <c r="J385" s="190">
        <v>9.99</v>
      </c>
      <c r="K385" s="190">
        <v>9.99</v>
      </c>
      <c r="L385" s="190">
        <v>0.0</v>
      </c>
      <c r="M385" s="50">
        <v>10.0</v>
      </c>
      <c r="N385" s="190">
        <v>1.0</v>
      </c>
    </row>
    <row r="386">
      <c r="A386" s="50" t="s">
        <v>47</v>
      </c>
      <c r="B386" s="50" t="s">
        <v>360</v>
      </c>
      <c r="C386" s="50">
        <v>93.0</v>
      </c>
      <c r="D386" s="50" t="s">
        <v>1060</v>
      </c>
      <c r="E386" s="50" t="s">
        <v>22</v>
      </c>
      <c r="F386" s="188">
        <v>38611.0</v>
      </c>
      <c r="G386" s="188">
        <v>44708.0</v>
      </c>
      <c r="H386" s="188">
        <v>44708.0</v>
      </c>
      <c r="I386" s="188">
        <v>44708.0</v>
      </c>
      <c r="J386" s="190">
        <v>13.49</v>
      </c>
      <c r="K386" s="190">
        <v>5.39</v>
      </c>
      <c r="L386" s="190">
        <v>8.1</v>
      </c>
      <c r="M386" s="50">
        <v>1.0</v>
      </c>
      <c r="N386" s="190">
        <v>5.39</v>
      </c>
    </row>
    <row r="387">
      <c r="A387" s="50" t="s">
        <v>47</v>
      </c>
      <c r="B387" s="50"/>
      <c r="C387" s="50">
        <v>259.0</v>
      </c>
      <c r="D387" s="50" t="s">
        <v>1061</v>
      </c>
      <c r="E387" s="50" t="s">
        <v>24</v>
      </c>
      <c r="F387" s="188">
        <v>40233.0</v>
      </c>
      <c r="G387" s="188">
        <v>41880.0</v>
      </c>
      <c r="H387" s="188">
        <v>41880.0</v>
      </c>
      <c r="I387" s="188">
        <v>41960.0</v>
      </c>
      <c r="J387" s="189">
        <v>22.99</v>
      </c>
      <c r="K387" s="189">
        <v>8.99</v>
      </c>
      <c r="L387" s="190">
        <v>14.0</v>
      </c>
      <c r="M387" s="50">
        <v>35.0</v>
      </c>
      <c r="N387" s="190">
        <v>0.26</v>
      </c>
    </row>
    <row r="388">
      <c r="A388" s="50" t="s">
        <v>47</v>
      </c>
      <c r="B388" s="50" t="s">
        <v>351</v>
      </c>
      <c r="C388" s="50">
        <v>231.0</v>
      </c>
      <c r="D388" s="50" t="s">
        <v>1062</v>
      </c>
      <c r="E388" s="50" t="s">
        <v>24</v>
      </c>
      <c r="F388" s="188">
        <v>40393.0</v>
      </c>
      <c r="G388" s="188">
        <v>40538.0</v>
      </c>
      <c r="H388" s="188">
        <v>40538.0</v>
      </c>
      <c r="I388" s="188">
        <v>44764.0</v>
      </c>
      <c r="J388" s="190">
        <v>9.99</v>
      </c>
      <c r="K388" s="190">
        <v>9.99</v>
      </c>
      <c r="L388" s="190">
        <v>0.0</v>
      </c>
      <c r="M388" s="50">
        <v>20.0</v>
      </c>
      <c r="N388" s="190">
        <v>0.5</v>
      </c>
    </row>
    <row r="389">
      <c r="A389" s="50" t="s">
        <v>47</v>
      </c>
      <c r="B389" s="50"/>
      <c r="C389" s="50">
        <v>336.0</v>
      </c>
      <c r="D389" s="50" t="s">
        <v>1063</v>
      </c>
      <c r="E389" s="50" t="s">
        <v>24</v>
      </c>
      <c r="F389" s="188">
        <v>40872.0</v>
      </c>
      <c r="G389" s="188">
        <v>42299.0</v>
      </c>
      <c r="H389" s="188">
        <v>42300.0</v>
      </c>
      <c r="I389" s="188">
        <v>44865.0</v>
      </c>
      <c r="J389" s="190">
        <v>29.98</v>
      </c>
      <c r="K389" s="190">
        <v>26.99</v>
      </c>
      <c r="L389" s="190">
        <v>2.99</v>
      </c>
      <c r="M389" s="50">
        <v>40.0</v>
      </c>
      <c r="N389" s="190">
        <v>0.67</v>
      </c>
    </row>
    <row r="390">
      <c r="A390" s="50" t="s">
        <v>47</v>
      </c>
      <c r="B390" s="50" t="s">
        <v>342</v>
      </c>
      <c r="C390" s="50">
        <v>227.0</v>
      </c>
      <c r="D390" s="50" t="s">
        <v>1064</v>
      </c>
      <c r="E390" s="50" t="s">
        <v>24</v>
      </c>
      <c r="F390" s="188">
        <v>41194.0</v>
      </c>
      <c r="G390" s="188">
        <v>44091.0</v>
      </c>
      <c r="H390" s="188">
        <v>44413.0</v>
      </c>
      <c r="I390" s="188">
        <v>44416.0</v>
      </c>
      <c r="J390" s="190">
        <v>24.99</v>
      </c>
      <c r="K390" s="190">
        <v>3.0</v>
      </c>
      <c r="L390" s="190">
        <v>21.99</v>
      </c>
      <c r="M390" s="50">
        <v>5.0</v>
      </c>
      <c r="N390" s="190">
        <v>0.6</v>
      </c>
    </row>
    <row r="391">
      <c r="A391" s="50" t="s">
        <v>47</v>
      </c>
      <c r="B391" s="50"/>
      <c r="C391" s="50">
        <v>337.0</v>
      </c>
      <c r="D391" s="50" t="s">
        <v>1065</v>
      </c>
      <c r="E391" s="50" t="s">
        <v>24</v>
      </c>
      <c r="F391" s="188">
        <v>41516.0</v>
      </c>
      <c r="G391" s="188">
        <v>41642.0</v>
      </c>
      <c r="H391" s="188">
        <v>41642.0</v>
      </c>
      <c r="I391" s="188">
        <v>45491.0</v>
      </c>
      <c r="J391" s="190">
        <v>39.98</v>
      </c>
      <c r="K391" s="190">
        <v>26.99</v>
      </c>
      <c r="L391" s="190">
        <v>12.99</v>
      </c>
      <c r="M391" s="50">
        <v>80.0</v>
      </c>
      <c r="N391" s="190">
        <v>0.34</v>
      </c>
    </row>
    <row r="392">
      <c r="A392" s="50" t="s">
        <v>47</v>
      </c>
      <c r="B392" s="50"/>
      <c r="C392" s="50">
        <v>196.0</v>
      </c>
      <c r="D392" s="50" t="s">
        <v>1066</v>
      </c>
      <c r="E392" s="50" t="s">
        <v>24</v>
      </c>
      <c r="F392" s="188">
        <v>41556.0</v>
      </c>
      <c r="G392" s="188">
        <v>44412.0</v>
      </c>
      <c r="H392" s="188">
        <v>44412.0</v>
      </c>
      <c r="I392" s="188">
        <v>44412.0</v>
      </c>
      <c r="J392" s="190">
        <v>19.99</v>
      </c>
      <c r="K392" s="190">
        <v>5.99</v>
      </c>
      <c r="L392" s="190">
        <v>14.0</v>
      </c>
      <c r="M392" s="50">
        <v>1.0</v>
      </c>
      <c r="N392" s="190">
        <v>5.99</v>
      </c>
    </row>
    <row r="393">
      <c r="A393" s="50" t="s">
        <v>47</v>
      </c>
      <c r="B393" s="50" t="s">
        <v>357</v>
      </c>
      <c r="C393" s="50">
        <v>247.0</v>
      </c>
      <c r="D393" s="50" t="s">
        <v>1067</v>
      </c>
      <c r="E393" s="50" t="s">
        <v>24</v>
      </c>
      <c r="F393" s="188">
        <v>41584.0</v>
      </c>
      <c r="G393" s="188">
        <v>44292.0</v>
      </c>
      <c r="H393" s="188">
        <v>44292.0</v>
      </c>
      <c r="I393" s="188">
        <v>44292.0</v>
      </c>
      <c r="J393" s="190">
        <v>9.99</v>
      </c>
      <c r="K393" s="190">
        <v>9.99</v>
      </c>
      <c r="L393" s="190">
        <v>0.0</v>
      </c>
      <c r="M393" s="50">
        <v>1.0</v>
      </c>
      <c r="N393" s="190">
        <v>9.99</v>
      </c>
    </row>
    <row r="394">
      <c r="A394" s="50" t="s">
        <v>47</v>
      </c>
      <c r="B394" s="50" t="s">
        <v>349</v>
      </c>
      <c r="C394" s="50">
        <v>185.0</v>
      </c>
      <c r="D394" s="50" t="s">
        <v>1068</v>
      </c>
      <c r="E394" s="50" t="s">
        <v>24</v>
      </c>
      <c r="F394" s="188">
        <v>41815.0</v>
      </c>
      <c r="G394" s="188">
        <v>43727.0</v>
      </c>
      <c r="H394" s="188">
        <v>43757.0</v>
      </c>
      <c r="I394" s="188">
        <v>43757.0</v>
      </c>
      <c r="J394" s="190">
        <v>7.99</v>
      </c>
      <c r="K394" s="190">
        <v>2.99</v>
      </c>
      <c r="L394" s="190">
        <v>5.0</v>
      </c>
      <c r="M394" s="50">
        <v>2.0</v>
      </c>
      <c r="N394" s="190">
        <v>1.5</v>
      </c>
    </row>
    <row r="395">
      <c r="A395" s="50" t="s">
        <v>47</v>
      </c>
      <c r="B395" s="50" t="s">
        <v>343</v>
      </c>
      <c r="C395" s="50">
        <v>302.0</v>
      </c>
      <c r="D395" s="50" t="s">
        <v>1069</v>
      </c>
      <c r="E395" s="50" t="s">
        <v>24</v>
      </c>
      <c r="F395" s="188">
        <v>41976.0</v>
      </c>
      <c r="G395" s="188">
        <v>42635.0</v>
      </c>
      <c r="H395" s="188">
        <v>42799.0</v>
      </c>
      <c r="I395" s="188">
        <v>42799.0</v>
      </c>
      <c r="J395" s="190">
        <v>4.99</v>
      </c>
      <c r="K395" s="190">
        <v>4.99</v>
      </c>
      <c r="L395" s="190">
        <v>0.0</v>
      </c>
      <c r="M395" s="50">
        <v>1.0</v>
      </c>
      <c r="N395" s="190">
        <v>4.99</v>
      </c>
    </row>
    <row r="396">
      <c r="A396" s="50" t="s">
        <v>47</v>
      </c>
      <c r="B396" s="50"/>
      <c r="C396" s="50">
        <v>303.0</v>
      </c>
      <c r="D396" s="50" t="s">
        <v>1070</v>
      </c>
      <c r="E396" s="50" t="s">
        <v>24</v>
      </c>
      <c r="F396" s="188">
        <v>41976.0</v>
      </c>
      <c r="G396" s="188">
        <v>42635.0</v>
      </c>
      <c r="H396" s="188">
        <v>42799.0</v>
      </c>
      <c r="I396" s="188">
        <v>42799.0</v>
      </c>
      <c r="J396" s="190">
        <v>14.99</v>
      </c>
      <c r="K396" s="190">
        <v>9.99</v>
      </c>
      <c r="L396" s="190">
        <v>5.0</v>
      </c>
      <c r="M396" s="50">
        <v>1.0</v>
      </c>
      <c r="N396" s="190">
        <v>9.99</v>
      </c>
    </row>
    <row r="397">
      <c r="A397" s="50" t="s">
        <v>47</v>
      </c>
      <c r="B397" s="50" t="s">
        <v>350</v>
      </c>
      <c r="C397" s="50">
        <v>282.0</v>
      </c>
      <c r="D397" s="50" t="s">
        <v>1071</v>
      </c>
      <c r="E397" s="50" t="s">
        <v>24</v>
      </c>
      <c r="F397" s="188">
        <v>42034.0</v>
      </c>
      <c r="G397" s="188">
        <v>42700.0</v>
      </c>
      <c r="H397" s="188">
        <v>42852.0</v>
      </c>
      <c r="I397" s="188">
        <v>44914.0</v>
      </c>
      <c r="J397" s="190">
        <v>16.99</v>
      </c>
      <c r="K397" s="190">
        <v>5.99</v>
      </c>
      <c r="L397" s="190">
        <v>11.0</v>
      </c>
      <c r="M397" s="50">
        <v>25.0</v>
      </c>
      <c r="N397" s="190">
        <v>0.24</v>
      </c>
    </row>
    <row r="398">
      <c r="A398" s="50" t="s">
        <v>47</v>
      </c>
      <c r="B398" s="50" t="s">
        <v>346</v>
      </c>
      <c r="C398" s="50">
        <v>212.0</v>
      </c>
      <c r="D398" s="50" t="s">
        <v>1072</v>
      </c>
      <c r="E398" s="50" t="s">
        <v>24</v>
      </c>
      <c r="F398" s="188">
        <v>42130.0</v>
      </c>
      <c r="G398" s="188">
        <v>42950.0</v>
      </c>
      <c r="H398" s="188">
        <v>43682.0</v>
      </c>
      <c r="I398" s="188">
        <v>45006.0</v>
      </c>
      <c r="J398" s="190">
        <v>4.99</v>
      </c>
      <c r="K398" s="190">
        <v>1.99</v>
      </c>
      <c r="L398" s="190">
        <v>3.0</v>
      </c>
      <c r="M398" s="50">
        <v>1.0</v>
      </c>
      <c r="N398" s="190">
        <v>1.99</v>
      </c>
    </row>
    <row r="399">
      <c r="A399" s="50" t="s">
        <v>47</v>
      </c>
      <c r="B399" s="50" t="s">
        <v>364</v>
      </c>
      <c r="C399" s="50">
        <v>472.0</v>
      </c>
      <c r="D399" s="50" t="s">
        <v>1073</v>
      </c>
      <c r="E399" s="50" t="s">
        <v>25</v>
      </c>
      <c r="F399" s="188">
        <v>41191.0</v>
      </c>
      <c r="G399" s="188">
        <v>43373.0</v>
      </c>
      <c r="H399" s="188">
        <v>43757.0</v>
      </c>
      <c r="I399" s="188">
        <v>45008.0</v>
      </c>
      <c r="J399" s="190">
        <v>2.99</v>
      </c>
      <c r="K399" s="190">
        <v>2.99</v>
      </c>
      <c r="L399" s="190">
        <v>0.0</v>
      </c>
      <c r="M399" s="50">
        <v>10.0</v>
      </c>
      <c r="N399" s="190">
        <v>0.3</v>
      </c>
    </row>
    <row r="400">
      <c r="A400" s="50" t="s">
        <v>47</v>
      </c>
      <c r="B400" s="50"/>
      <c r="C400" s="50">
        <v>434.0</v>
      </c>
      <c r="D400" s="50" t="s">
        <v>1074</v>
      </c>
      <c r="E400" s="50" t="s">
        <v>25</v>
      </c>
      <c r="F400" s="188">
        <v>41563.0</v>
      </c>
      <c r="G400" s="188">
        <v>42187.0</v>
      </c>
      <c r="H400" s="188">
        <v>43855.0</v>
      </c>
      <c r="I400" s="188">
        <v>43855.0</v>
      </c>
      <c r="J400" s="190">
        <v>0.0</v>
      </c>
      <c r="K400" s="190">
        <v>0.0</v>
      </c>
      <c r="L400" s="190">
        <v>0.0</v>
      </c>
      <c r="M400" s="50">
        <v>5.0</v>
      </c>
      <c r="N400" s="190">
        <v>0.0</v>
      </c>
    </row>
    <row r="401">
      <c r="A401" s="50" t="s">
        <v>47</v>
      </c>
      <c r="B401" s="50" t="s">
        <v>361</v>
      </c>
      <c r="C401" s="50">
        <v>940.0</v>
      </c>
      <c r="D401" s="50" t="s">
        <v>1075</v>
      </c>
      <c r="E401" s="50" t="s">
        <v>26</v>
      </c>
      <c r="F401" s="188">
        <v>41745.0</v>
      </c>
      <c r="G401" s="188">
        <v>43912.0</v>
      </c>
      <c r="H401" s="188">
        <v>43914.0</v>
      </c>
      <c r="I401" s="188">
        <v>43914.0</v>
      </c>
      <c r="J401" s="190">
        <v>39.99</v>
      </c>
      <c r="K401" s="190">
        <v>9.99</v>
      </c>
      <c r="L401" s="190">
        <v>30.0</v>
      </c>
      <c r="M401" s="50">
        <v>2.0</v>
      </c>
      <c r="N401" s="190">
        <v>5.0</v>
      </c>
    </row>
    <row r="402">
      <c r="A402" s="50" t="s">
        <v>47</v>
      </c>
      <c r="B402" s="50"/>
      <c r="C402" s="50">
        <v>761.0</v>
      </c>
      <c r="D402" s="50" t="s">
        <v>1076</v>
      </c>
      <c r="E402" s="50" t="s">
        <v>26</v>
      </c>
      <c r="F402" s="188">
        <v>41970.0</v>
      </c>
      <c r="G402" s="188">
        <v>42635.0</v>
      </c>
      <c r="H402" s="188">
        <v>42799.0</v>
      </c>
      <c r="I402" s="188">
        <v>42799.0</v>
      </c>
      <c r="J402" s="190">
        <v>9.99</v>
      </c>
      <c r="K402" s="190">
        <v>4.99</v>
      </c>
      <c r="L402" s="190">
        <v>5.0</v>
      </c>
      <c r="M402" s="50">
        <v>1.0</v>
      </c>
      <c r="N402" s="190">
        <v>4.99</v>
      </c>
    </row>
    <row r="403">
      <c r="A403" s="50" t="s">
        <v>47</v>
      </c>
      <c r="B403" s="50" t="s">
        <v>352</v>
      </c>
      <c r="C403" s="50">
        <v>909.0</v>
      </c>
      <c r="D403" s="50" t="s">
        <v>1077</v>
      </c>
      <c r="E403" s="50" t="s">
        <v>26</v>
      </c>
      <c r="F403" s="188">
        <v>41975.0</v>
      </c>
      <c r="G403" s="188">
        <v>42791.0</v>
      </c>
      <c r="H403" s="188">
        <v>45310.0</v>
      </c>
      <c r="I403" s="188">
        <v>45316.0</v>
      </c>
      <c r="J403" s="190">
        <v>24.99</v>
      </c>
      <c r="K403" s="190">
        <v>11.99</v>
      </c>
      <c r="L403" s="190">
        <v>13.0</v>
      </c>
      <c r="M403" s="50">
        <v>3.0</v>
      </c>
      <c r="N403" s="190">
        <v>4.0</v>
      </c>
    </row>
    <row r="404">
      <c r="A404" s="50" t="s">
        <v>47</v>
      </c>
      <c r="B404" s="50" t="s">
        <v>348</v>
      </c>
      <c r="C404" s="50">
        <v>532.0</v>
      </c>
      <c r="D404" s="50" t="s">
        <v>1078</v>
      </c>
      <c r="E404" s="50" t="s">
        <v>26</v>
      </c>
      <c r="F404" s="188">
        <v>42269.0</v>
      </c>
      <c r="G404" s="188">
        <v>43824.0</v>
      </c>
      <c r="H404" s="188">
        <v>43825.0</v>
      </c>
      <c r="I404" s="188">
        <v>45357.0</v>
      </c>
      <c r="J404" s="190">
        <v>19.99</v>
      </c>
      <c r="K404" s="190">
        <v>7.49</v>
      </c>
      <c r="L404" s="190">
        <v>12.5</v>
      </c>
      <c r="M404" s="50">
        <v>6.0</v>
      </c>
      <c r="N404" s="190">
        <v>1.25</v>
      </c>
    </row>
    <row r="405">
      <c r="A405" s="50" t="s">
        <v>47</v>
      </c>
      <c r="B405" s="50" t="s">
        <v>358</v>
      </c>
      <c r="C405" s="50">
        <v>938.0</v>
      </c>
      <c r="D405" s="50" t="s">
        <v>1079</v>
      </c>
      <c r="E405" s="50" t="s">
        <v>26</v>
      </c>
      <c r="F405" s="188">
        <v>42453.0</v>
      </c>
      <c r="G405" s="188">
        <v>43625.0</v>
      </c>
      <c r="H405" s="188">
        <v>43625.0</v>
      </c>
      <c r="I405" s="188">
        <v>43625.0</v>
      </c>
      <c r="J405" s="190">
        <v>29.99</v>
      </c>
      <c r="K405" s="190">
        <v>11.99</v>
      </c>
      <c r="L405" s="190">
        <v>18.0</v>
      </c>
      <c r="M405" s="50">
        <v>1.0</v>
      </c>
      <c r="N405" s="190">
        <v>11.99</v>
      </c>
    </row>
    <row r="406">
      <c r="A406" s="50" t="s">
        <v>47</v>
      </c>
      <c r="B406" s="50" t="s">
        <v>353</v>
      </c>
      <c r="C406" s="50">
        <v>972.0</v>
      </c>
      <c r="D406" s="50" t="s">
        <v>1080</v>
      </c>
      <c r="E406" s="50" t="s">
        <v>26</v>
      </c>
      <c r="F406" s="188">
        <v>42650.0</v>
      </c>
      <c r="G406" s="188">
        <v>43275.0</v>
      </c>
      <c r="H406" s="188">
        <v>45514.0</v>
      </c>
      <c r="I406" s="188">
        <v>45524.0</v>
      </c>
      <c r="J406" s="190">
        <v>19.99</v>
      </c>
      <c r="K406" s="190">
        <v>12.99</v>
      </c>
      <c r="L406" s="190">
        <v>7.0</v>
      </c>
      <c r="M406" s="50">
        <v>9.0</v>
      </c>
      <c r="N406" s="190">
        <v>1.44</v>
      </c>
    </row>
    <row r="407">
      <c r="A407" s="50" t="s">
        <v>47</v>
      </c>
      <c r="B407" s="50" t="s">
        <v>354</v>
      </c>
      <c r="C407" s="50">
        <v>759.0</v>
      </c>
      <c r="D407" s="50" t="s">
        <v>1081</v>
      </c>
      <c r="E407" s="50" t="s">
        <v>26</v>
      </c>
      <c r="F407" s="188">
        <v>42707.0</v>
      </c>
      <c r="G407" s="188">
        <v>42951.0</v>
      </c>
      <c r="H407" s="188">
        <v>44182.0</v>
      </c>
      <c r="I407" s="188">
        <v>44185.0</v>
      </c>
      <c r="J407" s="190">
        <v>12.99</v>
      </c>
      <c r="K407" s="190">
        <v>4.49</v>
      </c>
      <c r="L407" s="190">
        <v>8.5</v>
      </c>
      <c r="M407" s="50">
        <v>8.0</v>
      </c>
      <c r="N407" s="190">
        <v>0.56</v>
      </c>
    </row>
    <row r="408">
      <c r="A408" s="50" t="s">
        <v>47</v>
      </c>
      <c r="B408" s="50" t="s">
        <v>355</v>
      </c>
      <c r="C408" s="50">
        <v>968.0</v>
      </c>
      <c r="D408" s="50" t="s">
        <v>1082</v>
      </c>
      <c r="E408" s="50" t="s">
        <v>26</v>
      </c>
      <c r="F408" s="188">
        <v>42843.0</v>
      </c>
      <c r="G408" s="188">
        <v>45177.0</v>
      </c>
      <c r="H408" s="188">
        <v>45177.0</v>
      </c>
      <c r="I408" s="188">
        <v>45177.0</v>
      </c>
      <c r="J408" s="190">
        <v>19.99</v>
      </c>
      <c r="K408" s="190">
        <v>0.0</v>
      </c>
      <c r="L408" s="190">
        <v>19.99</v>
      </c>
      <c r="M408" s="50">
        <v>1.0</v>
      </c>
      <c r="N408" s="190">
        <v>0.0</v>
      </c>
    </row>
    <row r="409">
      <c r="A409" s="50" t="s">
        <v>47</v>
      </c>
      <c r="B409" s="50"/>
      <c r="C409" s="50">
        <v>584.0</v>
      </c>
      <c r="D409" s="50" t="s">
        <v>1083</v>
      </c>
      <c r="E409" s="50" t="s">
        <v>26</v>
      </c>
      <c r="F409" s="188">
        <v>43245.0</v>
      </c>
      <c r="G409" s="188">
        <v>44334.0</v>
      </c>
      <c r="H409" s="188">
        <v>44377.0</v>
      </c>
      <c r="I409" s="188">
        <v>44389.0</v>
      </c>
      <c r="J409" s="190">
        <v>29.99</v>
      </c>
      <c r="K409" s="190">
        <v>0.0</v>
      </c>
      <c r="L409" s="190">
        <v>29.99</v>
      </c>
      <c r="M409" s="50">
        <v>11.0</v>
      </c>
      <c r="N409" s="190">
        <v>0.0</v>
      </c>
    </row>
    <row r="410">
      <c r="A410" s="50" t="s">
        <v>47</v>
      </c>
      <c r="B410" s="50"/>
      <c r="C410" s="50">
        <v>633.0</v>
      </c>
      <c r="D410" s="50" t="s">
        <v>1084</v>
      </c>
      <c r="E410" s="50" t="s">
        <v>26</v>
      </c>
      <c r="F410" s="188">
        <v>43424.0</v>
      </c>
      <c r="G410" s="188">
        <v>44708.0</v>
      </c>
      <c r="H410" s="188">
        <v>44708.0</v>
      </c>
      <c r="I410" s="188">
        <v>44708.0</v>
      </c>
      <c r="J410" s="190">
        <v>19.99</v>
      </c>
      <c r="K410" s="190">
        <v>0.99</v>
      </c>
      <c r="L410" s="190">
        <v>19.0</v>
      </c>
      <c r="M410" s="50">
        <v>1.0</v>
      </c>
      <c r="N410" s="190">
        <v>0.99</v>
      </c>
    </row>
    <row r="411">
      <c r="A411" s="50" t="s">
        <v>47</v>
      </c>
      <c r="B411" s="50"/>
      <c r="C411" s="50">
        <v>501.0</v>
      </c>
      <c r="D411" s="50" t="s">
        <v>1085</v>
      </c>
      <c r="E411" s="50" t="s">
        <v>26</v>
      </c>
      <c r="F411" s="188">
        <v>43599.0</v>
      </c>
      <c r="G411" s="188">
        <v>44213.0</v>
      </c>
      <c r="H411" s="188">
        <v>44291.0</v>
      </c>
      <c r="I411" s="188">
        <v>45410.0</v>
      </c>
      <c r="J411" s="190">
        <v>51.98</v>
      </c>
      <c r="K411" s="190">
        <v>16.98</v>
      </c>
      <c r="L411" s="190">
        <v>35.0</v>
      </c>
      <c r="M411" s="50">
        <v>34.0</v>
      </c>
      <c r="N411" s="190">
        <v>0.5</v>
      </c>
    </row>
    <row r="412">
      <c r="A412" s="50" t="s">
        <v>47</v>
      </c>
      <c r="B412" s="50" t="s">
        <v>356</v>
      </c>
      <c r="C412" s="50">
        <v>677.0</v>
      </c>
      <c r="D412" s="50" t="s">
        <v>1086</v>
      </c>
      <c r="E412" s="50" t="s">
        <v>26</v>
      </c>
      <c r="F412" s="188">
        <v>43888.0</v>
      </c>
      <c r="G412" s="188">
        <v>45177.0</v>
      </c>
      <c r="H412" s="188">
        <v>45177.0</v>
      </c>
      <c r="I412" s="188">
        <v>45177.0</v>
      </c>
      <c r="J412" s="190">
        <v>14.99</v>
      </c>
      <c r="K412" s="190">
        <v>0.0</v>
      </c>
      <c r="L412" s="190">
        <v>14.99</v>
      </c>
      <c r="M412" s="50">
        <v>1.0</v>
      </c>
      <c r="N412" s="190">
        <v>0.0</v>
      </c>
    </row>
    <row r="413">
      <c r="A413" s="50" t="s">
        <v>47</v>
      </c>
      <c r="B413" s="50" t="s">
        <v>359</v>
      </c>
      <c r="C413" s="50">
        <v>564.0</v>
      </c>
      <c r="D413" s="50" t="s">
        <v>1087</v>
      </c>
      <c r="E413" s="50" t="s">
        <v>26</v>
      </c>
      <c r="F413" s="188">
        <v>44250.0</v>
      </c>
      <c r="G413" s="188">
        <v>44684.0</v>
      </c>
      <c r="H413" s="188">
        <v>44695.0</v>
      </c>
      <c r="I413" s="188">
        <v>44703.0</v>
      </c>
      <c r="J413" s="189">
        <v>19.99</v>
      </c>
      <c r="K413" s="189">
        <v>0.0</v>
      </c>
      <c r="L413" s="190">
        <v>19.99</v>
      </c>
      <c r="M413" s="50">
        <v>13.0</v>
      </c>
      <c r="N413" s="190">
        <v>0.0</v>
      </c>
    </row>
    <row r="414">
      <c r="A414" s="50" t="s">
        <v>47</v>
      </c>
      <c r="B414" s="50" t="s">
        <v>362</v>
      </c>
      <c r="C414" s="50">
        <v>838.0</v>
      </c>
      <c r="D414" s="50" t="s">
        <v>1088</v>
      </c>
      <c r="E414" s="50" t="s">
        <v>26</v>
      </c>
      <c r="F414" s="188">
        <v>44600.0</v>
      </c>
      <c r="G414" s="188">
        <v>45356.0</v>
      </c>
      <c r="H414" s="188">
        <v>45356.0</v>
      </c>
      <c r="I414" s="188">
        <v>45356.0</v>
      </c>
      <c r="J414" s="190">
        <v>39.99</v>
      </c>
      <c r="K414" s="190">
        <v>0.0</v>
      </c>
      <c r="L414" s="190">
        <v>39.99</v>
      </c>
      <c r="M414" s="50">
        <v>1.0</v>
      </c>
      <c r="N414" s="190">
        <v>0.0</v>
      </c>
    </row>
    <row r="415">
      <c r="A415" s="50" t="s">
        <v>47</v>
      </c>
      <c r="B415" s="50" t="s">
        <v>48</v>
      </c>
      <c r="C415" s="51">
        <v>963.0</v>
      </c>
      <c r="D415" s="51" t="s">
        <v>49</v>
      </c>
      <c r="E415" s="51" t="s">
        <v>26</v>
      </c>
      <c r="F415" s="52">
        <v>44651.0</v>
      </c>
      <c r="G415" s="52">
        <v>45202.0</v>
      </c>
      <c r="H415" s="52">
        <v>46047.0</v>
      </c>
      <c r="I415" s="52">
        <v>46047.0</v>
      </c>
      <c r="J415" s="53">
        <v>39.99</v>
      </c>
      <c r="K415" s="53">
        <v>0.0</v>
      </c>
      <c r="L415" s="53">
        <v>39.99</v>
      </c>
      <c r="M415" s="51">
        <v>2.0</v>
      </c>
      <c r="N415" s="53">
        <v>0.0</v>
      </c>
    </row>
    <row r="416">
      <c r="A416" s="50" t="s">
        <v>47</v>
      </c>
      <c r="B416" s="50" t="s">
        <v>347</v>
      </c>
      <c r="C416" s="50">
        <v>862.0</v>
      </c>
      <c r="D416" s="50" t="s">
        <v>1089</v>
      </c>
      <c r="E416" s="50" t="s">
        <v>26</v>
      </c>
      <c r="F416" s="188">
        <v>44761.0</v>
      </c>
      <c r="G416" s="188">
        <v>44889.0</v>
      </c>
      <c r="H416" s="188">
        <v>44890.0</v>
      </c>
      <c r="I416" s="188">
        <v>44905.0</v>
      </c>
      <c r="J416" s="190">
        <v>29.99</v>
      </c>
      <c r="K416" s="190">
        <v>18.99</v>
      </c>
      <c r="L416" s="190">
        <v>11.0</v>
      </c>
      <c r="M416" s="50">
        <v>11.0</v>
      </c>
      <c r="N416" s="190">
        <v>1.73</v>
      </c>
    </row>
    <row r="417">
      <c r="A417" s="50" t="s">
        <v>47</v>
      </c>
      <c r="B417" s="50" t="s">
        <v>345</v>
      </c>
      <c r="C417" s="50">
        <v>881.0</v>
      </c>
      <c r="D417" s="50" t="s">
        <v>1090</v>
      </c>
      <c r="E417" s="50" t="s">
        <v>26</v>
      </c>
      <c r="F417" s="188">
        <v>45006.0</v>
      </c>
      <c r="G417" s="188">
        <v>45080.0</v>
      </c>
      <c r="H417" s="188">
        <v>45080.0</v>
      </c>
      <c r="I417" s="188">
        <v>45080.0</v>
      </c>
      <c r="J417" s="190">
        <v>29.99</v>
      </c>
      <c r="K417" s="190">
        <v>17.49</v>
      </c>
      <c r="L417" s="190">
        <v>12.5</v>
      </c>
      <c r="M417" s="50">
        <v>2.0</v>
      </c>
      <c r="N417" s="190">
        <v>8.75</v>
      </c>
    </row>
    <row r="418">
      <c r="A418" s="50" t="s">
        <v>47</v>
      </c>
      <c r="B418" s="50" t="s">
        <v>363</v>
      </c>
      <c r="C418" s="50">
        <v>1079.0</v>
      </c>
      <c r="D418" s="50" t="s">
        <v>1091</v>
      </c>
      <c r="E418" s="50" t="s">
        <v>28</v>
      </c>
      <c r="F418" s="188">
        <v>44812.0</v>
      </c>
      <c r="G418" s="188">
        <v>45328.0</v>
      </c>
      <c r="H418" s="188">
        <v>45328.0</v>
      </c>
      <c r="I418" s="188">
        <v>45328.0</v>
      </c>
      <c r="J418" s="190">
        <v>59.99</v>
      </c>
      <c r="K418" s="190">
        <v>0.0</v>
      </c>
      <c r="L418" s="190">
        <v>59.99</v>
      </c>
      <c r="M418" s="50">
        <v>1.0</v>
      </c>
      <c r="N418" s="190">
        <v>0.0</v>
      </c>
    </row>
    <row r="419">
      <c r="A419" s="50" t="s">
        <v>47</v>
      </c>
      <c r="B419" s="50"/>
      <c r="C419" s="50">
        <v>1052.0</v>
      </c>
      <c r="D419" s="50" t="s">
        <v>1092</v>
      </c>
      <c r="E419" s="50" t="s">
        <v>28</v>
      </c>
      <c r="F419" s="188">
        <v>44852.0</v>
      </c>
      <c r="G419" s="188">
        <v>45214.0</v>
      </c>
      <c r="H419" s="188">
        <v>45410.0</v>
      </c>
      <c r="I419" s="188">
        <v>45412.0</v>
      </c>
      <c r="J419" s="190">
        <v>59.99</v>
      </c>
      <c r="K419" s="190">
        <v>29.99</v>
      </c>
      <c r="L419" s="190">
        <v>30.0</v>
      </c>
      <c r="M419" s="50">
        <v>6.0</v>
      </c>
      <c r="N419" s="190">
        <v>5.0</v>
      </c>
    </row>
    <row r="420">
      <c r="A420" s="54">
        <f t="shared" ref="A420:B420" si="38">COUNTA(A382:A419)</f>
        <v>38</v>
      </c>
      <c r="B420" s="54">
        <f t="shared" si="38"/>
        <v>25</v>
      </c>
      <c r="C420" s="54">
        <v>38.0</v>
      </c>
      <c r="D420" s="54">
        <v>25.0</v>
      </c>
      <c r="E420" s="56">
        <v>834.1</v>
      </c>
      <c r="F420" s="56">
        <v>309.6</v>
      </c>
      <c r="G420" s="56">
        <v>524.5</v>
      </c>
      <c r="H420" s="54">
        <v>450.0</v>
      </c>
      <c r="I420" s="57">
        <v>0.6895322939866371</v>
      </c>
      <c r="J420" s="187">
        <f t="shared" ref="J420:M420" si="39">SUM(J382:J419)</f>
        <v>834.1</v>
      </c>
      <c r="K420" s="187">
        <f t="shared" si="39"/>
        <v>309.6</v>
      </c>
      <c r="L420" s="187">
        <f t="shared" si="39"/>
        <v>524.5</v>
      </c>
      <c r="M420" s="55">
        <f t="shared" si="39"/>
        <v>450</v>
      </c>
      <c r="N420" s="187">
        <f>K420/M420</f>
        <v>0.688</v>
      </c>
    </row>
    <row r="421">
      <c r="A421" s="54"/>
      <c r="B421" s="54"/>
      <c r="C421" s="54"/>
      <c r="D421" s="55"/>
      <c r="E421" s="54"/>
      <c r="F421" s="54"/>
      <c r="G421" s="54"/>
      <c r="H421" s="54"/>
      <c r="I421" s="54"/>
      <c r="J421" s="1"/>
      <c r="K421" s="1"/>
      <c r="L421" s="1"/>
      <c r="M421" s="1"/>
      <c r="N421" s="1"/>
    </row>
    <row r="422">
      <c r="A422" s="130" t="s">
        <v>367</v>
      </c>
      <c r="B422" s="130" t="s">
        <v>373</v>
      </c>
      <c r="C422" s="130">
        <v>214.0</v>
      </c>
      <c r="D422" s="130" t="s">
        <v>1093</v>
      </c>
      <c r="E422" s="130" t="s">
        <v>24</v>
      </c>
      <c r="F422" s="212">
        <v>40779.0</v>
      </c>
      <c r="G422" s="212">
        <v>40867.0</v>
      </c>
      <c r="H422" s="212">
        <v>40867.0</v>
      </c>
      <c r="I422" s="212">
        <v>44750.0</v>
      </c>
      <c r="J422" s="213">
        <v>4.99</v>
      </c>
      <c r="K422" s="213">
        <v>4.99</v>
      </c>
      <c r="L422" s="213">
        <v>0.0</v>
      </c>
      <c r="M422" s="130">
        <v>5.0</v>
      </c>
      <c r="N422" s="213">
        <v>1.0</v>
      </c>
    </row>
    <row r="423">
      <c r="A423" s="130" t="s">
        <v>367</v>
      </c>
      <c r="B423" s="130" t="s">
        <v>382</v>
      </c>
      <c r="C423" s="130">
        <v>368.0</v>
      </c>
      <c r="D423" s="130" t="s">
        <v>1094</v>
      </c>
      <c r="E423" s="130" t="s">
        <v>24</v>
      </c>
      <c r="F423" s="212">
        <v>41089.0</v>
      </c>
      <c r="G423" s="212">
        <v>44422.0</v>
      </c>
      <c r="H423" s="212">
        <v>45098.0</v>
      </c>
      <c r="I423" s="212">
        <v>45106.0</v>
      </c>
      <c r="J423" s="214">
        <v>19.99</v>
      </c>
      <c r="K423" s="214">
        <v>19.99</v>
      </c>
      <c r="L423" s="213">
        <v>0.0</v>
      </c>
      <c r="M423" s="130">
        <v>40.0</v>
      </c>
      <c r="N423" s="213">
        <v>0.5</v>
      </c>
    </row>
    <row r="424">
      <c r="A424" s="130" t="s">
        <v>367</v>
      </c>
      <c r="B424" s="130" t="s">
        <v>371</v>
      </c>
      <c r="C424" s="130">
        <v>234.0</v>
      </c>
      <c r="D424" s="130" t="s">
        <v>1095</v>
      </c>
      <c r="E424" s="130" t="s">
        <v>24</v>
      </c>
      <c r="F424" s="212">
        <v>41682.0</v>
      </c>
      <c r="G424" s="212">
        <v>44292.0</v>
      </c>
      <c r="H424" s="212">
        <v>45116.0</v>
      </c>
      <c r="I424" s="212">
        <v>45126.0</v>
      </c>
      <c r="J424" s="213">
        <v>9.99</v>
      </c>
      <c r="K424" s="213">
        <v>9.99</v>
      </c>
      <c r="L424" s="213">
        <v>0.0</v>
      </c>
      <c r="M424" s="130">
        <v>20.0</v>
      </c>
      <c r="N424" s="213">
        <v>0.5</v>
      </c>
    </row>
    <row r="425">
      <c r="A425" s="130" t="s">
        <v>367</v>
      </c>
      <c r="B425" s="130" t="s">
        <v>374</v>
      </c>
      <c r="C425" s="130">
        <v>650.0</v>
      </c>
      <c r="D425" s="130" t="s">
        <v>1096</v>
      </c>
      <c r="E425" s="130" t="s">
        <v>26</v>
      </c>
      <c r="F425" s="212">
        <v>42272.0</v>
      </c>
      <c r="G425" s="212">
        <v>43922.0</v>
      </c>
      <c r="H425" s="212">
        <v>43925.0</v>
      </c>
      <c r="I425" s="212">
        <v>43925.0</v>
      </c>
      <c r="J425" s="213">
        <v>39.99</v>
      </c>
      <c r="K425" s="213">
        <v>3.99</v>
      </c>
      <c r="L425" s="213">
        <v>36.0</v>
      </c>
      <c r="M425" s="130">
        <v>2.0</v>
      </c>
      <c r="N425" s="213">
        <v>2.0</v>
      </c>
    </row>
    <row r="426">
      <c r="A426" s="130" t="s">
        <v>367</v>
      </c>
      <c r="B426" s="130" t="s">
        <v>381</v>
      </c>
      <c r="C426" s="130">
        <v>514.0</v>
      </c>
      <c r="D426" s="130" t="s">
        <v>1097</v>
      </c>
      <c r="E426" s="130" t="s">
        <v>26</v>
      </c>
      <c r="F426" s="212">
        <v>42524.0</v>
      </c>
      <c r="G426" s="212">
        <v>42954.0</v>
      </c>
      <c r="H426" s="212">
        <v>43058.0</v>
      </c>
      <c r="I426" s="212">
        <v>43058.0</v>
      </c>
      <c r="J426" s="213">
        <v>8.99</v>
      </c>
      <c r="K426" s="213">
        <v>2.99</v>
      </c>
      <c r="L426" s="213">
        <v>6.0</v>
      </c>
      <c r="M426" s="130">
        <v>2.0</v>
      </c>
      <c r="N426" s="213">
        <v>1.5</v>
      </c>
    </row>
    <row r="427">
      <c r="A427" s="130" t="s">
        <v>367</v>
      </c>
      <c r="B427" s="130" t="s">
        <v>368</v>
      </c>
      <c r="C427" s="130">
        <v>950.0</v>
      </c>
      <c r="D427" s="130" t="s">
        <v>1098</v>
      </c>
      <c r="E427" s="130" t="s">
        <v>26</v>
      </c>
      <c r="F427" s="212">
        <v>42787.0</v>
      </c>
      <c r="G427" s="212">
        <v>42859.0</v>
      </c>
      <c r="H427" s="212">
        <v>44911.0</v>
      </c>
      <c r="I427" s="212">
        <v>44911.0</v>
      </c>
      <c r="J427" s="213">
        <v>9.99</v>
      </c>
      <c r="K427" s="213">
        <v>6.99</v>
      </c>
      <c r="L427" s="213">
        <v>3.0</v>
      </c>
      <c r="M427" s="130">
        <v>1.0</v>
      </c>
      <c r="N427" s="213">
        <v>6.99</v>
      </c>
    </row>
    <row r="428">
      <c r="A428" s="130" t="s">
        <v>367</v>
      </c>
      <c r="B428" s="130" t="s">
        <v>375</v>
      </c>
      <c r="C428" s="130">
        <v>640.0</v>
      </c>
      <c r="D428" s="130" t="s">
        <v>1099</v>
      </c>
      <c r="E428" s="130" t="s">
        <v>26</v>
      </c>
      <c r="F428" s="212">
        <v>42794.0</v>
      </c>
      <c r="G428" s="212">
        <v>42951.0</v>
      </c>
      <c r="H428" s="212">
        <v>43039.0</v>
      </c>
      <c r="I428" s="212">
        <v>45359.0</v>
      </c>
      <c r="J428" s="213">
        <v>8.99</v>
      </c>
      <c r="K428" s="213">
        <v>3.99</v>
      </c>
      <c r="L428" s="213">
        <v>5.0</v>
      </c>
      <c r="M428" s="130">
        <v>4.0</v>
      </c>
      <c r="N428" s="213">
        <v>1.0</v>
      </c>
    </row>
    <row r="429">
      <c r="A429" s="130" t="s">
        <v>367</v>
      </c>
      <c r="B429" s="130" t="s">
        <v>378</v>
      </c>
      <c r="C429" s="130">
        <v>588.0</v>
      </c>
      <c r="D429" s="130" t="s">
        <v>1100</v>
      </c>
      <c r="E429" s="130" t="s">
        <v>26</v>
      </c>
      <c r="F429" s="212">
        <v>43061.0</v>
      </c>
      <c r="G429" s="212">
        <v>43472.0</v>
      </c>
      <c r="H429" s="212">
        <v>43542.0</v>
      </c>
      <c r="I429" s="212">
        <v>43542.0</v>
      </c>
      <c r="J429" s="213">
        <v>11.99</v>
      </c>
      <c r="K429" s="213">
        <v>4.99</v>
      </c>
      <c r="L429" s="213">
        <v>7.0</v>
      </c>
      <c r="M429" s="130">
        <v>4.0</v>
      </c>
      <c r="N429" s="213">
        <v>1.25</v>
      </c>
    </row>
    <row r="430">
      <c r="A430" s="130" t="s">
        <v>367</v>
      </c>
      <c r="B430" s="130" t="s">
        <v>369</v>
      </c>
      <c r="C430" s="130">
        <v>701.0</v>
      </c>
      <c r="D430" s="130" t="s">
        <v>1101</v>
      </c>
      <c r="E430" s="130" t="s">
        <v>26</v>
      </c>
      <c r="F430" s="212">
        <v>43629.0</v>
      </c>
      <c r="G430" s="212">
        <v>44640.0</v>
      </c>
      <c r="H430" s="212">
        <v>44704.0</v>
      </c>
      <c r="I430" s="212">
        <v>44706.0</v>
      </c>
      <c r="J430" s="213">
        <v>39.99</v>
      </c>
      <c r="K430" s="213">
        <v>7.99</v>
      </c>
      <c r="L430" s="213">
        <v>32.0</v>
      </c>
      <c r="M430" s="130">
        <v>19.0</v>
      </c>
      <c r="N430" s="213">
        <v>0.42</v>
      </c>
    </row>
    <row r="431">
      <c r="A431" s="130" t="s">
        <v>367</v>
      </c>
      <c r="B431" s="130" t="s">
        <v>366</v>
      </c>
      <c r="C431" s="130">
        <v>583.0</v>
      </c>
      <c r="D431" s="130" t="s">
        <v>1102</v>
      </c>
      <c r="E431" s="130" t="s">
        <v>26</v>
      </c>
      <c r="F431" s="212">
        <v>44040.0</v>
      </c>
      <c r="G431" s="212">
        <v>44071.0</v>
      </c>
      <c r="H431" s="212">
        <v>44078.0</v>
      </c>
      <c r="I431" s="212">
        <v>44081.0</v>
      </c>
      <c r="J431" s="213">
        <v>39.99</v>
      </c>
      <c r="K431" s="213">
        <v>31.99</v>
      </c>
      <c r="L431" s="213">
        <v>8.0</v>
      </c>
      <c r="M431" s="130">
        <v>30.0</v>
      </c>
      <c r="N431" s="213">
        <v>1.07</v>
      </c>
    </row>
    <row r="432">
      <c r="A432" s="130" t="s">
        <v>367</v>
      </c>
      <c r="B432" s="130" t="s">
        <v>376</v>
      </c>
      <c r="C432" s="130">
        <v>550.0</v>
      </c>
      <c r="D432" s="130" t="s">
        <v>1103</v>
      </c>
      <c r="E432" s="130" t="s">
        <v>26</v>
      </c>
      <c r="F432" s="212">
        <v>44119.0</v>
      </c>
      <c r="G432" s="212">
        <v>44203.0</v>
      </c>
      <c r="H432" s="212">
        <v>44310.0</v>
      </c>
      <c r="I432" s="212">
        <v>44654.0</v>
      </c>
      <c r="J432" s="213">
        <v>24.99</v>
      </c>
      <c r="K432" s="213">
        <v>17.49</v>
      </c>
      <c r="L432" s="213">
        <v>7.5</v>
      </c>
      <c r="M432" s="130">
        <v>23.0</v>
      </c>
      <c r="N432" s="213">
        <v>0.76</v>
      </c>
    </row>
    <row r="433">
      <c r="A433" s="130" t="s">
        <v>367</v>
      </c>
      <c r="B433" s="130" t="s">
        <v>379</v>
      </c>
      <c r="C433" s="130">
        <v>541.0</v>
      </c>
      <c r="D433" s="130" t="s">
        <v>1104</v>
      </c>
      <c r="E433" s="130" t="s">
        <v>26</v>
      </c>
      <c r="F433" s="212">
        <v>44274.0</v>
      </c>
      <c r="G433" s="212">
        <v>44720.0</v>
      </c>
      <c r="H433" s="212">
        <v>44720.0</v>
      </c>
      <c r="I433" s="212">
        <v>44720.0</v>
      </c>
      <c r="J433" s="213">
        <v>24.99</v>
      </c>
      <c r="K433" s="213">
        <v>16.24</v>
      </c>
      <c r="L433" s="213">
        <v>8.75</v>
      </c>
      <c r="M433" s="130">
        <v>1.0</v>
      </c>
      <c r="N433" s="213">
        <v>16.24</v>
      </c>
    </row>
    <row r="434">
      <c r="A434" s="130" t="s">
        <v>367</v>
      </c>
      <c r="B434" s="130" t="s">
        <v>380</v>
      </c>
      <c r="C434" s="130">
        <v>849.0</v>
      </c>
      <c r="D434" s="130" t="s">
        <v>1105</v>
      </c>
      <c r="E434" s="130" t="s">
        <v>26</v>
      </c>
      <c r="F434" s="212">
        <v>44281.0</v>
      </c>
      <c r="G434" s="212">
        <v>44398.0</v>
      </c>
      <c r="H434" s="212">
        <v>44398.0</v>
      </c>
      <c r="I434" s="212">
        <v>44398.0</v>
      </c>
      <c r="J434" s="213">
        <v>49.99</v>
      </c>
      <c r="K434" s="213">
        <v>29.99</v>
      </c>
      <c r="L434" s="213">
        <v>20.0</v>
      </c>
      <c r="M434" s="130">
        <v>2.0</v>
      </c>
      <c r="N434" s="213">
        <v>15.0</v>
      </c>
    </row>
    <row r="435">
      <c r="A435" s="130" t="s">
        <v>367</v>
      </c>
      <c r="B435" s="130"/>
      <c r="C435" s="130">
        <v>702.0</v>
      </c>
      <c r="D435" s="130" t="s">
        <v>1106</v>
      </c>
      <c r="E435" s="130" t="s">
        <v>26</v>
      </c>
      <c r="F435" s="212">
        <v>44334.0</v>
      </c>
      <c r="G435" s="212">
        <v>44640.0</v>
      </c>
      <c r="H435" s="212">
        <v>44706.0</v>
      </c>
      <c r="I435" s="212">
        <v>44710.0</v>
      </c>
      <c r="J435" s="213">
        <v>39.99</v>
      </c>
      <c r="K435" s="213">
        <v>11.99</v>
      </c>
      <c r="L435" s="213">
        <v>28.0</v>
      </c>
      <c r="M435" s="130">
        <v>21.0</v>
      </c>
      <c r="N435" s="213">
        <v>0.57</v>
      </c>
    </row>
    <row r="436">
      <c r="A436" s="130" t="s">
        <v>367</v>
      </c>
      <c r="B436" s="130" t="s">
        <v>370</v>
      </c>
      <c r="C436" s="130">
        <v>924.0</v>
      </c>
      <c r="D436" s="130" t="s">
        <v>1107</v>
      </c>
      <c r="E436" s="130" t="s">
        <v>26</v>
      </c>
      <c r="F436" s="212">
        <v>44678.0</v>
      </c>
      <c r="G436" s="212">
        <v>44776.0</v>
      </c>
      <c r="H436" s="212">
        <v>44824.0</v>
      </c>
      <c r="I436" s="212">
        <v>44824.0</v>
      </c>
      <c r="J436" s="213">
        <v>21.99</v>
      </c>
      <c r="K436" s="213">
        <v>14.73</v>
      </c>
      <c r="L436" s="213">
        <v>7.26</v>
      </c>
      <c r="M436" s="130">
        <v>2.0</v>
      </c>
      <c r="N436" s="213">
        <v>7.37</v>
      </c>
    </row>
    <row r="437">
      <c r="A437" s="130" t="s">
        <v>367</v>
      </c>
      <c r="B437" s="130" t="s">
        <v>377</v>
      </c>
      <c r="C437" s="130">
        <v>993.0</v>
      </c>
      <c r="D437" s="130" t="s">
        <v>1108</v>
      </c>
      <c r="E437" s="130" t="s">
        <v>27</v>
      </c>
      <c r="F437" s="212">
        <v>43340.0</v>
      </c>
      <c r="G437" s="212">
        <v>43475.0</v>
      </c>
      <c r="H437" s="212">
        <v>43542.0</v>
      </c>
      <c r="I437" s="212">
        <v>43542.0</v>
      </c>
      <c r="J437" s="213">
        <v>19.99</v>
      </c>
      <c r="K437" s="213">
        <v>19.99</v>
      </c>
      <c r="L437" s="213">
        <v>0.0</v>
      </c>
      <c r="M437" s="130">
        <v>1.0</v>
      </c>
      <c r="N437" s="213">
        <v>19.99</v>
      </c>
    </row>
    <row r="438">
      <c r="A438" s="130" t="s">
        <v>367</v>
      </c>
      <c r="B438" s="130"/>
      <c r="C438" s="130">
        <v>1058.0</v>
      </c>
      <c r="D438" s="130" t="s">
        <v>1109</v>
      </c>
      <c r="E438" s="130" t="s">
        <v>28</v>
      </c>
      <c r="F438" s="212">
        <v>44803.0</v>
      </c>
      <c r="G438" s="212">
        <v>44811.0</v>
      </c>
      <c r="H438" s="212">
        <v>44825.0</v>
      </c>
      <c r="I438" s="212">
        <v>44829.0</v>
      </c>
      <c r="J438" s="213">
        <v>39.99</v>
      </c>
      <c r="K438" s="213">
        <v>0.0</v>
      </c>
      <c r="L438" s="213">
        <v>39.99</v>
      </c>
      <c r="M438" s="130">
        <v>24.0</v>
      </c>
      <c r="N438" s="213">
        <v>0.0</v>
      </c>
    </row>
    <row r="439">
      <c r="A439" s="213" t="s">
        <v>367</v>
      </c>
      <c r="B439" s="130" t="s">
        <v>372</v>
      </c>
      <c r="C439" s="130">
        <v>1080.0</v>
      </c>
      <c r="D439" s="130" t="s">
        <v>1110</v>
      </c>
      <c r="E439" s="130" t="s">
        <v>28</v>
      </c>
      <c r="F439" s="212">
        <v>45687.0</v>
      </c>
      <c r="G439" s="212">
        <v>45800.0</v>
      </c>
      <c r="H439" s="212">
        <v>45809.0</v>
      </c>
      <c r="I439" s="212">
        <v>45811.0</v>
      </c>
      <c r="J439" s="214">
        <v>19.99</v>
      </c>
      <c r="K439" s="214">
        <v>13.99</v>
      </c>
      <c r="L439" s="214">
        <v>6.0</v>
      </c>
      <c r="M439" s="130">
        <v>12.0</v>
      </c>
      <c r="N439" s="214">
        <v>1.17</v>
      </c>
    </row>
    <row r="440">
      <c r="A440" s="129">
        <f t="shared" ref="A440:B440" si="40">COUNTA(A422:A439)</f>
        <v>18</v>
      </c>
      <c r="B440" s="129">
        <f t="shared" si="40"/>
        <v>16</v>
      </c>
      <c r="C440" s="129"/>
      <c r="D440" s="121"/>
      <c r="E440" s="215">
        <v>436.82</v>
      </c>
      <c r="F440" s="215">
        <v>222.32</v>
      </c>
      <c r="G440" s="215">
        <v>214.5</v>
      </c>
      <c r="H440" s="129">
        <v>213.0</v>
      </c>
      <c r="I440" s="215">
        <v>1.043755868544601</v>
      </c>
      <c r="J440" s="216">
        <f t="shared" ref="J440:M440" si="41">SUM(J422:J439)</f>
        <v>436.82</v>
      </c>
      <c r="K440" s="216">
        <f t="shared" si="41"/>
        <v>222.32</v>
      </c>
      <c r="L440" s="216">
        <f t="shared" si="41"/>
        <v>214.5</v>
      </c>
      <c r="M440" s="121">
        <f t="shared" si="41"/>
        <v>213</v>
      </c>
      <c r="N440" s="216">
        <f>K440/M440</f>
        <v>1.043755869</v>
      </c>
    </row>
    <row r="441">
      <c r="A441" s="16"/>
      <c r="B441" s="26"/>
      <c r="C441" s="26"/>
      <c r="D441" s="16"/>
      <c r="E441" s="16"/>
      <c r="F441" s="16"/>
      <c r="G441" s="16"/>
      <c r="H441" s="16"/>
      <c r="I441" s="16"/>
      <c r="J441" s="18"/>
      <c r="K441" s="18"/>
      <c r="L441" s="18"/>
      <c r="M441" s="16"/>
      <c r="N441" s="18"/>
    </row>
    <row r="442">
      <c r="A442" s="40" t="s">
        <v>384</v>
      </c>
      <c r="B442" s="40" t="s">
        <v>383</v>
      </c>
      <c r="C442" s="40">
        <v>189.0</v>
      </c>
      <c r="D442" s="40" t="s">
        <v>1111</v>
      </c>
      <c r="E442" s="40" t="s">
        <v>24</v>
      </c>
      <c r="F442" s="197">
        <v>41073.0</v>
      </c>
      <c r="G442" s="197">
        <v>44285.0</v>
      </c>
      <c r="H442" s="197">
        <v>44287.0</v>
      </c>
      <c r="I442" s="197">
        <v>44288.0</v>
      </c>
      <c r="J442" s="196">
        <v>9.99</v>
      </c>
      <c r="K442" s="196">
        <v>9.99</v>
      </c>
      <c r="L442" s="196">
        <v>0.0</v>
      </c>
      <c r="M442" s="40">
        <v>5.0</v>
      </c>
      <c r="N442" s="196">
        <v>2.0</v>
      </c>
    </row>
    <row r="443">
      <c r="A443" s="40" t="s">
        <v>384</v>
      </c>
      <c r="B443" s="40" t="s">
        <v>385</v>
      </c>
      <c r="C443" s="40">
        <v>544.0</v>
      </c>
      <c r="D443" s="40" t="s">
        <v>1112</v>
      </c>
      <c r="E443" s="40" t="s">
        <v>26</v>
      </c>
      <c r="F443" s="197">
        <v>44140.0</v>
      </c>
      <c r="G443" s="197">
        <v>44666.0</v>
      </c>
      <c r="H443" s="197">
        <v>44666.0</v>
      </c>
      <c r="I443" s="197">
        <v>44666.0</v>
      </c>
      <c r="J443" s="196">
        <v>19.99</v>
      </c>
      <c r="K443" s="196">
        <v>13.99</v>
      </c>
      <c r="L443" s="196">
        <v>6.0</v>
      </c>
      <c r="M443" s="40">
        <v>1.0</v>
      </c>
      <c r="N443" s="196">
        <v>13.99</v>
      </c>
    </row>
    <row r="444">
      <c r="A444" s="37">
        <f t="shared" ref="A444:B444" si="42">COUNTA(A442:A443)</f>
        <v>2</v>
      </c>
      <c r="B444" s="37">
        <f t="shared" si="42"/>
        <v>2</v>
      </c>
      <c r="C444" s="37"/>
      <c r="D444" s="58"/>
      <c r="E444" s="194">
        <v>29.98</v>
      </c>
      <c r="F444" s="194">
        <v>23.98</v>
      </c>
      <c r="G444" s="194">
        <v>6.0</v>
      </c>
      <c r="H444" s="37">
        <v>6.0</v>
      </c>
      <c r="I444" s="49">
        <v>3.9966666666666666</v>
      </c>
      <c r="J444" s="173">
        <f t="shared" ref="J444:M444" si="43">SUM(J442:J443)</f>
        <v>29.98</v>
      </c>
      <c r="K444" s="173">
        <f t="shared" si="43"/>
        <v>23.98</v>
      </c>
      <c r="L444" s="173">
        <f t="shared" si="43"/>
        <v>6</v>
      </c>
      <c r="M444" s="58">
        <f t="shared" si="43"/>
        <v>6</v>
      </c>
      <c r="N444" s="173">
        <f>K444/M444</f>
        <v>3.996666667</v>
      </c>
    </row>
    <row r="445">
      <c r="A445" s="109"/>
      <c r="B445" s="109"/>
      <c r="C445" s="109"/>
      <c r="D445" s="144"/>
      <c r="E445" s="144"/>
      <c r="F445" s="144"/>
      <c r="G445" s="144"/>
      <c r="H445" s="144"/>
      <c r="I445" s="144"/>
      <c r="J445" s="172"/>
      <c r="K445" s="172"/>
      <c r="L445" s="172"/>
      <c r="M445" s="144"/>
      <c r="N445" s="172"/>
    </row>
    <row r="446">
      <c r="A446" s="50" t="s">
        <v>387</v>
      </c>
      <c r="B446" s="50" t="s">
        <v>386</v>
      </c>
      <c r="C446" s="50">
        <v>1001.0</v>
      </c>
      <c r="D446" s="50" t="s">
        <v>1113</v>
      </c>
      <c r="E446" s="50" t="s">
        <v>27</v>
      </c>
      <c r="F446" s="188">
        <v>42656.0</v>
      </c>
      <c r="G446" s="188">
        <v>43472.0</v>
      </c>
      <c r="H446" s="188">
        <v>43472.0</v>
      </c>
      <c r="I446" s="188">
        <v>43472.0</v>
      </c>
      <c r="J446" s="190">
        <v>29.99</v>
      </c>
      <c r="K446" s="190">
        <v>10.99</v>
      </c>
      <c r="L446" s="190">
        <v>19.0</v>
      </c>
      <c r="M446" s="50">
        <v>1.0</v>
      </c>
      <c r="N446" s="190">
        <v>10.99</v>
      </c>
    </row>
    <row r="447">
      <c r="A447" s="54">
        <f t="shared" ref="A447:B447" si="44">COUNTA(A446)</f>
        <v>1</v>
      </c>
      <c r="B447" s="54">
        <f t="shared" si="44"/>
        <v>1</v>
      </c>
      <c r="C447" s="54"/>
      <c r="D447" s="55"/>
      <c r="E447" s="56">
        <v>29.99</v>
      </c>
      <c r="F447" s="56">
        <v>10.99</v>
      </c>
      <c r="G447" s="56">
        <v>19.0</v>
      </c>
      <c r="H447" s="54">
        <v>1.0</v>
      </c>
      <c r="I447" s="57">
        <v>10.99</v>
      </c>
      <c r="J447" s="187">
        <f t="shared" ref="J447:M447" si="45">SUM(J446)</f>
        <v>29.99</v>
      </c>
      <c r="K447" s="187">
        <f t="shared" si="45"/>
        <v>10.99</v>
      </c>
      <c r="L447" s="187">
        <f t="shared" si="45"/>
        <v>19</v>
      </c>
      <c r="M447" s="55">
        <f t="shared" si="45"/>
        <v>1</v>
      </c>
      <c r="N447" s="187">
        <f>K447/M447</f>
        <v>10.99</v>
      </c>
    </row>
    <row r="448">
      <c r="A448" s="54"/>
      <c r="B448" s="54"/>
      <c r="C448" s="54"/>
      <c r="D448" s="55"/>
      <c r="E448" s="55"/>
      <c r="F448" s="55"/>
      <c r="G448" s="55"/>
      <c r="H448" s="55"/>
      <c r="I448" s="55"/>
      <c r="J448" s="187"/>
      <c r="K448" s="187"/>
      <c r="L448" s="187"/>
      <c r="M448" s="55"/>
      <c r="N448" s="187"/>
    </row>
    <row r="449">
      <c r="A449" s="37" t="s">
        <v>389</v>
      </c>
      <c r="B449" s="37" t="s">
        <v>390</v>
      </c>
      <c r="C449" s="37">
        <v>553.0</v>
      </c>
      <c r="D449" s="37" t="s">
        <v>1114</v>
      </c>
      <c r="E449" s="37" t="s">
        <v>26</v>
      </c>
      <c r="F449" s="143">
        <v>43859.0</v>
      </c>
      <c r="G449" s="143">
        <v>45256.0</v>
      </c>
      <c r="H449" s="143">
        <v>45450.0</v>
      </c>
      <c r="I449" s="143">
        <v>45453.0</v>
      </c>
      <c r="J449" s="39">
        <v>13.99</v>
      </c>
      <c r="K449" s="39">
        <v>13.99</v>
      </c>
      <c r="L449" s="39">
        <v>0.0</v>
      </c>
      <c r="M449" s="37">
        <v>10.0</v>
      </c>
      <c r="N449" s="39">
        <v>1.4</v>
      </c>
    </row>
    <row r="450">
      <c r="A450" s="37" t="s">
        <v>389</v>
      </c>
      <c r="B450" s="37" t="s">
        <v>388</v>
      </c>
      <c r="C450" s="37">
        <v>800.0</v>
      </c>
      <c r="D450" s="37" t="s">
        <v>1115</v>
      </c>
      <c r="E450" s="37" t="s">
        <v>26</v>
      </c>
      <c r="F450" s="143">
        <v>44826.0</v>
      </c>
      <c r="G450" s="143">
        <v>44921.0</v>
      </c>
      <c r="H450" s="143">
        <v>44922.0</v>
      </c>
      <c r="I450" s="143">
        <v>44930.0</v>
      </c>
      <c r="J450" s="39">
        <v>24.99</v>
      </c>
      <c r="K450" s="39">
        <v>0.0</v>
      </c>
      <c r="L450" s="39">
        <v>24.99</v>
      </c>
      <c r="M450" s="37">
        <v>35.0</v>
      </c>
      <c r="N450" s="39">
        <v>0.0</v>
      </c>
    </row>
    <row r="451">
      <c r="A451" s="37" t="s">
        <v>389</v>
      </c>
      <c r="B451" s="37"/>
      <c r="C451" s="37">
        <v>554.0</v>
      </c>
      <c r="D451" s="37" t="s">
        <v>1116</v>
      </c>
      <c r="E451" s="37" t="s">
        <v>26</v>
      </c>
      <c r="F451" s="143">
        <v>45036.0</v>
      </c>
      <c r="G451" s="143">
        <v>45256.0</v>
      </c>
      <c r="H451" s="143">
        <v>45452.0</v>
      </c>
      <c r="I451" s="143">
        <v>45465.0</v>
      </c>
      <c r="J451" s="39">
        <v>14.99</v>
      </c>
      <c r="K451" s="39">
        <v>10.49</v>
      </c>
      <c r="L451" s="39">
        <v>4.5</v>
      </c>
      <c r="M451" s="37">
        <v>6.0</v>
      </c>
      <c r="N451" s="39">
        <v>1.75</v>
      </c>
    </row>
    <row r="452">
      <c r="A452" s="40">
        <f t="shared" ref="A452:B452" si="46">COUNTA(A449:A451)</f>
        <v>3</v>
      </c>
      <c r="B452" s="40">
        <f t="shared" si="46"/>
        <v>2</v>
      </c>
      <c r="C452" s="40"/>
      <c r="D452" s="41"/>
      <c r="E452" s="44">
        <v>53.97</v>
      </c>
      <c r="F452" s="44">
        <v>24.48</v>
      </c>
      <c r="G452" s="44">
        <v>29.49</v>
      </c>
      <c r="H452" s="41">
        <v>51.0</v>
      </c>
      <c r="I452" s="43">
        <v>0.48</v>
      </c>
      <c r="J452" s="47">
        <f t="shared" ref="J452:M452" si="47">SUM(J449:J451)</f>
        <v>53.97</v>
      </c>
      <c r="K452" s="47">
        <f t="shared" si="47"/>
        <v>24.48</v>
      </c>
      <c r="L452" s="47">
        <f t="shared" si="47"/>
        <v>29.49</v>
      </c>
      <c r="M452" s="41">
        <f t="shared" si="47"/>
        <v>51</v>
      </c>
      <c r="N452" s="47">
        <f>K452/M452</f>
        <v>0.48</v>
      </c>
    </row>
    <row r="453">
      <c r="A453" s="109"/>
      <c r="B453" s="109"/>
      <c r="C453" s="109"/>
      <c r="D453" s="144"/>
      <c r="E453" s="144"/>
      <c r="F453" s="144"/>
      <c r="G453" s="144"/>
      <c r="H453" s="144"/>
      <c r="I453" s="144"/>
      <c r="J453" s="172"/>
      <c r="K453" s="172"/>
      <c r="L453" s="172"/>
      <c r="M453" s="144"/>
      <c r="N453" s="172"/>
    </row>
    <row r="454">
      <c r="A454" s="54" t="s">
        <v>392</v>
      </c>
      <c r="B454" s="54" t="s">
        <v>391</v>
      </c>
      <c r="C454" s="54">
        <v>822.0</v>
      </c>
      <c r="D454" s="54" t="s">
        <v>1117</v>
      </c>
      <c r="E454" s="54" t="s">
        <v>26</v>
      </c>
      <c r="F454" s="192">
        <v>44890.0</v>
      </c>
      <c r="G454" s="192">
        <v>45176.0</v>
      </c>
      <c r="H454" s="192">
        <v>45257.0</v>
      </c>
      <c r="I454" s="192">
        <v>45257.0</v>
      </c>
      <c r="J454" s="191">
        <v>4.99</v>
      </c>
      <c r="K454" s="191">
        <v>0.0</v>
      </c>
      <c r="L454" s="191">
        <v>4.99</v>
      </c>
      <c r="M454" s="54">
        <v>3.0</v>
      </c>
      <c r="N454" s="191">
        <v>0.0</v>
      </c>
    </row>
    <row r="455">
      <c r="A455" s="50">
        <f t="shared" ref="A455:B455" si="48">COUNTA(A454)</f>
        <v>1</v>
      </c>
      <c r="B455" s="50">
        <f t="shared" si="48"/>
        <v>1</v>
      </c>
      <c r="C455" s="50"/>
      <c r="D455" s="193"/>
      <c r="E455" s="211">
        <v>4.99</v>
      </c>
      <c r="F455" s="211">
        <v>0.0</v>
      </c>
      <c r="G455" s="211">
        <v>4.99</v>
      </c>
      <c r="H455" s="50">
        <v>3.0</v>
      </c>
      <c r="I455" s="189">
        <v>0.0</v>
      </c>
      <c r="J455" s="53">
        <f t="shared" ref="J455:M455" si="49">SUM(J454)</f>
        <v>4.99</v>
      </c>
      <c r="K455" s="53">
        <f t="shared" si="49"/>
        <v>0</v>
      </c>
      <c r="L455" s="53">
        <f t="shared" si="49"/>
        <v>4.99</v>
      </c>
      <c r="M455" s="193">
        <f t="shared" si="49"/>
        <v>3</v>
      </c>
      <c r="N455" s="53">
        <f>K455/M455</f>
        <v>0</v>
      </c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>
      <c r="A457" s="217" t="s">
        <v>394</v>
      </c>
      <c r="B457" s="217" t="s">
        <v>396</v>
      </c>
      <c r="C457" s="217">
        <v>442.0</v>
      </c>
      <c r="D457" s="217" t="s">
        <v>1118</v>
      </c>
      <c r="E457" s="217" t="s">
        <v>25</v>
      </c>
      <c r="F457" s="218">
        <v>41913.0</v>
      </c>
      <c r="G457" s="218">
        <v>43937.0</v>
      </c>
      <c r="H457" s="218">
        <v>43937.0</v>
      </c>
      <c r="I457" s="218">
        <v>43937.0</v>
      </c>
      <c r="J457" s="219">
        <v>9.99</v>
      </c>
      <c r="K457" s="219">
        <v>2.99</v>
      </c>
      <c r="L457" s="219">
        <v>7.0</v>
      </c>
      <c r="M457" s="217">
        <v>1.0</v>
      </c>
      <c r="N457" s="219">
        <v>2.99</v>
      </c>
    </row>
    <row r="458">
      <c r="A458" s="217" t="s">
        <v>394</v>
      </c>
      <c r="B458" s="217" t="s">
        <v>398</v>
      </c>
      <c r="C458" s="217">
        <v>429.0</v>
      </c>
      <c r="D458" s="217" t="s">
        <v>1119</v>
      </c>
      <c r="E458" s="217" t="s">
        <v>25</v>
      </c>
      <c r="F458" s="218">
        <v>42459.0</v>
      </c>
      <c r="G458" s="218">
        <v>42766.0</v>
      </c>
      <c r="H458" s="218">
        <v>42766.0</v>
      </c>
      <c r="I458" s="218">
        <v>44945.0</v>
      </c>
      <c r="J458" s="219">
        <v>9.99</v>
      </c>
      <c r="K458" s="219">
        <v>6.99</v>
      </c>
      <c r="L458" s="219">
        <v>3.0</v>
      </c>
      <c r="M458" s="217">
        <v>1.0</v>
      </c>
      <c r="N458" s="219">
        <v>6.99</v>
      </c>
    </row>
    <row r="459">
      <c r="A459" s="217" t="s">
        <v>394</v>
      </c>
      <c r="B459" s="217"/>
      <c r="C459" s="217">
        <v>441.0</v>
      </c>
      <c r="D459" s="217" t="s">
        <v>1120</v>
      </c>
      <c r="E459" s="217" t="s">
        <v>25</v>
      </c>
      <c r="F459" s="218">
        <v>42789.0</v>
      </c>
      <c r="G459" s="218">
        <v>43942.0</v>
      </c>
      <c r="H459" s="218">
        <v>43942.0</v>
      </c>
      <c r="I459" s="218">
        <v>43942.0</v>
      </c>
      <c r="J459" s="219">
        <v>9.99</v>
      </c>
      <c r="K459" s="219">
        <v>2.99</v>
      </c>
      <c r="L459" s="219">
        <v>7.0</v>
      </c>
      <c r="M459" s="217">
        <v>1.0</v>
      </c>
      <c r="N459" s="219">
        <v>2.99</v>
      </c>
    </row>
    <row r="460">
      <c r="A460" s="217" t="s">
        <v>394</v>
      </c>
      <c r="B460" s="217" t="s">
        <v>399</v>
      </c>
      <c r="C460" s="217">
        <v>537.0</v>
      </c>
      <c r="D460" s="217" t="s">
        <v>1121</v>
      </c>
      <c r="E460" s="217" t="s">
        <v>26</v>
      </c>
      <c r="F460" s="218">
        <v>43391.0</v>
      </c>
      <c r="G460" s="218">
        <v>45256.0</v>
      </c>
      <c r="H460" s="218">
        <v>45296.0</v>
      </c>
      <c r="I460" s="218">
        <v>45303.0</v>
      </c>
      <c r="J460" s="219">
        <v>19.99</v>
      </c>
      <c r="K460" s="219">
        <v>3.99</v>
      </c>
      <c r="L460" s="219">
        <v>16.0</v>
      </c>
      <c r="M460" s="217">
        <v>8.0</v>
      </c>
      <c r="N460" s="219">
        <v>0.5</v>
      </c>
    </row>
    <row r="461">
      <c r="A461" s="217" t="s">
        <v>394</v>
      </c>
      <c r="B461" s="217" t="s">
        <v>395</v>
      </c>
      <c r="C461" s="217">
        <v>667.0</v>
      </c>
      <c r="D461" s="217" t="s">
        <v>1122</v>
      </c>
      <c r="E461" s="217" t="s">
        <v>26</v>
      </c>
      <c r="F461" s="218">
        <v>44469.0</v>
      </c>
      <c r="G461" s="218">
        <v>44839.0</v>
      </c>
      <c r="H461" s="218">
        <v>44881.0</v>
      </c>
      <c r="I461" s="218">
        <v>44888.0</v>
      </c>
      <c r="J461" s="219">
        <v>49.99</v>
      </c>
      <c r="K461" s="219">
        <v>0.0</v>
      </c>
      <c r="L461" s="219">
        <v>49.99</v>
      </c>
      <c r="M461" s="217">
        <v>29.0</v>
      </c>
      <c r="N461" s="219">
        <v>0.0</v>
      </c>
    </row>
    <row r="462">
      <c r="A462" s="217" t="s">
        <v>394</v>
      </c>
      <c r="B462" s="217"/>
      <c r="C462" s="217">
        <v>668.0</v>
      </c>
      <c r="D462" s="217" t="s">
        <v>1123</v>
      </c>
      <c r="E462" s="217" t="s">
        <v>26</v>
      </c>
      <c r="F462" s="218">
        <v>45218.0</v>
      </c>
      <c r="G462" s="218">
        <v>45602.0</v>
      </c>
      <c r="H462" s="218">
        <v>45602.0</v>
      </c>
      <c r="I462" s="218">
        <v>45626.0</v>
      </c>
      <c r="J462" s="220">
        <v>49.99</v>
      </c>
      <c r="K462" s="220">
        <v>0.0</v>
      </c>
      <c r="L462" s="219">
        <v>49.99</v>
      </c>
      <c r="M462" s="217">
        <v>25.0</v>
      </c>
      <c r="N462" s="219">
        <v>0.0</v>
      </c>
    </row>
    <row r="463">
      <c r="A463" s="217" t="s">
        <v>394</v>
      </c>
      <c r="B463" s="217" t="s">
        <v>397</v>
      </c>
      <c r="C463" s="217">
        <v>1048.0</v>
      </c>
      <c r="D463" s="217" t="s">
        <v>1124</v>
      </c>
      <c r="E463" s="217" t="s">
        <v>27</v>
      </c>
      <c r="F463" s="218">
        <v>42773.0</v>
      </c>
      <c r="G463" s="218">
        <v>43466.0</v>
      </c>
      <c r="H463" s="218">
        <v>43466.0</v>
      </c>
      <c r="I463" s="218">
        <v>43466.0</v>
      </c>
      <c r="J463" s="219">
        <v>14.99</v>
      </c>
      <c r="K463" s="219">
        <v>2.99</v>
      </c>
      <c r="L463" s="219">
        <v>12.0</v>
      </c>
      <c r="M463" s="217">
        <v>1.0</v>
      </c>
      <c r="N463" s="219">
        <v>2.99</v>
      </c>
    </row>
    <row r="464">
      <c r="A464" s="217" t="s">
        <v>394</v>
      </c>
      <c r="B464" s="217" t="s">
        <v>393</v>
      </c>
      <c r="C464" s="217">
        <v>1037.0</v>
      </c>
      <c r="D464" s="217" t="s">
        <v>1125</v>
      </c>
      <c r="E464" s="217" t="s">
        <v>27</v>
      </c>
      <c r="F464" s="218">
        <v>44518.0</v>
      </c>
      <c r="G464" s="218">
        <v>44555.0</v>
      </c>
      <c r="H464" s="218">
        <v>44571.0</v>
      </c>
      <c r="I464" s="218">
        <v>44678.0</v>
      </c>
      <c r="J464" s="219">
        <v>9.99</v>
      </c>
      <c r="K464" s="219">
        <v>6.99</v>
      </c>
      <c r="L464" s="219">
        <v>3.0</v>
      </c>
      <c r="M464" s="217">
        <v>9.0</v>
      </c>
      <c r="N464" s="219">
        <v>0.78</v>
      </c>
    </row>
    <row r="465">
      <c r="A465" s="221">
        <f t="shared" ref="A465:B465" si="50">COUNTA(A457:A464)</f>
        <v>8</v>
      </c>
      <c r="B465" s="221">
        <f t="shared" si="50"/>
        <v>6</v>
      </c>
      <c r="C465" s="221"/>
      <c r="D465" s="222"/>
      <c r="E465" s="223">
        <v>174.92</v>
      </c>
      <c r="F465" s="223">
        <v>26.94</v>
      </c>
      <c r="G465" s="223">
        <v>147.98</v>
      </c>
      <c r="H465" s="221">
        <v>75.0</v>
      </c>
      <c r="I465" s="223">
        <v>0.3592</v>
      </c>
      <c r="J465" s="224">
        <f t="shared" ref="J465:M465" si="51">SUM(J457:J464)</f>
        <v>174.92</v>
      </c>
      <c r="K465" s="224">
        <f t="shared" si="51"/>
        <v>26.94</v>
      </c>
      <c r="L465" s="224">
        <f t="shared" si="51"/>
        <v>147.98</v>
      </c>
      <c r="M465" s="222">
        <f t="shared" si="51"/>
        <v>75</v>
      </c>
      <c r="N465" s="224">
        <f>K465/M465</f>
        <v>0.3592</v>
      </c>
    </row>
    <row r="466">
      <c r="A466" s="109"/>
      <c r="B466" s="109"/>
      <c r="C466" s="109"/>
      <c r="D466" s="144"/>
      <c r="E466" s="144"/>
      <c r="F466" s="144"/>
      <c r="G466" s="144"/>
      <c r="H466" s="144"/>
      <c r="I466" s="144"/>
      <c r="J466" s="1"/>
      <c r="K466" s="1"/>
      <c r="L466" s="1"/>
      <c r="M466" s="1"/>
      <c r="N466" s="1"/>
    </row>
    <row r="467">
      <c r="A467" s="40" t="s">
        <v>50</v>
      </c>
      <c r="B467" s="40" t="s">
        <v>411</v>
      </c>
      <c r="C467" s="40">
        <v>29.0</v>
      </c>
      <c r="D467" s="40" t="s">
        <v>1126</v>
      </c>
      <c r="E467" s="40" t="s">
        <v>21</v>
      </c>
      <c r="F467" s="197">
        <v>34971.0</v>
      </c>
      <c r="G467" s="197">
        <v>43373.0</v>
      </c>
      <c r="H467" s="197">
        <v>45483.0</v>
      </c>
      <c r="I467" s="197">
        <v>45484.0</v>
      </c>
      <c r="J467" s="196">
        <v>4.99</v>
      </c>
      <c r="K467" s="196">
        <v>4.99</v>
      </c>
      <c r="L467" s="196">
        <v>0.0</v>
      </c>
      <c r="M467" s="40">
        <v>3.0</v>
      </c>
      <c r="N467" s="196">
        <v>1.66</v>
      </c>
    </row>
    <row r="468">
      <c r="A468" s="40" t="s">
        <v>50</v>
      </c>
      <c r="B468" s="40" t="s">
        <v>406</v>
      </c>
      <c r="C468" s="40">
        <v>60.0</v>
      </c>
      <c r="D468" s="40" t="s">
        <v>1127</v>
      </c>
      <c r="E468" s="40" t="s">
        <v>21</v>
      </c>
      <c r="F468" s="197">
        <v>35010.0</v>
      </c>
      <c r="G468" s="197">
        <v>41262.0</v>
      </c>
      <c r="H468" s="197">
        <v>41262.0</v>
      </c>
      <c r="I468" s="197">
        <v>41262.0</v>
      </c>
      <c r="J468" s="196">
        <v>4.99</v>
      </c>
      <c r="K468" s="196">
        <v>4.99</v>
      </c>
      <c r="L468" s="196">
        <v>0.0</v>
      </c>
      <c r="M468" s="40">
        <v>5.0</v>
      </c>
      <c r="N468" s="196">
        <v>1.0</v>
      </c>
    </row>
    <row r="469">
      <c r="A469" s="40" t="s">
        <v>50</v>
      </c>
      <c r="B469" s="40" t="s">
        <v>422</v>
      </c>
      <c r="C469" s="40">
        <v>5.0</v>
      </c>
      <c r="D469" s="40" t="s">
        <v>1128</v>
      </c>
      <c r="E469" s="40" t="s">
        <v>21</v>
      </c>
      <c r="F469" s="197">
        <v>35062.0</v>
      </c>
      <c r="G469" s="197">
        <v>43373.0</v>
      </c>
      <c r="H469" s="197">
        <v>43373.0</v>
      </c>
      <c r="I469" s="197">
        <v>43373.0</v>
      </c>
      <c r="J469" s="196">
        <v>4.99</v>
      </c>
      <c r="K469" s="196">
        <v>4.99</v>
      </c>
      <c r="L469" s="196">
        <v>0.0</v>
      </c>
      <c r="M469" s="40">
        <v>1.0</v>
      </c>
      <c r="N469" s="196">
        <v>4.99</v>
      </c>
    </row>
    <row r="470">
      <c r="A470" s="40" t="s">
        <v>50</v>
      </c>
      <c r="B470" s="40" t="s">
        <v>51</v>
      </c>
      <c r="C470" s="40">
        <v>54.0</v>
      </c>
      <c r="D470" s="40" t="s">
        <v>69</v>
      </c>
      <c r="E470" s="40" t="s">
        <v>21</v>
      </c>
      <c r="F470" s="197">
        <v>35207.0</v>
      </c>
      <c r="G470" s="197">
        <v>43249.0</v>
      </c>
      <c r="H470" s="197">
        <v>43249.0</v>
      </c>
      <c r="I470" s="197">
        <v>43249.0</v>
      </c>
      <c r="J470" s="196">
        <v>3.33</v>
      </c>
      <c r="K470" s="196">
        <v>1.23</v>
      </c>
      <c r="L470" s="196">
        <v>2.1</v>
      </c>
      <c r="M470" s="40">
        <v>1.0</v>
      </c>
      <c r="N470" s="196">
        <v>1.23</v>
      </c>
    </row>
    <row r="471">
      <c r="A471" s="40" t="s">
        <v>50</v>
      </c>
      <c r="B471" s="40"/>
      <c r="C471" s="40">
        <v>61.0</v>
      </c>
      <c r="D471" s="40" t="s">
        <v>1129</v>
      </c>
      <c r="E471" s="40" t="s">
        <v>21</v>
      </c>
      <c r="F471" s="197">
        <v>35340.0</v>
      </c>
      <c r="G471" s="197">
        <v>41261.0</v>
      </c>
      <c r="H471" s="197">
        <v>41261.0</v>
      </c>
      <c r="I471" s="197">
        <v>41261.0</v>
      </c>
      <c r="J471" s="196">
        <v>4.99</v>
      </c>
      <c r="K471" s="196">
        <v>4.99</v>
      </c>
      <c r="L471" s="196">
        <v>0.0</v>
      </c>
      <c r="M471" s="40">
        <v>15.0</v>
      </c>
      <c r="N471" s="196">
        <v>0.33</v>
      </c>
    </row>
    <row r="472">
      <c r="A472" s="40" t="s">
        <v>50</v>
      </c>
      <c r="B472" s="40" t="s">
        <v>432</v>
      </c>
      <c r="C472" s="40">
        <v>37.0</v>
      </c>
      <c r="D472" s="40" t="s">
        <v>1130</v>
      </c>
      <c r="E472" s="40" t="s">
        <v>21</v>
      </c>
      <c r="F472" s="197">
        <v>35370.0</v>
      </c>
      <c r="G472" s="197">
        <v>43014.0</v>
      </c>
      <c r="H472" s="197">
        <v>43014.0</v>
      </c>
      <c r="I472" s="197">
        <v>43014.0</v>
      </c>
      <c r="J472" s="196">
        <v>4.99</v>
      </c>
      <c r="K472" s="196">
        <v>2.49</v>
      </c>
      <c r="L472" s="196">
        <v>2.5</v>
      </c>
      <c r="M472" s="40">
        <v>3.0</v>
      </c>
      <c r="N472" s="196">
        <v>0.83</v>
      </c>
    </row>
    <row r="473">
      <c r="A473" s="40" t="s">
        <v>50</v>
      </c>
      <c r="B473" s="40"/>
      <c r="C473" s="40">
        <v>55.0</v>
      </c>
      <c r="D473" s="40" t="s">
        <v>70</v>
      </c>
      <c r="E473" s="40" t="s">
        <v>21</v>
      </c>
      <c r="F473" s="197">
        <v>35385.0</v>
      </c>
      <c r="G473" s="197">
        <v>43249.0</v>
      </c>
      <c r="H473" s="197">
        <v>43249.0</v>
      </c>
      <c r="I473" s="197">
        <v>43249.0</v>
      </c>
      <c r="J473" s="196">
        <v>3.33</v>
      </c>
      <c r="K473" s="196">
        <v>1.23</v>
      </c>
      <c r="L473" s="196">
        <v>2.1</v>
      </c>
      <c r="M473" s="40">
        <v>1.0</v>
      </c>
      <c r="N473" s="196">
        <v>1.23</v>
      </c>
    </row>
    <row r="474">
      <c r="A474" s="40" t="s">
        <v>50</v>
      </c>
      <c r="B474" s="40" t="s">
        <v>418</v>
      </c>
      <c r="C474" s="40">
        <v>57.0</v>
      </c>
      <c r="D474" s="40" t="s">
        <v>1131</v>
      </c>
      <c r="E474" s="40" t="s">
        <v>21</v>
      </c>
      <c r="F474" s="197">
        <v>35531.0</v>
      </c>
      <c r="G474" s="197">
        <v>44300.0</v>
      </c>
      <c r="H474" s="197">
        <v>44300.0</v>
      </c>
      <c r="I474" s="197">
        <v>44300.0</v>
      </c>
      <c r="J474" s="196">
        <v>4.99</v>
      </c>
      <c r="K474" s="196">
        <v>4.99</v>
      </c>
      <c r="L474" s="196">
        <v>0.0</v>
      </c>
      <c r="M474" s="40">
        <v>1.0</v>
      </c>
      <c r="N474" s="196">
        <v>4.99</v>
      </c>
    </row>
    <row r="475">
      <c r="A475" s="40" t="s">
        <v>50</v>
      </c>
      <c r="B475" s="40" t="s">
        <v>425</v>
      </c>
      <c r="C475" s="40">
        <v>40.0</v>
      </c>
      <c r="D475" s="40" t="s">
        <v>1132</v>
      </c>
      <c r="E475" s="40" t="s">
        <v>21</v>
      </c>
      <c r="F475" s="197">
        <v>35699.0</v>
      </c>
      <c r="G475" s="197">
        <v>42927.0</v>
      </c>
      <c r="H475" s="197">
        <v>42927.0</v>
      </c>
      <c r="I475" s="197">
        <v>45163.0</v>
      </c>
      <c r="J475" s="196">
        <v>14.99</v>
      </c>
      <c r="K475" s="196">
        <v>14.99</v>
      </c>
      <c r="L475" s="196">
        <v>0.0</v>
      </c>
      <c r="M475" s="40">
        <v>4.0</v>
      </c>
      <c r="N475" s="196">
        <v>3.75</v>
      </c>
    </row>
    <row r="476">
      <c r="A476" s="45" t="s">
        <v>50</v>
      </c>
      <c r="B476" s="45" t="s">
        <v>420</v>
      </c>
      <c r="C476" s="45">
        <v>1094.0</v>
      </c>
      <c r="D476" s="45" t="s">
        <v>1133</v>
      </c>
      <c r="E476" s="45" t="s">
        <v>21</v>
      </c>
      <c r="F476" s="197">
        <v>35719.0</v>
      </c>
      <c r="G476" s="197">
        <v>45949.0</v>
      </c>
      <c r="H476" s="197">
        <v>45949.0</v>
      </c>
      <c r="I476" s="197">
        <v>45949.0</v>
      </c>
      <c r="J476" s="44">
        <v>15.99</v>
      </c>
      <c r="K476" s="44">
        <v>7.99</v>
      </c>
      <c r="L476" s="44">
        <f>J476-K476</f>
        <v>8</v>
      </c>
      <c r="M476" s="45">
        <v>1.0</v>
      </c>
      <c r="N476" s="44">
        <f>K476/M476</f>
        <v>7.99</v>
      </c>
    </row>
    <row r="477">
      <c r="A477" s="40" t="s">
        <v>50</v>
      </c>
      <c r="B477" s="40"/>
      <c r="C477" s="40">
        <v>4.0</v>
      </c>
      <c r="D477" s="40" t="s">
        <v>1134</v>
      </c>
      <c r="E477" s="40" t="s">
        <v>21</v>
      </c>
      <c r="F477" s="197">
        <v>35735.0</v>
      </c>
      <c r="G477" s="197">
        <v>42279.0</v>
      </c>
      <c r="H477" s="197">
        <v>42279.0</v>
      </c>
      <c r="I477" s="197">
        <v>42279.0</v>
      </c>
      <c r="J477" s="196">
        <v>14.99</v>
      </c>
      <c r="K477" s="196">
        <v>4.5</v>
      </c>
      <c r="L477" s="196">
        <v>10.49</v>
      </c>
      <c r="M477" s="40">
        <v>1.0</v>
      </c>
      <c r="N477" s="196">
        <v>4.5</v>
      </c>
    </row>
    <row r="478">
      <c r="A478" s="40" t="s">
        <v>50</v>
      </c>
      <c r="B478" s="40" t="s">
        <v>439</v>
      </c>
      <c r="C478" s="40">
        <v>21.0</v>
      </c>
      <c r="D478" s="40" t="s">
        <v>1135</v>
      </c>
      <c r="E478" s="40" t="s">
        <v>21</v>
      </c>
      <c r="F478" s="197">
        <v>35751.0</v>
      </c>
      <c r="G478" s="197">
        <v>41572.0</v>
      </c>
      <c r="H478" s="197">
        <v>41572.0</v>
      </c>
      <c r="I478" s="197">
        <v>41586.0</v>
      </c>
      <c r="J478" s="196">
        <v>9.99</v>
      </c>
      <c r="K478" s="196">
        <v>4.99</v>
      </c>
      <c r="L478" s="196">
        <v>5.0</v>
      </c>
      <c r="M478" s="40">
        <v>40.0</v>
      </c>
      <c r="N478" s="196">
        <v>0.12</v>
      </c>
    </row>
    <row r="479">
      <c r="A479" s="40" t="s">
        <v>50</v>
      </c>
      <c r="B479" s="40"/>
      <c r="C479" s="40">
        <v>45.0</v>
      </c>
      <c r="D479" s="40" t="s">
        <v>71</v>
      </c>
      <c r="E479" s="40" t="s">
        <v>21</v>
      </c>
      <c r="F479" s="197">
        <v>35774.0</v>
      </c>
      <c r="G479" s="197">
        <v>42665.0</v>
      </c>
      <c r="H479" s="197">
        <v>42665.0</v>
      </c>
      <c r="I479" s="197">
        <v>42665.0</v>
      </c>
      <c r="J479" s="196">
        <v>9.99</v>
      </c>
      <c r="K479" s="196">
        <v>3.99</v>
      </c>
      <c r="L479" s="196">
        <v>6.0</v>
      </c>
      <c r="M479" s="40">
        <v>1.0</v>
      </c>
      <c r="N479" s="196">
        <v>3.99</v>
      </c>
    </row>
    <row r="480">
      <c r="A480" s="40" t="s">
        <v>50</v>
      </c>
      <c r="B480" s="40"/>
      <c r="C480" s="40">
        <v>46.0</v>
      </c>
      <c r="D480" s="40" t="s">
        <v>72</v>
      </c>
      <c r="E480" s="40" t="s">
        <v>21</v>
      </c>
      <c r="F480" s="197">
        <v>35914.0</v>
      </c>
      <c r="G480" s="197">
        <v>42875.0</v>
      </c>
      <c r="H480" s="197">
        <v>42875.0</v>
      </c>
      <c r="I480" s="197">
        <v>42875.0</v>
      </c>
      <c r="J480" s="196">
        <v>9.99</v>
      </c>
      <c r="K480" s="196">
        <v>3.99</v>
      </c>
      <c r="L480" s="196">
        <v>6.0</v>
      </c>
      <c r="M480" s="40">
        <v>1.0</v>
      </c>
      <c r="N480" s="196">
        <v>3.99</v>
      </c>
    </row>
    <row r="481">
      <c r="A481" s="40" t="s">
        <v>50</v>
      </c>
      <c r="B481" s="40"/>
      <c r="C481" s="40">
        <v>30.0</v>
      </c>
      <c r="D481" s="40" t="s">
        <v>1136</v>
      </c>
      <c r="E481" s="40" t="s">
        <v>21</v>
      </c>
      <c r="F481" s="197">
        <v>35951.0</v>
      </c>
      <c r="G481" s="197">
        <v>42279.0</v>
      </c>
      <c r="H481" s="197">
        <v>42279.0</v>
      </c>
      <c r="I481" s="197">
        <v>42279.0</v>
      </c>
      <c r="J481" s="196">
        <v>4.99</v>
      </c>
      <c r="K481" s="196">
        <v>2.5</v>
      </c>
      <c r="L481" s="196">
        <v>2.49</v>
      </c>
      <c r="M481" s="40">
        <v>4.0</v>
      </c>
      <c r="N481" s="196">
        <v>0.63</v>
      </c>
    </row>
    <row r="482">
      <c r="A482" s="40" t="s">
        <v>50</v>
      </c>
      <c r="B482" s="40"/>
      <c r="C482" s="40">
        <v>53.0</v>
      </c>
      <c r="D482" s="40" t="s">
        <v>73</v>
      </c>
      <c r="E482" s="40" t="s">
        <v>21</v>
      </c>
      <c r="F482" s="197">
        <v>35977.0</v>
      </c>
      <c r="G482" s="197">
        <v>43249.0</v>
      </c>
      <c r="H482" s="197">
        <v>43249.0</v>
      </c>
      <c r="I482" s="197">
        <v>43249.0</v>
      </c>
      <c r="J482" s="196">
        <v>3.33</v>
      </c>
      <c r="K482" s="196">
        <v>1.23</v>
      </c>
      <c r="L482" s="196">
        <v>2.1</v>
      </c>
      <c r="M482" s="40">
        <v>1.0</v>
      </c>
      <c r="N482" s="196">
        <v>1.23</v>
      </c>
    </row>
    <row r="483">
      <c r="A483" s="40" t="s">
        <v>50</v>
      </c>
      <c r="B483" s="40" t="s">
        <v>445</v>
      </c>
      <c r="C483" s="40">
        <v>68.0</v>
      </c>
      <c r="D483" s="40" t="s">
        <v>1137</v>
      </c>
      <c r="E483" s="40" t="s">
        <v>21</v>
      </c>
      <c r="F483" s="197">
        <v>36035.0</v>
      </c>
      <c r="G483" s="197">
        <v>41568.0</v>
      </c>
      <c r="H483" s="197">
        <v>45655.0</v>
      </c>
      <c r="I483" s="197">
        <v>45662.0</v>
      </c>
      <c r="J483" s="196">
        <v>27.98</v>
      </c>
      <c r="K483" s="196">
        <v>4.99</v>
      </c>
      <c r="L483" s="196">
        <v>22.99</v>
      </c>
      <c r="M483" s="40">
        <v>18.0</v>
      </c>
      <c r="N483" s="196">
        <v>0.28</v>
      </c>
    </row>
    <row r="484">
      <c r="A484" s="41" t="s">
        <v>50</v>
      </c>
      <c r="B484" s="41"/>
      <c r="C484" s="41">
        <v>1095.0</v>
      </c>
      <c r="D484" s="41" t="s">
        <v>1138</v>
      </c>
      <c r="E484" s="41" t="s">
        <v>21</v>
      </c>
      <c r="F484" s="46">
        <v>36050.0</v>
      </c>
      <c r="G484" s="46">
        <v>45956.0</v>
      </c>
      <c r="H484" s="46">
        <v>45967.0</v>
      </c>
      <c r="I484" s="46">
        <v>45971.0</v>
      </c>
      <c r="J484" s="44">
        <v>9.99</v>
      </c>
      <c r="K484" s="44">
        <v>9.99</v>
      </c>
      <c r="L484" s="44">
        <v>0.0</v>
      </c>
      <c r="M484" s="41">
        <v>2.0</v>
      </c>
      <c r="N484" s="44">
        <v>4.995</v>
      </c>
    </row>
    <row r="485">
      <c r="A485" s="40" t="s">
        <v>50</v>
      </c>
      <c r="B485" s="40"/>
      <c r="C485" s="40">
        <v>34.0</v>
      </c>
      <c r="D485" s="40" t="s">
        <v>1139</v>
      </c>
      <c r="E485" s="40" t="s">
        <v>21</v>
      </c>
      <c r="F485" s="197">
        <v>36213.0</v>
      </c>
      <c r="G485" s="197">
        <v>41261.0</v>
      </c>
      <c r="H485" s="197">
        <v>41261.0</v>
      </c>
      <c r="I485" s="197">
        <v>41274.0</v>
      </c>
      <c r="J485" s="196">
        <v>9.99</v>
      </c>
      <c r="K485" s="196">
        <v>4.99</v>
      </c>
      <c r="L485" s="196">
        <v>5.0</v>
      </c>
      <c r="M485" s="40">
        <v>30.0</v>
      </c>
      <c r="N485" s="196">
        <v>0.17</v>
      </c>
    </row>
    <row r="486">
      <c r="A486" s="40" t="s">
        <v>50</v>
      </c>
      <c r="B486" s="40"/>
      <c r="C486" s="40">
        <v>56.0</v>
      </c>
      <c r="D486" s="40" t="s">
        <v>74</v>
      </c>
      <c r="E486" s="40" t="s">
        <v>21</v>
      </c>
      <c r="F486" s="197">
        <v>36336.0</v>
      </c>
      <c r="G486" s="197">
        <v>43249.0</v>
      </c>
      <c r="H486" s="197">
        <v>43249.0</v>
      </c>
      <c r="I486" s="197">
        <v>43249.0</v>
      </c>
      <c r="J486" s="196">
        <v>3.33</v>
      </c>
      <c r="K486" s="196">
        <v>1.23</v>
      </c>
      <c r="L486" s="196">
        <v>2.1</v>
      </c>
      <c r="M486" s="40">
        <v>1.0</v>
      </c>
      <c r="N486" s="196">
        <v>1.23</v>
      </c>
    </row>
    <row r="487">
      <c r="A487" s="40" t="s">
        <v>50</v>
      </c>
      <c r="B487" s="40"/>
      <c r="C487" s="40">
        <v>49.0</v>
      </c>
      <c r="D487" s="40" t="s">
        <v>1140</v>
      </c>
      <c r="E487" s="40" t="s">
        <v>21</v>
      </c>
      <c r="F487" s="197">
        <v>36357.0</v>
      </c>
      <c r="G487" s="197">
        <v>42812.0</v>
      </c>
      <c r="H487" s="197">
        <v>42812.0</v>
      </c>
      <c r="I487" s="197">
        <v>42812.0</v>
      </c>
      <c r="J487" s="196">
        <v>6.99</v>
      </c>
      <c r="K487" s="196">
        <v>2.99</v>
      </c>
      <c r="L487" s="196">
        <v>4.0</v>
      </c>
      <c r="M487" s="40">
        <v>1.0</v>
      </c>
      <c r="N487" s="196">
        <v>2.99</v>
      </c>
    </row>
    <row r="488">
      <c r="A488" s="40" t="s">
        <v>50</v>
      </c>
      <c r="B488" s="40"/>
      <c r="C488" s="40">
        <v>73.0</v>
      </c>
      <c r="D488" s="40" t="s">
        <v>1141</v>
      </c>
      <c r="E488" s="40" t="s">
        <v>21</v>
      </c>
      <c r="F488" s="197">
        <v>36413.0</v>
      </c>
      <c r="G488" s="197">
        <v>43014.0</v>
      </c>
      <c r="H488" s="197">
        <v>43014.0</v>
      </c>
      <c r="I488" s="197">
        <v>43014.0</v>
      </c>
      <c r="J488" s="196">
        <v>4.99</v>
      </c>
      <c r="K488" s="196">
        <v>4.99</v>
      </c>
      <c r="L488" s="196">
        <v>0.0</v>
      </c>
      <c r="M488" s="40">
        <v>1.0</v>
      </c>
      <c r="N488" s="196">
        <v>4.99</v>
      </c>
    </row>
    <row r="489">
      <c r="A489" s="40" t="s">
        <v>50</v>
      </c>
      <c r="B489" s="40"/>
      <c r="C489" s="40">
        <v>22.0</v>
      </c>
      <c r="D489" s="40" t="s">
        <v>1142</v>
      </c>
      <c r="E489" s="40" t="s">
        <v>21</v>
      </c>
      <c r="F489" s="197">
        <v>36460.0</v>
      </c>
      <c r="G489" s="197">
        <v>42784.0</v>
      </c>
      <c r="H489" s="197">
        <v>42784.0</v>
      </c>
      <c r="I489" s="197">
        <v>42784.0</v>
      </c>
      <c r="J489" s="196">
        <v>9.99</v>
      </c>
      <c r="K489" s="196">
        <v>4.99</v>
      </c>
      <c r="L489" s="196">
        <v>5.0</v>
      </c>
      <c r="M489" s="40">
        <v>1.0</v>
      </c>
      <c r="N489" s="196">
        <v>4.99</v>
      </c>
    </row>
    <row r="490">
      <c r="A490" s="40" t="s">
        <v>50</v>
      </c>
      <c r="B490" s="40"/>
      <c r="C490" s="40">
        <v>47.0</v>
      </c>
      <c r="D490" s="40" t="s">
        <v>75</v>
      </c>
      <c r="E490" s="40" t="s">
        <v>21</v>
      </c>
      <c r="F490" s="197">
        <v>36577.0</v>
      </c>
      <c r="G490" s="197">
        <v>42665.0</v>
      </c>
      <c r="H490" s="197">
        <v>42665.0</v>
      </c>
      <c r="I490" s="197">
        <v>42665.0</v>
      </c>
      <c r="J490" s="43">
        <v>9.99</v>
      </c>
      <c r="K490" s="43">
        <v>3.99</v>
      </c>
      <c r="L490" s="196">
        <v>6.0</v>
      </c>
      <c r="M490" s="40">
        <v>1.0</v>
      </c>
      <c r="N490" s="196">
        <v>3.99</v>
      </c>
    </row>
    <row r="491">
      <c r="A491" s="40" t="s">
        <v>50</v>
      </c>
      <c r="B491" s="40"/>
      <c r="C491" s="40">
        <v>69.0</v>
      </c>
      <c r="D491" s="40" t="s">
        <v>1143</v>
      </c>
      <c r="E491" s="40" t="s">
        <v>21</v>
      </c>
      <c r="F491" s="197">
        <v>36693.0</v>
      </c>
      <c r="G491" s="197">
        <v>43373.0</v>
      </c>
      <c r="H491" s="197">
        <v>45793.0</v>
      </c>
      <c r="I491" s="197">
        <v>45793.0</v>
      </c>
      <c r="J491" s="196">
        <v>7.99</v>
      </c>
      <c r="K491" s="196">
        <v>7.99</v>
      </c>
      <c r="L491" s="196">
        <v>0.0</v>
      </c>
      <c r="M491" s="40">
        <v>2.0</v>
      </c>
      <c r="N491" s="196">
        <v>4.0</v>
      </c>
    </row>
    <row r="492">
      <c r="A492" s="40" t="s">
        <v>50</v>
      </c>
      <c r="B492" s="40"/>
      <c r="C492" s="40">
        <v>2.0</v>
      </c>
      <c r="D492" s="40" t="s">
        <v>1144</v>
      </c>
      <c r="E492" s="40" t="s">
        <v>21</v>
      </c>
      <c r="F492" s="197">
        <v>36714.0</v>
      </c>
      <c r="G492" s="197">
        <v>43373.0</v>
      </c>
      <c r="H492" s="197">
        <v>43373.0</v>
      </c>
      <c r="I492" s="197">
        <v>43373.0</v>
      </c>
      <c r="J492" s="196">
        <v>4.99</v>
      </c>
      <c r="K492" s="196">
        <v>4.99</v>
      </c>
      <c r="L492" s="196">
        <v>0.0</v>
      </c>
      <c r="M492" s="40">
        <v>1.0</v>
      </c>
      <c r="N492" s="196">
        <v>4.99</v>
      </c>
    </row>
    <row r="493">
      <c r="A493" s="40" t="s">
        <v>50</v>
      </c>
      <c r="B493" s="40"/>
      <c r="C493" s="40">
        <v>58.0</v>
      </c>
      <c r="D493" s="40" t="s">
        <v>1145</v>
      </c>
      <c r="E493" s="40" t="s">
        <v>21</v>
      </c>
      <c r="F493" s="197">
        <v>36735.0</v>
      </c>
      <c r="G493" s="197">
        <v>44300.0</v>
      </c>
      <c r="H493" s="197">
        <v>44300.0</v>
      </c>
      <c r="I493" s="197">
        <v>44300.0</v>
      </c>
      <c r="J493" s="43">
        <v>4.99</v>
      </c>
      <c r="K493" s="43">
        <v>4.99</v>
      </c>
      <c r="L493" s="196">
        <v>0.0</v>
      </c>
      <c r="M493" s="40">
        <v>1.0</v>
      </c>
      <c r="N493" s="196">
        <v>4.99</v>
      </c>
    </row>
    <row r="494">
      <c r="A494" s="40" t="s">
        <v>50</v>
      </c>
      <c r="B494" s="40"/>
      <c r="C494" s="40">
        <v>74.0</v>
      </c>
      <c r="D494" s="40" t="s">
        <v>1146</v>
      </c>
      <c r="E494" s="40" t="s">
        <v>21</v>
      </c>
      <c r="F494" s="197">
        <v>36768.0</v>
      </c>
      <c r="G494" s="197">
        <v>43014.0</v>
      </c>
      <c r="H494" s="197">
        <v>43014.0</v>
      </c>
      <c r="I494" s="197">
        <v>43014.0</v>
      </c>
      <c r="J494" s="196">
        <v>4.99</v>
      </c>
      <c r="K494" s="196">
        <v>1.99</v>
      </c>
      <c r="L494" s="196">
        <v>3.0</v>
      </c>
      <c r="M494" s="40">
        <v>1.0</v>
      </c>
      <c r="N494" s="196">
        <v>1.99</v>
      </c>
    </row>
    <row r="495">
      <c r="A495" s="40" t="s">
        <v>50</v>
      </c>
      <c r="B495" s="40" t="s">
        <v>447</v>
      </c>
      <c r="C495" s="40">
        <v>76.0</v>
      </c>
      <c r="D495" s="40" t="s">
        <v>1147</v>
      </c>
      <c r="E495" s="40" t="s">
        <v>21</v>
      </c>
      <c r="F495" s="197">
        <v>36861.0</v>
      </c>
      <c r="G495" s="197">
        <v>40538.0</v>
      </c>
      <c r="H495" s="197">
        <v>40538.0</v>
      </c>
      <c r="I495" s="197">
        <v>40538.0</v>
      </c>
      <c r="J495" s="196">
        <v>9.99</v>
      </c>
      <c r="K495" s="196">
        <v>9.99</v>
      </c>
      <c r="L495" s="196">
        <v>0.0</v>
      </c>
      <c r="M495" s="40">
        <v>45.0</v>
      </c>
      <c r="N495" s="196">
        <v>0.22</v>
      </c>
    </row>
    <row r="496">
      <c r="A496" s="40" t="s">
        <v>50</v>
      </c>
      <c r="B496" s="40"/>
      <c r="C496" s="40">
        <v>23.0</v>
      </c>
      <c r="D496" s="40" t="s">
        <v>1148</v>
      </c>
      <c r="E496" s="40" t="s">
        <v>21</v>
      </c>
      <c r="F496" s="197">
        <v>36938.0</v>
      </c>
      <c r="G496" s="197">
        <v>42784.0</v>
      </c>
      <c r="H496" s="197">
        <v>42784.0</v>
      </c>
      <c r="I496" s="197">
        <v>42784.0</v>
      </c>
      <c r="J496" s="196">
        <v>9.99</v>
      </c>
      <c r="K496" s="196">
        <v>4.99</v>
      </c>
      <c r="L496" s="196">
        <v>5.0</v>
      </c>
      <c r="M496" s="40">
        <v>1.0</v>
      </c>
      <c r="N496" s="196">
        <v>4.99</v>
      </c>
    </row>
    <row r="497">
      <c r="A497" s="40" t="s">
        <v>50</v>
      </c>
      <c r="B497" s="40"/>
      <c r="C497" s="40">
        <v>19.0</v>
      </c>
      <c r="D497" s="40" t="s">
        <v>1149</v>
      </c>
      <c r="E497" s="40" t="s">
        <v>21</v>
      </c>
      <c r="F497" s="197">
        <v>37316.0</v>
      </c>
      <c r="G497" s="197">
        <v>42784.0</v>
      </c>
      <c r="H497" s="197">
        <v>42784.0</v>
      </c>
      <c r="I497" s="197">
        <v>42784.0</v>
      </c>
      <c r="J497" s="196">
        <v>9.99</v>
      </c>
      <c r="K497" s="196">
        <v>4.99</v>
      </c>
      <c r="L497" s="196">
        <v>5.0</v>
      </c>
      <c r="M497" s="40">
        <v>1.0</v>
      </c>
      <c r="N497" s="196">
        <v>4.99</v>
      </c>
    </row>
    <row r="498">
      <c r="A498" s="40" t="s">
        <v>50</v>
      </c>
      <c r="B498" s="40"/>
      <c r="C498" s="40">
        <v>20.0</v>
      </c>
      <c r="D498" s="40" t="s">
        <v>1150</v>
      </c>
      <c r="E498" s="40" t="s">
        <v>21</v>
      </c>
      <c r="F498" s="197">
        <v>37316.0</v>
      </c>
      <c r="G498" s="197">
        <v>42784.0</v>
      </c>
      <c r="H498" s="197">
        <v>42784.0</v>
      </c>
      <c r="I498" s="197">
        <v>42784.0</v>
      </c>
      <c r="J498" s="196">
        <v>9.99</v>
      </c>
      <c r="K498" s="196">
        <v>4.99</v>
      </c>
      <c r="L498" s="196">
        <v>5.0</v>
      </c>
      <c r="M498" s="40">
        <v>1.0</v>
      </c>
      <c r="N498" s="196">
        <v>4.99</v>
      </c>
    </row>
    <row r="499">
      <c r="A499" s="40" t="s">
        <v>50</v>
      </c>
      <c r="B499" s="40" t="s">
        <v>435</v>
      </c>
      <c r="C499" s="40">
        <v>83.0</v>
      </c>
      <c r="D499" s="40" t="s">
        <v>1151</v>
      </c>
      <c r="E499" s="40" t="s">
        <v>22</v>
      </c>
      <c r="F499" s="197">
        <v>37043.0</v>
      </c>
      <c r="G499" s="197">
        <v>43373.0</v>
      </c>
      <c r="H499" s="197">
        <v>43373.0</v>
      </c>
      <c r="I499" s="197">
        <v>43373.0</v>
      </c>
      <c r="J499" s="196">
        <v>2.25</v>
      </c>
      <c r="K499" s="196">
        <v>2.25</v>
      </c>
      <c r="L499" s="196">
        <v>0.0</v>
      </c>
      <c r="M499" s="40">
        <v>1.0</v>
      </c>
      <c r="N499" s="196">
        <v>2.25</v>
      </c>
    </row>
    <row r="500">
      <c r="A500" s="40" t="s">
        <v>50</v>
      </c>
      <c r="B500" s="40"/>
      <c r="C500" s="40">
        <v>130.0</v>
      </c>
      <c r="D500" s="40" t="s">
        <v>76</v>
      </c>
      <c r="E500" s="40" t="s">
        <v>22</v>
      </c>
      <c r="F500" s="197">
        <v>37148.0</v>
      </c>
      <c r="G500" s="197">
        <v>45224.0</v>
      </c>
      <c r="H500" s="197">
        <v>45227.0</v>
      </c>
      <c r="I500" s="197">
        <v>45229.0</v>
      </c>
      <c r="J500" s="196">
        <v>14.99</v>
      </c>
      <c r="K500" s="196">
        <v>0.99</v>
      </c>
      <c r="L500" s="196">
        <v>14.0</v>
      </c>
      <c r="M500" s="40">
        <v>2.0</v>
      </c>
      <c r="N500" s="196">
        <v>0.5</v>
      </c>
    </row>
    <row r="501">
      <c r="A501" s="40" t="s">
        <v>50</v>
      </c>
      <c r="B501" s="40" t="s">
        <v>419</v>
      </c>
      <c r="C501" s="40">
        <v>84.0</v>
      </c>
      <c r="D501" s="40" t="s">
        <v>1152</v>
      </c>
      <c r="E501" s="40" t="s">
        <v>22</v>
      </c>
      <c r="F501" s="197">
        <v>37155.0</v>
      </c>
      <c r="G501" s="197">
        <v>42619.0</v>
      </c>
      <c r="H501" s="197">
        <v>42633.0</v>
      </c>
      <c r="I501" s="197">
        <v>45180.0</v>
      </c>
      <c r="J501" s="196">
        <v>14.99</v>
      </c>
      <c r="K501" s="196">
        <v>8.99</v>
      </c>
      <c r="L501" s="196">
        <v>6.0</v>
      </c>
      <c r="M501" s="40">
        <v>66.0</v>
      </c>
      <c r="N501" s="196">
        <v>0.14</v>
      </c>
    </row>
    <row r="502">
      <c r="A502" s="40" t="s">
        <v>50</v>
      </c>
      <c r="B502" s="40"/>
      <c r="C502" s="40">
        <v>110.0</v>
      </c>
      <c r="D502" s="40" t="s">
        <v>1153</v>
      </c>
      <c r="E502" s="40" t="s">
        <v>22</v>
      </c>
      <c r="F502" s="197">
        <v>37204.0</v>
      </c>
      <c r="G502" s="197">
        <v>44883.0</v>
      </c>
      <c r="H502" s="197">
        <v>44906.0</v>
      </c>
      <c r="I502" s="197">
        <v>44907.0</v>
      </c>
      <c r="J502" s="196">
        <v>24.99</v>
      </c>
      <c r="K502" s="196">
        <v>14.99</v>
      </c>
      <c r="L502" s="196">
        <v>10.0</v>
      </c>
      <c r="M502" s="40">
        <v>6.0</v>
      </c>
      <c r="N502" s="196">
        <v>2.5</v>
      </c>
    </row>
    <row r="503">
      <c r="A503" s="40" t="s">
        <v>50</v>
      </c>
      <c r="B503" s="40"/>
      <c r="C503" s="40">
        <v>133.0</v>
      </c>
      <c r="D503" s="40" t="s">
        <v>1154</v>
      </c>
      <c r="E503" s="40" t="s">
        <v>22</v>
      </c>
      <c r="F503" s="197">
        <v>37218.0</v>
      </c>
      <c r="G503" s="197">
        <v>44115.0</v>
      </c>
      <c r="H503" s="197">
        <v>44115.0</v>
      </c>
      <c r="I503" s="197">
        <v>44115.0</v>
      </c>
      <c r="J503" s="196">
        <v>11.0</v>
      </c>
      <c r="K503" s="196">
        <v>11.0</v>
      </c>
      <c r="L503" s="196">
        <v>0.0</v>
      </c>
      <c r="M503" s="40">
        <v>1.0</v>
      </c>
      <c r="N503" s="196">
        <v>11.0</v>
      </c>
    </row>
    <row r="504">
      <c r="A504" s="40" t="s">
        <v>50</v>
      </c>
      <c r="B504" s="40"/>
      <c r="C504" s="40">
        <v>89.0</v>
      </c>
      <c r="D504" s="40" t="s">
        <v>77</v>
      </c>
      <c r="E504" s="40" t="s">
        <v>22</v>
      </c>
      <c r="F504" s="197">
        <v>37232.0</v>
      </c>
      <c r="G504" s="197">
        <v>43685.0</v>
      </c>
      <c r="H504" s="197">
        <v>44488.0</v>
      </c>
      <c r="I504" s="197">
        <v>44489.0</v>
      </c>
      <c r="J504" s="196">
        <v>7.33</v>
      </c>
      <c r="K504" s="196">
        <v>3.67</v>
      </c>
      <c r="L504" s="196">
        <v>3.66</v>
      </c>
      <c r="M504" s="40">
        <v>13.0</v>
      </c>
      <c r="N504" s="196">
        <v>0.28</v>
      </c>
    </row>
    <row r="505">
      <c r="A505" s="40" t="s">
        <v>50</v>
      </c>
      <c r="B505" s="40"/>
      <c r="C505" s="40">
        <v>115.0</v>
      </c>
      <c r="D505" s="40" t="s">
        <v>1155</v>
      </c>
      <c r="E505" s="40" t="s">
        <v>22</v>
      </c>
      <c r="F505" s="197">
        <v>37323.0</v>
      </c>
      <c r="G505" s="197">
        <v>42259.0</v>
      </c>
      <c r="H505" s="197">
        <v>42259.0</v>
      </c>
      <c r="I505" s="197">
        <v>42259.0</v>
      </c>
      <c r="J505" s="196">
        <v>23.99</v>
      </c>
      <c r="K505" s="196">
        <v>23.99</v>
      </c>
      <c r="L505" s="196">
        <v>0.0</v>
      </c>
      <c r="M505" s="40">
        <v>2.0</v>
      </c>
      <c r="N505" s="196">
        <v>12.0</v>
      </c>
    </row>
    <row r="506">
      <c r="A506" s="40" t="s">
        <v>50</v>
      </c>
      <c r="B506" s="40" t="s">
        <v>443</v>
      </c>
      <c r="C506" s="40">
        <v>102.0</v>
      </c>
      <c r="D506" s="40" t="s">
        <v>1156</v>
      </c>
      <c r="E506" s="40" t="s">
        <v>22</v>
      </c>
      <c r="F506" s="197">
        <v>37337.0</v>
      </c>
      <c r="G506" s="197">
        <v>44422.0</v>
      </c>
      <c r="H506" s="197">
        <v>44422.0</v>
      </c>
      <c r="I506" s="197">
        <v>44422.0</v>
      </c>
      <c r="J506" s="196">
        <v>10.0</v>
      </c>
      <c r="K506" s="196">
        <v>10.0</v>
      </c>
      <c r="L506" s="196">
        <v>0.0</v>
      </c>
      <c r="M506" s="40">
        <v>1.0</v>
      </c>
      <c r="N506" s="196">
        <v>10.0</v>
      </c>
    </row>
    <row r="507">
      <c r="A507" s="40" t="s">
        <v>50</v>
      </c>
      <c r="B507" s="40"/>
      <c r="C507" s="40">
        <v>118.0</v>
      </c>
      <c r="D507" s="40" t="s">
        <v>1157</v>
      </c>
      <c r="E507" s="40" t="s">
        <v>22</v>
      </c>
      <c r="F507" s="197">
        <v>37351.0</v>
      </c>
      <c r="G507" s="197">
        <v>42619.0</v>
      </c>
      <c r="H507" s="197">
        <v>42632.0</v>
      </c>
      <c r="I507" s="197">
        <v>45163.0</v>
      </c>
      <c r="J507" s="196">
        <v>9.99</v>
      </c>
      <c r="K507" s="196">
        <v>5.99</v>
      </c>
      <c r="L507" s="196">
        <v>4.0</v>
      </c>
      <c r="M507" s="40">
        <v>8.0</v>
      </c>
      <c r="N507" s="196">
        <v>0.75</v>
      </c>
    </row>
    <row r="508">
      <c r="A508" s="40" t="s">
        <v>50</v>
      </c>
      <c r="B508" s="40"/>
      <c r="C508" s="40">
        <v>94.0</v>
      </c>
      <c r="D508" s="40" t="s">
        <v>1158</v>
      </c>
      <c r="E508" s="40" t="s">
        <v>22</v>
      </c>
      <c r="F508" s="197">
        <v>37400.0</v>
      </c>
      <c r="G508" s="197">
        <v>43377.0</v>
      </c>
      <c r="H508" s="197">
        <v>43377.0</v>
      </c>
      <c r="I508" s="197">
        <v>43377.0</v>
      </c>
      <c r="J508" s="196">
        <v>15.0</v>
      </c>
      <c r="K508" s="196">
        <v>7.5</v>
      </c>
      <c r="L508" s="196">
        <v>7.5</v>
      </c>
      <c r="M508" s="40">
        <v>1.0</v>
      </c>
      <c r="N508" s="196">
        <v>7.5</v>
      </c>
    </row>
    <row r="509">
      <c r="A509" s="40" t="s">
        <v>50</v>
      </c>
      <c r="B509" s="40"/>
      <c r="C509" s="40">
        <v>108.0</v>
      </c>
      <c r="D509" s="40" t="s">
        <v>1159</v>
      </c>
      <c r="E509" s="40" t="s">
        <v>22</v>
      </c>
      <c r="F509" s="197">
        <v>37575.0</v>
      </c>
      <c r="G509" s="197">
        <v>43786.0</v>
      </c>
      <c r="H509" s="197">
        <v>43952.0</v>
      </c>
      <c r="I509" s="197">
        <v>43956.0</v>
      </c>
      <c r="J509" s="196">
        <v>9.25</v>
      </c>
      <c r="K509" s="196">
        <v>3.03</v>
      </c>
      <c r="L509" s="196">
        <v>6.22</v>
      </c>
      <c r="M509" s="40">
        <v>35.0</v>
      </c>
      <c r="N509" s="196">
        <v>0.09</v>
      </c>
    </row>
    <row r="510">
      <c r="A510" s="40" t="s">
        <v>50</v>
      </c>
      <c r="B510" s="40"/>
      <c r="C510" s="40">
        <v>77.0</v>
      </c>
      <c r="D510" s="40" t="s">
        <v>1160</v>
      </c>
      <c r="E510" s="40" t="s">
        <v>22</v>
      </c>
      <c r="F510" s="197">
        <v>37694.0</v>
      </c>
      <c r="G510" s="197">
        <v>43115.0</v>
      </c>
      <c r="H510" s="197">
        <v>43124.0</v>
      </c>
      <c r="I510" s="197">
        <v>43124.0</v>
      </c>
      <c r="J510" s="196">
        <v>9.99</v>
      </c>
      <c r="K510" s="196">
        <v>3.99</v>
      </c>
      <c r="L510" s="196">
        <v>6.0</v>
      </c>
      <c r="M510" s="40">
        <v>2.0</v>
      </c>
      <c r="N510" s="196">
        <v>2.0</v>
      </c>
    </row>
    <row r="511">
      <c r="A511" s="40" t="s">
        <v>50</v>
      </c>
      <c r="B511" s="40"/>
      <c r="C511" s="40">
        <v>90.0</v>
      </c>
      <c r="D511" s="40" t="s">
        <v>78</v>
      </c>
      <c r="E511" s="40" t="s">
        <v>22</v>
      </c>
      <c r="F511" s="197">
        <v>37708.0</v>
      </c>
      <c r="G511" s="197">
        <v>43685.0</v>
      </c>
      <c r="H511" s="197">
        <v>44489.0</v>
      </c>
      <c r="I511" s="197">
        <v>44494.0</v>
      </c>
      <c r="J511" s="196">
        <v>7.33</v>
      </c>
      <c r="K511" s="196">
        <v>3.66</v>
      </c>
      <c r="L511" s="196">
        <v>3.67</v>
      </c>
      <c r="M511" s="40">
        <v>2.0</v>
      </c>
      <c r="N511" s="196">
        <v>1.83</v>
      </c>
    </row>
    <row r="512">
      <c r="A512" s="40" t="s">
        <v>50</v>
      </c>
      <c r="B512" s="40"/>
      <c r="C512" s="40">
        <v>134.0</v>
      </c>
      <c r="D512" s="40" t="s">
        <v>1161</v>
      </c>
      <c r="E512" s="40" t="s">
        <v>22</v>
      </c>
      <c r="F512" s="197">
        <v>37764.0</v>
      </c>
      <c r="G512" s="197">
        <v>44115.0</v>
      </c>
      <c r="H512" s="197">
        <v>44115.0</v>
      </c>
      <c r="I512" s="197">
        <v>44115.0</v>
      </c>
      <c r="J512" s="196">
        <v>11.0</v>
      </c>
      <c r="K512" s="196">
        <v>11.0</v>
      </c>
      <c r="L512" s="196">
        <v>0.0</v>
      </c>
      <c r="M512" s="40">
        <v>1.0</v>
      </c>
      <c r="N512" s="196">
        <v>11.0</v>
      </c>
    </row>
    <row r="513">
      <c r="A513" s="40" t="s">
        <v>50</v>
      </c>
      <c r="B513" s="40"/>
      <c r="C513" s="40">
        <v>85.0</v>
      </c>
      <c r="D513" s="40" t="s">
        <v>1162</v>
      </c>
      <c r="E513" s="40" t="s">
        <v>22</v>
      </c>
      <c r="F513" s="197">
        <v>37876.0</v>
      </c>
      <c r="G513" s="197">
        <v>42650.0</v>
      </c>
      <c r="H513" s="197">
        <v>45181.0</v>
      </c>
      <c r="I513" s="197">
        <v>45182.0</v>
      </c>
      <c r="J513" s="196">
        <v>14.99</v>
      </c>
      <c r="K513" s="196">
        <v>14.99</v>
      </c>
      <c r="L513" s="196">
        <v>0.0</v>
      </c>
      <c r="M513" s="40">
        <v>3.0</v>
      </c>
      <c r="N513" s="196">
        <v>5.0</v>
      </c>
    </row>
    <row r="514">
      <c r="A514" s="40" t="s">
        <v>50</v>
      </c>
      <c r="B514" s="40"/>
      <c r="C514" s="40">
        <v>138.0</v>
      </c>
      <c r="D514" s="40" t="s">
        <v>1163</v>
      </c>
      <c r="E514" s="40" t="s">
        <v>22</v>
      </c>
      <c r="F514" s="197">
        <v>38019.0</v>
      </c>
      <c r="G514" s="197">
        <v>41578.0</v>
      </c>
      <c r="H514" s="197">
        <v>41578.0</v>
      </c>
      <c r="I514" s="197">
        <v>41578.0</v>
      </c>
      <c r="J514" s="196">
        <v>9.99</v>
      </c>
      <c r="K514" s="196">
        <v>9.99</v>
      </c>
      <c r="L514" s="196">
        <v>0.0</v>
      </c>
      <c r="M514" s="40">
        <v>30.0</v>
      </c>
      <c r="N514" s="196">
        <v>0.33</v>
      </c>
    </row>
    <row r="515">
      <c r="A515" s="40" t="s">
        <v>50</v>
      </c>
      <c r="B515" s="40"/>
      <c r="C515" s="40">
        <v>95.0</v>
      </c>
      <c r="D515" s="40" t="s">
        <v>1164</v>
      </c>
      <c r="E515" s="40" t="s">
        <v>22</v>
      </c>
      <c r="F515" s="197">
        <v>38037.0</v>
      </c>
      <c r="G515" s="197">
        <v>43377.0</v>
      </c>
      <c r="H515" s="197">
        <v>43377.0</v>
      </c>
      <c r="I515" s="197">
        <v>43377.0</v>
      </c>
      <c r="J515" s="196">
        <v>14.99</v>
      </c>
      <c r="K515" s="196">
        <v>7.49</v>
      </c>
      <c r="L515" s="196">
        <v>7.5</v>
      </c>
      <c r="M515" s="40">
        <v>1.0</v>
      </c>
      <c r="N515" s="196">
        <v>7.49</v>
      </c>
    </row>
    <row r="516">
      <c r="A516" s="40" t="s">
        <v>50</v>
      </c>
      <c r="B516" s="40"/>
      <c r="C516" s="40">
        <v>116.0</v>
      </c>
      <c r="D516" s="40" t="s">
        <v>1165</v>
      </c>
      <c r="E516" s="40" t="s">
        <v>22</v>
      </c>
      <c r="F516" s="197">
        <v>38415.0</v>
      </c>
      <c r="G516" s="197">
        <v>42259.0</v>
      </c>
      <c r="H516" s="197">
        <v>42260.0</v>
      </c>
      <c r="I516" s="197">
        <v>42263.0</v>
      </c>
      <c r="J516" s="196">
        <v>22.99</v>
      </c>
      <c r="K516" s="196">
        <v>22.99</v>
      </c>
      <c r="L516" s="196">
        <v>0.0</v>
      </c>
      <c r="M516" s="40">
        <v>2.0</v>
      </c>
      <c r="N516" s="196">
        <v>11.5</v>
      </c>
    </row>
    <row r="517">
      <c r="A517" s="40" t="s">
        <v>50</v>
      </c>
      <c r="B517" s="40"/>
      <c r="C517" s="40">
        <v>91.0</v>
      </c>
      <c r="D517" s="40" t="s">
        <v>79</v>
      </c>
      <c r="E517" s="40" t="s">
        <v>22</v>
      </c>
      <c r="F517" s="197">
        <v>38436.0</v>
      </c>
      <c r="G517" s="197">
        <v>43685.0</v>
      </c>
      <c r="H517" s="197">
        <v>44494.0</v>
      </c>
      <c r="I517" s="197">
        <v>44494.0</v>
      </c>
      <c r="J517" s="196">
        <v>7.33</v>
      </c>
      <c r="K517" s="196">
        <v>3.66</v>
      </c>
      <c r="L517" s="196">
        <v>3.67</v>
      </c>
      <c r="M517" s="40">
        <v>2.0</v>
      </c>
      <c r="N517" s="196">
        <v>1.83</v>
      </c>
    </row>
    <row r="518">
      <c r="A518" s="40" t="s">
        <v>50</v>
      </c>
      <c r="B518" s="40"/>
      <c r="C518" s="40">
        <v>131.0</v>
      </c>
      <c r="D518" s="40" t="s">
        <v>80</v>
      </c>
      <c r="E518" s="40" t="s">
        <v>22</v>
      </c>
      <c r="F518" s="197">
        <v>38660.0</v>
      </c>
      <c r="G518" s="197">
        <v>43727.0</v>
      </c>
      <c r="H518" s="197">
        <v>43734.0</v>
      </c>
      <c r="I518" s="197">
        <v>43740.0</v>
      </c>
      <c r="J518" s="196">
        <v>19.99</v>
      </c>
      <c r="K518" s="196">
        <v>7.99</v>
      </c>
      <c r="L518" s="196">
        <v>12.0</v>
      </c>
      <c r="M518" s="40">
        <v>17.0</v>
      </c>
      <c r="N518" s="196">
        <v>0.47</v>
      </c>
    </row>
    <row r="519">
      <c r="A519" s="40" t="s">
        <v>50</v>
      </c>
      <c r="B519" s="40" t="s">
        <v>421</v>
      </c>
      <c r="C519" s="40">
        <v>101.0</v>
      </c>
      <c r="D519" s="40" t="s">
        <v>1166</v>
      </c>
      <c r="E519" s="40" t="s">
        <v>22</v>
      </c>
      <c r="F519" s="197">
        <v>38672.0</v>
      </c>
      <c r="G519" s="197">
        <v>43275.0</v>
      </c>
      <c r="H519" s="197">
        <v>43407.0</v>
      </c>
      <c r="I519" s="197">
        <v>43407.0</v>
      </c>
      <c r="J519" s="196">
        <v>14.99</v>
      </c>
      <c r="K519" s="196">
        <v>4.99</v>
      </c>
      <c r="L519" s="196">
        <v>10.0</v>
      </c>
      <c r="M519" s="40">
        <v>2.0</v>
      </c>
      <c r="N519" s="196">
        <v>2.5</v>
      </c>
    </row>
    <row r="520">
      <c r="A520" s="40" t="s">
        <v>50</v>
      </c>
      <c r="B520" s="40"/>
      <c r="C520" s="40">
        <v>132.0</v>
      </c>
      <c r="D520" s="40" t="s">
        <v>1167</v>
      </c>
      <c r="E520" s="40" t="s">
        <v>22</v>
      </c>
      <c r="F520" s="197">
        <v>38765.0</v>
      </c>
      <c r="G520" s="197">
        <v>44422.0</v>
      </c>
      <c r="H520" s="197">
        <v>44422.0</v>
      </c>
      <c r="I520" s="197">
        <v>44422.0</v>
      </c>
      <c r="J520" s="196">
        <v>9.99</v>
      </c>
      <c r="K520" s="196">
        <v>9.99</v>
      </c>
      <c r="L520" s="196">
        <v>0.0</v>
      </c>
      <c r="M520" s="40">
        <v>1.0</v>
      </c>
      <c r="N520" s="196">
        <v>9.99</v>
      </c>
    </row>
    <row r="521">
      <c r="A521" s="40" t="s">
        <v>50</v>
      </c>
      <c r="B521" s="40"/>
      <c r="C521" s="40">
        <v>109.0</v>
      </c>
      <c r="D521" s="40" t="s">
        <v>1168</v>
      </c>
      <c r="E521" s="40" t="s">
        <v>22</v>
      </c>
      <c r="F521" s="197">
        <v>38989.0</v>
      </c>
      <c r="G521" s="197">
        <v>43786.0</v>
      </c>
      <c r="H521" s="197">
        <v>43958.0</v>
      </c>
      <c r="I521" s="197">
        <v>43964.0</v>
      </c>
      <c r="J521" s="196">
        <v>9.25</v>
      </c>
      <c r="K521" s="196">
        <v>3.02</v>
      </c>
      <c r="L521" s="196">
        <v>6.23</v>
      </c>
      <c r="M521" s="40">
        <v>30.0</v>
      </c>
      <c r="N521" s="196">
        <v>0.1</v>
      </c>
    </row>
    <row r="522">
      <c r="A522" s="40" t="s">
        <v>50</v>
      </c>
      <c r="B522" s="40" t="s">
        <v>410</v>
      </c>
      <c r="C522" s="40">
        <v>117.0</v>
      </c>
      <c r="D522" s="40" t="s">
        <v>1169</v>
      </c>
      <c r="E522" s="40" t="s">
        <v>22</v>
      </c>
      <c r="F522" s="197">
        <v>39122.0</v>
      </c>
      <c r="G522" s="197">
        <v>41379.0</v>
      </c>
      <c r="H522" s="197">
        <v>41379.0</v>
      </c>
      <c r="I522" s="197">
        <v>44773.0</v>
      </c>
      <c r="J522" s="196">
        <v>19.99</v>
      </c>
      <c r="K522" s="196">
        <v>13.99</v>
      </c>
      <c r="L522" s="196">
        <v>6.0</v>
      </c>
      <c r="M522" s="40">
        <v>45.0</v>
      </c>
      <c r="N522" s="196">
        <v>0.31</v>
      </c>
    </row>
    <row r="523">
      <c r="A523" s="40" t="s">
        <v>50</v>
      </c>
      <c r="B523" s="40"/>
      <c r="C523" s="40">
        <v>153.0</v>
      </c>
      <c r="D523" s="40" t="s">
        <v>1170</v>
      </c>
      <c r="E523" s="40" t="s">
        <v>23</v>
      </c>
      <c r="F523" s="197">
        <v>38842.0</v>
      </c>
      <c r="G523" s="197">
        <v>42778.0</v>
      </c>
      <c r="H523" s="197">
        <v>42778.0</v>
      </c>
      <c r="I523" s="197">
        <v>42778.0</v>
      </c>
      <c r="J523" s="196">
        <v>7.99</v>
      </c>
      <c r="K523" s="196">
        <v>7.99</v>
      </c>
      <c r="L523" s="196">
        <v>0.0</v>
      </c>
      <c r="M523" s="40">
        <v>1.0</v>
      </c>
      <c r="N523" s="196">
        <v>7.99</v>
      </c>
    </row>
    <row r="524">
      <c r="A524" s="40" t="s">
        <v>50</v>
      </c>
      <c r="B524" s="40"/>
      <c r="C524" s="40">
        <v>173.0</v>
      </c>
      <c r="D524" s="40" t="s">
        <v>1171</v>
      </c>
      <c r="E524" s="40" t="s">
        <v>23</v>
      </c>
      <c r="F524" s="197">
        <v>38891.0</v>
      </c>
      <c r="G524" s="197">
        <v>42945.0</v>
      </c>
      <c r="H524" s="197">
        <v>42945.0</v>
      </c>
      <c r="I524" s="197">
        <v>45351.0</v>
      </c>
      <c r="J524" s="196">
        <v>14.99</v>
      </c>
      <c r="K524" s="196">
        <v>14.99</v>
      </c>
      <c r="L524" s="196">
        <v>0.0</v>
      </c>
      <c r="M524" s="40">
        <v>7.0</v>
      </c>
      <c r="N524" s="196">
        <v>2.14</v>
      </c>
    </row>
    <row r="525">
      <c r="A525" s="40" t="s">
        <v>50</v>
      </c>
      <c r="B525" s="40"/>
      <c r="C525" s="40">
        <v>178.0</v>
      </c>
      <c r="D525" s="40" t="s">
        <v>1172</v>
      </c>
      <c r="E525" s="40" t="s">
        <v>23</v>
      </c>
      <c r="F525" s="197">
        <v>38975.0</v>
      </c>
      <c r="G525" s="197">
        <v>44422.0</v>
      </c>
      <c r="H525" s="197">
        <v>44422.0</v>
      </c>
      <c r="I525" s="197">
        <v>44422.0</v>
      </c>
      <c r="J525" s="196">
        <v>19.99</v>
      </c>
      <c r="K525" s="196">
        <v>19.99</v>
      </c>
      <c r="L525" s="196">
        <v>0.0</v>
      </c>
      <c r="M525" s="40">
        <v>4.0</v>
      </c>
      <c r="N525" s="196">
        <v>5.0</v>
      </c>
    </row>
    <row r="526">
      <c r="A526" s="40" t="s">
        <v>50</v>
      </c>
      <c r="B526" s="40"/>
      <c r="C526" s="40">
        <v>156.0</v>
      </c>
      <c r="D526" s="40" t="s">
        <v>1173</v>
      </c>
      <c r="E526" s="40" t="s">
        <v>23</v>
      </c>
      <c r="F526" s="197">
        <v>39353.0</v>
      </c>
      <c r="G526" s="197">
        <v>43373.0</v>
      </c>
      <c r="H526" s="197">
        <v>43373.0</v>
      </c>
      <c r="I526" s="197">
        <v>43373.0</v>
      </c>
      <c r="J526" s="196">
        <v>2.24</v>
      </c>
      <c r="K526" s="196">
        <v>2.24</v>
      </c>
      <c r="L526" s="196">
        <v>0.0</v>
      </c>
      <c r="M526" s="40">
        <v>1.0</v>
      </c>
      <c r="N526" s="196">
        <v>2.24</v>
      </c>
    </row>
    <row r="527">
      <c r="A527" s="40" t="s">
        <v>50</v>
      </c>
      <c r="B527" s="40"/>
      <c r="C527" s="40">
        <v>160.0</v>
      </c>
      <c r="D527" s="40" t="s">
        <v>1174</v>
      </c>
      <c r="E527" s="40" t="s">
        <v>23</v>
      </c>
      <c r="F527" s="197">
        <v>39486.0</v>
      </c>
      <c r="G527" s="197">
        <v>42784.0</v>
      </c>
      <c r="H527" s="197">
        <v>42784.0</v>
      </c>
      <c r="I527" s="197">
        <v>42784.0</v>
      </c>
      <c r="J527" s="196">
        <v>9.99</v>
      </c>
      <c r="K527" s="196">
        <v>4.99</v>
      </c>
      <c r="L527" s="196">
        <v>5.0</v>
      </c>
      <c r="M527" s="40">
        <v>1.0</v>
      </c>
      <c r="N527" s="196">
        <v>4.99</v>
      </c>
    </row>
    <row r="528">
      <c r="A528" s="40" t="s">
        <v>50</v>
      </c>
      <c r="B528" s="40"/>
      <c r="C528" s="40">
        <v>161.0</v>
      </c>
      <c r="D528" s="40" t="s">
        <v>1175</v>
      </c>
      <c r="E528" s="40" t="s">
        <v>23</v>
      </c>
      <c r="F528" s="197">
        <v>39486.0</v>
      </c>
      <c r="G528" s="197">
        <v>42784.0</v>
      </c>
      <c r="H528" s="197">
        <v>42784.0</v>
      </c>
      <c r="I528" s="197">
        <v>42784.0</v>
      </c>
      <c r="J528" s="43">
        <v>9.99</v>
      </c>
      <c r="K528" s="43">
        <v>4.99</v>
      </c>
      <c r="L528" s="196">
        <v>5.0</v>
      </c>
      <c r="M528" s="40">
        <v>1.0</v>
      </c>
      <c r="N528" s="196">
        <v>4.99</v>
      </c>
    </row>
    <row r="529">
      <c r="A529" s="40" t="s">
        <v>50</v>
      </c>
      <c r="B529" s="40"/>
      <c r="C529" s="40">
        <v>155.0</v>
      </c>
      <c r="D529" s="40" t="s">
        <v>1176</v>
      </c>
      <c r="E529" s="40" t="s">
        <v>23</v>
      </c>
      <c r="F529" s="197">
        <v>39493.0</v>
      </c>
      <c r="G529" s="197">
        <v>42279.0</v>
      </c>
      <c r="H529" s="197">
        <v>42279.0</v>
      </c>
      <c r="I529" s="197">
        <v>42279.0</v>
      </c>
      <c r="J529" s="196">
        <v>14.99</v>
      </c>
      <c r="K529" s="196">
        <v>4.49</v>
      </c>
      <c r="L529" s="196">
        <v>10.5</v>
      </c>
      <c r="M529" s="40">
        <v>1.0</v>
      </c>
      <c r="N529" s="196">
        <v>4.49</v>
      </c>
    </row>
    <row r="530">
      <c r="A530" s="40" t="s">
        <v>50</v>
      </c>
      <c r="B530" s="40" t="s">
        <v>409</v>
      </c>
      <c r="C530" s="40">
        <v>159.0</v>
      </c>
      <c r="D530" s="40" t="s">
        <v>1177</v>
      </c>
      <c r="E530" s="40" t="s">
        <v>23</v>
      </c>
      <c r="F530" s="197">
        <v>39610.0</v>
      </c>
      <c r="G530" s="197">
        <v>43014.0</v>
      </c>
      <c r="H530" s="197">
        <v>43014.0</v>
      </c>
      <c r="I530" s="197">
        <v>43014.0</v>
      </c>
      <c r="J530" s="196">
        <v>7.99</v>
      </c>
      <c r="K530" s="196">
        <v>2.99</v>
      </c>
      <c r="L530" s="196">
        <v>5.0</v>
      </c>
      <c r="M530" s="40">
        <v>1.0</v>
      </c>
      <c r="N530" s="196">
        <v>2.99</v>
      </c>
    </row>
    <row r="531">
      <c r="A531" s="40" t="s">
        <v>50</v>
      </c>
      <c r="B531" s="40" t="s">
        <v>426</v>
      </c>
      <c r="C531" s="40">
        <v>175.0</v>
      </c>
      <c r="D531" s="40" t="s">
        <v>1178</v>
      </c>
      <c r="E531" s="40" t="s">
        <v>23</v>
      </c>
      <c r="F531" s="197">
        <v>39990.0</v>
      </c>
      <c r="G531" s="197">
        <v>43373.0</v>
      </c>
      <c r="H531" s="197">
        <v>43373.0</v>
      </c>
      <c r="I531" s="197">
        <v>43373.0</v>
      </c>
      <c r="J531" s="196">
        <v>9.99</v>
      </c>
      <c r="K531" s="196">
        <v>9.99</v>
      </c>
      <c r="L531" s="196">
        <v>0.0</v>
      </c>
      <c r="M531" s="40">
        <v>1.0</v>
      </c>
      <c r="N531" s="196">
        <v>9.99</v>
      </c>
    </row>
    <row r="532">
      <c r="A532" s="40" t="s">
        <v>50</v>
      </c>
      <c r="B532" s="40" t="s">
        <v>444</v>
      </c>
      <c r="C532" s="40">
        <v>158.0</v>
      </c>
      <c r="D532" s="40" t="s">
        <v>1179</v>
      </c>
      <c r="E532" s="40" t="s">
        <v>23</v>
      </c>
      <c r="F532" s="197">
        <v>40269.0</v>
      </c>
      <c r="G532" s="197">
        <v>42321.0</v>
      </c>
      <c r="H532" s="197">
        <v>42321.0</v>
      </c>
      <c r="I532" s="197">
        <v>42321.0</v>
      </c>
      <c r="J532" s="196">
        <v>14.99</v>
      </c>
      <c r="K532" s="196">
        <v>14.99</v>
      </c>
      <c r="L532" s="196">
        <v>0.0</v>
      </c>
      <c r="M532" s="40">
        <v>1.0</v>
      </c>
      <c r="N532" s="196">
        <v>14.99</v>
      </c>
    </row>
    <row r="533">
      <c r="A533" s="40" t="s">
        <v>50</v>
      </c>
      <c r="B533" s="40"/>
      <c r="C533" s="40">
        <v>174.0</v>
      </c>
      <c r="D533" s="40" t="s">
        <v>1180</v>
      </c>
      <c r="E533" s="40" t="s">
        <v>23</v>
      </c>
      <c r="F533" s="197">
        <v>40347.0</v>
      </c>
      <c r="G533" s="197">
        <v>44292.0</v>
      </c>
      <c r="H533" s="197">
        <v>44292.0</v>
      </c>
      <c r="I533" s="197">
        <v>44292.0</v>
      </c>
      <c r="J533" s="196">
        <v>8.0</v>
      </c>
      <c r="K533" s="196">
        <v>8.0</v>
      </c>
      <c r="L533" s="196">
        <v>0.0</v>
      </c>
      <c r="M533" s="40">
        <v>1.0</v>
      </c>
      <c r="N533" s="196">
        <v>8.0</v>
      </c>
    </row>
    <row r="534">
      <c r="A534" s="40" t="s">
        <v>50</v>
      </c>
      <c r="B534" s="40"/>
      <c r="C534" s="40">
        <v>169.0</v>
      </c>
      <c r="D534" s="40" t="s">
        <v>1181</v>
      </c>
      <c r="E534" s="40" t="s">
        <v>23</v>
      </c>
      <c r="F534" s="197">
        <v>40431.0</v>
      </c>
      <c r="G534" s="197">
        <v>43786.0</v>
      </c>
      <c r="H534" s="197">
        <v>43965.0</v>
      </c>
      <c r="I534" s="197">
        <v>43965.0</v>
      </c>
      <c r="J534" s="196">
        <v>9.24</v>
      </c>
      <c r="K534" s="196">
        <v>3.02</v>
      </c>
      <c r="L534" s="196">
        <v>6.22</v>
      </c>
      <c r="M534" s="40">
        <v>1.0</v>
      </c>
      <c r="N534" s="196">
        <v>3.02</v>
      </c>
    </row>
    <row r="535">
      <c r="A535" s="40" t="s">
        <v>50</v>
      </c>
      <c r="B535" s="40"/>
      <c r="C535" s="40">
        <v>163.0</v>
      </c>
      <c r="D535" s="40" t="s">
        <v>1182</v>
      </c>
      <c r="E535" s="40" t="s">
        <v>23</v>
      </c>
      <c r="F535" s="197">
        <v>40655.0</v>
      </c>
      <c r="G535" s="197">
        <v>42784.0</v>
      </c>
      <c r="H535" s="197">
        <v>42784.0</v>
      </c>
      <c r="I535" s="197">
        <v>42784.0</v>
      </c>
      <c r="J535" s="196">
        <v>14.99</v>
      </c>
      <c r="K535" s="196">
        <v>7.49</v>
      </c>
      <c r="L535" s="196">
        <v>7.5</v>
      </c>
      <c r="M535" s="40">
        <v>1.0</v>
      </c>
      <c r="N535" s="196">
        <v>7.49</v>
      </c>
    </row>
    <row r="536">
      <c r="A536" s="40" t="s">
        <v>50</v>
      </c>
      <c r="B536" s="40"/>
      <c r="C536" s="40">
        <v>162.0</v>
      </c>
      <c r="D536" s="40" t="s">
        <v>1183</v>
      </c>
      <c r="E536" s="40" t="s">
        <v>23</v>
      </c>
      <c r="F536" s="197">
        <v>41178.0</v>
      </c>
      <c r="G536" s="197">
        <v>42784.0</v>
      </c>
      <c r="H536" s="197">
        <v>42784.0</v>
      </c>
      <c r="I536" s="197">
        <v>42784.0</v>
      </c>
      <c r="J536" s="196">
        <v>9.99</v>
      </c>
      <c r="K536" s="196">
        <v>4.99</v>
      </c>
      <c r="L536" s="196">
        <v>5.0</v>
      </c>
      <c r="M536" s="40">
        <v>1.0</v>
      </c>
      <c r="N536" s="196">
        <v>4.99</v>
      </c>
    </row>
    <row r="537">
      <c r="A537" s="40" t="s">
        <v>50</v>
      </c>
      <c r="B537" s="40"/>
      <c r="C537" s="40">
        <v>418.0</v>
      </c>
      <c r="D537" s="40" t="s">
        <v>1184</v>
      </c>
      <c r="E537" s="40" t="s">
        <v>24</v>
      </c>
      <c r="F537" s="197">
        <v>39164.0</v>
      </c>
      <c r="G537" s="197">
        <v>44378.0</v>
      </c>
      <c r="H537" s="197">
        <v>44378.0</v>
      </c>
      <c r="I537" s="197">
        <v>44378.0</v>
      </c>
      <c r="J537" s="196">
        <v>29.99</v>
      </c>
      <c r="K537" s="196">
        <v>0.0</v>
      </c>
      <c r="L537" s="196">
        <v>29.99</v>
      </c>
      <c r="M537" s="40">
        <v>1.0</v>
      </c>
      <c r="N537" s="196">
        <v>0.0</v>
      </c>
    </row>
    <row r="538">
      <c r="A538" s="40" t="s">
        <v>50</v>
      </c>
      <c r="B538" s="40"/>
      <c r="C538" s="40">
        <v>226.0</v>
      </c>
      <c r="D538" s="40" t="s">
        <v>81</v>
      </c>
      <c r="E538" s="40" t="s">
        <v>24</v>
      </c>
      <c r="F538" s="197">
        <v>39486.0</v>
      </c>
      <c r="G538" s="197">
        <v>43685.0</v>
      </c>
      <c r="H538" s="197">
        <v>43685.0</v>
      </c>
      <c r="I538" s="197">
        <v>43685.0</v>
      </c>
      <c r="J538" s="196">
        <v>22.99</v>
      </c>
      <c r="K538" s="196">
        <v>10.99</v>
      </c>
      <c r="L538" s="196">
        <v>12.0</v>
      </c>
      <c r="M538" s="40">
        <v>1.0</v>
      </c>
      <c r="N538" s="196">
        <v>10.99</v>
      </c>
    </row>
    <row r="539">
      <c r="A539" s="40" t="s">
        <v>50</v>
      </c>
      <c r="B539" s="40"/>
      <c r="C539" s="40">
        <v>297.0</v>
      </c>
      <c r="D539" s="40" t="s">
        <v>1185</v>
      </c>
      <c r="E539" s="40" t="s">
        <v>24</v>
      </c>
      <c r="F539" s="197">
        <v>39611.0</v>
      </c>
      <c r="G539" s="197">
        <v>44285.0</v>
      </c>
      <c r="H539" s="197">
        <v>44285.0</v>
      </c>
      <c r="I539" s="197">
        <v>44285.0</v>
      </c>
      <c r="J539" s="196">
        <v>14.99</v>
      </c>
      <c r="K539" s="196">
        <v>14.99</v>
      </c>
      <c r="L539" s="196">
        <v>0.0</v>
      </c>
      <c r="M539" s="40">
        <v>1.0</v>
      </c>
      <c r="N539" s="196">
        <v>14.99</v>
      </c>
    </row>
    <row r="540">
      <c r="A540" s="40" t="s">
        <v>50</v>
      </c>
      <c r="B540" s="40"/>
      <c r="C540" s="40">
        <v>358.0</v>
      </c>
      <c r="D540" s="40" t="s">
        <v>1186</v>
      </c>
      <c r="E540" s="40" t="s">
        <v>24</v>
      </c>
      <c r="F540" s="197">
        <v>39653.0</v>
      </c>
      <c r="G540" s="197">
        <v>44285.0</v>
      </c>
      <c r="H540" s="197">
        <v>44285.0</v>
      </c>
      <c r="I540" s="197">
        <v>44285.0</v>
      </c>
      <c r="J540" s="196">
        <v>12.99</v>
      </c>
      <c r="K540" s="196">
        <v>12.99</v>
      </c>
      <c r="L540" s="196">
        <v>0.0</v>
      </c>
      <c r="M540" s="40">
        <v>1.0</v>
      </c>
      <c r="N540" s="196">
        <v>12.99</v>
      </c>
    </row>
    <row r="541">
      <c r="A541" s="40" t="s">
        <v>50</v>
      </c>
      <c r="B541" s="40"/>
      <c r="C541" s="40">
        <v>339.0</v>
      </c>
      <c r="D541" s="40" t="s">
        <v>82</v>
      </c>
      <c r="E541" s="40" t="s">
        <v>24</v>
      </c>
      <c r="F541" s="197">
        <v>39885.0</v>
      </c>
      <c r="G541" s="197">
        <v>44510.0</v>
      </c>
      <c r="H541" s="197">
        <v>45209.0</v>
      </c>
      <c r="I541" s="197">
        <v>45227.0</v>
      </c>
      <c r="J541" s="196">
        <v>19.99</v>
      </c>
      <c r="K541" s="196">
        <v>7.99</v>
      </c>
      <c r="L541" s="196">
        <v>12.0</v>
      </c>
      <c r="M541" s="40">
        <v>12.0</v>
      </c>
      <c r="N541" s="196">
        <v>0.67</v>
      </c>
    </row>
    <row r="542">
      <c r="A542" s="40" t="s">
        <v>50</v>
      </c>
      <c r="B542" s="40"/>
      <c r="C542" s="40">
        <v>412.0</v>
      </c>
      <c r="D542" s="40" t="s">
        <v>1187</v>
      </c>
      <c r="E542" s="40" t="s">
        <v>24</v>
      </c>
      <c r="F542" s="197">
        <v>39955.0</v>
      </c>
      <c r="G542" s="197">
        <v>44115.0</v>
      </c>
      <c r="H542" s="197">
        <v>44425.0</v>
      </c>
      <c r="I542" s="197">
        <v>44425.0</v>
      </c>
      <c r="J542" s="196">
        <v>19.99</v>
      </c>
      <c r="K542" s="196">
        <v>2.0</v>
      </c>
      <c r="L542" s="196">
        <v>17.99</v>
      </c>
      <c r="M542" s="40">
        <v>12.0</v>
      </c>
      <c r="N542" s="196">
        <v>0.17</v>
      </c>
    </row>
    <row r="543">
      <c r="A543" s="40" t="s">
        <v>50</v>
      </c>
      <c r="B543" s="40"/>
      <c r="C543" s="40">
        <v>325.0</v>
      </c>
      <c r="D543" s="40" t="s">
        <v>1188</v>
      </c>
      <c r="E543" s="40" t="s">
        <v>24</v>
      </c>
      <c r="F543" s="197">
        <v>40109.0</v>
      </c>
      <c r="G543" s="197">
        <v>40192.0</v>
      </c>
      <c r="H543" s="197">
        <v>40192.0</v>
      </c>
      <c r="I543" s="197">
        <v>44718.0</v>
      </c>
      <c r="J543" s="196">
        <v>19.99</v>
      </c>
      <c r="K543" s="196">
        <v>0.5</v>
      </c>
      <c r="L543" s="196">
        <v>19.49</v>
      </c>
      <c r="M543" s="40">
        <v>30.0</v>
      </c>
      <c r="N543" s="196">
        <v>0.02</v>
      </c>
    </row>
    <row r="544">
      <c r="A544" s="40" t="s">
        <v>50</v>
      </c>
      <c r="B544" s="40" t="s">
        <v>433</v>
      </c>
      <c r="C544" s="40">
        <v>322.0</v>
      </c>
      <c r="D544" s="40" t="s">
        <v>1189</v>
      </c>
      <c r="E544" s="40" t="s">
        <v>24</v>
      </c>
      <c r="F544" s="197">
        <v>40157.0</v>
      </c>
      <c r="G544" s="197">
        <v>42811.0</v>
      </c>
      <c r="H544" s="197">
        <v>42811.0</v>
      </c>
      <c r="I544" s="197">
        <v>42811.0</v>
      </c>
      <c r="J544" s="196">
        <v>11.99</v>
      </c>
      <c r="K544" s="196">
        <v>2.99</v>
      </c>
      <c r="L544" s="196">
        <v>9.0</v>
      </c>
      <c r="M544" s="40">
        <v>1.0</v>
      </c>
      <c r="N544" s="196">
        <v>2.99</v>
      </c>
    </row>
    <row r="545">
      <c r="A545" s="40" t="s">
        <v>50</v>
      </c>
      <c r="B545" s="40" t="s">
        <v>430</v>
      </c>
      <c r="C545" s="40">
        <v>193.0</v>
      </c>
      <c r="D545" s="40" t="s">
        <v>1190</v>
      </c>
      <c r="E545" s="40" t="s">
        <v>24</v>
      </c>
      <c r="F545" s="197">
        <v>40186.0</v>
      </c>
      <c r="G545" s="197">
        <v>44091.0</v>
      </c>
      <c r="H545" s="197">
        <v>45111.0</v>
      </c>
      <c r="I545" s="197">
        <v>45121.0</v>
      </c>
      <c r="J545" s="196">
        <v>14.99</v>
      </c>
      <c r="K545" s="196">
        <v>4.0</v>
      </c>
      <c r="L545" s="196">
        <v>10.99</v>
      </c>
      <c r="M545" s="40">
        <v>5.0</v>
      </c>
      <c r="N545" s="196">
        <v>0.8</v>
      </c>
    </row>
    <row r="546">
      <c r="A546" s="40" t="s">
        <v>50</v>
      </c>
      <c r="B546" s="40"/>
      <c r="C546" s="40">
        <v>248.0</v>
      </c>
      <c r="D546" s="40" t="s">
        <v>1191</v>
      </c>
      <c r="E546" s="40" t="s">
        <v>24</v>
      </c>
      <c r="F546" s="197">
        <v>40246.0</v>
      </c>
      <c r="G546" s="197">
        <v>41427.0</v>
      </c>
      <c r="H546" s="197">
        <v>41427.0</v>
      </c>
      <c r="I546" s="197">
        <v>41501.0</v>
      </c>
      <c r="J546" s="196">
        <v>19.99</v>
      </c>
      <c r="K546" s="196">
        <v>4.0</v>
      </c>
      <c r="L546" s="196">
        <v>15.99</v>
      </c>
      <c r="M546" s="40">
        <v>45.0</v>
      </c>
      <c r="N546" s="196">
        <v>0.09</v>
      </c>
    </row>
    <row r="547">
      <c r="A547" s="40" t="s">
        <v>50</v>
      </c>
      <c r="B547" s="40"/>
      <c r="C547" s="40">
        <v>283.0</v>
      </c>
      <c r="D547" s="40" t="s">
        <v>1192</v>
      </c>
      <c r="E547" s="40" t="s">
        <v>24</v>
      </c>
      <c r="F547" s="197">
        <v>40249.0</v>
      </c>
      <c r="G547" s="197">
        <v>44482.0</v>
      </c>
      <c r="H547" s="197">
        <v>44583.0</v>
      </c>
      <c r="I547" s="197">
        <v>45846.0</v>
      </c>
      <c r="J547" s="196">
        <v>13.33</v>
      </c>
      <c r="K547" s="196">
        <v>8.0</v>
      </c>
      <c r="L547" s="196">
        <v>5.33</v>
      </c>
      <c r="M547" s="40">
        <v>147.0</v>
      </c>
      <c r="N547" s="196">
        <v>0.05</v>
      </c>
    </row>
    <row r="548">
      <c r="A548" s="40" t="s">
        <v>50</v>
      </c>
      <c r="B548" s="40"/>
      <c r="C548" s="40">
        <v>255.0</v>
      </c>
      <c r="D548" s="40" t="s">
        <v>1193</v>
      </c>
      <c r="E548" s="40" t="s">
        <v>24</v>
      </c>
      <c r="F548" s="197">
        <v>40506.0</v>
      </c>
      <c r="G548" s="197">
        <v>40537.0</v>
      </c>
      <c r="H548" s="197">
        <v>40537.0</v>
      </c>
      <c r="I548" s="197">
        <v>44325.0</v>
      </c>
      <c r="J548" s="196">
        <v>29.99</v>
      </c>
      <c r="K548" s="196">
        <v>5.0</v>
      </c>
      <c r="L548" s="196">
        <v>24.99</v>
      </c>
      <c r="M548" s="40">
        <v>80.0</v>
      </c>
      <c r="N548" s="196">
        <v>0.06</v>
      </c>
    </row>
    <row r="549">
      <c r="A549" s="44" t="s">
        <v>50</v>
      </c>
      <c r="B549" s="45"/>
      <c r="C549" s="40">
        <v>284.0</v>
      </c>
      <c r="D549" s="196" t="s">
        <v>1194</v>
      </c>
      <c r="E549" s="40" t="s">
        <v>24</v>
      </c>
      <c r="F549" s="197">
        <v>40620.0</v>
      </c>
      <c r="G549" s="197">
        <v>44482.0</v>
      </c>
      <c r="H549" s="197">
        <v>44617.0</v>
      </c>
      <c r="I549" s="197">
        <v>45859.0</v>
      </c>
      <c r="J549" s="196">
        <v>13.33</v>
      </c>
      <c r="K549" s="196">
        <v>8.0</v>
      </c>
      <c r="L549" s="196">
        <v>5.33</v>
      </c>
      <c r="M549" s="40">
        <v>126.0</v>
      </c>
      <c r="N549" s="196">
        <v>0.06</v>
      </c>
    </row>
    <row r="550">
      <c r="A550" s="40" t="s">
        <v>50</v>
      </c>
      <c r="B550" s="40"/>
      <c r="C550" s="40">
        <v>373.0</v>
      </c>
      <c r="D550" s="40" t="s">
        <v>1195</v>
      </c>
      <c r="E550" s="40" t="s">
        <v>24</v>
      </c>
      <c r="F550" s="197">
        <v>40696.0</v>
      </c>
      <c r="G550" s="197">
        <v>40719.0</v>
      </c>
      <c r="H550" s="197">
        <v>40720.0</v>
      </c>
      <c r="I550" s="197">
        <v>44742.0</v>
      </c>
      <c r="J550" s="196">
        <v>4.49</v>
      </c>
      <c r="K550" s="196">
        <v>4.49</v>
      </c>
      <c r="L550" s="196">
        <v>0.0</v>
      </c>
      <c r="M550" s="40">
        <v>5.0</v>
      </c>
      <c r="N550" s="196">
        <v>0.9</v>
      </c>
    </row>
    <row r="551">
      <c r="A551" s="40" t="s">
        <v>50</v>
      </c>
      <c r="B551" s="40" t="s">
        <v>412</v>
      </c>
      <c r="C551" s="40">
        <v>215.0</v>
      </c>
      <c r="D551" s="40" t="s">
        <v>1196</v>
      </c>
      <c r="E551" s="40" t="s">
        <v>24</v>
      </c>
      <c r="F551" s="197">
        <v>40823.0</v>
      </c>
      <c r="G551" s="197">
        <v>43824.0</v>
      </c>
      <c r="H551" s="197">
        <v>43826.0</v>
      </c>
      <c r="I551" s="197">
        <v>43829.0</v>
      </c>
      <c r="J551" s="196">
        <v>39.99</v>
      </c>
      <c r="K551" s="196">
        <v>14.79</v>
      </c>
      <c r="L551" s="196">
        <v>25.2</v>
      </c>
      <c r="M551" s="40">
        <v>22.0</v>
      </c>
      <c r="N551" s="196">
        <v>0.67</v>
      </c>
    </row>
    <row r="552">
      <c r="A552" s="40" t="s">
        <v>50</v>
      </c>
      <c r="B552" s="40"/>
      <c r="C552" s="40">
        <v>390.0</v>
      </c>
      <c r="D552" s="40" t="s">
        <v>1197</v>
      </c>
      <c r="E552" s="40" t="s">
        <v>24</v>
      </c>
      <c r="F552" s="197">
        <v>40844.0</v>
      </c>
      <c r="G552" s="197">
        <v>44115.0</v>
      </c>
      <c r="H552" s="197">
        <v>44424.0</v>
      </c>
      <c r="I552" s="197">
        <v>44425.0</v>
      </c>
      <c r="J552" s="196">
        <v>19.99</v>
      </c>
      <c r="K552" s="196">
        <v>5.0</v>
      </c>
      <c r="L552" s="196">
        <v>14.99</v>
      </c>
      <c r="M552" s="40">
        <v>25.0</v>
      </c>
      <c r="N552" s="196">
        <v>0.2</v>
      </c>
    </row>
    <row r="553">
      <c r="A553" s="40" t="s">
        <v>50</v>
      </c>
      <c r="B553" s="40"/>
      <c r="C553" s="40">
        <v>365.0</v>
      </c>
      <c r="D553" s="40" t="s">
        <v>1198</v>
      </c>
      <c r="E553" s="40" t="s">
        <v>24</v>
      </c>
      <c r="F553" s="197">
        <v>40851.0</v>
      </c>
      <c r="G553" s="197">
        <v>44285.0</v>
      </c>
      <c r="H553" s="197">
        <v>45106.0</v>
      </c>
      <c r="I553" s="197">
        <v>45114.0</v>
      </c>
      <c r="J553" s="196">
        <v>14.99</v>
      </c>
      <c r="K553" s="196">
        <v>14.99</v>
      </c>
      <c r="L553" s="196">
        <v>0.0</v>
      </c>
      <c r="M553" s="40">
        <v>25.0</v>
      </c>
      <c r="N553" s="196">
        <v>0.6</v>
      </c>
    </row>
    <row r="554">
      <c r="A554" s="40" t="s">
        <v>50</v>
      </c>
      <c r="B554" s="40"/>
      <c r="C554" s="40">
        <v>217.0</v>
      </c>
      <c r="D554" s="40" t="s">
        <v>1199</v>
      </c>
      <c r="E554" s="40" t="s">
        <v>24</v>
      </c>
      <c r="F554" s="197">
        <v>40870.0</v>
      </c>
      <c r="G554" s="197">
        <v>44237.0</v>
      </c>
      <c r="H554" s="197">
        <v>45108.0</v>
      </c>
      <c r="I554" s="197">
        <v>45108.0</v>
      </c>
      <c r="J554" s="196">
        <v>7.99</v>
      </c>
      <c r="K554" s="196">
        <v>7.99</v>
      </c>
      <c r="L554" s="196">
        <v>0.0</v>
      </c>
      <c r="M554" s="40">
        <v>2.0</v>
      </c>
      <c r="N554" s="196">
        <v>4.0</v>
      </c>
    </row>
    <row r="555">
      <c r="A555" s="40" t="s">
        <v>50</v>
      </c>
      <c r="B555" s="40"/>
      <c r="C555" s="40">
        <v>364.0</v>
      </c>
      <c r="D555" s="40" t="s">
        <v>1200</v>
      </c>
      <c r="E555" s="40" t="s">
        <v>24</v>
      </c>
      <c r="F555" s="197">
        <v>40891.0</v>
      </c>
      <c r="G555" s="197">
        <v>44817.0</v>
      </c>
      <c r="H555" s="197">
        <v>44818.0</v>
      </c>
      <c r="I555" s="197">
        <v>44824.0</v>
      </c>
      <c r="J555" s="196">
        <v>11.25</v>
      </c>
      <c r="K555" s="196">
        <v>0.0</v>
      </c>
      <c r="L555" s="196">
        <v>11.25</v>
      </c>
      <c r="M555" s="40">
        <v>3.0</v>
      </c>
      <c r="N555" s="196">
        <v>0.0</v>
      </c>
    </row>
    <row r="556">
      <c r="A556" s="40" t="s">
        <v>50</v>
      </c>
      <c r="B556" s="7"/>
      <c r="C556" s="40">
        <v>393.0</v>
      </c>
      <c r="D556" s="40" t="s">
        <v>1201</v>
      </c>
      <c r="E556" s="40" t="s">
        <v>24</v>
      </c>
      <c r="F556" s="197">
        <v>40947.0</v>
      </c>
      <c r="G556" s="197">
        <v>41607.0</v>
      </c>
      <c r="H556" s="197">
        <v>41607.0</v>
      </c>
      <c r="I556" s="197">
        <v>44795.0</v>
      </c>
      <c r="J556" s="196">
        <v>9.99</v>
      </c>
      <c r="K556" s="196">
        <v>9.99</v>
      </c>
      <c r="L556" s="196">
        <v>0.0</v>
      </c>
      <c r="M556" s="40">
        <v>10.0</v>
      </c>
      <c r="N556" s="196">
        <v>1.0</v>
      </c>
    </row>
    <row r="557">
      <c r="A557" s="40" t="s">
        <v>50</v>
      </c>
      <c r="B557" s="40" t="s">
        <v>402</v>
      </c>
      <c r="C557" s="40">
        <v>293.0</v>
      </c>
      <c r="D557" s="40" t="s">
        <v>1202</v>
      </c>
      <c r="E557" s="40" t="s">
        <v>24</v>
      </c>
      <c r="F557" s="197">
        <v>40947.0</v>
      </c>
      <c r="G557" s="197">
        <v>44422.0</v>
      </c>
      <c r="H557" s="197">
        <v>44422.0</v>
      </c>
      <c r="I557" s="197">
        <v>44422.0</v>
      </c>
      <c r="J557" s="196">
        <v>7.99</v>
      </c>
      <c r="K557" s="196">
        <v>7.99</v>
      </c>
      <c r="L557" s="196">
        <v>0.0</v>
      </c>
      <c r="M557" s="40">
        <v>1.0</v>
      </c>
      <c r="N557" s="196">
        <v>7.99</v>
      </c>
    </row>
    <row r="558">
      <c r="A558" s="40" t="s">
        <v>50</v>
      </c>
      <c r="B558" s="40" t="s">
        <v>405</v>
      </c>
      <c r="C558" s="40">
        <v>210.0</v>
      </c>
      <c r="D558" s="40" t="s">
        <v>1203</v>
      </c>
      <c r="E558" s="40" t="s">
        <v>24</v>
      </c>
      <c r="F558" s="197">
        <v>40949.0</v>
      </c>
      <c r="G558" s="197">
        <v>41399.0</v>
      </c>
      <c r="H558" s="197">
        <v>41399.0</v>
      </c>
      <c r="I558" s="197">
        <v>44800.0</v>
      </c>
      <c r="J558" s="196">
        <v>79.98</v>
      </c>
      <c r="K558" s="196">
        <v>79.98</v>
      </c>
      <c r="L558" s="196">
        <v>0.0</v>
      </c>
      <c r="M558" s="40">
        <v>18.0</v>
      </c>
      <c r="N558" s="196">
        <v>4.44</v>
      </c>
    </row>
    <row r="559">
      <c r="A559" s="40" t="s">
        <v>50</v>
      </c>
      <c r="B559" s="40"/>
      <c r="C559" s="40">
        <v>372.0</v>
      </c>
      <c r="D559" s="40" t="s">
        <v>83</v>
      </c>
      <c r="E559" s="40" t="s">
        <v>24</v>
      </c>
      <c r="F559" s="197">
        <v>40977.0</v>
      </c>
      <c r="G559" s="197">
        <v>42766.0</v>
      </c>
      <c r="H559" s="197">
        <v>43059.0</v>
      </c>
      <c r="I559" s="197">
        <v>45021.0</v>
      </c>
      <c r="J559" s="196">
        <v>24.99</v>
      </c>
      <c r="K559" s="196">
        <v>4.99</v>
      </c>
      <c r="L559" s="196">
        <v>20.0</v>
      </c>
      <c r="M559" s="40">
        <v>5.0</v>
      </c>
      <c r="N559" s="196">
        <v>1.0</v>
      </c>
    </row>
    <row r="560">
      <c r="A560" s="47" t="s">
        <v>50</v>
      </c>
      <c r="B560" s="45"/>
      <c r="C560" s="45">
        <v>425.0</v>
      </c>
      <c r="D560" s="41" t="s">
        <v>1204</v>
      </c>
      <c r="E560" s="41" t="s">
        <v>24</v>
      </c>
      <c r="F560" s="46">
        <v>40984.0</v>
      </c>
      <c r="G560" s="46">
        <v>44971.0</v>
      </c>
      <c r="H560" s="46">
        <v>45000.0</v>
      </c>
      <c r="I560" s="46">
        <v>45967.0</v>
      </c>
      <c r="J560" s="47">
        <v>19.99</v>
      </c>
      <c r="K560" s="47">
        <v>0.0</v>
      </c>
      <c r="L560" s="47">
        <v>19.99</v>
      </c>
      <c r="M560" s="45">
        <v>118.0</v>
      </c>
      <c r="N560" s="47">
        <v>0.0</v>
      </c>
    </row>
    <row r="561">
      <c r="A561" s="40" t="s">
        <v>50</v>
      </c>
      <c r="B561" s="40" t="s">
        <v>416</v>
      </c>
      <c r="C561" s="40">
        <v>290.0</v>
      </c>
      <c r="D561" s="40" t="s">
        <v>1205</v>
      </c>
      <c r="E561" s="40" t="s">
        <v>24</v>
      </c>
      <c r="F561" s="197">
        <v>41075.0</v>
      </c>
      <c r="G561" s="197">
        <v>41628.0</v>
      </c>
      <c r="H561" s="197">
        <v>41628.0</v>
      </c>
      <c r="I561" s="197">
        <v>44128.0</v>
      </c>
      <c r="J561" s="196">
        <v>19.99</v>
      </c>
      <c r="K561" s="196">
        <v>12.0</v>
      </c>
      <c r="L561" s="196">
        <v>7.99</v>
      </c>
      <c r="M561" s="40">
        <v>20.0</v>
      </c>
      <c r="N561" s="196">
        <v>0.6</v>
      </c>
    </row>
    <row r="562">
      <c r="A562" s="40" t="s">
        <v>50</v>
      </c>
      <c r="B562" s="40"/>
      <c r="C562" s="40">
        <v>379.0</v>
      </c>
      <c r="D562" s="40" t="s">
        <v>1206</v>
      </c>
      <c r="E562" s="40" t="s">
        <v>24</v>
      </c>
      <c r="F562" s="197">
        <v>41152.0</v>
      </c>
      <c r="G562" s="197">
        <v>42021.0</v>
      </c>
      <c r="H562" s="197">
        <v>45088.0</v>
      </c>
      <c r="I562" s="197">
        <v>45088.0</v>
      </c>
      <c r="J562" s="196">
        <v>15.0</v>
      </c>
      <c r="K562" s="196">
        <v>15.0</v>
      </c>
      <c r="L562" s="196">
        <v>0.0</v>
      </c>
      <c r="M562" s="40">
        <v>2.0</v>
      </c>
      <c r="N562" s="196">
        <v>7.5</v>
      </c>
    </row>
    <row r="563">
      <c r="A563" s="40" t="s">
        <v>50</v>
      </c>
      <c r="B563" s="40"/>
      <c r="C563" s="40">
        <v>269.0</v>
      </c>
      <c r="D563" s="40" t="s">
        <v>1207</v>
      </c>
      <c r="E563" s="40" t="s">
        <v>24</v>
      </c>
      <c r="F563" s="197">
        <v>41171.0</v>
      </c>
      <c r="G563" s="197">
        <v>43373.0</v>
      </c>
      <c r="H563" s="197">
        <v>43423.0</v>
      </c>
      <c r="I563" s="197">
        <v>45005.0</v>
      </c>
      <c r="J563" s="196">
        <v>7.99</v>
      </c>
      <c r="K563" s="196">
        <v>7.99</v>
      </c>
      <c r="L563" s="196">
        <v>0.0</v>
      </c>
      <c r="M563" s="40">
        <v>5.0</v>
      </c>
      <c r="N563" s="196">
        <v>1.6</v>
      </c>
    </row>
    <row r="564">
      <c r="A564" s="40" t="s">
        <v>50</v>
      </c>
      <c r="B564" s="40"/>
      <c r="C564" s="40">
        <v>406.0</v>
      </c>
      <c r="D564" s="40" t="s">
        <v>1208</v>
      </c>
      <c r="E564" s="40" t="s">
        <v>24</v>
      </c>
      <c r="F564" s="197">
        <v>41178.0</v>
      </c>
      <c r="G564" s="197">
        <v>41599.0</v>
      </c>
      <c r="H564" s="197">
        <v>41599.0</v>
      </c>
      <c r="I564" s="197">
        <v>44795.0</v>
      </c>
      <c r="J564" s="196">
        <v>12.99</v>
      </c>
      <c r="K564" s="196">
        <v>12.99</v>
      </c>
      <c r="L564" s="196">
        <v>0.0</v>
      </c>
      <c r="M564" s="40">
        <v>25.0</v>
      </c>
      <c r="N564" s="196">
        <v>0.52</v>
      </c>
    </row>
    <row r="565">
      <c r="A565" s="40" t="s">
        <v>50</v>
      </c>
      <c r="B565" s="40"/>
      <c r="C565" s="40">
        <v>219.0</v>
      </c>
      <c r="D565" s="40" t="s">
        <v>1209</v>
      </c>
      <c r="E565" s="40" t="s">
        <v>24</v>
      </c>
      <c r="F565" s="197">
        <v>41180.0</v>
      </c>
      <c r="G565" s="197">
        <v>41374.0</v>
      </c>
      <c r="H565" s="197">
        <v>41374.0</v>
      </c>
      <c r="I565" s="197">
        <v>43897.0</v>
      </c>
      <c r="J565" s="196">
        <v>59.98</v>
      </c>
      <c r="K565" s="196">
        <v>33.98</v>
      </c>
      <c r="L565" s="196">
        <v>26.0</v>
      </c>
      <c r="M565" s="40">
        <v>3.0</v>
      </c>
      <c r="N565" s="196">
        <v>11.33</v>
      </c>
    </row>
    <row r="566">
      <c r="A566" s="40" t="s">
        <v>50</v>
      </c>
      <c r="B566" s="40"/>
      <c r="C566" s="40">
        <v>340.0</v>
      </c>
      <c r="D566" s="40" t="s">
        <v>84</v>
      </c>
      <c r="E566" s="40" t="s">
        <v>24</v>
      </c>
      <c r="F566" s="197">
        <v>41184.0</v>
      </c>
      <c r="G566" s="197">
        <v>44510.0</v>
      </c>
      <c r="H566" s="197">
        <v>45213.0</v>
      </c>
      <c r="I566" s="197">
        <v>45213.0</v>
      </c>
      <c r="J566" s="196">
        <v>19.99</v>
      </c>
      <c r="K566" s="196">
        <v>7.99</v>
      </c>
      <c r="L566" s="196">
        <v>12.0</v>
      </c>
      <c r="M566" s="40">
        <v>1.0</v>
      </c>
      <c r="N566" s="196">
        <v>7.99</v>
      </c>
    </row>
    <row r="567">
      <c r="A567" s="40" t="s">
        <v>50</v>
      </c>
      <c r="B567" s="40"/>
      <c r="C567" s="40">
        <v>315.0</v>
      </c>
      <c r="D567" s="40" t="s">
        <v>1210</v>
      </c>
      <c r="E567" s="40" t="s">
        <v>24</v>
      </c>
      <c r="F567" s="197">
        <v>41306.0</v>
      </c>
      <c r="G567" s="197">
        <v>45182.0</v>
      </c>
      <c r="H567" s="197">
        <v>45451.0</v>
      </c>
      <c r="I567" s="197">
        <v>45464.0</v>
      </c>
      <c r="J567" s="196">
        <v>49.99</v>
      </c>
      <c r="K567" s="196">
        <v>0.0</v>
      </c>
      <c r="L567" s="196">
        <v>49.99</v>
      </c>
      <c r="M567" s="40">
        <v>18.0</v>
      </c>
      <c r="N567" s="196">
        <v>0.0</v>
      </c>
    </row>
    <row r="568">
      <c r="A568" s="40" t="s">
        <v>50</v>
      </c>
      <c r="B568" s="40"/>
      <c r="C568" s="40">
        <v>341.0</v>
      </c>
      <c r="D568" s="40" t="s">
        <v>85</v>
      </c>
      <c r="E568" s="40" t="s">
        <v>24</v>
      </c>
      <c r="F568" s="197">
        <v>41418.0</v>
      </c>
      <c r="G568" s="197">
        <v>43638.0</v>
      </c>
      <c r="H568" s="197">
        <v>43645.0</v>
      </c>
      <c r="I568" s="197">
        <v>43647.0</v>
      </c>
      <c r="J568" s="196">
        <v>19.99</v>
      </c>
      <c r="K568" s="196">
        <v>7.49</v>
      </c>
      <c r="L568" s="196">
        <v>12.5</v>
      </c>
      <c r="M568" s="40">
        <v>11.0</v>
      </c>
      <c r="N568" s="196">
        <v>0.68</v>
      </c>
    </row>
    <row r="569">
      <c r="A569" s="40" t="s">
        <v>50</v>
      </c>
      <c r="B569" s="40"/>
      <c r="C569" s="40">
        <v>381.0</v>
      </c>
      <c r="D569" s="40" t="s">
        <v>1211</v>
      </c>
      <c r="E569" s="40" t="s">
        <v>24</v>
      </c>
      <c r="F569" s="197">
        <v>41437.0</v>
      </c>
      <c r="G569" s="197">
        <v>41491.0</v>
      </c>
      <c r="H569" s="197">
        <v>41491.0</v>
      </c>
      <c r="I569" s="197">
        <v>41602.0</v>
      </c>
      <c r="J569" s="196">
        <v>0.0</v>
      </c>
      <c r="K569" s="196">
        <v>0.0</v>
      </c>
      <c r="L569" s="196">
        <v>0.0</v>
      </c>
      <c r="M569" s="40">
        <v>5.0</v>
      </c>
      <c r="N569" s="196">
        <v>0.0</v>
      </c>
    </row>
    <row r="570">
      <c r="A570" s="40" t="s">
        <v>50</v>
      </c>
      <c r="B570" s="40"/>
      <c r="C570" s="40">
        <v>380.0</v>
      </c>
      <c r="D570" s="40" t="s">
        <v>1212</v>
      </c>
      <c r="E570" s="40" t="s">
        <v>24</v>
      </c>
      <c r="F570" s="197">
        <v>41495.0</v>
      </c>
      <c r="G570" s="197">
        <v>42021.0</v>
      </c>
      <c r="H570" s="197">
        <v>42021.0</v>
      </c>
      <c r="I570" s="197">
        <v>42021.0</v>
      </c>
      <c r="J570" s="196">
        <v>14.99</v>
      </c>
      <c r="K570" s="196">
        <v>14.99</v>
      </c>
      <c r="L570" s="196">
        <v>0.0</v>
      </c>
      <c r="M570" s="40">
        <v>1.0</v>
      </c>
      <c r="N570" s="196">
        <v>14.99</v>
      </c>
    </row>
    <row r="571">
      <c r="A571" s="40" t="s">
        <v>50</v>
      </c>
      <c r="B571" s="40"/>
      <c r="C571" s="40">
        <v>274.0</v>
      </c>
      <c r="D571" s="40" t="s">
        <v>1213</v>
      </c>
      <c r="E571" s="40" t="s">
        <v>24</v>
      </c>
      <c r="F571" s="197">
        <v>41516.0</v>
      </c>
      <c r="G571" s="197">
        <v>42160.0</v>
      </c>
      <c r="H571" s="197">
        <v>42160.0</v>
      </c>
      <c r="I571" s="197">
        <v>44812.0</v>
      </c>
      <c r="J571" s="196">
        <v>29.99</v>
      </c>
      <c r="K571" s="196">
        <v>18.0</v>
      </c>
      <c r="L571" s="196">
        <v>11.99</v>
      </c>
      <c r="M571" s="40">
        <v>15.0</v>
      </c>
      <c r="N571" s="196">
        <v>1.2</v>
      </c>
    </row>
    <row r="572">
      <c r="A572" s="40" t="s">
        <v>50</v>
      </c>
      <c r="B572" s="40"/>
      <c r="C572" s="40">
        <v>275.0</v>
      </c>
      <c r="D572" s="40" t="s">
        <v>1214</v>
      </c>
      <c r="E572" s="40" t="s">
        <v>24</v>
      </c>
      <c r="F572" s="197">
        <v>41530.0</v>
      </c>
      <c r="G572" s="197">
        <v>43786.0</v>
      </c>
      <c r="H572" s="197">
        <v>43956.0</v>
      </c>
      <c r="I572" s="197">
        <v>43957.0</v>
      </c>
      <c r="J572" s="196">
        <v>9.25</v>
      </c>
      <c r="K572" s="196">
        <v>3.03</v>
      </c>
      <c r="L572" s="196">
        <v>6.22</v>
      </c>
      <c r="M572" s="40">
        <v>1.0</v>
      </c>
      <c r="N572" s="196">
        <v>3.03</v>
      </c>
    </row>
    <row r="573">
      <c r="A573" s="40" t="s">
        <v>50</v>
      </c>
      <c r="B573" s="40"/>
      <c r="C573" s="40">
        <v>216.0</v>
      </c>
      <c r="D573" s="40" t="s">
        <v>1215</v>
      </c>
      <c r="E573" s="40" t="s">
        <v>24</v>
      </c>
      <c r="F573" s="197">
        <v>41712.0</v>
      </c>
      <c r="G573" s="197">
        <v>43755.0</v>
      </c>
      <c r="H573" s="197">
        <v>43831.0</v>
      </c>
      <c r="I573" s="197">
        <v>43831.0</v>
      </c>
      <c r="J573" s="196">
        <v>19.99</v>
      </c>
      <c r="K573" s="196">
        <v>9.99</v>
      </c>
      <c r="L573" s="196">
        <v>10.0</v>
      </c>
      <c r="M573" s="40">
        <v>2.0</v>
      </c>
      <c r="N573" s="196">
        <v>5.0</v>
      </c>
    </row>
    <row r="574">
      <c r="A574" s="40" t="s">
        <v>50</v>
      </c>
      <c r="B574" s="40" t="s">
        <v>414</v>
      </c>
      <c r="C574" s="40">
        <v>319.0</v>
      </c>
      <c r="D574" s="40" t="s">
        <v>1216</v>
      </c>
      <c r="E574" s="40" t="s">
        <v>24</v>
      </c>
      <c r="F574" s="197">
        <v>41817.0</v>
      </c>
      <c r="G574" s="197">
        <v>43100.0</v>
      </c>
      <c r="H574" s="197">
        <v>43100.0</v>
      </c>
      <c r="I574" s="197">
        <v>43100.0</v>
      </c>
      <c r="J574" s="196">
        <v>79.98</v>
      </c>
      <c r="K574" s="196">
        <v>18.98</v>
      </c>
      <c r="L574" s="196">
        <v>61.0</v>
      </c>
      <c r="M574" s="40">
        <v>1.0</v>
      </c>
      <c r="N574" s="196">
        <v>18.98</v>
      </c>
    </row>
    <row r="575">
      <c r="A575" s="40" t="s">
        <v>50</v>
      </c>
      <c r="B575" s="40" t="s">
        <v>441</v>
      </c>
      <c r="C575" s="40">
        <v>389.0</v>
      </c>
      <c r="D575" s="40" t="s">
        <v>1217</v>
      </c>
      <c r="E575" s="40" t="s">
        <v>24</v>
      </c>
      <c r="F575" s="197">
        <v>41926.0</v>
      </c>
      <c r="G575" s="197">
        <v>42386.0</v>
      </c>
      <c r="H575" s="197">
        <v>42386.0</v>
      </c>
      <c r="I575" s="197">
        <v>42386.0</v>
      </c>
      <c r="J575" s="196">
        <v>19.99</v>
      </c>
      <c r="K575" s="196">
        <v>5.99</v>
      </c>
      <c r="L575" s="196">
        <v>14.0</v>
      </c>
      <c r="M575" s="40">
        <v>29.0</v>
      </c>
      <c r="N575" s="196">
        <v>0.21</v>
      </c>
    </row>
    <row r="576">
      <c r="A576" s="40" t="s">
        <v>50</v>
      </c>
      <c r="B576" s="40"/>
      <c r="C576" s="40">
        <v>342.0</v>
      </c>
      <c r="D576" s="40" t="s">
        <v>86</v>
      </c>
      <c r="E576" s="40" t="s">
        <v>24</v>
      </c>
      <c r="F576" s="197">
        <v>42024.0</v>
      </c>
      <c r="G576" s="197">
        <v>43727.0</v>
      </c>
      <c r="H576" s="197">
        <v>43733.0</v>
      </c>
      <c r="I576" s="197">
        <v>43733.0</v>
      </c>
      <c r="J576" s="196">
        <v>19.99</v>
      </c>
      <c r="K576" s="196">
        <v>4.99</v>
      </c>
      <c r="L576" s="196">
        <v>15.0</v>
      </c>
      <c r="M576" s="40">
        <v>18.0</v>
      </c>
      <c r="N576" s="196">
        <v>0.28</v>
      </c>
    </row>
    <row r="577">
      <c r="A577" s="40" t="s">
        <v>50</v>
      </c>
      <c r="B577" s="40"/>
      <c r="C577" s="40">
        <v>343.0</v>
      </c>
      <c r="D577" s="40" t="s">
        <v>87</v>
      </c>
      <c r="E577" s="40" t="s">
        <v>24</v>
      </c>
      <c r="F577" s="197">
        <v>42060.0</v>
      </c>
      <c r="G577" s="197">
        <v>43638.0</v>
      </c>
      <c r="H577" s="197">
        <v>43647.0</v>
      </c>
      <c r="I577" s="197">
        <v>43647.0</v>
      </c>
      <c r="J577" s="196">
        <v>19.99</v>
      </c>
      <c r="K577" s="196">
        <v>7.49</v>
      </c>
      <c r="L577" s="196">
        <v>12.5</v>
      </c>
      <c r="M577" s="40">
        <v>1.0</v>
      </c>
      <c r="N577" s="196">
        <v>7.49</v>
      </c>
    </row>
    <row r="578">
      <c r="A578" s="40" t="s">
        <v>50</v>
      </c>
      <c r="B578" s="40"/>
      <c r="C578" s="40">
        <v>298.0</v>
      </c>
      <c r="D578" s="40" t="s">
        <v>1218</v>
      </c>
      <c r="E578" s="40" t="s">
        <v>24</v>
      </c>
      <c r="F578" s="197">
        <v>42248.0</v>
      </c>
      <c r="G578" s="197">
        <v>44190.0</v>
      </c>
      <c r="H578" s="197">
        <v>44209.0</v>
      </c>
      <c r="I578" s="197">
        <v>44231.0</v>
      </c>
      <c r="J578" s="196">
        <v>29.99</v>
      </c>
      <c r="K578" s="196">
        <v>7.49</v>
      </c>
      <c r="L578" s="196">
        <v>22.5</v>
      </c>
      <c r="M578" s="40">
        <v>101.0</v>
      </c>
      <c r="N578" s="196">
        <v>0.07</v>
      </c>
    </row>
    <row r="579">
      <c r="A579" s="41" t="s">
        <v>50</v>
      </c>
      <c r="B579" s="41" t="s">
        <v>434</v>
      </c>
      <c r="C579" s="41">
        <v>285.0</v>
      </c>
      <c r="D579" s="41" t="s">
        <v>1219</v>
      </c>
      <c r="E579" s="41" t="s">
        <v>24</v>
      </c>
      <c r="F579" s="197">
        <v>42346.0</v>
      </c>
      <c r="G579" s="197">
        <v>44482.0</v>
      </c>
      <c r="H579" s="197">
        <v>44622.0</v>
      </c>
      <c r="I579" s="197">
        <v>45907.0</v>
      </c>
      <c r="J579" s="47">
        <v>13.33</v>
      </c>
      <c r="K579" s="47">
        <v>7.99</v>
      </c>
      <c r="L579" s="47">
        <f>J579-K579</f>
        <v>5.34</v>
      </c>
      <c r="M579" s="41">
        <v>274.0</v>
      </c>
      <c r="N579" s="47">
        <f>K579/M579</f>
        <v>0.02916058394</v>
      </c>
    </row>
    <row r="580">
      <c r="A580" s="40" t="s">
        <v>50</v>
      </c>
      <c r="B580" s="40"/>
      <c r="C580" s="40">
        <v>344.0</v>
      </c>
      <c r="D580" s="40" t="s">
        <v>88</v>
      </c>
      <c r="E580" s="40" t="s">
        <v>24</v>
      </c>
      <c r="F580" s="197">
        <v>42388.0</v>
      </c>
      <c r="G580" s="197">
        <v>43727.0</v>
      </c>
      <c r="H580" s="197">
        <v>43775.0</v>
      </c>
      <c r="I580" s="197">
        <v>43775.0</v>
      </c>
      <c r="J580" s="196">
        <v>19.99</v>
      </c>
      <c r="K580" s="196">
        <v>4.99</v>
      </c>
      <c r="L580" s="196">
        <v>15.0</v>
      </c>
      <c r="M580" s="40">
        <v>19.0</v>
      </c>
      <c r="N580" s="196">
        <v>0.26</v>
      </c>
    </row>
    <row r="581">
      <c r="A581" s="40" t="s">
        <v>50</v>
      </c>
      <c r="B581" s="40" t="s">
        <v>442</v>
      </c>
      <c r="C581" s="40">
        <v>316.0</v>
      </c>
      <c r="D581" s="40" t="s">
        <v>1220</v>
      </c>
      <c r="E581" s="40" t="s">
        <v>24</v>
      </c>
      <c r="F581" s="197">
        <v>42467.0</v>
      </c>
      <c r="G581" s="197">
        <v>42754.0</v>
      </c>
      <c r="H581" s="197">
        <v>42771.0</v>
      </c>
      <c r="I581" s="197">
        <v>44092.0</v>
      </c>
      <c r="J581" s="196">
        <v>19.99</v>
      </c>
      <c r="K581" s="196">
        <v>14.99</v>
      </c>
      <c r="L581" s="196">
        <v>5.0</v>
      </c>
      <c r="M581" s="40">
        <v>4.0</v>
      </c>
      <c r="N581" s="196">
        <v>3.75</v>
      </c>
    </row>
    <row r="582">
      <c r="A582" s="40" t="s">
        <v>50</v>
      </c>
      <c r="B582" s="40"/>
      <c r="C582" s="40">
        <v>321.0</v>
      </c>
      <c r="D582" s="40" t="s">
        <v>1221</v>
      </c>
      <c r="E582" s="40" t="s">
        <v>24</v>
      </c>
      <c r="F582" s="197">
        <v>42829.0</v>
      </c>
      <c r="G582" s="197">
        <v>43091.0</v>
      </c>
      <c r="H582" s="197">
        <v>43091.0</v>
      </c>
      <c r="I582" s="197">
        <v>43091.0</v>
      </c>
      <c r="J582" s="196">
        <v>69.99</v>
      </c>
      <c r="K582" s="196">
        <v>34.99</v>
      </c>
      <c r="L582" s="196">
        <v>35.0</v>
      </c>
      <c r="M582" s="40">
        <v>1.0</v>
      </c>
      <c r="N582" s="196">
        <v>34.99</v>
      </c>
    </row>
    <row r="583">
      <c r="A583" s="40" t="s">
        <v>50</v>
      </c>
      <c r="B583" s="40" t="s">
        <v>436</v>
      </c>
      <c r="C583" s="40">
        <v>492.0</v>
      </c>
      <c r="D583" s="40" t="s">
        <v>1222</v>
      </c>
      <c r="E583" s="40" t="s">
        <v>25</v>
      </c>
      <c r="F583" s="197">
        <v>40954.0</v>
      </c>
      <c r="G583" s="197">
        <v>42036.0</v>
      </c>
      <c r="H583" s="197">
        <v>45040.0</v>
      </c>
      <c r="I583" s="197">
        <v>45040.0</v>
      </c>
      <c r="J583" s="196">
        <v>0.0</v>
      </c>
      <c r="K583" s="196">
        <v>0.0</v>
      </c>
      <c r="L583" s="196">
        <v>0.0</v>
      </c>
      <c r="M583" s="40">
        <v>5.0</v>
      </c>
      <c r="N583" s="196">
        <v>0.0</v>
      </c>
    </row>
    <row r="584">
      <c r="A584" s="40" t="s">
        <v>50</v>
      </c>
      <c r="B584" s="40"/>
      <c r="C584" s="40">
        <v>478.0</v>
      </c>
      <c r="D584" s="40" t="s">
        <v>1223</v>
      </c>
      <c r="E584" s="40" t="s">
        <v>25</v>
      </c>
      <c r="F584" s="197">
        <v>40961.0</v>
      </c>
      <c r="G584" s="197">
        <v>42187.0</v>
      </c>
      <c r="H584" s="197">
        <v>42187.0</v>
      </c>
      <c r="I584" s="197">
        <v>42187.0</v>
      </c>
      <c r="J584" s="196">
        <v>0.0</v>
      </c>
      <c r="K584" s="196">
        <v>0.0</v>
      </c>
      <c r="L584" s="196">
        <v>0.0</v>
      </c>
      <c r="M584" s="40">
        <v>1.0</v>
      </c>
      <c r="N584" s="196">
        <v>0.0</v>
      </c>
    </row>
    <row r="585">
      <c r="A585" s="40" t="s">
        <v>50</v>
      </c>
      <c r="B585" s="40"/>
      <c r="C585" s="40">
        <v>481.0</v>
      </c>
      <c r="D585" s="40" t="s">
        <v>1224</v>
      </c>
      <c r="E585" s="40" t="s">
        <v>25</v>
      </c>
      <c r="F585" s="197">
        <v>40961.0</v>
      </c>
      <c r="G585" s="197">
        <v>43373.0</v>
      </c>
      <c r="H585" s="197">
        <v>45040.0</v>
      </c>
      <c r="I585" s="197">
        <v>45047.0</v>
      </c>
      <c r="J585" s="196">
        <v>19.99</v>
      </c>
      <c r="K585" s="196">
        <v>19.99</v>
      </c>
      <c r="L585" s="196">
        <v>0.0</v>
      </c>
      <c r="M585" s="40">
        <v>5.0</v>
      </c>
      <c r="N585" s="196">
        <v>4.0</v>
      </c>
    </row>
    <row r="586">
      <c r="A586" s="40" t="s">
        <v>50</v>
      </c>
      <c r="B586" s="40"/>
      <c r="C586" s="40">
        <v>444.0</v>
      </c>
      <c r="D586" s="43" t="s">
        <v>1225</v>
      </c>
      <c r="E586" s="43" t="s">
        <v>25</v>
      </c>
      <c r="F586" s="197">
        <v>41075.0</v>
      </c>
      <c r="G586" s="197">
        <v>45545.0</v>
      </c>
      <c r="H586" s="197">
        <v>45545.0</v>
      </c>
      <c r="I586" s="197">
        <v>45545.0</v>
      </c>
      <c r="J586" s="196">
        <v>29.99</v>
      </c>
      <c r="K586" s="196">
        <v>14.99</v>
      </c>
      <c r="L586" s="196">
        <v>15.0</v>
      </c>
      <c r="M586" s="40">
        <v>1.0</v>
      </c>
      <c r="N586" s="196">
        <v>14.99</v>
      </c>
    </row>
    <row r="587">
      <c r="A587" s="40" t="s">
        <v>50</v>
      </c>
      <c r="B587" s="40" t="s">
        <v>438</v>
      </c>
      <c r="C587" s="40">
        <v>498.0</v>
      </c>
      <c r="D587" s="40" t="s">
        <v>1226</v>
      </c>
      <c r="E587" s="40" t="s">
        <v>25</v>
      </c>
      <c r="F587" s="197">
        <v>41236.0</v>
      </c>
      <c r="G587" s="197">
        <v>42187.0</v>
      </c>
      <c r="H587" s="197">
        <v>45059.0</v>
      </c>
      <c r="I587" s="197">
        <v>45059.0</v>
      </c>
      <c r="J587" s="196">
        <v>19.99</v>
      </c>
      <c r="K587" s="196">
        <v>19.99</v>
      </c>
      <c r="L587" s="196">
        <v>0.0</v>
      </c>
      <c r="M587" s="40">
        <v>10.0</v>
      </c>
      <c r="N587" s="196">
        <v>2.0</v>
      </c>
    </row>
    <row r="588">
      <c r="A588" s="40" t="s">
        <v>50</v>
      </c>
      <c r="B588" s="40"/>
      <c r="C588" s="40">
        <v>455.0</v>
      </c>
      <c r="D588" s="40" t="s">
        <v>1227</v>
      </c>
      <c r="E588" s="40" t="s">
        <v>25</v>
      </c>
      <c r="F588" s="197">
        <v>41429.0</v>
      </c>
      <c r="G588" s="197">
        <v>42187.0</v>
      </c>
      <c r="H588" s="197">
        <v>42193.0</v>
      </c>
      <c r="I588" s="197">
        <v>44945.0</v>
      </c>
      <c r="J588" s="196">
        <v>0.0</v>
      </c>
      <c r="K588" s="196">
        <v>0.0</v>
      </c>
      <c r="L588" s="196">
        <v>0.0</v>
      </c>
      <c r="M588" s="40">
        <v>5.0</v>
      </c>
      <c r="N588" s="196">
        <v>0.0</v>
      </c>
    </row>
    <row r="589">
      <c r="A589" s="40" t="s">
        <v>50</v>
      </c>
      <c r="B589" s="40" t="s">
        <v>400</v>
      </c>
      <c r="C589" s="40">
        <v>452.0</v>
      </c>
      <c r="D589" s="40" t="s">
        <v>1228</v>
      </c>
      <c r="E589" s="40" t="s">
        <v>25</v>
      </c>
      <c r="F589" s="197">
        <v>41745.0</v>
      </c>
      <c r="G589" s="197">
        <v>42187.0</v>
      </c>
      <c r="H589" s="197">
        <v>45044.0</v>
      </c>
      <c r="I589" s="197">
        <v>45057.0</v>
      </c>
      <c r="J589" s="43">
        <v>5.99</v>
      </c>
      <c r="K589" s="43">
        <v>5.99</v>
      </c>
      <c r="L589" s="196">
        <v>0.0</v>
      </c>
      <c r="M589" s="40">
        <v>25.0</v>
      </c>
      <c r="N589" s="196">
        <v>0.24</v>
      </c>
    </row>
    <row r="590">
      <c r="A590" s="40" t="s">
        <v>50</v>
      </c>
      <c r="B590" s="40" t="s">
        <v>424</v>
      </c>
      <c r="C590" s="40">
        <v>436.0</v>
      </c>
      <c r="D590" s="40" t="s">
        <v>1229</v>
      </c>
      <c r="E590" s="40" t="s">
        <v>25</v>
      </c>
      <c r="F590" s="197">
        <v>42514.0</v>
      </c>
      <c r="G590" s="197">
        <v>42766.0</v>
      </c>
      <c r="H590" s="197">
        <v>42767.0</v>
      </c>
      <c r="I590" s="197">
        <v>43099.0</v>
      </c>
      <c r="J590" s="43">
        <v>4.99</v>
      </c>
      <c r="K590" s="43">
        <v>1.99</v>
      </c>
      <c r="L590" s="196">
        <v>3.0</v>
      </c>
      <c r="M590" s="40">
        <v>7.0</v>
      </c>
      <c r="N590" s="196">
        <v>0.28</v>
      </c>
    </row>
    <row r="591">
      <c r="A591" s="40" t="s">
        <v>50</v>
      </c>
      <c r="B591" s="40" t="s">
        <v>446</v>
      </c>
      <c r="C591" s="40">
        <v>491.0</v>
      </c>
      <c r="D591" s="40" t="s">
        <v>1230</v>
      </c>
      <c r="E591" s="40" t="s">
        <v>25</v>
      </c>
      <c r="F591" s="197">
        <v>42613.0</v>
      </c>
      <c r="G591" s="197">
        <v>43373.0</v>
      </c>
      <c r="H591" s="197">
        <v>43373.0</v>
      </c>
      <c r="I591" s="197">
        <v>43373.0</v>
      </c>
      <c r="J591" s="43">
        <v>9.99</v>
      </c>
      <c r="K591" s="43">
        <v>9.99</v>
      </c>
      <c r="L591" s="196">
        <v>0.0</v>
      </c>
      <c r="M591" s="40">
        <v>5.0</v>
      </c>
      <c r="N591" s="196">
        <v>2.0</v>
      </c>
    </row>
    <row r="592">
      <c r="A592" s="40" t="s">
        <v>50</v>
      </c>
      <c r="B592" s="40"/>
      <c r="C592" s="40">
        <v>496.0</v>
      </c>
      <c r="D592" s="40" t="s">
        <v>1231</v>
      </c>
      <c r="E592" s="40" t="s">
        <v>25</v>
      </c>
      <c r="F592" s="197">
        <v>42671.0</v>
      </c>
      <c r="G592" s="197">
        <v>42840.0</v>
      </c>
      <c r="H592" s="197">
        <v>45064.0</v>
      </c>
      <c r="I592" s="197">
        <v>45070.0</v>
      </c>
      <c r="J592" s="196">
        <v>19.99</v>
      </c>
      <c r="K592" s="196">
        <v>9.99</v>
      </c>
      <c r="L592" s="196">
        <v>10.0</v>
      </c>
      <c r="M592" s="40">
        <v>10.0</v>
      </c>
      <c r="N592" s="196">
        <v>1.0</v>
      </c>
    </row>
    <row r="593">
      <c r="A593" s="40" t="s">
        <v>50</v>
      </c>
      <c r="B593" s="40" t="s">
        <v>403</v>
      </c>
      <c r="C593" s="40">
        <v>482.0</v>
      </c>
      <c r="D593" s="40" t="s">
        <v>1232</v>
      </c>
      <c r="E593" s="40" t="s">
        <v>25</v>
      </c>
      <c r="F593" s="197">
        <v>42776.0</v>
      </c>
      <c r="G593" s="197">
        <v>43668.0</v>
      </c>
      <c r="H593" s="197">
        <v>43673.0</v>
      </c>
      <c r="I593" s="197">
        <v>43674.0</v>
      </c>
      <c r="J593" s="196">
        <v>19.99</v>
      </c>
      <c r="K593" s="196">
        <v>4.99</v>
      </c>
      <c r="L593" s="196">
        <v>15.0</v>
      </c>
      <c r="M593" s="40">
        <v>4.0</v>
      </c>
      <c r="N593" s="196">
        <v>1.25</v>
      </c>
    </row>
    <row r="594">
      <c r="A594" s="40" t="s">
        <v>50</v>
      </c>
      <c r="B594" s="40"/>
      <c r="C594" s="40">
        <v>497.0</v>
      </c>
      <c r="D594" s="40" t="s">
        <v>1233</v>
      </c>
      <c r="E594" s="40" t="s">
        <v>25</v>
      </c>
      <c r="F594" s="197">
        <v>43035.0</v>
      </c>
      <c r="G594" s="197">
        <v>43992.0</v>
      </c>
      <c r="H594" s="197">
        <v>44001.0</v>
      </c>
      <c r="I594" s="197">
        <v>44001.0</v>
      </c>
      <c r="J594" s="196">
        <v>29.99</v>
      </c>
      <c r="K594" s="196">
        <v>14.99</v>
      </c>
      <c r="L594" s="196">
        <v>15.0</v>
      </c>
      <c r="M594" s="40">
        <v>2.0</v>
      </c>
      <c r="N594" s="196">
        <v>7.5</v>
      </c>
    </row>
    <row r="595">
      <c r="A595" s="40" t="s">
        <v>50</v>
      </c>
      <c r="B595" s="40" t="s">
        <v>429</v>
      </c>
      <c r="C595" s="40">
        <v>692.0</v>
      </c>
      <c r="D595" s="40" t="s">
        <v>1234</v>
      </c>
      <c r="E595" s="40" t="s">
        <v>26</v>
      </c>
      <c r="F595" s="197">
        <v>39955.0</v>
      </c>
      <c r="G595" s="197">
        <v>44883.0</v>
      </c>
      <c r="H595" s="197">
        <v>44906.0</v>
      </c>
      <c r="I595" s="197">
        <v>44907.0</v>
      </c>
      <c r="J595" s="196">
        <v>25.0</v>
      </c>
      <c r="K595" s="196">
        <v>15.0</v>
      </c>
      <c r="L595" s="196">
        <v>10.0</v>
      </c>
      <c r="M595" s="40">
        <v>6.0</v>
      </c>
      <c r="N595" s="196">
        <v>2.5</v>
      </c>
    </row>
    <row r="596">
      <c r="A596" s="40" t="s">
        <v>50</v>
      </c>
      <c r="B596" s="40"/>
      <c r="C596" s="40">
        <v>693.0</v>
      </c>
      <c r="D596" s="40" t="s">
        <v>1235</v>
      </c>
      <c r="E596" s="40" t="s">
        <v>26</v>
      </c>
      <c r="F596" s="197">
        <v>41607.0</v>
      </c>
      <c r="G596" s="197">
        <v>44581.0</v>
      </c>
      <c r="H596" s="197">
        <v>44590.0</v>
      </c>
      <c r="I596" s="197">
        <v>44899.0</v>
      </c>
      <c r="J596" s="196">
        <v>19.99</v>
      </c>
      <c r="K596" s="196">
        <v>7.99</v>
      </c>
      <c r="L596" s="196">
        <v>12.0</v>
      </c>
      <c r="M596" s="40">
        <v>45.0</v>
      </c>
      <c r="N596" s="196">
        <v>0.18</v>
      </c>
    </row>
    <row r="597">
      <c r="A597" s="40" t="s">
        <v>50</v>
      </c>
      <c r="B597" s="40"/>
      <c r="C597" s="40">
        <v>921.0</v>
      </c>
      <c r="D597" s="40" t="s">
        <v>1236</v>
      </c>
      <c r="E597" s="40" t="s">
        <v>26</v>
      </c>
      <c r="F597" s="197">
        <v>41607.0</v>
      </c>
      <c r="G597" s="197">
        <v>43469.0</v>
      </c>
      <c r="H597" s="197">
        <v>43481.0</v>
      </c>
      <c r="I597" s="197">
        <v>43483.0</v>
      </c>
      <c r="J597" s="196">
        <v>0.0</v>
      </c>
      <c r="K597" s="196">
        <v>0.0</v>
      </c>
      <c r="L597" s="196">
        <v>0.0</v>
      </c>
      <c r="M597" s="40">
        <v>1.0</v>
      </c>
      <c r="N597" s="196">
        <v>0.0</v>
      </c>
    </row>
    <row r="598">
      <c r="A598" s="40" t="s">
        <v>50</v>
      </c>
      <c r="B598" s="40"/>
      <c r="C598" s="40">
        <v>533.0</v>
      </c>
      <c r="D598" s="40" t="s">
        <v>1237</v>
      </c>
      <c r="E598" s="40" t="s">
        <v>26</v>
      </c>
      <c r="F598" s="197">
        <v>42089.0</v>
      </c>
      <c r="G598" s="197">
        <v>43623.0</v>
      </c>
      <c r="H598" s="197">
        <v>43627.0</v>
      </c>
      <c r="I598" s="197">
        <v>43672.0</v>
      </c>
      <c r="J598" s="196">
        <v>34.99</v>
      </c>
      <c r="K598" s="196">
        <v>18.24</v>
      </c>
      <c r="L598" s="196">
        <v>16.75</v>
      </c>
      <c r="M598" s="40">
        <v>38.0</v>
      </c>
      <c r="N598" s="196">
        <v>0.48</v>
      </c>
    </row>
    <row r="599">
      <c r="A599" s="40" t="s">
        <v>50</v>
      </c>
      <c r="B599" s="40" t="s">
        <v>413</v>
      </c>
      <c r="C599" s="40">
        <v>898.0</v>
      </c>
      <c r="D599" s="40" t="s">
        <v>1238</v>
      </c>
      <c r="E599" s="40" t="s">
        <v>26</v>
      </c>
      <c r="F599" s="197">
        <v>42206.0</v>
      </c>
      <c r="G599" s="197">
        <v>42811.0</v>
      </c>
      <c r="H599" s="197">
        <v>42816.0</v>
      </c>
      <c r="I599" s="197">
        <v>44412.0</v>
      </c>
      <c r="J599" s="196">
        <v>12.99</v>
      </c>
      <c r="K599" s="196">
        <v>3.49</v>
      </c>
      <c r="L599" s="196">
        <v>9.5</v>
      </c>
      <c r="M599" s="40">
        <v>14.0</v>
      </c>
      <c r="N599" s="196">
        <v>0.25</v>
      </c>
    </row>
    <row r="600">
      <c r="A600" s="40" t="s">
        <v>50</v>
      </c>
      <c r="B600" s="40"/>
      <c r="C600" s="40">
        <v>730.0</v>
      </c>
      <c r="D600" s="40" t="s">
        <v>89</v>
      </c>
      <c r="E600" s="40" t="s">
        <v>26</v>
      </c>
      <c r="F600" s="197">
        <v>42241.0</v>
      </c>
      <c r="G600" s="197">
        <v>42619.0</v>
      </c>
      <c r="H600" s="197">
        <v>42799.0</v>
      </c>
      <c r="I600" s="197">
        <v>42799.0</v>
      </c>
      <c r="J600" s="196">
        <v>2.5</v>
      </c>
      <c r="K600" s="196">
        <v>1.33</v>
      </c>
      <c r="L600" s="196">
        <v>1.17</v>
      </c>
      <c r="M600" s="40">
        <v>3.0</v>
      </c>
      <c r="N600" s="196">
        <v>0.44</v>
      </c>
    </row>
    <row r="601">
      <c r="A601" s="40" t="s">
        <v>50</v>
      </c>
      <c r="B601" s="40"/>
      <c r="C601" s="40">
        <v>731.0</v>
      </c>
      <c r="D601" s="40" t="s">
        <v>90</v>
      </c>
      <c r="E601" s="40" t="s">
        <v>26</v>
      </c>
      <c r="F601" s="197">
        <v>42241.0</v>
      </c>
      <c r="G601" s="197">
        <v>42619.0</v>
      </c>
      <c r="H601" s="197">
        <v>42799.0</v>
      </c>
      <c r="I601" s="197">
        <v>42799.0</v>
      </c>
      <c r="J601" s="196">
        <v>2.5</v>
      </c>
      <c r="K601" s="196">
        <v>1.33</v>
      </c>
      <c r="L601" s="196">
        <v>1.17</v>
      </c>
      <c r="M601" s="40">
        <v>2.0</v>
      </c>
      <c r="N601" s="196">
        <v>0.67</v>
      </c>
    </row>
    <row r="602">
      <c r="A602" s="40" t="s">
        <v>50</v>
      </c>
      <c r="B602" s="40"/>
      <c r="C602" s="40">
        <v>732.0</v>
      </c>
      <c r="D602" s="40" t="s">
        <v>91</v>
      </c>
      <c r="E602" s="40" t="s">
        <v>26</v>
      </c>
      <c r="F602" s="197">
        <v>42241.0</v>
      </c>
      <c r="G602" s="197">
        <v>42619.0</v>
      </c>
      <c r="H602" s="197">
        <v>42799.0</v>
      </c>
      <c r="I602" s="197">
        <v>42799.0</v>
      </c>
      <c r="J602" s="196">
        <v>2.5</v>
      </c>
      <c r="K602" s="196">
        <v>1.33</v>
      </c>
      <c r="L602" s="196">
        <v>1.17</v>
      </c>
      <c r="M602" s="40">
        <v>1.0</v>
      </c>
      <c r="N602" s="196">
        <v>1.33</v>
      </c>
    </row>
    <row r="603">
      <c r="A603" s="40" t="s">
        <v>50</v>
      </c>
      <c r="B603" s="40"/>
      <c r="C603" s="40">
        <v>733.0</v>
      </c>
      <c r="D603" s="40" t="s">
        <v>92</v>
      </c>
      <c r="E603" s="40" t="s">
        <v>26</v>
      </c>
      <c r="F603" s="197">
        <v>42241.0</v>
      </c>
      <c r="G603" s="197">
        <v>42619.0</v>
      </c>
      <c r="H603" s="197">
        <v>42799.0</v>
      </c>
      <c r="I603" s="197">
        <v>42799.0</v>
      </c>
      <c r="J603" s="196">
        <v>2.5</v>
      </c>
      <c r="K603" s="196">
        <v>1.33</v>
      </c>
      <c r="L603" s="196">
        <v>1.17</v>
      </c>
      <c r="M603" s="40">
        <v>1.0</v>
      </c>
      <c r="N603" s="196">
        <v>1.33</v>
      </c>
    </row>
    <row r="604">
      <c r="A604" s="40" t="s">
        <v>50</v>
      </c>
      <c r="B604" s="40"/>
      <c r="C604" s="40">
        <v>734.0</v>
      </c>
      <c r="D604" s="40" t="s">
        <v>93</v>
      </c>
      <c r="E604" s="40" t="s">
        <v>26</v>
      </c>
      <c r="F604" s="197">
        <v>42241.0</v>
      </c>
      <c r="G604" s="197">
        <v>42619.0</v>
      </c>
      <c r="H604" s="197">
        <v>42799.0</v>
      </c>
      <c r="I604" s="197">
        <v>42799.0</v>
      </c>
      <c r="J604" s="196">
        <v>2.5</v>
      </c>
      <c r="K604" s="196">
        <v>1.33</v>
      </c>
      <c r="L604" s="196">
        <v>1.17</v>
      </c>
      <c r="M604" s="40">
        <v>1.0</v>
      </c>
      <c r="N604" s="196">
        <v>1.33</v>
      </c>
    </row>
    <row r="605">
      <c r="A605" s="40" t="s">
        <v>50</v>
      </c>
      <c r="B605" s="40"/>
      <c r="C605" s="40">
        <v>735.0</v>
      </c>
      <c r="D605" s="40" t="s">
        <v>94</v>
      </c>
      <c r="E605" s="40" t="s">
        <v>26</v>
      </c>
      <c r="F605" s="197">
        <v>42241.0</v>
      </c>
      <c r="G605" s="197">
        <v>42619.0</v>
      </c>
      <c r="H605" s="197">
        <v>42799.0</v>
      </c>
      <c r="I605" s="197">
        <v>42799.0</v>
      </c>
      <c r="J605" s="196">
        <v>2.49</v>
      </c>
      <c r="K605" s="196">
        <v>1.34</v>
      </c>
      <c r="L605" s="196">
        <v>1.15</v>
      </c>
      <c r="M605" s="40">
        <v>1.0</v>
      </c>
      <c r="N605" s="196">
        <v>1.34</v>
      </c>
    </row>
    <row r="606">
      <c r="A606" s="40" t="s">
        <v>50</v>
      </c>
      <c r="B606" s="40" t="s">
        <v>437</v>
      </c>
      <c r="C606" s="40">
        <v>562.0</v>
      </c>
      <c r="D606" s="40" t="s">
        <v>1239</v>
      </c>
      <c r="E606" s="40" t="s">
        <v>26</v>
      </c>
      <c r="F606" s="197">
        <v>42388.0</v>
      </c>
      <c r="G606" s="197">
        <v>43069.0</v>
      </c>
      <c r="H606" s="197">
        <v>43069.0</v>
      </c>
      <c r="I606" s="197">
        <v>44999.0</v>
      </c>
      <c r="J606" s="196">
        <v>13.99</v>
      </c>
      <c r="K606" s="196">
        <v>4.99</v>
      </c>
      <c r="L606" s="196">
        <v>9.0</v>
      </c>
      <c r="M606" s="40">
        <v>3.0</v>
      </c>
      <c r="N606" s="196">
        <v>1.66</v>
      </c>
    </row>
    <row r="607">
      <c r="A607" s="40" t="s">
        <v>50</v>
      </c>
      <c r="B607" s="40"/>
      <c r="C607" s="40">
        <v>569.0</v>
      </c>
      <c r="D607" s="40" t="s">
        <v>1240</v>
      </c>
      <c r="E607" s="40" t="s">
        <v>26</v>
      </c>
      <c r="F607" s="197">
        <v>42472.0</v>
      </c>
      <c r="G607" s="197">
        <v>43633.0</v>
      </c>
      <c r="H607" s="197">
        <v>43633.0</v>
      </c>
      <c r="I607" s="197">
        <v>43633.0</v>
      </c>
      <c r="J607" s="196">
        <v>49.99</v>
      </c>
      <c r="K607" s="196">
        <v>11.99</v>
      </c>
      <c r="L607" s="196">
        <v>38.0</v>
      </c>
      <c r="M607" s="40">
        <v>1.0</v>
      </c>
      <c r="N607" s="196">
        <v>11.99</v>
      </c>
    </row>
    <row r="608">
      <c r="A608" s="40" t="s">
        <v>50</v>
      </c>
      <c r="B608" s="40"/>
      <c r="C608" s="40">
        <v>576.0</v>
      </c>
      <c r="D608" s="40" t="s">
        <v>95</v>
      </c>
      <c r="E608" s="40" t="s">
        <v>26</v>
      </c>
      <c r="F608" s="197">
        <v>42626.0</v>
      </c>
      <c r="G608" s="197">
        <v>43907.0</v>
      </c>
      <c r="H608" s="197">
        <v>43907.0</v>
      </c>
      <c r="I608" s="197">
        <v>43908.0</v>
      </c>
      <c r="J608" s="196">
        <v>19.99</v>
      </c>
      <c r="K608" s="196">
        <v>4.99</v>
      </c>
      <c r="L608" s="196">
        <v>15.0</v>
      </c>
      <c r="M608" s="40">
        <v>5.0</v>
      </c>
      <c r="N608" s="196">
        <v>1.0</v>
      </c>
    </row>
    <row r="609">
      <c r="A609" s="40" t="s">
        <v>50</v>
      </c>
      <c r="B609" s="40"/>
      <c r="C609" s="40">
        <v>629.0</v>
      </c>
      <c r="D609" s="40" t="s">
        <v>1241</v>
      </c>
      <c r="E609" s="40" t="s">
        <v>26</v>
      </c>
      <c r="F609" s="197">
        <v>42703.0</v>
      </c>
      <c r="G609" s="197">
        <v>44334.0</v>
      </c>
      <c r="H609" s="197">
        <v>44334.0</v>
      </c>
      <c r="I609" s="197">
        <v>44334.0</v>
      </c>
      <c r="J609" s="196">
        <v>34.99</v>
      </c>
      <c r="K609" s="196">
        <v>0.0</v>
      </c>
      <c r="L609" s="196">
        <v>34.99</v>
      </c>
      <c r="M609" s="40">
        <v>1.0</v>
      </c>
      <c r="N609" s="196">
        <v>0.0</v>
      </c>
    </row>
    <row r="610">
      <c r="A610" s="40" t="s">
        <v>50</v>
      </c>
      <c r="B610" s="40"/>
      <c r="C610" s="40">
        <v>915.0</v>
      </c>
      <c r="D610" s="40" t="s">
        <v>1242</v>
      </c>
      <c r="E610" s="40" t="s">
        <v>26</v>
      </c>
      <c r="F610" s="197">
        <v>42710.0</v>
      </c>
      <c r="G610" s="197">
        <v>44389.0</v>
      </c>
      <c r="H610" s="197">
        <v>44389.0</v>
      </c>
      <c r="I610" s="197">
        <v>44389.0</v>
      </c>
      <c r="J610" s="196">
        <v>34.99</v>
      </c>
      <c r="K610" s="196">
        <v>0.0</v>
      </c>
      <c r="L610" s="196">
        <v>34.99</v>
      </c>
      <c r="M610" s="40">
        <v>1.0</v>
      </c>
      <c r="N610" s="196">
        <v>0.0</v>
      </c>
    </row>
    <row r="611">
      <c r="A611" s="40" t="s">
        <v>50</v>
      </c>
      <c r="B611" s="40" t="s">
        <v>407</v>
      </c>
      <c r="C611" s="40">
        <v>820.0</v>
      </c>
      <c r="D611" s="40" t="s">
        <v>1243</v>
      </c>
      <c r="E611" s="40" t="s">
        <v>26</v>
      </c>
      <c r="F611" s="197">
        <v>42724.0</v>
      </c>
      <c r="G611" s="197">
        <v>42724.0</v>
      </c>
      <c r="H611" s="197">
        <v>42724.0</v>
      </c>
      <c r="I611" s="197">
        <v>42724.0</v>
      </c>
      <c r="J611" s="196">
        <v>20.99</v>
      </c>
      <c r="K611" s="196">
        <v>9.99</v>
      </c>
      <c r="L611" s="196">
        <v>11.0</v>
      </c>
      <c r="M611" s="40">
        <v>1.0</v>
      </c>
      <c r="N611" s="196">
        <v>9.99</v>
      </c>
    </row>
    <row r="612">
      <c r="A612" s="40" t="s">
        <v>50</v>
      </c>
      <c r="B612" s="40"/>
      <c r="C612" s="40">
        <v>807.0</v>
      </c>
      <c r="D612" s="40" t="s">
        <v>96</v>
      </c>
      <c r="E612" s="40" t="s">
        <v>26</v>
      </c>
      <c r="F612" s="197">
        <v>42759.0</v>
      </c>
      <c r="G612" s="197">
        <v>43466.0</v>
      </c>
      <c r="H612" s="197">
        <v>43469.0</v>
      </c>
      <c r="I612" s="197">
        <v>44499.0</v>
      </c>
      <c r="J612" s="196">
        <v>49.98</v>
      </c>
      <c r="K612" s="196">
        <v>26.98</v>
      </c>
      <c r="L612" s="196">
        <v>23.0</v>
      </c>
      <c r="M612" s="40">
        <v>16.0</v>
      </c>
      <c r="N612" s="196">
        <v>1.69</v>
      </c>
    </row>
    <row r="613">
      <c r="A613" s="40" t="s">
        <v>50</v>
      </c>
      <c r="B613" s="40"/>
      <c r="C613" s="40">
        <v>689.0</v>
      </c>
      <c r="D613" s="40" t="s">
        <v>1244</v>
      </c>
      <c r="E613" s="40" t="s">
        <v>26</v>
      </c>
      <c r="F613" s="197">
        <v>42759.0</v>
      </c>
      <c r="G613" s="197">
        <v>43786.0</v>
      </c>
      <c r="H613" s="197">
        <v>43786.0</v>
      </c>
      <c r="I613" s="197">
        <v>43786.0</v>
      </c>
      <c r="J613" s="196">
        <v>18.5</v>
      </c>
      <c r="K613" s="196">
        <v>6.05</v>
      </c>
      <c r="L613" s="196">
        <v>12.45</v>
      </c>
      <c r="M613" s="40">
        <v>1.0</v>
      </c>
      <c r="N613" s="196">
        <v>6.05</v>
      </c>
    </row>
    <row r="614">
      <c r="A614" s="40" t="s">
        <v>50</v>
      </c>
      <c r="B614" s="40"/>
      <c r="C614" s="40">
        <v>690.0</v>
      </c>
      <c r="D614" s="40" t="s">
        <v>1245</v>
      </c>
      <c r="E614" s="40" t="s">
        <v>26</v>
      </c>
      <c r="F614" s="197">
        <v>42759.0</v>
      </c>
      <c r="G614" s="197">
        <v>43786.0</v>
      </c>
      <c r="H614" s="197">
        <v>43786.0</v>
      </c>
      <c r="I614" s="197">
        <v>43786.0</v>
      </c>
      <c r="J614" s="196">
        <v>18.49</v>
      </c>
      <c r="K614" s="196">
        <v>6.05</v>
      </c>
      <c r="L614" s="196">
        <v>12.44</v>
      </c>
      <c r="M614" s="40">
        <v>1.0</v>
      </c>
      <c r="N614" s="196">
        <v>6.05</v>
      </c>
    </row>
    <row r="615">
      <c r="A615" s="225" t="s">
        <v>50</v>
      </c>
      <c r="B615" s="225"/>
      <c r="C615" s="225">
        <v>704.0</v>
      </c>
      <c r="D615" s="225" t="s">
        <v>1246</v>
      </c>
      <c r="E615" s="225" t="s">
        <v>26</v>
      </c>
      <c r="F615" s="226">
        <v>42759.0</v>
      </c>
      <c r="G615" s="226">
        <v>44474.0</v>
      </c>
      <c r="H615" s="226">
        <v>44501.0</v>
      </c>
      <c r="I615" s="226">
        <v>45582.0</v>
      </c>
      <c r="J615" s="227">
        <v>19.99</v>
      </c>
      <c r="K615" s="227">
        <v>8.99</v>
      </c>
      <c r="L615" s="196">
        <v>11.0</v>
      </c>
      <c r="M615" s="225">
        <v>198.0</v>
      </c>
      <c r="N615" s="196">
        <v>0.05</v>
      </c>
    </row>
    <row r="616">
      <c r="A616" s="225" t="s">
        <v>50</v>
      </c>
      <c r="B616" s="225"/>
      <c r="C616" s="225">
        <v>880.0</v>
      </c>
      <c r="D616" s="225" t="s">
        <v>97</v>
      </c>
      <c r="E616" s="225" t="s">
        <v>26</v>
      </c>
      <c r="F616" s="226">
        <v>42843.0</v>
      </c>
      <c r="G616" s="226">
        <v>44203.0</v>
      </c>
      <c r="H616" s="226">
        <v>44203.0</v>
      </c>
      <c r="I616" s="226">
        <v>44203.0</v>
      </c>
      <c r="J616" s="227">
        <v>3.33</v>
      </c>
      <c r="K616" s="227">
        <v>1.0</v>
      </c>
      <c r="L616" s="196">
        <v>2.33</v>
      </c>
      <c r="M616" s="225">
        <v>1.0</v>
      </c>
      <c r="N616" s="196">
        <v>1.0</v>
      </c>
    </row>
    <row r="617">
      <c r="A617" s="225" t="s">
        <v>50</v>
      </c>
      <c r="B617" s="225"/>
      <c r="C617" s="225">
        <v>570.0</v>
      </c>
      <c r="D617" s="225" t="s">
        <v>98</v>
      </c>
      <c r="E617" s="225" t="s">
        <v>26</v>
      </c>
      <c r="F617" s="226">
        <v>42843.0</v>
      </c>
      <c r="G617" s="226">
        <v>44203.0</v>
      </c>
      <c r="H617" s="226">
        <v>44203.0</v>
      </c>
      <c r="I617" s="226">
        <v>44203.0</v>
      </c>
      <c r="J617" s="227">
        <v>3.33</v>
      </c>
      <c r="K617" s="227">
        <v>0.99</v>
      </c>
      <c r="L617" s="196">
        <v>2.34</v>
      </c>
      <c r="M617" s="225">
        <v>1.0</v>
      </c>
      <c r="N617" s="196">
        <v>0.99</v>
      </c>
    </row>
    <row r="618">
      <c r="A618" s="225" t="s">
        <v>50</v>
      </c>
      <c r="B618" s="225"/>
      <c r="C618" s="225">
        <v>599.0</v>
      </c>
      <c r="D618" s="225" t="s">
        <v>99</v>
      </c>
      <c r="E618" s="225" t="s">
        <v>26</v>
      </c>
      <c r="F618" s="226">
        <v>42843.0</v>
      </c>
      <c r="G618" s="226">
        <v>44203.0</v>
      </c>
      <c r="H618" s="226">
        <v>44203.0</v>
      </c>
      <c r="I618" s="226">
        <v>44203.0</v>
      </c>
      <c r="J618" s="227">
        <v>3.34</v>
      </c>
      <c r="K618" s="227">
        <v>1.0</v>
      </c>
      <c r="L618" s="196">
        <v>2.34</v>
      </c>
      <c r="M618" s="225">
        <v>1.0</v>
      </c>
      <c r="N618" s="196">
        <v>1.0</v>
      </c>
    </row>
    <row r="619">
      <c r="A619" s="225" t="s">
        <v>50</v>
      </c>
      <c r="B619" s="225"/>
      <c r="C619" s="225">
        <v>600.0</v>
      </c>
      <c r="D619" s="225" t="s">
        <v>100</v>
      </c>
      <c r="E619" s="225" t="s">
        <v>26</v>
      </c>
      <c r="F619" s="226">
        <v>42843.0</v>
      </c>
      <c r="G619" s="226">
        <v>44203.0</v>
      </c>
      <c r="H619" s="226">
        <v>44203.0</v>
      </c>
      <c r="I619" s="226">
        <v>44203.0</v>
      </c>
      <c r="J619" s="227">
        <v>3.33</v>
      </c>
      <c r="K619" s="227">
        <v>0.5</v>
      </c>
      <c r="L619" s="196">
        <v>2.83</v>
      </c>
      <c r="M619" s="225">
        <v>1.0</v>
      </c>
      <c r="N619" s="196">
        <v>0.5</v>
      </c>
    </row>
    <row r="620">
      <c r="A620" s="225" t="s">
        <v>50</v>
      </c>
      <c r="B620" s="225"/>
      <c r="C620" s="225">
        <v>547.0</v>
      </c>
      <c r="D620" s="225" t="s">
        <v>101</v>
      </c>
      <c r="E620" s="225" t="s">
        <v>26</v>
      </c>
      <c r="F620" s="226">
        <v>42843.0</v>
      </c>
      <c r="G620" s="226">
        <v>44203.0</v>
      </c>
      <c r="H620" s="226">
        <v>44203.0</v>
      </c>
      <c r="I620" s="226">
        <v>44203.0</v>
      </c>
      <c r="J620" s="227">
        <v>3.33</v>
      </c>
      <c r="K620" s="227">
        <v>1.0</v>
      </c>
      <c r="L620" s="196">
        <v>2.33</v>
      </c>
      <c r="M620" s="225">
        <v>1.0</v>
      </c>
      <c r="N620" s="196">
        <v>1.0</v>
      </c>
    </row>
    <row r="621">
      <c r="A621" s="225" t="s">
        <v>50</v>
      </c>
      <c r="B621" s="225"/>
      <c r="C621" s="225">
        <v>548.0</v>
      </c>
      <c r="D621" s="225" t="s">
        <v>102</v>
      </c>
      <c r="E621" s="225" t="s">
        <v>26</v>
      </c>
      <c r="F621" s="226">
        <v>42843.0</v>
      </c>
      <c r="G621" s="226">
        <v>44203.0</v>
      </c>
      <c r="H621" s="226">
        <v>44203.0</v>
      </c>
      <c r="I621" s="226">
        <v>44203.0</v>
      </c>
      <c r="J621" s="227">
        <v>3.33</v>
      </c>
      <c r="K621" s="227">
        <v>0.5</v>
      </c>
      <c r="L621" s="196">
        <v>2.83</v>
      </c>
      <c r="M621" s="225">
        <v>1.0</v>
      </c>
      <c r="N621" s="196">
        <v>0.5</v>
      </c>
    </row>
    <row r="622">
      <c r="A622" s="225" t="s">
        <v>50</v>
      </c>
      <c r="B622" s="225"/>
      <c r="C622" s="225">
        <v>897.0</v>
      </c>
      <c r="D622" s="225" t="s">
        <v>1247</v>
      </c>
      <c r="E622" s="225" t="s">
        <v>26</v>
      </c>
      <c r="F622" s="226">
        <v>42888.0</v>
      </c>
      <c r="G622" s="226">
        <v>43410.0</v>
      </c>
      <c r="H622" s="226">
        <v>43412.0</v>
      </c>
      <c r="I622" s="226">
        <v>44387.0</v>
      </c>
      <c r="J622" s="227">
        <v>74.98</v>
      </c>
      <c r="K622" s="227">
        <v>29.98</v>
      </c>
      <c r="L622" s="196">
        <v>45.0</v>
      </c>
      <c r="M622" s="225">
        <v>2.0</v>
      </c>
      <c r="N622" s="196">
        <v>14.99</v>
      </c>
    </row>
    <row r="623">
      <c r="A623" s="225" t="s">
        <v>50</v>
      </c>
      <c r="B623" s="225"/>
      <c r="C623" s="225">
        <v>736.0</v>
      </c>
      <c r="D623" s="225" t="s">
        <v>103</v>
      </c>
      <c r="E623" s="225" t="s">
        <v>26</v>
      </c>
      <c r="F623" s="226">
        <v>42955.0</v>
      </c>
      <c r="G623" s="226">
        <v>43091.0</v>
      </c>
      <c r="H623" s="226">
        <v>43135.0</v>
      </c>
      <c r="I623" s="226">
        <v>43144.0</v>
      </c>
      <c r="J623" s="227">
        <v>3.75</v>
      </c>
      <c r="K623" s="227">
        <v>2.0</v>
      </c>
      <c r="L623" s="196">
        <v>1.75</v>
      </c>
      <c r="M623" s="225">
        <v>3.0</v>
      </c>
      <c r="N623" s="196">
        <v>0.67</v>
      </c>
    </row>
    <row r="624">
      <c r="A624" s="225" t="s">
        <v>50</v>
      </c>
      <c r="B624" s="225"/>
      <c r="C624" s="225">
        <v>737.0</v>
      </c>
      <c r="D624" s="225" t="s">
        <v>104</v>
      </c>
      <c r="E624" s="225" t="s">
        <v>26</v>
      </c>
      <c r="F624" s="226">
        <v>42955.0</v>
      </c>
      <c r="G624" s="226">
        <v>43091.0</v>
      </c>
      <c r="H624" s="226">
        <v>43135.0</v>
      </c>
      <c r="I624" s="226">
        <v>43144.0</v>
      </c>
      <c r="J624" s="227">
        <v>3.75</v>
      </c>
      <c r="K624" s="227">
        <v>2.0</v>
      </c>
      <c r="L624" s="196">
        <v>1.75</v>
      </c>
      <c r="M624" s="225">
        <v>2.0</v>
      </c>
      <c r="N624" s="196">
        <v>1.0</v>
      </c>
    </row>
    <row r="625">
      <c r="A625" s="225" t="s">
        <v>50</v>
      </c>
      <c r="B625" s="225"/>
      <c r="C625" s="225">
        <v>738.0</v>
      </c>
      <c r="D625" s="225" t="s">
        <v>105</v>
      </c>
      <c r="E625" s="225" t="s">
        <v>26</v>
      </c>
      <c r="F625" s="226">
        <v>42955.0</v>
      </c>
      <c r="G625" s="226">
        <v>43091.0</v>
      </c>
      <c r="H625" s="226">
        <v>43135.0</v>
      </c>
      <c r="I625" s="226">
        <v>43144.0</v>
      </c>
      <c r="J625" s="227">
        <v>3.75</v>
      </c>
      <c r="K625" s="227">
        <v>2.0</v>
      </c>
      <c r="L625" s="196">
        <v>1.75</v>
      </c>
      <c r="M625" s="225">
        <v>2.0</v>
      </c>
      <c r="N625" s="196">
        <v>1.0</v>
      </c>
    </row>
    <row r="626">
      <c r="A626" s="225" t="s">
        <v>50</v>
      </c>
      <c r="B626" s="225"/>
      <c r="C626" s="225">
        <v>739.0</v>
      </c>
      <c r="D626" s="225" t="s">
        <v>106</v>
      </c>
      <c r="E626" s="225" t="s">
        <v>26</v>
      </c>
      <c r="F626" s="226">
        <v>42955.0</v>
      </c>
      <c r="G626" s="226">
        <v>43091.0</v>
      </c>
      <c r="H626" s="226">
        <v>43135.0</v>
      </c>
      <c r="I626" s="226">
        <v>43144.0</v>
      </c>
      <c r="J626" s="227">
        <v>3.74</v>
      </c>
      <c r="K626" s="227">
        <v>1.99</v>
      </c>
      <c r="L626" s="196">
        <v>1.75</v>
      </c>
      <c r="M626" s="225">
        <v>2.0</v>
      </c>
      <c r="N626" s="196">
        <v>1.0</v>
      </c>
    </row>
    <row r="627">
      <c r="A627" s="40" t="s">
        <v>50</v>
      </c>
      <c r="B627" s="40"/>
      <c r="C627" s="40">
        <v>705.0</v>
      </c>
      <c r="D627" s="40" t="s">
        <v>1248</v>
      </c>
      <c r="E627" s="40" t="s">
        <v>26</v>
      </c>
      <c r="F627" s="197">
        <v>42976.0</v>
      </c>
      <c r="G627" s="197">
        <v>44474.0</v>
      </c>
      <c r="H627" s="197">
        <v>44571.0</v>
      </c>
      <c r="I627" s="197">
        <v>45601.0</v>
      </c>
      <c r="J627" s="196">
        <v>19.99</v>
      </c>
      <c r="K627" s="196">
        <v>7.99</v>
      </c>
      <c r="L627" s="196">
        <v>12.0</v>
      </c>
      <c r="M627" s="40">
        <v>119.0</v>
      </c>
      <c r="N627" s="196">
        <v>0.07</v>
      </c>
    </row>
    <row r="628">
      <c r="A628" s="40" t="s">
        <v>50</v>
      </c>
      <c r="B628" s="40"/>
      <c r="C628" s="40">
        <v>610.0</v>
      </c>
      <c r="D628" s="40" t="s">
        <v>1249</v>
      </c>
      <c r="E628" s="40" t="s">
        <v>26</v>
      </c>
      <c r="F628" s="197">
        <v>42977.0</v>
      </c>
      <c r="G628" s="197">
        <v>43124.0</v>
      </c>
      <c r="H628" s="197">
        <v>43125.0</v>
      </c>
      <c r="I628" s="197">
        <v>43415.0</v>
      </c>
      <c r="J628" s="196">
        <v>75.93</v>
      </c>
      <c r="K628" s="196">
        <v>55.93</v>
      </c>
      <c r="L628" s="196">
        <v>20.0</v>
      </c>
      <c r="M628" s="40">
        <v>33.0</v>
      </c>
      <c r="N628" s="196">
        <v>1.69</v>
      </c>
    </row>
    <row r="629">
      <c r="A629" s="40" t="s">
        <v>50</v>
      </c>
      <c r="B629" s="40"/>
      <c r="C629" s="40">
        <v>694.0</v>
      </c>
      <c r="D629" s="40" t="s">
        <v>1250</v>
      </c>
      <c r="E629" s="40" t="s">
        <v>26</v>
      </c>
      <c r="F629" s="197">
        <v>42984.0</v>
      </c>
      <c r="G629" s="197">
        <v>44581.0</v>
      </c>
      <c r="H629" s="197">
        <v>44899.0</v>
      </c>
      <c r="I629" s="197">
        <v>44903.0</v>
      </c>
      <c r="J629" s="196">
        <v>39.99</v>
      </c>
      <c r="K629" s="196">
        <v>13.99</v>
      </c>
      <c r="L629" s="196">
        <v>26.0</v>
      </c>
      <c r="M629" s="40">
        <v>20.0</v>
      </c>
      <c r="N629" s="196">
        <v>0.7</v>
      </c>
    </row>
    <row r="630">
      <c r="A630" s="40" t="s">
        <v>50</v>
      </c>
      <c r="B630" s="40"/>
      <c r="C630" s="40">
        <v>754.0</v>
      </c>
      <c r="D630" s="40" t="s">
        <v>107</v>
      </c>
      <c r="E630" s="40" t="s">
        <v>26</v>
      </c>
      <c r="F630" s="197">
        <v>43126.0</v>
      </c>
      <c r="G630" s="197">
        <v>44334.0</v>
      </c>
      <c r="H630" s="197">
        <v>44669.0</v>
      </c>
      <c r="I630" s="197">
        <v>44672.0</v>
      </c>
      <c r="J630" s="196">
        <v>19.99</v>
      </c>
      <c r="K630" s="196">
        <v>0.0</v>
      </c>
      <c r="L630" s="196">
        <v>19.99</v>
      </c>
      <c r="M630" s="40">
        <v>2.0</v>
      </c>
      <c r="N630" s="196">
        <v>0.0</v>
      </c>
    </row>
    <row r="631">
      <c r="A631" s="40" t="s">
        <v>50</v>
      </c>
      <c r="B631" s="40"/>
      <c r="C631" s="40">
        <v>768.0</v>
      </c>
      <c r="D631" s="40" t="s">
        <v>1251</v>
      </c>
      <c r="E631" s="40" t="s">
        <v>26</v>
      </c>
      <c r="F631" s="197">
        <v>43182.0</v>
      </c>
      <c r="G631" s="197">
        <v>45177.0</v>
      </c>
      <c r="H631" s="197">
        <v>45177.0</v>
      </c>
      <c r="I631" s="197">
        <v>45177.0</v>
      </c>
      <c r="J631" s="196">
        <v>69.99</v>
      </c>
      <c r="K631" s="196">
        <v>0.0</v>
      </c>
      <c r="L631" s="196">
        <v>69.99</v>
      </c>
      <c r="M631" s="40">
        <v>1.0</v>
      </c>
      <c r="N631" s="196">
        <v>0.0</v>
      </c>
    </row>
    <row r="632">
      <c r="A632" s="40" t="s">
        <v>50</v>
      </c>
      <c r="B632" s="40"/>
      <c r="C632" s="40">
        <v>707.0</v>
      </c>
      <c r="D632" s="40" t="s">
        <v>1252</v>
      </c>
      <c r="E632" s="40" t="s">
        <v>26</v>
      </c>
      <c r="F632" s="197">
        <v>43207.0</v>
      </c>
      <c r="G632" s="197">
        <v>44474.0</v>
      </c>
      <c r="H632" s="197">
        <v>44656.0</v>
      </c>
      <c r="I632" s="197">
        <v>44662.0</v>
      </c>
      <c r="J632" s="196">
        <v>19.99</v>
      </c>
      <c r="K632" s="196">
        <v>8.99</v>
      </c>
      <c r="L632" s="196">
        <v>11.0</v>
      </c>
      <c r="M632" s="40">
        <v>42.0</v>
      </c>
      <c r="N632" s="196">
        <v>0.21</v>
      </c>
    </row>
    <row r="633">
      <c r="A633" s="40" t="s">
        <v>50</v>
      </c>
      <c r="B633" s="40"/>
      <c r="C633" s="40">
        <v>863.0</v>
      </c>
      <c r="D633" s="40" t="s">
        <v>108</v>
      </c>
      <c r="E633" s="40" t="s">
        <v>26</v>
      </c>
      <c r="F633" s="197">
        <v>43249.0</v>
      </c>
      <c r="G633" s="197">
        <v>43249.0</v>
      </c>
      <c r="H633" s="197">
        <v>43249.0</v>
      </c>
      <c r="I633" s="197">
        <v>43249.0</v>
      </c>
      <c r="J633" s="196">
        <v>3.34</v>
      </c>
      <c r="K633" s="196">
        <v>1.24</v>
      </c>
      <c r="L633" s="196">
        <v>2.1</v>
      </c>
      <c r="M633" s="40">
        <v>1.0</v>
      </c>
      <c r="N633" s="196">
        <v>1.24</v>
      </c>
    </row>
    <row r="634">
      <c r="A634" s="40" t="s">
        <v>50</v>
      </c>
      <c r="B634" s="40"/>
      <c r="C634" s="40">
        <v>864.0</v>
      </c>
      <c r="D634" s="40" t="s">
        <v>109</v>
      </c>
      <c r="E634" s="40" t="s">
        <v>26</v>
      </c>
      <c r="F634" s="197">
        <v>43249.0</v>
      </c>
      <c r="G634" s="197">
        <v>43249.0</v>
      </c>
      <c r="H634" s="197">
        <v>43249.0</v>
      </c>
      <c r="I634" s="197">
        <v>43249.0</v>
      </c>
      <c r="J634" s="196">
        <v>3.34</v>
      </c>
      <c r="K634" s="196">
        <v>1.24</v>
      </c>
      <c r="L634" s="196">
        <v>2.1</v>
      </c>
      <c r="M634" s="40">
        <v>1.0</v>
      </c>
      <c r="N634" s="196">
        <v>1.24</v>
      </c>
    </row>
    <row r="635">
      <c r="A635" s="40" t="s">
        <v>50</v>
      </c>
      <c r="B635" s="40"/>
      <c r="C635" s="40">
        <v>865.0</v>
      </c>
      <c r="D635" s="40" t="s">
        <v>110</v>
      </c>
      <c r="E635" s="40" t="s">
        <v>26</v>
      </c>
      <c r="F635" s="197">
        <v>43249.0</v>
      </c>
      <c r="G635" s="197">
        <v>43249.0</v>
      </c>
      <c r="H635" s="197">
        <v>43249.0</v>
      </c>
      <c r="I635" s="197">
        <v>43249.0</v>
      </c>
      <c r="J635" s="196">
        <v>3.34</v>
      </c>
      <c r="K635" s="196">
        <v>1.24</v>
      </c>
      <c r="L635" s="196">
        <v>2.1</v>
      </c>
      <c r="M635" s="40">
        <v>1.0</v>
      </c>
      <c r="N635" s="196">
        <v>1.24</v>
      </c>
    </row>
    <row r="636">
      <c r="A636" s="40" t="s">
        <v>50</v>
      </c>
      <c r="B636" s="40"/>
      <c r="C636" s="40">
        <v>866.0</v>
      </c>
      <c r="D636" s="40" t="s">
        <v>111</v>
      </c>
      <c r="E636" s="40" t="s">
        <v>26</v>
      </c>
      <c r="F636" s="197">
        <v>43249.0</v>
      </c>
      <c r="G636" s="197">
        <v>43249.0</v>
      </c>
      <c r="H636" s="197">
        <v>43249.0</v>
      </c>
      <c r="I636" s="197">
        <v>43249.0</v>
      </c>
      <c r="J636" s="196">
        <v>3.33</v>
      </c>
      <c r="K636" s="196">
        <v>1.23</v>
      </c>
      <c r="L636" s="196">
        <v>2.1</v>
      </c>
      <c r="M636" s="40">
        <v>1.0</v>
      </c>
      <c r="N636" s="196">
        <v>1.23</v>
      </c>
    </row>
    <row r="637">
      <c r="A637" s="40" t="s">
        <v>50</v>
      </c>
      <c r="B637" s="40"/>
      <c r="C637" s="40">
        <v>867.0</v>
      </c>
      <c r="D637" s="40" t="s">
        <v>112</v>
      </c>
      <c r="E637" s="40" t="s">
        <v>26</v>
      </c>
      <c r="F637" s="197">
        <v>43249.0</v>
      </c>
      <c r="G637" s="197">
        <v>43249.0</v>
      </c>
      <c r="H637" s="197">
        <v>43249.0</v>
      </c>
      <c r="I637" s="197">
        <v>43249.0</v>
      </c>
      <c r="J637" s="196">
        <v>3.33</v>
      </c>
      <c r="K637" s="196">
        <v>1.23</v>
      </c>
      <c r="L637" s="196">
        <v>2.1</v>
      </c>
      <c r="M637" s="40">
        <v>1.0</v>
      </c>
      <c r="N637" s="196">
        <v>1.23</v>
      </c>
    </row>
    <row r="638">
      <c r="A638" s="40" t="s">
        <v>50</v>
      </c>
      <c r="B638" s="40"/>
      <c r="C638" s="40">
        <v>868.0</v>
      </c>
      <c r="D638" s="40" t="s">
        <v>113</v>
      </c>
      <c r="E638" s="40" t="s">
        <v>26</v>
      </c>
      <c r="F638" s="197">
        <v>43249.0</v>
      </c>
      <c r="G638" s="197">
        <v>43249.0</v>
      </c>
      <c r="H638" s="197">
        <v>43249.0</v>
      </c>
      <c r="I638" s="197">
        <v>43249.0</v>
      </c>
      <c r="J638" s="196">
        <v>3.33</v>
      </c>
      <c r="K638" s="196">
        <v>1.23</v>
      </c>
      <c r="L638" s="196">
        <v>2.1</v>
      </c>
      <c r="M638" s="40">
        <v>1.0</v>
      </c>
      <c r="N638" s="196">
        <v>1.23</v>
      </c>
    </row>
    <row r="639">
      <c r="A639" s="40" t="s">
        <v>50</v>
      </c>
      <c r="B639" s="40"/>
      <c r="C639" s="40">
        <v>869.0</v>
      </c>
      <c r="D639" s="40" t="s">
        <v>114</v>
      </c>
      <c r="E639" s="40" t="s">
        <v>26</v>
      </c>
      <c r="F639" s="197">
        <v>43249.0</v>
      </c>
      <c r="G639" s="197">
        <v>43249.0</v>
      </c>
      <c r="H639" s="197">
        <v>43249.0</v>
      </c>
      <c r="I639" s="197">
        <v>43249.0</v>
      </c>
      <c r="J639" s="196">
        <v>3.33</v>
      </c>
      <c r="K639" s="196">
        <v>1.23</v>
      </c>
      <c r="L639" s="196">
        <v>2.1</v>
      </c>
      <c r="M639" s="40">
        <v>1.0</v>
      </c>
      <c r="N639" s="196">
        <v>1.23</v>
      </c>
    </row>
    <row r="640">
      <c r="A640" s="40" t="s">
        <v>50</v>
      </c>
      <c r="B640" s="40"/>
      <c r="C640" s="40">
        <v>870.0</v>
      </c>
      <c r="D640" s="40" t="s">
        <v>115</v>
      </c>
      <c r="E640" s="40" t="s">
        <v>26</v>
      </c>
      <c r="F640" s="197">
        <v>43249.0</v>
      </c>
      <c r="G640" s="197">
        <v>43249.0</v>
      </c>
      <c r="H640" s="197">
        <v>43249.0</v>
      </c>
      <c r="I640" s="197">
        <v>43249.0</v>
      </c>
      <c r="J640" s="196">
        <v>3.33</v>
      </c>
      <c r="K640" s="196">
        <v>1.23</v>
      </c>
      <c r="L640" s="196">
        <v>2.1</v>
      </c>
      <c r="M640" s="40">
        <v>1.0</v>
      </c>
      <c r="N640" s="196">
        <v>1.23</v>
      </c>
    </row>
    <row r="641">
      <c r="A641" s="40" t="s">
        <v>50</v>
      </c>
      <c r="B641" s="40"/>
      <c r="C641" s="40">
        <v>740.0</v>
      </c>
      <c r="D641" s="40" t="s">
        <v>116</v>
      </c>
      <c r="E641" s="40" t="s">
        <v>26</v>
      </c>
      <c r="F641" s="197">
        <v>43305.0</v>
      </c>
      <c r="G641" s="197">
        <v>43668.0</v>
      </c>
      <c r="H641" s="197">
        <v>43668.0</v>
      </c>
      <c r="I641" s="197">
        <v>43668.0</v>
      </c>
      <c r="J641" s="43">
        <v>5.0</v>
      </c>
      <c r="K641" s="43">
        <v>3.0</v>
      </c>
      <c r="L641" s="196">
        <v>2.0</v>
      </c>
      <c r="M641" s="40">
        <v>1.0</v>
      </c>
      <c r="N641" s="196">
        <v>3.0</v>
      </c>
    </row>
    <row r="642">
      <c r="A642" s="40" t="s">
        <v>50</v>
      </c>
      <c r="B642" s="40"/>
      <c r="C642" s="40">
        <v>741.0</v>
      </c>
      <c r="D642" s="40" t="s">
        <v>117</v>
      </c>
      <c r="E642" s="40" t="s">
        <v>26</v>
      </c>
      <c r="F642" s="197">
        <v>43305.0</v>
      </c>
      <c r="G642" s="197">
        <v>43668.0</v>
      </c>
      <c r="H642" s="197">
        <v>43668.0</v>
      </c>
      <c r="I642" s="197">
        <v>43668.0</v>
      </c>
      <c r="J642" s="196">
        <v>5.0</v>
      </c>
      <c r="K642" s="196">
        <v>3.0</v>
      </c>
      <c r="L642" s="196">
        <v>2.0</v>
      </c>
      <c r="M642" s="40">
        <v>1.0</v>
      </c>
      <c r="N642" s="196">
        <v>3.0</v>
      </c>
    </row>
    <row r="643">
      <c r="A643" s="40" t="s">
        <v>50</v>
      </c>
      <c r="B643" s="40"/>
      <c r="C643" s="40">
        <v>742.0</v>
      </c>
      <c r="D643" s="40" t="s">
        <v>118</v>
      </c>
      <c r="E643" s="40" t="s">
        <v>26</v>
      </c>
      <c r="F643" s="197">
        <v>43305.0</v>
      </c>
      <c r="G643" s="197">
        <v>43668.0</v>
      </c>
      <c r="H643" s="197">
        <v>43668.0</v>
      </c>
      <c r="I643" s="197">
        <v>43668.0</v>
      </c>
      <c r="J643" s="196">
        <v>5.0</v>
      </c>
      <c r="K643" s="196">
        <v>3.0</v>
      </c>
      <c r="L643" s="196">
        <v>2.0</v>
      </c>
      <c r="M643" s="40">
        <v>1.0</v>
      </c>
      <c r="N643" s="196">
        <v>3.0</v>
      </c>
    </row>
    <row r="644">
      <c r="A644" s="40" t="s">
        <v>50</v>
      </c>
      <c r="B644" s="40"/>
      <c r="C644" s="40">
        <v>743.0</v>
      </c>
      <c r="D644" s="40" t="s">
        <v>119</v>
      </c>
      <c r="E644" s="40" t="s">
        <v>26</v>
      </c>
      <c r="F644" s="197">
        <v>43305.0</v>
      </c>
      <c r="G644" s="197">
        <v>43668.0</v>
      </c>
      <c r="H644" s="197">
        <v>43668.0</v>
      </c>
      <c r="I644" s="197">
        <v>43668.0</v>
      </c>
      <c r="J644" s="196">
        <v>4.99</v>
      </c>
      <c r="K644" s="196">
        <v>2.99</v>
      </c>
      <c r="L644" s="196">
        <v>2.0</v>
      </c>
      <c r="M644" s="40">
        <v>1.0</v>
      </c>
      <c r="N644" s="196">
        <v>2.99</v>
      </c>
    </row>
    <row r="645">
      <c r="A645" s="40" t="s">
        <v>50</v>
      </c>
      <c r="B645" s="40"/>
      <c r="C645" s="40">
        <v>744.0</v>
      </c>
      <c r="D645" s="40" t="s">
        <v>120</v>
      </c>
      <c r="E645" s="40" t="s">
        <v>26</v>
      </c>
      <c r="F645" s="197">
        <v>43305.0</v>
      </c>
      <c r="G645" s="197">
        <v>43668.0</v>
      </c>
      <c r="H645" s="197">
        <v>43668.0</v>
      </c>
      <c r="I645" s="197">
        <v>43668.0</v>
      </c>
      <c r="J645" s="43">
        <v>5.0</v>
      </c>
      <c r="K645" s="43">
        <v>3.0</v>
      </c>
      <c r="L645" s="196">
        <v>2.0</v>
      </c>
      <c r="M645" s="40">
        <v>1.0</v>
      </c>
      <c r="N645" s="196">
        <v>3.0</v>
      </c>
    </row>
    <row r="646">
      <c r="A646" s="40" t="s">
        <v>50</v>
      </c>
      <c r="B646" s="40"/>
      <c r="C646" s="40">
        <v>745.0</v>
      </c>
      <c r="D646" s="40" t="s">
        <v>121</v>
      </c>
      <c r="E646" s="40" t="s">
        <v>26</v>
      </c>
      <c r="F646" s="197">
        <v>43305.0</v>
      </c>
      <c r="G646" s="197">
        <v>43668.0</v>
      </c>
      <c r="H646" s="197">
        <v>43668.0</v>
      </c>
      <c r="I646" s="197">
        <v>43668.0</v>
      </c>
      <c r="J646" s="196">
        <v>5.0</v>
      </c>
      <c r="K646" s="196">
        <v>3.0</v>
      </c>
      <c r="L646" s="196">
        <v>2.0</v>
      </c>
      <c r="M646" s="40">
        <v>1.0</v>
      </c>
      <c r="N646" s="196">
        <v>3.0</v>
      </c>
    </row>
    <row r="647">
      <c r="A647" s="40" t="s">
        <v>50</v>
      </c>
      <c r="B647" s="40"/>
      <c r="C647" s="40">
        <v>746.0</v>
      </c>
      <c r="D647" s="40" t="s">
        <v>122</v>
      </c>
      <c r="E647" s="40" t="s">
        <v>26</v>
      </c>
      <c r="F647" s="197">
        <v>43305.0</v>
      </c>
      <c r="G647" s="197">
        <v>43668.0</v>
      </c>
      <c r="H647" s="197">
        <v>43668.0</v>
      </c>
      <c r="I647" s="197">
        <v>43668.0</v>
      </c>
      <c r="J647" s="196">
        <v>5.0</v>
      </c>
      <c r="K647" s="196">
        <v>3.0</v>
      </c>
      <c r="L647" s="196">
        <v>2.0</v>
      </c>
      <c r="M647" s="40">
        <v>1.0</v>
      </c>
      <c r="N647" s="196">
        <v>3.0</v>
      </c>
    </row>
    <row r="648">
      <c r="A648" s="40" t="s">
        <v>50</v>
      </c>
      <c r="B648" s="40"/>
      <c r="C648" s="40">
        <v>747.0</v>
      </c>
      <c r="D648" s="40" t="s">
        <v>123</v>
      </c>
      <c r="E648" s="40" t="s">
        <v>26</v>
      </c>
      <c r="F648" s="197">
        <v>43305.0</v>
      </c>
      <c r="G648" s="197">
        <v>43668.0</v>
      </c>
      <c r="H648" s="197">
        <v>43668.0</v>
      </c>
      <c r="I648" s="197">
        <v>43668.0</v>
      </c>
      <c r="J648" s="196">
        <v>4.99</v>
      </c>
      <c r="K648" s="196">
        <v>2.99</v>
      </c>
      <c r="L648" s="196">
        <v>2.0</v>
      </c>
      <c r="M648" s="40">
        <v>1.0</v>
      </c>
      <c r="N648" s="196">
        <v>2.99</v>
      </c>
    </row>
    <row r="649">
      <c r="A649" s="198" t="s">
        <v>50</v>
      </c>
      <c r="B649" s="201"/>
      <c r="C649" s="228">
        <v>1096.0</v>
      </c>
      <c r="D649" s="201" t="s">
        <v>1253</v>
      </c>
      <c r="E649" s="201" t="s">
        <v>26</v>
      </c>
      <c r="F649" s="202">
        <v>43333.0</v>
      </c>
      <c r="G649" s="202">
        <v>45999.0</v>
      </c>
      <c r="H649" s="202">
        <v>45999.0</v>
      </c>
      <c r="I649" s="202">
        <v>45999.0</v>
      </c>
      <c r="J649" s="198">
        <v>17.5</v>
      </c>
      <c r="K649" s="198">
        <v>2.62</v>
      </c>
      <c r="L649" s="198">
        <f t="shared" ref="L649:L650" si="52">J649-K649</f>
        <v>14.88</v>
      </c>
      <c r="M649" s="199">
        <v>1.0</v>
      </c>
      <c r="N649" s="198">
        <f t="shared" ref="N649:N650" si="53">K649/M649</f>
        <v>2.62</v>
      </c>
    </row>
    <row r="650">
      <c r="A650" s="203" t="s">
        <v>50</v>
      </c>
      <c r="B650" s="206"/>
      <c r="C650" s="229">
        <v>1097.0</v>
      </c>
      <c r="D650" s="206" t="s">
        <v>1254</v>
      </c>
      <c r="E650" s="206" t="s">
        <v>26</v>
      </c>
      <c r="F650" s="207">
        <v>43333.0</v>
      </c>
      <c r="G650" s="207">
        <v>45999.0</v>
      </c>
      <c r="H650" s="207">
        <v>45999.0</v>
      </c>
      <c r="I650" s="207">
        <v>45999.0</v>
      </c>
      <c r="J650" s="203">
        <v>17.49</v>
      </c>
      <c r="K650" s="203">
        <v>2.62</v>
      </c>
      <c r="L650" s="203">
        <f t="shared" si="52"/>
        <v>14.87</v>
      </c>
      <c r="M650" s="204">
        <v>1.0</v>
      </c>
      <c r="N650" s="203">
        <f t="shared" si="53"/>
        <v>2.62</v>
      </c>
    </row>
    <row r="651">
      <c r="A651" s="40" t="s">
        <v>50</v>
      </c>
      <c r="B651" s="40"/>
      <c r="C651" s="40">
        <v>706.0</v>
      </c>
      <c r="D651" s="40" t="s">
        <v>1255</v>
      </c>
      <c r="E651" s="40" t="s">
        <v>26</v>
      </c>
      <c r="F651" s="197">
        <v>43340.0</v>
      </c>
      <c r="G651" s="197">
        <v>44474.0</v>
      </c>
      <c r="H651" s="197">
        <v>44576.0</v>
      </c>
      <c r="I651" s="197">
        <v>45616.0</v>
      </c>
      <c r="J651" s="196">
        <v>19.99</v>
      </c>
      <c r="K651" s="196">
        <v>6.99</v>
      </c>
      <c r="L651" s="196">
        <v>13.0</v>
      </c>
      <c r="M651" s="40">
        <v>174.0</v>
      </c>
      <c r="N651" s="196">
        <v>0.04</v>
      </c>
    </row>
    <row r="652">
      <c r="A652" s="40" t="s">
        <v>50</v>
      </c>
      <c r="B652" s="40"/>
      <c r="C652" s="40">
        <v>847.0</v>
      </c>
      <c r="D652" s="40" t="s">
        <v>1256</v>
      </c>
      <c r="E652" s="40" t="s">
        <v>26</v>
      </c>
      <c r="F652" s="197">
        <v>43392.0</v>
      </c>
      <c r="G652" s="197">
        <v>43392.0</v>
      </c>
      <c r="H652" s="197">
        <v>43392.0</v>
      </c>
      <c r="I652" s="197">
        <v>43392.0</v>
      </c>
      <c r="J652" s="196">
        <v>99.99</v>
      </c>
      <c r="K652" s="196">
        <v>99.99</v>
      </c>
      <c r="L652" s="196">
        <v>0.0</v>
      </c>
      <c r="M652" s="40">
        <v>1.0</v>
      </c>
      <c r="N652" s="196">
        <v>99.99</v>
      </c>
    </row>
    <row r="653">
      <c r="A653" s="40" t="s">
        <v>50</v>
      </c>
      <c r="B653" s="40" t="s">
        <v>423</v>
      </c>
      <c r="C653" s="40">
        <v>903.0</v>
      </c>
      <c r="D653" s="43" t="s">
        <v>1257</v>
      </c>
      <c r="E653" s="43" t="s">
        <v>26</v>
      </c>
      <c r="F653" s="197">
        <v>43413.0</v>
      </c>
      <c r="G653" s="197">
        <v>43475.0</v>
      </c>
      <c r="H653" s="197">
        <v>43476.0</v>
      </c>
      <c r="I653" s="197">
        <v>44528.0</v>
      </c>
      <c r="J653" s="43">
        <v>39.99</v>
      </c>
      <c r="K653" s="43">
        <v>39.99</v>
      </c>
      <c r="L653" s="196">
        <v>0.0</v>
      </c>
      <c r="M653" s="40">
        <v>14.0</v>
      </c>
      <c r="N653" s="196">
        <v>2.86</v>
      </c>
    </row>
    <row r="654">
      <c r="A654" s="40" t="s">
        <v>50</v>
      </c>
      <c r="B654" s="40"/>
      <c r="C654" s="40">
        <v>808.0</v>
      </c>
      <c r="D654" s="40" t="s">
        <v>124</v>
      </c>
      <c r="E654" s="40" t="s">
        <v>26</v>
      </c>
      <c r="F654" s="197">
        <v>43490.0</v>
      </c>
      <c r="G654" s="197">
        <v>43490.0</v>
      </c>
      <c r="H654" s="197">
        <v>43491.0</v>
      </c>
      <c r="I654" s="197">
        <v>43505.0</v>
      </c>
      <c r="J654" s="196">
        <v>59.99</v>
      </c>
      <c r="K654" s="196">
        <v>59.99</v>
      </c>
      <c r="L654" s="196">
        <v>0.0</v>
      </c>
      <c r="M654" s="40">
        <v>34.0</v>
      </c>
      <c r="N654" s="196">
        <v>1.76</v>
      </c>
    </row>
    <row r="655">
      <c r="A655" s="40" t="s">
        <v>50</v>
      </c>
      <c r="B655" s="40"/>
      <c r="C655" s="40">
        <v>691.0</v>
      </c>
      <c r="D655" s="40" t="s">
        <v>1258</v>
      </c>
      <c r="E655" s="40" t="s">
        <v>26</v>
      </c>
      <c r="F655" s="197">
        <v>43494.0</v>
      </c>
      <c r="G655" s="197">
        <v>43786.0</v>
      </c>
      <c r="H655" s="197">
        <v>43965.0</v>
      </c>
      <c r="I655" s="197">
        <v>43973.0</v>
      </c>
      <c r="J655" s="196">
        <v>35.99</v>
      </c>
      <c r="K655" s="196">
        <v>12.09</v>
      </c>
      <c r="L655" s="196">
        <v>23.9</v>
      </c>
      <c r="M655" s="40">
        <v>31.0</v>
      </c>
      <c r="N655" s="196">
        <v>0.39</v>
      </c>
    </row>
    <row r="656">
      <c r="A656" s="40" t="s">
        <v>50</v>
      </c>
      <c r="B656" s="40"/>
      <c r="C656" s="40">
        <v>585.0</v>
      </c>
      <c r="D656" s="40" t="s">
        <v>125</v>
      </c>
      <c r="E656" s="40" t="s">
        <v>26</v>
      </c>
      <c r="F656" s="197">
        <v>43532.0</v>
      </c>
      <c r="G656" s="197">
        <v>43685.0</v>
      </c>
      <c r="H656" s="197">
        <v>43688.0</v>
      </c>
      <c r="I656" s="197">
        <v>43688.0</v>
      </c>
      <c r="J656" s="196">
        <v>49.99</v>
      </c>
      <c r="K656" s="196">
        <v>44.99</v>
      </c>
      <c r="L656" s="196">
        <v>5.0</v>
      </c>
      <c r="M656" s="40">
        <v>1.0</v>
      </c>
      <c r="N656" s="196">
        <v>44.99</v>
      </c>
    </row>
    <row r="657">
      <c r="A657" s="40" t="s">
        <v>50</v>
      </c>
      <c r="B657" s="40"/>
      <c r="C657" s="40">
        <v>830.0</v>
      </c>
      <c r="D657" s="40" t="s">
        <v>1259</v>
      </c>
      <c r="E657" s="40" t="s">
        <v>26</v>
      </c>
      <c r="F657" s="197">
        <v>43546.0</v>
      </c>
      <c r="G657" s="197">
        <v>43824.0</v>
      </c>
      <c r="H657" s="197">
        <v>44267.0</v>
      </c>
      <c r="I657" s="197">
        <v>44267.0</v>
      </c>
      <c r="J657" s="196">
        <v>69.99</v>
      </c>
      <c r="K657" s="196">
        <v>45.49</v>
      </c>
      <c r="L657" s="196">
        <v>24.5</v>
      </c>
      <c r="M657" s="40">
        <v>5.0</v>
      </c>
      <c r="N657" s="196">
        <v>9.1</v>
      </c>
    </row>
    <row r="658">
      <c r="A658" s="44" t="s">
        <v>50</v>
      </c>
      <c r="B658" s="41"/>
      <c r="C658" s="41">
        <v>1104.0</v>
      </c>
      <c r="D658" s="41" t="s">
        <v>52</v>
      </c>
      <c r="E658" s="41" t="s">
        <v>26</v>
      </c>
      <c r="F658" s="46">
        <v>43564.0</v>
      </c>
      <c r="G658" s="46">
        <v>46027.0</v>
      </c>
      <c r="H658" s="46">
        <v>46033.0</v>
      </c>
      <c r="I658" s="46">
        <v>46052.0</v>
      </c>
      <c r="J658" s="44">
        <v>10.0</v>
      </c>
      <c r="K658" s="44">
        <v>3.3</v>
      </c>
      <c r="L658" s="44">
        <f t="shared" ref="L658:L660" si="54">J658-K658</f>
        <v>6.7</v>
      </c>
      <c r="M658" s="40">
        <v>22.0</v>
      </c>
      <c r="N658" s="44">
        <f t="shared" ref="N658:N660" si="55">K658/M658</f>
        <v>0.15</v>
      </c>
    </row>
    <row r="659">
      <c r="A659" s="208" t="s">
        <v>50</v>
      </c>
      <c r="B659" s="206"/>
      <c r="C659" s="229">
        <v>1105.0</v>
      </c>
      <c r="D659" s="206" t="s">
        <v>126</v>
      </c>
      <c r="E659" s="206" t="s">
        <v>26</v>
      </c>
      <c r="F659" s="207">
        <v>43564.0</v>
      </c>
      <c r="G659" s="207">
        <v>46027.0</v>
      </c>
      <c r="H659" s="207">
        <v>46027.0</v>
      </c>
      <c r="I659" s="207">
        <v>46027.0</v>
      </c>
      <c r="J659" s="203">
        <v>10.0</v>
      </c>
      <c r="K659" s="203">
        <v>3.3</v>
      </c>
      <c r="L659" s="203">
        <f t="shared" si="54"/>
        <v>6.7</v>
      </c>
      <c r="M659" s="208">
        <v>1.0</v>
      </c>
      <c r="N659" s="203">
        <f t="shared" si="55"/>
        <v>3.3</v>
      </c>
    </row>
    <row r="660">
      <c r="A660" s="203" t="s">
        <v>50</v>
      </c>
      <c r="B660" s="206"/>
      <c r="C660" s="229">
        <v>1106.0</v>
      </c>
      <c r="D660" s="206" t="s">
        <v>127</v>
      </c>
      <c r="E660" s="206" t="s">
        <v>26</v>
      </c>
      <c r="F660" s="207">
        <v>43564.0</v>
      </c>
      <c r="G660" s="207">
        <v>46027.0</v>
      </c>
      <c r="H660" s="207">
        <v>46027.0</v>
      </c>
      <c r="I660" s="207">
        <v>46027.0</v>
      </c>
      <c r="J660" s="203">
        <v>9.99</v>
      </c>
      <c r="K660" s="203">
        <v>3.29</v>
      </c>
      <c r="L660" s="203">
        <f t="shared" si="54"/>
        <v>6.7</v>
      </c>
      <c r="M660" s="203">
        <v>1.0</v>
      </c>
      <c r="N660" s="203">
        <f t="shared" si="55"/>
        <v>3.29</v>
      </c>
    </row>
    <row r="661">
      <c r="A661" s="41" t="s">
        <v>50</v>
      </c>
      <c r="B661" s="41"/>
      <c r="C661" s="40">
        <v>680.0</v>
      </c>
      <c r="D661" s="40" t="s">
        <v>1260</v>
      </c>
      <c r="E661" s="40" t="s">
        <v>26</v>
      </c>
      <c r="F661" s="197">
        <v>43641.0</v>
      </c>
      <c r="G661" s="197">
        <v>44983.0</v>
      </c>
      <c r="H661" s="197">
        <v>45371.0</v>
      </c>
      <c r="I661" s="197">
        <v>45768.0</v>
      </c>
      <c r="J661" s="196">
        <v>39.99</v>
      </c>
      <c r="K661" s="196">
        <v>15.97</v>
      </c>
      <c r="L661" s="196">
        <v>24.02</v>
      </c>
      <c r="M661" s="40">
        <v>150.0</v>
      </c>
      <c r="N661" s="196">
        <v>0.11</v>
      </c>
    </row>
    <row r="662">
      <c r="A662" s="40" t="s">
        <v>50</v>
      </c>
      <c r="B662" s="40"/>
      <c r="C662" s="40">
        <v>552.0</v>
      </c>
      <c r="D662" s="40" t="s">
        <v>1261</v>
      </c>
      <c r="E662" s="40" t="s">
        <v>26</v>
      </c>
      <c r="F662" s="197">
        <v>43735.0</v>
      </c>
      <c r="G662" s="197">
        <v>44992.0</v>
      </c>
      <c r="H662" s="197">
        <v>44992.0</v>
      </c>
      <c r="I662" s="197">
        <v>44992.0</v>
      </c>
      <c r="J662" s="196">
        <v>69.99</v>
      </c>
      <c r="K662" s="196">
        <v>0.0</v>
      </c>
      <c r="L662" s="196">
        <v>69.99</v>
      </c>
      <c r="M662" s="40">
        <v>1.0</v>
      </c>
      <c r="N662" s="196">
        <v>0.0</v>
      </c>
    </row>
    <row r="663">
      <c r="A663" s="40" t="s">
        <v>50</v>
      </c>
      <c r="B663" s="40"/>
      <c r="C663" s="40">
        <v>875.0</v>
      </c>
      <c r="D663" s="40" t="s">
        <v>1262</v>
      </c>
      <c r="E663" s="40" t="s">
        <v>26</v>
      </c>
      <c r="F663" s="197">
        <v>43767.0</v>
      </c>
      <c r="G663" s="197">
        <v>44377.0</v>
      </c>
      <c r="H663" s="197">
        <v>44377.0</v>
      </c>
      <c r="I663" s="197">
        <v>44465.0</v>
      </c>
      <c r="J663" s="196">
        <v>39.99</v>
      </c>
      <c r="K663" s="196">
        <v>19.99</v>
      </c>
      <c r="L663" s="196">
        <v>20.0</v>
      </c>
      <c r="M663" s="40">
        <v>6.0</v>
      </c>
      <c r="N663" s="196">
        <v>3.33</v>
      </c>
    </row>
    <row r="664">
      <c r="A664" s="40" t="s">
        <v>50</v>
      </c>
      <c r="B664" s="40"/>
      <c r="C664" s="40">
        <v>771.0</v>
      </c>
      <c r="D664" s="43" t="s">
        <v>1263</v>
      </c>
      <c r="E664" s="43" t="s">
        <v>26</v>
      </c>
      <c r="F664" s="197">
        <v>43903.0</v>
      </c>
      <c r="G664" s="197">
        <v>44867.0</v>
      </c>
      <c r="H664" s="197">
        <v>44867.0</v>
      </c>
      <c r="I664" s="197">
        <v>44867.0</v>
      </c>
      <c r="J664" s="196">
        <v>59.99</v>
      </c>
      <c r="K664" s="196">
        <v>0.0</v>
      </c>
      <c r="L664" s="196">
        <v>59.99</v>
      </c>
      <c r="M664" s="40">
        <v>1.0</v>
      </c>
      <c r="N664" s="196">
        <v>0.0</v>
      </c>
    </row>
    <row r="665">
      <c r="A665" s="40" t="s">
        <v>50</v>
      </c>
      <c r="B665" s="40" t="s">
        <v>404</v>
      </c>
      <c r="C665" s="40">
        <v>649.0</v>
      </c>
      <c r="D665" s="40" t="s">
        <v>1264</v>
      </c>
      <c r="E665" s="40" t="s">
        <v>26</v>
      </c>
      <c r="F665" s="197">
        <v>43917.0</v>
      </c>
      <c r="G665" s="197">
        <v>44811.0</v>
      </c>
      <c r="H665" s="197">
        <v>44811.0</v>
      </c>
      <c r="I665" s="197">
        <v>44811.0</v>
      </c>
      <c r="J665" s="43">
        <v>19.99</v>
      </c>
      <c r="K665" s="43">
        <v>0.0</v>
      </c>
      <c r="L665" s="196">
        <v>19.99</v>
      </c>
      <c r="M665" s="40">
        <v>1.0</v>
      </c>
      <c r="N665" s="196">
        <v>0.0</v>
      </c>
    </row>
    <row r="666">
      <c r="A666" s="40" t="s">
        <v>50</v>
      </c>
      <c r="B666" s="40"/>
      <c r="C666" s="40">
        <v>809.0</v>
      </c>
      <c r="D666" s="40" t="s">
        <v>128</v>
      </c>
      <c r="E666" s="40" t="s">
        <v>26</v>
      </c>
      <c r="F666" s="197">
        <v>43924.0</v>
      </c>
      <c r="G666" s="197">
        <v>44469.0</v>
      </c>
      <c r="H666" s="197">
        <v>44470.0</v>
      </c>
      <c r="I666" s="197">
        <v>44471.0</v>
      </c>
      <c r="J666" s="196">
        <v>59.99</v>
      </c>
      <c r="K666" s="196">
        <v>19.79</v>
      </c>
      <c r="L666" s="196">
        <v>40.2</v>
      </c>
      <c r="M666" s="40">
        <v>20.0</v>
      </c>
      <c r="N666" s="196">
        <v>0.99</v>
      </c>
    </row>
    <row r="667">
      <c r="A667" s="40" t="s">
        <v>50</v>
      </c>
      <c r="B667" s="40"/>
      <c r="C667" s="40">
        <v>810.0</v>
      </c>
      <c r="D667" s="40" t="s">
        <v>129</v>
      </c>
      <c r="E667" s="40" t="s">
        <v>26</v>
      </c>
      <c r="F667" s="197">
        <v>43924.0</v>
      </c>
      <c r="G667" s="197">
        <v>44469.0</v>
      </c>
      <c r="H667" s="197">
        <v>44469.0</v>
      </c>
      <c r="I667" s="197">
        <v>44469.0</v>
      </c>
      <c r="J667" s="196">
        <v>0.0</v>
      </c>
      <c r="K667" s="196">
        <v>0.0</v>
      </c>
      <c r="L667" s="196">
        <v>0.0</v>
      </c>
      <c r="M667" s="40">
        <v>1.0</v>
      </c>
      <c r="N667" s="196">
        <v>0.0</v>
      </c>
    </row>
    <row r="668">
      <c r="A668" s="40" t="s">
        <v>50</v>
      </c>
      <c r="B668" s="40"/>
      <c r="C668" s="40">
        <v>630.0</v>
      </c>
      <c r="D668" s="40" t="s">
        <v>1265</v>
      </c>
      <c r="E668" s="40" t="s">
        <v>26</v>
      </c>
      <c r="F668" s="197">
        <v>43931.0</v>
      </c>
      <c r="G668" s="197">
        <v>44776.0</v>
      </c>
      <c r="H668" s="197">
        <v>44830.0</v>
      </c>
      <c r="I668" s="197">
        <v>44835.0</v>
      </c>
      <c r="J668" s="196">
        <v>79.99</v>
      </c>
      <c r="K668" s="196">
        <v>45.59</v>
      </c>
      <c r="L668" s="196">
        <v>34.4</v>
      </c>
      <c r="M668" s="40">
        <v>38.0</v>
      </c>
      <c r="N668" s="196">
        <v>1.2</v>
      </c>
    </row>
    <row r="669">
      <c r="A669" s="40" t="s">
        <v>50</v>
      </c>
      <c r="B669" s="40" t="s">
        <v>417</v>
      </c>
      <c r="C669" s="40">
        <v>684.0</v>
      </c>
      <c r="D669" s="40" t="s">
        <v>1266</v>
      </c>
      <c r="E669" s="40" t="s">
        <v>26</v>
      </c>
      <c r="F669" s="197">
        <v>44068.0</v>
      </c>
      <c r="G669" s="197">
        <v>44623.0</v>
      </c>
      <c r="H669" s="197">
        <v>44639.0</v>
      </c>
      <c r="I669" s="197">
        <v>44641.0</v>
      </c>
      <c r="J669" s="196">
        <v>39.99</v>
      </c>
      <c r="K669" s="196">
        <v>14.79</v>
      </c>
      <c r="L669" s="196">
        <v>25.2</v>
      </c>
      <c r="M669" s="40">
        <v>11.0</v>
      </c>
      <c r="N669" s="196">
        <v>1.34</v>
      </c>
    </row>
    <row r="670">
      <c r="A670" s="41" t="s">
        <v>50</v>
      </c>
      <c r="B670" s="41" t="s">
        <v>440</v>
      </c>
      <c r="C670" s="40">
        <v>542.0</v>
      </c>
      <c r="D670" s="40" t="s">
        <v>1267</v>
      </c>
      <c r="E670" s="40" t="s">
        <v>26</v>
      </c>
      <c r="F670" s="197">
        <v>44071.0</v>
      </c>
      <c r="G670" s="197">
        <v>44539.0</v>
      </c>
      <c r="H670" s="197">
        <v>45749.0</v>
      </c>
      <c r="I670" s="197">
        <v>45749.0</v>
      </c>
      <c r="J670" s="196">
        <v>59.99</v>
      </c>
      <c r="K670" s="196">
        <v>19.79</v>
      </c>
      <c r="L670" s="196">
        <v>40.2</v>
      </c>
      <c r="M670" s="40">
        <v>2.0</v>
      </c>
      <c r="N670" s="43">
        <v>9.9</v>
      </c>
    </row>
    <row r="671">
      <c r="A671" s="40" t="s">
        <v>50</v>
      </c>
      <c r="B671" s="40" t="s">
        <v>408</v>
      </c>
      <c r="C671" s="40">
        <v>595.0</v>
      </c>
      <c r="D671" s="40" t="s">
        <v>1268</v>
      </c>
      <c r="E671" s="40" t="s">
        <v>26</v>
      </c>
      <c r="F671" s="197">
        <v>44078.0</v>
      </c>
      <c r="G671" s="197">
        <v>45518.0</v>
      </c>
      <c r="H671" s="197">
        <v>45518.0</v>
      </c>
      <c r="I671" s="197">
        <v>45518.0</v>
      </c>
      <c r="J671" s="196">
        <v>49.99</v>
      </c>
      <c r="K671" s="196">
        <v>4.99</v>
      </c>
      <c r="L671" s="196">
        <v>45.0</v>
      </c>
      <c r="M671" s="40">
        <v>1.0</v>
      </c>
      <c r="N671" s="196">
        <v>4.99</v>
      </c>
    </row>
    <row r="672">
      <c r="A672" s="40" t="s">
        <v>50</v>
      </c>
      <c r="B672" s="40"/>
      <c r="C672" s="40">
        <v>980.0</v>
      </c>
      <c r="D672" s="40" t="s">
        <v>1269</v>
      </c>
      <c r="E672" s="40" t="s">
        <v>26</v>
      </c>
      <c r="F672" s="197">
        <v>44118.0</v>
      </c>
      <c r="G672" s="197">
        <v>44923.0</v>
      </c>
      <c r="H672" s="197">
        <v>44923.0</v>
      </c>
      <c r="I672" s="197">
        <v>44923.0</v>
      </c>
      <c r="J672" s="196">
        <v>25.0</v>
      </c>
      <c r="K672" s="196">
        <v>11.25</v>
      </c>
      <c r="L672" s="196">
        <v>13.75</v>
      </c>
      <c r="M672" s="40">
        <v>1.0</v>
      </c>
      <c r="N672" s="196">
        <v>11.25</v>
      </c>
    </row>
    <row r="673">
      <c r="A673" s="40" t="s">
        <v>50</v>
      </c>
      <c r="B673" s="40"/>
      <c r="C673" s="40">
        <v>981.0</v>
      </c>
      <c r="D673" s="40" t="s">
        <v>1270</v>
      </c>
      <c r="E673" s="40" t="s">
        <v>26</v>
      </c>
      <c r="F673" s="197">
        <v>44118.0</v>
      </c>
      <c r="G673" s="197">
        <v>44923.0</v>
      </c>
      <c r="H673" s="197">
        <v>44923.0</v>
      </c>
      <c r="I673" s="197">
        <v>44923.0</v>
      </c>
      <c r="J673" s="196">
        <v>24.99</v>
      </c>
      <c r="K673" s="196">
        <v>11.24</v>
      </c>
      <c r="L673" s="196">
        <v>13.75</v>
      </c>
      <c r="M673" s="40">
        <v>1.0</v>
      </c>
      <c r="N673" s="196">
        <v>11.24</v>
      </c>
    </row>
    <row r="674">
      <c r="A674" s="40" t="s">
        <v>50</v>
      </c>
      <c r="B674" s="40"/>
      <c r="C674" s="40">
        <v>708.0</v>
      </c>
      <c r="D674" s="40" t="s">
        <v>1271</v>
      </c>
      <c r="E674" s="40" t="s">
        <v>26</v>
      </c>
      <c r="F674" s="197">
        <v>44145.0</v>
      </c>
      <c r="G674" s="197">
        <v>44356.0</v>
      </c>
      <c r="H674" s="197">
        <v>44359.0</v>
      </c>
      <c r="I674" s="197">
        <v>44370.0</v>
      </c>
      <c r="J674" s="196">
        <v>99.98</v>
      </c>
      <c r="K674" s="196">
        <v>56.98</v>
      </c>
      <c r="L674" s="196">
        <v>43.0</v>
      </c>
      <c r="M674" s="40">
        <v>130.0</v>
      </c>
      <c r="N674" s="196">
        <v>0.44</v>
      </c>
    </row>
    <row r="675">
      <c r="A675" s="40" t="s">
        <v>50</v>
      </c>
      <c r="B675" s="40"/>
      <c r="C675" s="40">
        <v>685.0</v>
      </c>
      <c r="D675" s="40" t="s">
        <v>1272</v>
      </c>
      <c r="E675" s="40" t="s">
        <v>26</v>
      </c>
      <c r="F675" s="197">
        <v>44155.0</v>
      </c>
      <c r="G675" s="197">
        <v>44237.0</v>
      </c>
      <c r="H675" s="197">
        <v>44248.0</v>
      </c>
      <c r="I675" s="197">
        <v>44249.0</v>
      </c>
      <c r="J675" s="196">
        <v>29.99</v>
      </c>
      <c r="K675" s="196">
        <v>20.99</v>
      </c>
      <c r="L675" s="196">
        <v>9.0</v>
      </c>
      <c r="M675" s="40">
        <v>7.0</v>
      </c>
      <c r="N675" s="196">
        <v>3.0</v>
      </c>
    </row>
    <row r="676">
      <c r="A676" s="40" t="s">
        <v>50</v>
      </c>
      <c r="B676" s="40" t="s">
        <v>428</v>
      </c>
      <c r="C676" s="40">
        <v>791.0</v>
      </c>
      <c r="D676" s="40" t="s">
        <v>1273</v>
      </c>
      <c r="E676" s="40" t="s">
        <v>26</v>
      </c>
      <c r="F676" s="197">
        <v>44250.0</v>
      </c>
      <c r="G676" s="197">
        <v>44565.0</v>
      </c>
      <c r="H676" s="197">
        <v>44565.0</v>
      </c>
      <c r="I676" s="197">
        <v>44565.0</v>
      </c>
      <c r="J676" s="196">
        <v>59.99</v>
      </c>
      <c r="K676" s="196">
        <v>0.0</v>
      </c>
      <c r="L676" s="196">
        <v>59.99</v>
      </c>
      <c r="M676" s="40">
        <v>1.0</v>
      </c>
      <c r="N676" s="196">
        <v>0.0</v>
      </c>
    </row>
    <row r="677">
      <c r="A677" s="40" t="s">
        <v>50</v>
      </c>
      <c r="B677" s="40"/>
      <c r="C677" s="40">
        <v>811.0</v>
      </c>
      <c r="D677" s="40" t="s">
        <v>130</v>
      </c>
      <c r="E677" s="40" t="s">
        <v>26</v>
      </c>
      <c r="F677" s="197">
        <v>44323.0</v>
      </c>
      <c r="G677" s="197">
        <v>44489.0</v>
      </c>
      <c r="H677" s="197">
        <v>44490.0</v>
      </c>
      <c r="I677" s="197">
        <v>44492.0</v>
      </c>
      <c r="J677" s="196">
        <v>69.99</v>
      </c>
      <c r="K677" s="196">
        <v>39.89</v>
      </c>
      <c r="L677" s="196">
        <v>30.1</v>
      </c>
      <c r="M677" s="40">
        <v>15.0</v>
      </c>
      <c r="N677" s="196">
        <v>2.66</v>
      </c>
    </row>
    <row r="678">
      <c r="A678" s="40" t="s">
        <v>50</v>
      </c>
      <c r="B678" s="40" t="s">
        <v>401</v>
      </c>
      <c r="C678" s="40">
        <v>606.0</v>
      </c>
      <c r="D678" s="40" t="s">
        <v>1274</v>
      </c>
      <c r="E678" s="40" t="s">
        <v>26</v>
      </c>
      <c r="F678" s="197">
        <v>44397.0</v>
      </c>
      <c r="G678" s="197">
        <v>45511.0</v>
      </c>
      <c r="H678" s="197">
        <v>45511.0</v>
      </c>
      <c r="I678" s="197">
        <v>45511.0</v>
      </c>
      <c r="J678" s="196">
        <v>29.99</v>
      </c>
      <c r="K678" s="196">
        <v>0.0</v>
      </c>
      <c r="L678" s="196">
        <v>29.99</v>
      </c>
      <c r="M678" s="40">
        <v>1.0</v>
      </c>
      <c r="N678" s="196">
        <v>0.0</v>
      </c>
    </row>
    <row r="679">
      <c r="A679" s="40" t="s">
        <v>50</v>
      </c>
      <c r="B679" s="40"/>
      <c r="C679" s="40">
        <v>846.0</v>
      </c>
      <c r="D679" s="40" t="s">
        <v>1275</v>
      </c>
      <c r="E679" s="40" t="s">
        <v>26</v>
      </c>
      <c r="F679" s="197">
        <v>44446.0</v>
      </c>
      <c r="G679" s="197">
        <v>45720.0</v>
      </c>
      <c r="H679" s="197">
        <v>45720.0</v>
      </c>
      <c r="I679" s="197">
        <v>45720.0</v>
      </c>
      <c r="J679" s="196">
        <v>39.99</v>
      </c>
      <c r="K679" s="196">
        <v>0.0</v>
      </c>
      <c r="L679" s="196">
        <v>39.99</v>
      </c>
      <c r="M679" s="40">
        <v>1.0</v>
      </c>
      <c r="N679" s="196">
        <v>0.0</v>
      </c>
    </row>
    <row r="680">
      <c r="A680" s="41" t="s">
        <v>50</v>
      </c>
      <c r="B680" s="41"/>
      <c r="C680" s="40">
        <v>717.0</v>
      </c>
      <c r="D680" s="40" t="s">
        <v>1276</v>
      </c>
      <c r="E680" s="40" t="s">
        <v>26</v>
      </c>
      <c r="F680" s="197">
        <v>44463.0</v>
      </c>
      <c r="G680" s="197">
        <v>45262.0</v>
      </c>
      <c r="H680" s="197">
        <v>45413.0</v>
      </c>
      <c r="I680" s="197">
        <v>45771.0</v>
      </c>
      <c r="J680" s="196">
        <v>89.99</v>
      </c>
      <c r="K680" s="196">
        <v>22.49</v>
      </c>
      <c r="L680" s="196">
        <v>67.5</v>
      </c>
      <c r="M680" s="40">
        <v>57.0</v>
      </c>
      <c r="N680" s="196">
        <v>0.39</v>
      </c>
    </row>
    <row r="681">
      <c r="A681" s="40" t="s">
        <v>50</v>
      </c>
      <c r="B681" s="40"/>
      <c r="C681" s="40">
        <v>579.0</v>
      </c>
      <c r="D681" s="40" t="s">
        <v>1277</v>
      </c>
      <c r="E681" s="40" t="s">
        <v>26</v>
      </c>
      <c r="F681" s="197">
        <v>44525.0</v>
      </c>
      <c r="G681" s="197">
        <v>44623.0</v>
      </c>
      <c r="H681" s="197">
        <v>44629.0</v>
      </c>
      <c r="I681" s="197">
        <v>44629.0</v>
      </c>
      <c r="J681" s="196">
        <v>16.99</v>
      </c>
      <c r="K681" s="196">
        <v>13.59</v>
      </c>
      <c r="L681" s="196">
        <v>3.4</v>
      </c>
      <c r="M681" s="40">
        <v>2.0</v>
      </c>
      <c r="N681" s="196">
        <v>6.8</v>
      </c>
    </row>
    <row r="682">
      <c r="A682" s="40" t="s">
        <v>50</v>
      </c>
      <c r="B682" s="40" t="s">
        <v>415</v>
      </c>
      <c r="C682" s="40">
        <v>604.0</v>
      </c>
      <c r="D682" s="40" t="s">
        <v>1278</v>
      </c>
      <c r="E682" s="40" t="s">
        <v>26</v>
      </c>
      <c r="F682" s="197">
        <v>44617.0</v>
      </c>
      <c r="G682" s="197">
        <v>45491.0</v>
      </c>
      <c r="H682" s="197">
        <v>45491.0</v>
      </c>
      <c r="I682" s="197">
        <v>45491.0</v>
      </c>
      <c r="J682" s="196">
        <v>59.99</v>
      </c>
      <c r="K682" s="196">
        <v>41.99</v>
      </c>
      <c r="L682" s="196">
        <v>18.0</v>
      </c>
      <c r="M682" s="40">
        <v>1.0</v>
      </c>
      <c r="N682" s="196">
        <v>41.99</v>
      </c>
    </row>
    <row r="683">
      <c r="A683" s="225" t="s">
        <v>50</v>
      </c>
      <c r="B683" s="225"/>
      <c r="C683" s="225">
        <v>842.0</v>
      </c>
      <c r="D683" s="225" t="s">
        <v>1279</v>
      </c>
      <c r="E683" s="225" t="s">
        <v>26</v>
      </c>
      <c r="F683" s="226">
        <v>44735.0</v>
      </c>
      <c r="G683" s="226">
        <v>44817.0</v>
      </c>
      <c r="H683" s="226">
        <v>44818.0</v>
      </c>
      <c r="I683" s="226">
        <v>44824.0</v>
      </c>
      <c r="J683" s="227">
        <v>11.25</v>
      </c>
      <c r="K683" s="227">
        <v>0.0</v>
      </c>
      <c r="L683" s="196">
        <v>11.25</v>
      </c>
      <c r="M683" s="225">
        <v>3.0</v>
      </c>
      <c r="N683" s="196">
        <v>0.0</v>
      </c>
    </row>
    <row r="684">
      <c r="A684" s="40" t="s">
        <v>50</v>
      </c>
      <c r="B684" s="40"/>
      <c r="C684" s="40">
        <v>843.0</v>
      </c>
      <c r="D684" s="40" t="s">
        <v>1280</v>
      </c>
      <c r="E684" s="40" t="s">
        <v>26</v>
      </c>
      <c r="F684" s="197">
        <v>44735.0</v>
      </c>
      <c r="G684" s="197">
        <v>44817.0</v>
      </c>
      <c r="H684" s="197">
        <v>44818.0</v>
      </c>
      <c r="I684" s="197">
        <v>44824.0</v>
      </c>
      <c r="J684" s="196">
        <v>11.25</v>
      </c>
      <c r="K684" s="196">
        <v>0.0</v>
      </c>
      <c r="L684" s="196">
        <v>11.25</v>
      </c>
      <c r="M684" s="40">
        <v>3.0</v>
      </c>
      <c r="N684" s="196">
        <v>0.0</v>
      </c>
    </row>
    <row r="685">
      <c r="A685" s="40" t="s">
        <v>50</v>
      </c>
      <c r="B685" s="40"/>
      <c r="C685" s="40">
        <v>844.0</v>
      </c>
      <c r="D685" s="40" t="s">
        <v>1281</v>
      </c>
      <c r="E685" s="40" t="s">
        <v>26</v>
      </c>
      <c r="F685" s="197">
        <v>44735.0</v>
      </c>
      <c r="G685" s="197">
        <v>44817.0</v>
      </c>
      <c r="H685" s="197">
        <v>44818.0</v>
      </c>
      <c r="I685" s="197">
        <v>44824.0</v>
      </c>
      <c r="J685" s="196">
        <v>11.24</v>
      </c>
      <c r="K685" s="196">
        <v>0.0</v>
      </c>
      <c r="L685" s="196">
        <v>11.24</v>
      </c>
      <c r="M685" s="40">
        <v>3.0</v>
      </c>
      <c r="N685" s="196">
        <v>0.0</v>
      </c>
    </row>
    <row r="686">
      <c r="A686" s="40" t="s">
        <v>50</v>
      </c>
      <c r="B686" s="40"/>
      <c r="C686" s="40">
        <v>788.0</v>
      </c>
      <c r="D686" s="40" t="s">
        <v>1282</v>
      </c>
      <c r="E686" s="40" t="s">
        <v>26</v>
      </c>
      <c r="F686" s="197">
        <v>44798.0</v>
      </c>
      <c r="G686" s="197">
        <v>45692.0</v>
      </c>
      <c r="H686" s="197">
        <v>45692.0</v>
      </c>
      <c r="I686" s="197">
        <v>45692.0</v>
      </c>
      <c r="J686" s="196">
        <v>39.99</v>
      </c>
      <c r="K686" s="196">
        <v>0.0</v>
      </c>
      <c r="L686" s="196">
        <v>39.99</v>
      </c>
      <c r="M686" s="40">
        <v>1.0</v>
      </c>
      <c r="N686" s="196">
        <v>0.0</v>
      </c>
    </row>
    <row r="687">
      <c r="A687" s="40" t="s">
        <v>50</v>
      </c>
      <c r="B687" s="40" t="s">
        <v>427</v>
      </c>
      <c r="C687" s="40">
        <v>884.0</v>
      </c>
      <c r="D687" s="40" t="s">
        <v>1283</v>
      </c>
      <c r="E687" s="40" t="s">
        <v>26</v>
      </c>
      <c r="F687" s="197">
        <v>44803.0</v>
      </c>
      <c r="G687" s="197">
        <v>45720.0</v>
      </c>
      <c r="H687" s="197">
        <v>45720.0</v>
      </c>
      <c r="I687" s="197">
        <v>45720.0</v>
      </c>
      <c r="J687" s="196">
        <v>3.08</v>
      </c>
      <c r="K687" s="196">
        <v>0.0</v>
      </c>
      <c r="L687" s="196">
        <v>3.08</v>
      </c>
      <c r="M687" s="40">
        <v>1.0</v>
      </c>
      <c r="N687" s="196">
        <v>0.0</v>
      </c>
    </row>
    <row r="688">
      <c r="A688" s="40" t="s">
        <v>50</v>
      </c>
      <c r="B688" s="40"/>
      <c r="C688" s="40">
        <v>885.0</v>
      </c>
      <c r="D688" s="40" t="s">
        <v>1284</v>
      </c>
      <c r="E688" s="40" t="s">
        <v>26</v>
      </c>
      <c r="F688" s="197">
        <v>44803.0</v>
      </c>
      <c r="G688" s="197">
        <v>45720.0</v>
      </c>
      <c r="H688" s="197">
        <v>45720.0</v>
      </c>
      <c r="I688" s="197">
        <v>45720.0</v>
      </c>
      <c r="J688" s="196">
        <v>3.08</v>
      </c>
      <c r="K688" s="196">
        <v>0.0</v>
      </c>
      <c r="L688" s="196">
        <v>3.08</v>
      </c>
      <c r="M688" s="40">
        <v>1.0</v>
      </c>
      <c r="N688" s="196">
        <v>0.0</v>
      </c>
    </row>
    <row r="689">
      <c r="A689" s="40" t="s">
        <v>50</v>
      </c>
      <c r="B689" s="40"/>
      <c r="C689" s="40">
        <v>886.0</v>
      </c>
      <c r="D689" s="40" t="s">
        <v>1285</v>
      </c>
      <c r="E689" s="40" t="s">
        <v>26</v>
      </c>
      <c r="F689" s="197">
        <v>44803.0</v>
      </c>
      <c r="G689" s="197">
        <v>45720.0</v>
      </c>
      <c r="H689" s="197">
        <v>45720.0</v>
      </c>
      <c r="I689" s="197">
        <v>45720.0</v>
      </c>
      <c r="J689" s="196">
        <v>3.08</v>
      </c>
      <c r="K689" s="196">
        <v>0.0</v>
      </c>
      <c r="L689" s="196">
        <v>3.08</v>
      </c>
      <c r="M689" s="40">
        <v>1.0</v>
      </c>
      <c r="N689" s="196">
        <v>0.0</v>
      </c>
    </row>
    <row r="690">
      <c r="A690" s="40" t="s">
        <v>50</v>
      </c>
      <c r="B690" s="40"/>
      <c r="C690" s="40">
        <v>887.0</v>
      </c>
      <c r="D690" s="40" t="s">
        <v>1286</v>
      </c>
      <c r="E690" s="40" t="s">
        <v>26</v>
      </c>
      <c r="F690" s="197">
        <v>44803.0</v>
      </c>
      <c r="G690" s="197">
        <v>45720.0</v>
      </c>
      <c r="H690" s="197">
        <v>45720.0</v>
      </c>
      <c r="I690" s="197">
        <v>45720.0</v>
      </c>
      <c r="J690" s="196">
        <v>3.08</v>
      </c>
      <c r="K690" s="196">
        <v>0.0</v>
      </c>
      <c r="L690" s="196">
        <v>3.08</v>
      </c>
      <c r="M690" s="40">
        <v>1.0</v>
      </c>
      <c r="N690" s="196">
        <v>0.0</v>
      </c>
    </row>
    <row r="691">
      <c r="A691" s="40" t="s">
        <v>50</v>
      </c>
      <c r="B691" s="40"/>
      <c r="C691" s="40">
        <v>888.0</v>
      </c>
      <c r="D691" s="40" t="s">
        <v>1287</v>
      </c>
      <c r="E691" s="40" t="s">
        <v>26</v>
      </c>
      <c r="F691" s="197">
        <v>44803.0</v>
      </c>
      <c r="G691" s="197">
        <v>45720.0</v>
      </c>
      <c r="H691" s="197">
        <v>45720.0</v>
      </c>
      <c r="I691" s="197">
        <v>45720.0</v>
      </c>
      <c r="J691" s="196">
        <v>3.08</v>
      </c>
      <c r="K691" s="196">
        <v>0.0</v>
      </c>
      <c r="L691" s="196">
        <v>3.08</v>
      </c>
      <c r="M691" s="40">
        <v>1.0</v>
      </c>
      <c r="N691" s="196">
        <v>0.0</v>
      </c>
    </row>
    <row r="692">
      <c r="A692" s="40" t="s">
        <v>50</v>
      </c>
      <c r="B692" s="40"/>
      <c r="C692" s="40">
        <v>889.0</v>
      </c>
      <c r="D692" s="40" t="s">
        <v>1288</v>
      </c>
      <c r="E692" s="40" t="s">
        <v>26</v>
      </c>
      <c r="F692" s="197">
        <v>44803.0</v>
      </c>
      <c r="G692" s="197">
        <v>45720.0</v>
      </c>
      <c r="H692" s="197">
        <v>45720.0</v>
      </c>
      <c r="I692" s="197">
        <v>45720.0</v>
      </c>
      <c r="J692" s="196">
        <v>3.08</v>
      </c>
      <c r="K692" s="196">
        <v>0.0</v>
      </c>
      <c r="L692" s="196">
        <v>3.08</v>
      </c>
      <c r="M692" s="40">
        <v>1.0</v>
      </c>
      <c r="N692" s="196">
        <v>0.0</v>
      </c>
    </row>
    <row r="693">
      <c r="A693" s="40" t="s">
        <v>50</v>
      </c>
      <c r="B693" s="40"/>
      <c r="C693" s="40">
        <v>890.0</v>
      </c>
      <c r="D693" s="40" t="s">
        <v>1289</v>
      </c>
      <c r="E693" s="40" t="s">
        <v>26</v>
      </c>
      <c r="F693" s="197">
        <v>44803.0</v>
      </c>
      <c r="G693" s="197">
        <v>45720.0</v>
      </c>
      <c r="H693" s="197">
        <v>45720.0</v>
      </c>
      <c r="I693" s="197">
        <v>45720.0</v>
      </c>
      <c r="J693" s="196">
        <v>3.08</v>
      </c>
      <c r="K693" s="196">
        <v>0.0</v>
      </c>
      <c r="L693" s="196">
        <v>3.08</v>
      </c>
      <c r="M693" s="40">
        <v>1.0</v>
      </c>
      <c r="N693" s="196">
        <v>0.0</v>
      </c>
    </row>
    <row r="694">
      <c r="A694" s="40" t="s">
        <v>50</v>
      </c>
      <c r="B694" s="40"/>
      <c r="C694" s="40">
        <v>891.0</v>
      </c>
      <c r="D694" s="40" t="s">
        <v>1290</v>
      </c>
      <c r="E694" s="40" t="s">
        <v>26</v>
      </c>
      <c r="F694" s="197">
        <v>44803.0</v>
      </c>
      <c r="G694" s="197">
        <v>45720.0</v>
      </c>
      <c r="H694" s="197">
        <v>45720.0</v>
      </c>
      <c r="I694" s="197">
        <v>45720.0</v>
      </c>
      <c r="J694" s="196">
        <v>3.08</v>
      </c>
      <c r="K694" s="196">
        <v>0.0</v>
      </c>
      <c r="L694" s="196">
        <v>3.08</v>
      </c>
      <c r="M694" s="40">
        <v>1.0</v>
      </c>
      <c r="N694" s="196">
        <v>0.0</v>
      </c>
    </row>
    <row r="695">
      <c r="A695" s="40" t="s">
        <v>50</v>
      </c>
      <c r="B695" s="40"/>
      <c r="C695" s="40">
        <v>892.0</v>
      </c>
      <c r="D695" s="40" t="s">
        <v>1291</v>
      </c>
      <c r="E695" s="40" t="s">
        <v>26</v>
      </c>
      <c r="F695" s="197">
        <v>44803.0</v>
      </c>
      <c r="G695" s="197">
        <v>45720.0</v>
      </c>
      <c r="H695" s="197">
        <v>45720.0</v>
      </c>
      <c r="I695" s="197">
        <v>45720.0</v>
      </c>
      <c r="J695" s="196">
        <v>3.07</v>
      </c>
      <c r="K695" s="196">
        <v>0.0</v>
      </c>
      <c r="L695" s="196">
        <v>3.07</v>
      </c>
      <c r="M695" s="40">
        <v>1.0</v>
      </c>
      <c r="N695" s="196">
        <v>0.0</v>
      </c>
    </row>
    <row r="696">
      <c r="A696" s="40" t="s">
        <v>50</v>
      </c>
      <c r="B696" s="40"/>
      <c r="C696" s="40">
        <v>893.0</v>
      </c>
      <c r="D696" s="40" t="s">
        <v>1292</v>
      </c>
      <c r="E696" s="40" t="s">
        <v>26</v>
      </c>
      <c r="F696" s="197">
        <v>44803.0</v>
      </c>
      <c r="G696" s="197">
        <v>45720.0</v>
      </c>
      <c r="H696" s="197">
        <v>45720.0</v>
      </c>
      <c r="I696" s="197">
        <v>45720.0</v>
      </c>
      <c r="J696" s="196">
        <v>3.07</v>
      </c>
      <c r="K696" s="196">
        <v>0.0</v>
      </c>
      <c r="L696" s="196">
        <v>3.07</v>
      </c>
      <c r="M696" s="40">
        <v>1.0</v>
      </c>
      <c r="N696" s="196">
        <v>0.0</v>
      </c>
    </row>
    <row r="697">
      <c r="A697" s="40" t="s">
        <v>50</v>
      </c>
      <c r="B697" s="40"/>
      <c r="C697" s="40">
        <v>894.0</v>
      </c>
      <c r="D697" s="40" t="s">
        <v>1293</v>
      </c>
      <c r="E697" s="40" t="s">
        <v>26</v>
      </c>
      <c r="F697" s="197">
        <v>44803.0</v>
      </c>
      <c r="G697" s="197">
        <v>45720.0</v>
      </c>
      <c r="H697" s="197">
        <v>45720.0</v>
      </c>
      <c r="I697" s="197">
        <v>45720.0</v>
      </c>
      <c r="J697" s="196">
        <v>3.07</v>
      </c>
      <c r="K697" s="196">
        <v>0.0</v>
      </c>
      <c r="L697" s="196">
        <v>3.07</v>
      </c>
      <c r="M697" s="40">
        <v>1.0</v>
      </c>
      <c r="N697" s="196">
        <v>0.0</v>
      </c>
    </row>
    <row r="698">
      <c r="A698" s="40" t="s">
        <v>50</v>
      </c>
      <c r="B698" s="40"/>
      <c r="C698" s="40">
        <v>895.0</v>
      </c>
      <c r="D698" s="40" t="s">
        <v>1294</v>
      </c>
      <c r="E698" s="40" t="s">
        <v>26</v>
      </c>
      <c r="F698" s="197">
        <v>44803.0</v>
      </c>
      <c r="G698" s="197">
        <v>45720.0</v>
      </c>
      <c r="H698" s="197">
        <v>45720.0</v>
      </c>
      <c r="I698" s="197">
        <v>45720.0</v>
      </c>
      <c r="J698" s="196">
        <v>3.07</v>
      </c>
      <c r="K698" s="196">
        <v>0.0</v>
      </c>
      <c r="L698" s="196">
        <v>3.07</v>
      </c>
      <c r="M698" s="40">
        <v>1.0</v>
      </c>
      <c r="N698" s="196">
        <v>0.0</v>
      </c>
    </row>
    <row r="699">
      <c r="A699" s="40" t="s">
        <v>50</v>
      </c>
      <c r="B699" s="40"/>
      <c r="C699" s="40">
        <v>896.0</v>
      </c>
      <c r="D699" s="40" t="s">
        <v>1295</v>
      </c>
      <c r="E699" s="40" t="s">
        <v>26</v>
      </c>
      <c r="F699" s="197">
        <v>44803.0</v>
      </c>
      <c r="G699" s="197">
        <v>45720.0</v>
      </c>
      <c r="H699" s="197">
        <v>45720.0</v>
      </c>
      <c r="I699" s="197">
        <v>45720.0</v>
      </c>
      <c r="J699" s="196">
        <v>3.07</v>
      </c>
      <c r="K699" s="196">
        <v>0.0</v>
      </c>
      <c r="L699" s="196">
        <v>3.07</v>
      </c>
      <c r="M699" s="40">
        <v>1.0</v>
      </c>
      <c r="N699" s="196">
        <v>0.0</v>
      </c>
    </row>
    <row r="700">
      <c r="A700" s="40" t="s">
        <v>50</v>
      </c>
      <c r="B700" s="40"/>
      <c r="C700" s="40">
        <v>812.0</v>
      </c>
      <c r="D700" s="40" t="s">
        <v>131</v>
      </c>
      <c r="E700" s="40" t="s">
        <v>26</v>
      </c>
      <c r="F700" s="197">
        <v>44862.0</v>
      </c>
      <c r="G700" s="197">
        <v>44489.0</v>
      </c>
      <c r="H700" s="197">
        <v>44489.0</v>
      </c>
      <c r="I700" s="197">
        <v>44489.0</v>
      </c>
      <c r="J700" s="196">
        <v>0.0</v>
      </c>
      <c r="K700" s="196">
        <v>0.0</v>
      </c>
      <c r="L700" s="196">
        <v>0.0</v>
      </c>
      <c r="M700" s="40">
        <v>1.0</v>
      </c>
      <c r="N700" s="196">
        <v>0.0</v>
      </c>
    </row>
    <row r="701">
      <c r="A701" s="41" t="s">
        <v>50</v>
      </c>
      <c r="B701" s="41"/>
      <c r="C701" s="41">
        <v>709.0</v>
      </c>
      <c r="D701" s="41" t="s">
        <v>1296</v>
      </c>
      <c r="E701" s="41" t="s">
        <v>26</v>
      </c>
      <c r="F701" s="46">
        <v>44978.0</v>
      </c>
      <c r="G701" s="46">
        <v>45176.0</v>
      </c>
      <c r="H701" s="46">
        <v>45242.0</v>
      </c>
      <c r="I701" s="46">
        <v>45982.0</v>
      </c>
      <c r="J701" s="47">
        <v>59.99</v>
      </c>
      <c r="K701" s="47">
        <v>0.0</v>
      </c>
      <c r="L701" s="47">
        <v>59.99</v>
      </c>
      <c r="M701" s="41">
        <v>99.0</v>
      </c>
      <c r="N701" s="47">
        <v>0.0</v>
      </c>
    </row>
    <row r="702">
      <c r="A702" s="40" t="s">
        <v>50</v>
      </c>
      <c r="B702" s="40"/>
      <c r="C702" s="40">
        <v>813.0</v>
      </c>
      <c r="D702" s="40" t="s">
        <v>132</v>
      </c>
      <c r="E702" s="40" t="s">
        <v>26</v>
      </c>
      <c r="F702" s="197">
        <v>45009.0</v>
      </c>
      <c r="G702" s="197">
        <v>45195.0</v>
      </c>
      <c r="H702" s="197">
        <v>45199.0</v>
      </c>
      <c r="I702" s="197">
        <v>45209.0</v>
      </c>
      <c r="J702" s="196">
        <v>69.99</v>
      </c>
      <c r="K702" s="196">
        <v>39.89</v>
      </c>
      <c r="L702" s="196">
        <v>30.1</v>
      </c>
      <c r="M702" s="40">
        <v>23.0</v>
      </c>
      <c r="N702" s="196">
        <v>1.73</v>
      </c>
    </row>
    <row r="703">
      <c r="A703" s="40" t="s">
        <v>50</v>
      </c>
      <c r="B703" s="40"/>
      <c r="C703" s="40">
        <v>710.0</v>
      </c>
      <c r="D703" s="40" t="s">
        <v>1297</v>
      </c>
      <c r="E703" s="40" t="s">
        <v>26</v>
      </c>
      <c r="F703" s="197">
        <v>45239.0</v>
      </c>
      <c r="G703" s="197">
        <v>45285.0</v>
      </c>
      <c r="H703" s="197">
        <v>45289.0</v>
      </c>
      <c r="I703" s="197">
        <v>45296.0</v>
      </c>
      <c r="J703" s="196">
        <v>54.99</v>
      </c>
      <c r="K703" s="196">
        <v>0.0</v>
      </c>
      <c r="L703" s="196">
        <v>54.99</v>
      </c>
      <c r="M703" s="40">
        <v>47.0</v>
      </c>
      <c r="N703" s="196">
        <v>0.0</v>
      </c>
    </row>
    <row r="704">
      <c r="A704" s="40" t="s">
        <v>50</v>
      </c>
      <c r="B704" s="40"/>
      <c r="C704" s="40">
        <v>711.0</v>
      </c>
      <c r="D704" s="40" t="s">
        <v>1298</v>
      </c>
      <c r="E704" s="40" t="s">
        <v>26</v>
      </c>
      <c r="F704" s="197">
        <v>45317.0</v>
      </c>
      <c r="G704" s="197">
        <v>45285.0</v>
      </c>
      <c r="H704" s="197">
        <v>45317.0</v>
      </c>
      <c r="I704" s="197">
        <v>45338.0</v>
      </c>
      <c r="J704" s="196">
        <v>69.99</v>
      </c>
      <c r="K704" s="196">
        <v>46.23</v>
      </c>
      <c r="L704" s="196">
        <v>23.76</v>
      </c>
      <c r="M704" s="40">
        <v>154.0</v>
      </c>
      <c r="N704" s="196">
        <v>0.3</v>
      </c>
    </row>
    <row r="705">
      <c r="A705" s="40" t="s">
        <v>50</v>
      </c>
      <c r="B705" s="40"/>
      <c r="C705" s="40">
        <v>1038.0</v>
      </c>
      <c r="D705" s="40" t="s">
        <v>1299</v>
      </c>
      <c r="E705" s="40" t="s">
        <v>27</v>
      </c>
      <c r="F705" s="197">
        <v>42656.0</v>
      </c>
      <c r="G705" s="197">
        <v>43462.0</v>
      </c>
      <c r="H705" s="197">
        <v>43469.0</v>
      </c>
      <c r="I705" s="197">
        <v>43483.0</v>
      </c>
      <c r="J705" s="196">
        <v>0.0</v>
      </c>
      <c r="K705" s="196">
        <v>0.0</v>
      </c>
      <c r="L705" s="196">
        <v>0.0</v>
      </c>
      <c r="M705" s="40">
        <v>1.0</v>
      </c>
      <c r="N705" s="196">
        <v>0.0</v>
      </c>
    </row>
    <row r="706">
      <c r="A706" s="40" t="s">
        <v>50</v>
      </c>
      <c r="B706" s="40"/>
      <c r="C706" s="40">
        <v>1002.0</v>
      </c>
      <c r="D706" s="40" t="s">
        <v>1300</v>
      </c>
      <c r="E706" s="40" t="s">
        <v>27</v>
      </c>
      <c r="F706" s="197">
        <v>42977.0</v>
      </c>
      <c r="G706" s="197">
        <v>43912.0</v>
      </c>
      <c r="H706" s="197">
        <v>43973.0</v>
      </c>
      <c r="I706" s="197">
        <v>43973.0</v>
      </c>
      <c r="J706" s="196">
        <v>29.99</v>
      </c>
      <c r="K706" s="196">
        <v>14.99</v>
      </c>
      <c r="L706" s="196">
        <v>15.0</v>
      </c>
      <c r="M706" s="40">
        <v>1.0</v>
      </c>
      <c r="N706" s="196">
        <v>14.99</v>
      </c>
    </row>
    <row r="707">
      <c r="A707" s="40" t="s">
        <v>50</v>
      </c>
      <c r="B707" s="40"/>
      <c r="C707" s="40">
        <v>997.0</v>
      </c>
      <c r="D707" s="40" t="s">
        <v>1301</v>
      </c>
      <c r="E707" s="40" t="s">
        <v>27</v>
      </c>
      <c r="F707" s="197">
        <v>43291.0</v>
      </c>
      <c r="G707" s="197">
        <v>43475.0</v>
      </c>
      <c r="H707" s="197">
        <v>43542.0</v>
      </c>
      <c r="I707" s="197">
        <v>43542.0</v>
      </c>
      <c r="J707" s="196">
        <v>14.99</v>
      </c>
      <c r="K707" s="196">
        <v>14.99</v>
      </c>
      <c r="L707" s="196">
        <v>0.0</v>
      </c>
      <c r="M707" s="40">
        <v>1.0</v>
      </c>
      <c r="N707" s="196">
        <v>14.99</v>
      </c>
    </row>
    <row r="708">
      <c r="A708" s="40" t="s">
        <v>50</v>
      </c>
      <c r="B708" s="40"/>
      <c r="C708" s="40">
        <v>987.0</v>
      </c>
      <c r="D708" s="40" t="s">
        <v>1302</v>
      </c>
      <c r="E708" s="40" t="s">
        <v>27</v>
      </c>
      <c r="F708" s="197">
        <v>43375.0</v>
      </c>
      <c r="G708" s="197">
        <v>43477.0</v>
      </c>
      <c r="H708" s="197">
        <v>43477.0</v>
      </c>
      <c r="I708" s="197">
        <v>44236.0</v>
      </c>
      <c r="J708" s="196">
        <v>39.99</v>
      </c>
      <c r="K708" s="196">
        <v>4.79</v>
      </c>
      <c r="L708" s="196">
        <v>35.2</v>
      </c>
      <c r="M708" s="40">
        <v>15.0</v>
      </c>
      <c r="N708" s="196">
        <v>0.32</v>
      </c>
    </row>
    <row r="709">
      <c r="A709" s="40" t="s">
        <v>50</v>
      </c>
      <c r="B709" s="40"/>
      <c r="C709" s="40">
        <v>1015.0</v>
      </c>
      <c r="D709" s="40" t="s">
        <v>1303</v>
      </c>
      <c r="E709" s="40" t="s">
        <v>27</v>
      </c>
      <c r="F709" s="197">
        <v>43488.0</v>
      </c>
      <c r="G709" s="197">
        <v>44502.0</v>
      </c>
      <c r="H709" s="197">
        <v>44502.0</v>
      </c>
      <c r="I709" s="197">
        <v>44502.0</v>
      </c>
      <c r="J709" s="196">
        <v>0.0</v>
      </c>
      <c r="K709" s="196">
        <v>0.0</v>
      </c>
      <c r="L709" s="196">
        <v>0.0</v>
      </c>
      <c r="M709" s="40">
        <v>1.0</v>
      </c>
      <c r="N709" s="196">
        <v>0.0</v>
      </c>
    </row>
    <row r="710">
      <c r="A710" s="40" t="s">
        <v>50</v>
      </c>
      <c r="B710" s="40"/>
      <c r="C710" s="40">
        <v>1054.0</v>
      </c>
      <c r="D710" s="40" t="s">
        <v>1304</v>
      </c>
      <c r="E710" s="40" t="s">
        <v>28</v>
      </c>
      <c r="F710" s="197">
        <v>44147.0</v>
      </c>
      <c r="G710" s="197">
        <v>44332.0</v>
      </c>
      <c r="H710" s="197">
        <v>44332.0</v>
      </c>
      <c r="I710" s="197">
        <v>44333.0</v>
      </c>
      <c r="J710" s="196">
        <v>0.0</v>
      </c>
      <c r="K710" s="196">
        <v>0.0</v>
      </c>
      <c r="L710" s="196">
        <v>0.0</v>
      </c>
      <c r="M710" s="40">
        <v>7.0</v>
      </c>
      <c r="N710" s="196">
        <v>0.0</v>
      </c>
    </row>
    <row r="711">
      <c r="A711" s="40" t="s">
        <v>50</v>
      </c>
      <c r="B711" s="40"/>
      <c r="C711" s="40">
        <v>1061.0</v>
      </c>
      <c r="D711" s="40" t="s">
        <v>1305</v>
      </c>
      <c r="E711" s="40" t="s">
        <v>28</v>
      </c>
      <c r="F711" s="197">
        <v>44645.0</v>
      </c>
      <c r="G711" s="197">
        <v>44708.0</v>
      </c>
      <c r="H711" s="197">
        <v>44710.0</v>
      </c>
      <c r="I711" s="197">
        <v>44719.0</v>
      </c>
      <c r="J711" s="196">
        <v>69.99</v>
      </c>
      <c r="K711" s="196">
        <v>34.99</v>
      </c>
      <c r="L711" s="196">
        <v>35.0</v>
      </c>
      <c r="M711" s="40">
        <v>49.0</v>
      </c>
      <c r="N711" s="196">
        <v>0.71</v>
      </c>
    </row>
    <row r="712">
      <c r="A712" s="41" t="s">
        <v>50</v>
      </c>
      <c r="B712" s="41"/>
      <c r="C712" s="40">
        <v>1081.0</v>
      </c>
      <c r="D712" s="40" t="s">
        <v>1306</v>
      </c>
      <c r="E712" s="40" t="s">
        <v>28</v>
      </c>
      <c r="F712" s="197">
        <v>45316.0</v>
      </c>
      <c r="G712" s="197">
        <v>45602.0</v>
      </c>
      <c r="H712" s="197">
        <v>45740.0</v>
      </c>
      <c r="I712" s="197">
        <v>45753.0</v>
      </c>
      <c r="J712" s="43">
        <v>79.99</v>
      </c>
      <c r="K712" s="43">
        <v>39.99</v>
      </c>
      <c r="L712" s="43">
        <v>40.0</v>
      </c>
      <c r="M712" s="40">
        <v>14.0</v>
      </c>
      <c r="N712" s="196">
        <v>2.86</v>
      </c>
    </row>
    <row r="713">
      <c r="A713" s="40" t="s">
        <v>50</v>
      </c>
      <c r="B713" s="40"/>
      <c r="C713" s="40">
        <v>1059.0</v>
      </c>
      <c r="D713" s="40" t="s">
        <v>1307</v>
      </c>
      <c r="E713" s="40" t="s">
        <v>28</v>
      </c>
      <c r="F713" s="197">
        <v>45351.0</v>
      </c>
      <c r="G713" s="197">
        <v>45542.0</v>
      </c>
      <c r="H713" s="197">
        <v>45546.0</v>
      </c>
      <c r="I713" s="197">
        <v>45568.0</v>
      </c>
      <c r="J713" s="196">
        <v>79.99</v>
      </c>
      <c r="K713" s="196">
        <v>0.0</v>
      </c>
      <c r="L713" s="196">
        <v>79.99</v>
      </c>
      <c r="M713" s="40">
        <v>89.0</v>
      </c>
      <c r="N713" s="196">
        <v>0.0</v>
      </c>
    </row>
    <row r="714">
      <c r="A714" s="44" t="s">
        <v>50</v>
      </c>
      <c r="B714" s="45"/>
      <c r="C714" s="40">
        <v>1055.0</v>
      </c>
      <c r="D714" s="196" t="s">
        <v>1308</v>
      </c>
      <c r="E714" s="40" t="s">
        <v>28</v>
      </c>
      <c r="F714" s="197">
        <v>45541.0</v>
      </c>
      <c r="G714" s="197">
        <v>45506.0</v>
      </c>
      <c r="H714" s="197">
        <v>45541.0</v>
      </c>
      <c r="I714" s="197">
        <v>45852.0</v>
      </c>
      <c r="J714" s="43">
        <v>69.99</v>
      </c>
      <c r="K714" s="43">
        <v>0.0</v>
      </c>
      <c r="L714" s="196">
        <v>69.99</v>
      </c>
      <c r="M714" s="225">
        <v>21.0</v>
      </c>
      <c r="N714" s="196">
        <v>0.0</v>
      </c>
    </row>
    <row r="715">
      <c r="A715" s="40" t="s">
        <v>50</v>
      </c>
      <c r="B715" s="40" t="s">
        <v>431</v>
      </c>
      <c r="C715" s="40">
        <v>1070.0</v>
      </c>
      <c r="D715" s="40" t="s">
        <v>1309</v>
      </c>
      <c r="E715" s="40" t="s">
        <v>28</v>
      </c>
      <c r="F715" s="197">
        <v>45560.0</v>
      </c>
      <c r="G715" s="197">
        <v>45586.0</v>
      </c>
      <c r="H715" s="197">
        <v>45586.0</v>
      </c>
      <c r="I715" s="197">
        <v>45820.0</v>
      </c>
      <c r="J715" s="43">
        <v>28.99</v>
      </c>
      <c r="K715" s="43">
        <v>28.99</v>
      </c>
      <c r="L715" s="196">
        <v>0.0</v>
      </c>
      <c r="M715" s="40">
        <v>22.0</v>
      </c>
      <c r="N715" s="196">
        <v>1.32</v>
      </c>
    </row>
    <row r="716">
      <c r="A716" s="40" t="s">
        <v>50</v>
      </c>
      <c r="B716" s="40"/>
      <c r="C716" s="40">
        <v>1066.0</v>
      </c>
      <c r="D716" s="40" t="s">
        <v>1310</v>
      </c>
      <c r="E716" s="40" t="s">
        <v>28</v>
      </c>
      <c r="F716" s="197">
        <v>45709.0</v>
      </c>
      <c r="G716" s="197">
        <v>45651.0</v>
      </c>
      <c r="H716" s="197">
        <v>45709.0</v>
      </c>
      <c r="I716" s="197">
        <v>45718.0</v>
      </c>
      <c r="J716" s="43">
        <v>59.99</v>
      </c>
      <c r="K716" s="43">
        <v>0.0</v>
      </c>
      <c r="L716" s="196">
        <v>59.99</v>
      </c>
      <c r="M716" s="40">
        <v>56.0</v>
      </c>
      <c r="N716" s="196">
        <v>0.0</v>
      </c>
    </row>
    <row r="717">
      <c r="A717" s="37">
        <f t="shared" ref="A717:B717" si="56">COUNTA(A467:A716)</f>
        <v>250</v>
      </c>
      <c r="B717" s="37">
        <f t="shared" si="56"/>
        <v>49</v>
      </c>
      <c r="C717" s="37">
        <v>250.0</v>
      </c>
      <c r="D717" s="37">
        <v>49.0</v>
      </c>
      <c r="E717" s="39">
        <v>5122.12</v>
      </c>
      <c r="F717" s="39">
        <v>2269.68</v>
      </c>
      <c r="G717" s="39">
        <v>2852.44</v>
      </c>
      <c r="H717" s="37">
        <v>3771.0</v>
      </c>
      <c r="I717" s="49">
        <v>0.6</v>
      </c>
      <c r="J717" s="173">
        <f t="shared" ref="J717:M717" si="57">SUM(J467:J716)</f>
        <v>5122.12</v>
      </c>
      <c r="K717" s="173">
        <f t="shared" si="57"/>
        <v>2269.68</v>
      </c>
      <c r="L717" s="173">
        <f t="shared" si="57"/>
        <v>2852.44</v>
      </c>
      <c r="M717" s="58">
        <f t="shared" si="57"/>
        <v>3771</v>
      </c>
      <c r="N717" s="173">
        <f>K717/M717</f>
        <v>0.6018774861</v>
      </c>
    </row>
    <row r="718">
      <c r="A718" s="1"/>
      <c r="B718" s="1"/>
      <c r="C718" s="1"/>
      <c r="D718" s="109"/>
      <c r="E718" s="144"/>
      <c r="F718" s="144"/>
      <c r="G718" s="144"/>
      <c r="H718" s="144"/>
      <c r="I718" s="144"/>
      <c r="J718" s="108"/>
      <c r="K718" s="108"/>
      <c r="L718" s="108"/>
      <c r="M718" s="109"/>
      <c r="N718" s="7"/>
    </row>
    <row r="719">
      <c r="A719" s="54" t="s">
        <v>449</v>
      </c>
      <c r="B719" s="54" t="s">
        <v>448</v>
      </c>
      <c r="C719" s="54">
        <v>474.0</v>
      </c>
      <c r="D719" s="54" t="s">
        <v>1311</v>
      </c>
      <c r="E719" s="54" t="s">
        <v>25</v>
      </c>
      <c r="F719" s="192">
        <v>42318.0</v>
      </c>
      <c r="G719" s="192">
        <v>42875.0</v>
      </c>
      <c r="H719" s="192">
        <v>45062.0</v>
      </c>
      <c r="I719" s="192">
        <v>45069.0</v>
      </c>
      <c r="J719" s="191">
        <v>49.98</v>
      </c>
      <c r="K719" s="191">
        <v>12.98</v>
      </c>
      <c r="L719" s="191">
        <v>37.0</v>
      </c>
      <c r="M719" s="54">
        <v>20.0</v>
      </c>
      <c r="N719" s="191">
        <v>0.65</v>
      </c>
    </row>
    <row r="720">
      <c r="A720" s="54" t="s">
        <v>449</v>
      </c>
      <c r="B720" s="54" t="s">
        <v>450</v>
      </c>
      <c r="C720" s="54">
        <v>840.0</v>
      </c>
      <c r="D720" s="54" t="s">
        <v>1312</v>
      </c>
      <c r="E720" s="54" t="s">
        <v>26</v>
      </c>
      <c r="F720" s="192">
        <v>44490.0</v>
      </c>
      <c r="G720" s="192">
        <v>45385.0</v>
      </c>
      <c r="H720" s="192">
        <v>45385.0</v>
      </c>
      <c r="I720" s="192">
        <v>45385.0</v>
      </c>
      <c r="J720" s="191">
        <v>16.99</v>
      </c>
      <c r="K720" s="191">
        <v>0.0</v>
      </c>
      <c r="L720" s="191">
        <v>16.99</v>
      </c>
      <c r="M720" s="54">
        <v>1.0</v>
      </c>
      <c r="N720" s="191">
        <v>0.0</v>
      </c>
    </row>
    <row r="721">
      <c r="A721" s="50">
        <f t="shared" ref="A721:B721" si="58">COUNTA(A719:A720)</f>
        <v>2</v>
      </c>
      <c r="B721" s="50">
        <f t="shared" si="58"/>
        <v>2</v>
      </c>
      <c r="C721" s="50"/>
      <c r="D721" s="193"/>
      <c r="E721" s="211">
        <v>66.97</v>
      </c>
      <c r="F721" s="211">
        <v>12.98</v>
      </c>
      <c r="G721" s="211">
        <v>53.99</v>
      </c>
      <c r="H721" s="50">
        <v>21.0</v>
      </c>
      <c r="I721" s="189">
        <v>0.6180952380952381</v>
      </c>
      <c r="J721" s="53">
        <f t="shared" ref="J721:M721" si="59">SUM(J719:J720)</f>
        <v>66.97</v>
      </c>
      <c r="K721" s="53">
        <f t="shared" si="59"/>
        <v>12.98</v>
      </c>
      <c r="L721" s="53">
        <f t="shared" si="59"/>
        <v>53.99</v>
      </c>
      <c r="M721" s="193">
        <f t="shared" si="59"/>
        <v>21</v>
      </c>
      <c r="N721" s="53">
        <f>K721/M721</f>
        <v>0.6180952381</v>
      </c>
    </row>
    <row r="722">
      <c r="A722" s="54"/>
      <c r="B722" s="54"/>
      <c r="C722" s="54"/>
      <c r="D722" s="55"/>
      <c r="E722" s="55"/>
      <c r="F722" s="55"/>
      <c r="G722" s="55"/>
      <c r="H722" s="55"/>
      <c r="I722" s="55"/>
      <c r="J722" s="187"/>
      <c r="K722" s="187"/>
      <c r="L722" s="187"/>
      <c r="M722" s="55"/>
      <c r="N722" s="187"/>
    </row>
    <row r="723">
      <c r="A723" s="162" t="s">
        <v>452</v>
      </c>
      <c r="B723" s="162" t="s">
        <v>451</v>
      </c>
      <c r="C723" s="162">
        <v>670.0</v>
      </c>
      <c r="D723" s="162" t="s">
        <v>1313</v>
      </c>
      <c r="E723" s="162" t="s">
        <v>26</v>
      </c>
      <c r="F723" s="163">
        <v>42864.0</v>
      </c>
      <c r="G723" s="163">
        <v>42954.0</v>
      </c>
      <c r="H723" s="163">
        <v>42959.0</v>
      </c>
      <c r="I723" s="163">
        <v>44433.0</v>
      </c>
      <c r="J723" s="164">
        <v>14.99</v>
      </c>
      <c r="K723" s="164">
        <v>9.99</v>
      </c>
      <c r="L723" s="164">
        <v>5.0</v>
      </c>
      <c r="M723" s="162">
        <v>8.0</v>
      </c>
      <c r="N723" s="164">
        <v>1.25</v>
      </c>
    </row>
    <row r="724">
      <c r="A724" s="165">
        <f t="shared" ref="A724:B724" si="60">COUNTA(A723)</f>
        <v>1</v>
      </c>
      <c r="B724" s="165">
        <f t="shared" si="60"/>
        <v>1</v>
      </c>
      <c r="C724" s="165"/>
      <c r="D724" s="165"/>
      <c r="E724" s="167">
        <v>14.99</v>
      </c>
      <c r="F724" s="167">
        <v>9.99</v>
      </c>
      <c r="G724" s="167">
        <v>5.0</v>
      </c>
      <c r="H724" s="165">
        <v>8.0</v>
      </c>
      <c r="I724" s="167">
        <v>1.24875</v>
      </c>
      <c r="J724" s="168">
        <f t="shared" ref="J724:M724" si="61">SUM(J723)</f>
        <v>14.99</v>
      </c>
      <c r="K724" s="168">
        <f t="shared" si="61"/>
        <v>9.99</v>
      </c>
      <c r="L724" s="168">
        <f t="shared" si="61"/>
        <v>5</v>
      </c>
      <c r="M724" s="169">
        <f t="shared" si="61"/>
        <v>8</v>
      </c>
      <c r="N724" s="168">
        <f>K724/M724</f>
        <v>1.24875</v>
      </c>
    </row>
    <row r="725">
      <c r="A725" s="170"/>
      <c r="B725" s="170"/>
      <c r="C725" s="170"/>
      <c r="D725" s="170"/>
      <c r="E725" s="140"/>
      <c r="F725" s="140"/>
      <c r="G725" s="140"/>
      <c r="H725" s="140"/>
      <c r="I725" s="140"/>
      <c r="J725" s="171"/>
      <c r="K725" s="171"/>
      <c r="L725" s="171"/>
      <c r="M725" s="140"/>
      <c r="N725" s="171"/>
    </row>
    <row r="726">
      <c r="A726" s="40" t="s">
        <v>454</v>
      </c>
      <c r="B726" s="230" t="s">
        <v>453</v>
      </c>
      <c r="C726" s="40">
        <v>839.0</v>
      </c>
      <c r="D726" s="40" t="s">
        <v>1314</v>
      </c>
      <c r="E726" s="40" t="s">
        <v>26</v>
      </c>
      <c r="F726" s="197">
        <v>44258.0</v>
      </c>
      <c r="G726" s="197">
        <v>44351.0</v>
      </c>
      <c r="H726" s="197">
        <v>44351.0</v>
      </c>
      <c r="I726" s="197">
        <v>44354.0</v>
      </c>
      <c r="J726" s="196">
        <v>9.99</v>
      </c>
      <c r="K726" s="196">
        <v>6.99</v>
      </c>
      <c r="L726" s="196">
        <v>3.0</v>
      </c>
      <c r="M726" s="40">
        <v>3.0</v>
      </c>
      <c r="N726" s="196">
        <v>2.33</v>
      </c>
    </row>
    <row r="727">
      <c r="A727" s="37">
        <f t="shared" ref="A727:B727" si="62">COUNTA(A726)</f>
        <v>1</v>
      </c>
      <c r="B727" s="37">
        <f t="shared" si="62"/>
        <v>1</v>
      </c>
      <c r="C727" s="37"/>
      <c r="D727" s="58"/>
      <c r="E727" s="194">
        <v>9.99</v>
      </c>
      <c r="F727" s="194">
        <v>6.99</v>
      </c>
      <c r="G727" s="194">
        <v>3.0</v>
      </c>
      <c r="H727" s="37">
        <v>3.0</v>
      </c>
      <c r="I727" s="49">
        <v>2.33</v>
      </c>
      <c r="J727" s="173">
        <f t="shared" ref="J727:M727" si="63">SUM(J726)</f>
        <v>9.99</v>
      </c>
      <c r="K727" s="173">
        <f t="shared" si="63"/>
        <v>6.99</v>
      </c>
      <c r="L727" s="173">
        <f t="shared" si="63"/>
        <v>3</v>
      </c>
      <c r="M727" s="58">
        <f t="shared" si="63"/>
        <v>3</v>
      </c>
      <c r="N727" s="173">
        <f>K727/M727</f>
        <v>2.33</v>
      </c>
    </row>
    <row r="728">
      <c r="A728" s="109"/>
      <c r="B728" s="109"/>
      <c r="C728" s="109"/>
      <c r="D728" s="144"/>
      <c r="E728" s="109"/>
      <c r="F728" s="109"/>
      <c r="G728" s="109"/>
      <c r="H728" s="109"/>
      <c r="I728" s="109"/>
      <c r="J728" s="172"/>
      <c r="K728" s="172"/>
      <c r="L728" s="172"/>
      <c r="M728" s="144"/>
      <c r="N728" s="172"/>
    </row>
    <row r="729">
      <c r="A729" s="147" t="s">
        <v>456</v>
      </c>
      <c r="B729" s="147" t="s">
        <v>455</v>
      </c>
      <c r="C729" s="147">
        <v>687.0</v>
      </c>
      <c r="D729" s="147" t="s">
        <v>1315</v>
      </c>
      <c r="E729" s="147" t="s">
        <v>26</v>
      </c>
      <c r="F729" s="148">
        <v>43116.0</v>
      </c>
      <c r="G729" s="148">
        <v>43548.0</v>
      </c>
      <c r="H729" s="148">
        <v>43548.0</v>
      </c>
      <c r="I729" s="148">
        <v>43548.0</v>
      </c>
      <c r="J729" s="149">
        <v>39.99</v>
      </c>
      <c r="K729" s="149">
        <v>19.99</v>
      </c>
      <c r="L729" s="149">
        <v>20.0</v>
      </c>
      <c r="M729" s="147">
        <v>2.0</v>
      </c>
      <c r="N729" s="149">
        <v>10.0</v>
      </c>
    </row>
    <row r="730">
      <c r="A730" s="231">
        <f t="shared" ref="A730:B730" si="64">COUNTA(A729)</f>
        <v>1</v>
      </c>
      <c r="B730" s="231">
        <f t="shared" si="64"/>
        <v>1</v>
      </c>
      <c r="C730" s="231"/>
      <c r="D730" s="231"/>
      <c r="E730" s="232">
        <v>39.99</v>
      </c>
      <c r="F730" s="232">
        <v>19.99</v>
      </c>
      <c r="G730" s="232">
        <v>20.0</v>
      </c>
      <c r="H730" s="231">
        <v>2.0</v>
      </c>
      <c r="I730" s="233">
        <v>9.995</v>
      </c>
      <c r="J730" s="234">
        <f t="shared" ref="J730:M730" si="65">SUM(J729)</f>
        <v>39.99</v>
      </c>
      <c r="K730" s="234">
        <f t="shared" si="65"/>
        <v>19.99</v>
      </c>
      <c r="L730" s="234">
        <f t="shared" si="65"/>
        <v>20</v>
      </c>
      <c r="M730" s="235">
        <f t="shared" si="65"/>
        <v>2</v>
      </c>
      <c r="N730" s="234">
        <f>K730/M730</f>
        <v>9.995</v>
      </c>
    </row>
    <row r="731">
      <c r="A731" s="176"/>
      <c r="B731" s="112"/>
      <c r="C731" s="112"/>
      <c r="D731" s="112"/>
      <c r="E731" s="112"/>
      <c r="F731" s="112"/>
      <c r="G731" s="112"/>
      <c r="H731" s="112"/>
      <c r="I731" s="112"/>
      <c r="J731" s="178"/>
      <c r="K731" s="178"/>
      <c r="L731" s="178"/>
      <c r="M731" s="176"/>
      <c r="N731" s="178"/>
    </row>
    <row r="732">
      <c r="A732" s="59" t="s">
        <v>53</v>
      </c>
      <c r="B732" s="59" t="s">
        <v>458</v>
      </c>
      <c r="C732" s="59">
        <v>107.0</v>
      </c>
      <c r="D732" s="59" t="s">
        <v>1316</v>
      </c>
      <c r="E732" s="59" t="s">
        <v>22</v>
      </c>
      <c r="F732" s="236">
        <v>38317.0</v>
      </c>
      <c r="G732" s="236">
        <v>44292.0</v>
      </c>
      <c r="H732" s="236">
        <v>44292.0</v>
      </c>
      <c r="I732" s="236">
        <v>44292.0</v>
      </c>
      <c r="J732" s="61">
        <v>12.99</v>
      </c>
      <c r="K732" s="61">
        <v>12.99</v>
      </c>
      <c r="L732" s="61">
        <v>0.0</v>
      </c>
      <c r="M732" s="59">
        <v>2.0</v>
      </c>
      <c r="N732" s="61">
        <v>6.5</v>
      </c>
    </row>
    <row r="733">
      <c r="A733" s="59" t="s">
        <v>53</v>
      </c>
      <c r="B733" s="59" t="s">
        <v>54</v>
      </c>
      <c r="C733" s="59">
        <v>180.0</v>
      </c>
      <c r="D733" s="59" t="s">
        <v>55</v>
      </c>
      <c r="E733" s="59" t="s">
        <v>24</v>
      </c>
      <c r="F733" s="60">
        <v>41770.0</v>
      </c>
      <c r="G733" s="60">
        <v>45048.0</v>
      </c>
      <c r="H733" s="60">
        <v>46047.0</v>
      </c>
      <c r="I733" s="60">
        <v>46047.0</v>
      </c>
      <c r="J733" s="61">
        <v>14.99</v>
      </c>
      <c r="K733" s="61">
        <v>1.49</v>
      </c>
      <c r="L733" s="61">
        <v>13.5</v>
      </c>
      <c r="M733" s="59">
        <v>2.0</v>
      </c>
      <c r="N733" s="61">
        <f>K733/M733</f>
        <v>0.745</v>
      </c>
    </row>
    <row r="734">
      <c r="A734" s="59" t="s">
        <v>53</v>
      </c>
      <c r="B734" s="59" t="s">
        <v>457</v>
      </c>
      <c r="C734" s="59">
        <v>446.0</v>
      </c>
      <c r="D734" s="59" t="s">
        <v>1317</v>
      </c>
      <c r="E734" s="59" t="s">
        <v>25</v>
      </c>
      <c r="F734" s="236">
        <v>41689.0</v>
      </c>
      <c r="G734" s="236">
        <v>42832.0</v>
      </c>
      <c r="H734" s="236">
        <v>45054.0</v>
      </c>
      <c r="I734" s="236">
        <v>45054.0</v>
      </c>
      <c r="J734" s="61">
        <v>2.49</v>
      </c>
      <c r="K734" s="61">
        <v>2.49</v>
      </c>
      <c r="L734" s="61">
        <v>0.0</v>
      </c>
      <c r="M734" s="59">
        <v>5.0</v>
      </c>
      <c r="N734" s="61">
        <v>0.5</v>
      </c>
    </row>
    <row r="735">
      <c r="A735" s="59" t="s">
        <v>53</v>
      </c>
      <c r="B735" s="59" t="s">
        <v>460</v>
      </c>
      <c r="C735" s="59">
        <v>528.0</v>
      </c>
      <c r="D735" s="59" t="s">
        <v>1318</v>
      </c>
      <c r="E735" s="59" t="s">
        <v>26</v>
      </c>
      <c r="F735" s="236">
        <v>42255.0</v>
      </c>
      <c r="G735" s="236">
        <v>42939.0</v>
      </c>
      <c r="H735" s="236">
        <v>42939.0</v>
      </c>
      <c r="I735" s="236">
        <v>42939.0</v>
      </c>
      <c r="J735" s="61">
        <v>12.99</v>
      </c>
      <c r="K735" s="61">
        <v>3.99</v>
      </c>
      <c r="L735" s="61">
        <v>9.0</v>
      </c>
      <c r="M735" s="59">
        <v>1.0</v>
      </c>
      <c r="N735" s="61">
        <v>3.99</v>
      </c>
    </row>
    <row r="736">
      <c r="A736" s="59" t="s">
        <v>53</v>
      </c>
      <c r="B736" s="59" t="s">
        <v>462</v>
      </c>
      <c r="C736" s="59">
        <v>942.0</v>
      </c>
      <c r="D736" s="59" t="s">
        <v>1319</v>
      </c>
      <c r="E736" s="59" t="s">
        <v>26</v>
      </c>
      <c r="F736" s="236">
        <v>42584.0</v>
      </c>
      <c r="G736" s="236">
        <v>42754.0</v>
      </c>
      <c r="H736" s="236">
        <v>42757.0</v>
      </c>
      <c r="I736" s="236">
        <v>44664.0</v>
      </c>
      <c r="J736" s="61">
        <v>14.99</v>
      </c>
      <c r="K736" s="61">
        <v>5.99</v>
      </c>
      <c r="L736" s="61">
        <v>9.0</v>
      </c>
      <c r="M736" s="59">
        <v>2.0</v>
      </c>
      <c r="N736" s="61">
        <v>3.0</v>
      </c>
    </row>
    <row r="737">
      <c r="A737" s="59" t="s">
        <v>53</v>
      </c>
      <c r="B737" s="59"/>
      <c r="C737" s="59">
        <v>665.0</v>
      </c>
      <c r="D737" s="59" t="s">
        <v>1320</v>
      </c>
      <c r="E737" s="59" t="s">
        <v>26</v>
      </c>
      <c r="F737" s="236">
        <v>42795.0</v>
      </c>
      <c r="G737" s="236">
        <v>42870.0</v>
      </c>
      <c r="H737" s="236">
        <v>42870.0</v>
      </c>
      <c r="I737" s="236">
        <v>44943.0</v>
      </c>
      <c r="J737" s="61">
        <v>34.98</v>
      </c>
      <c r="K737" s="61">
        <v>27.98</v>
      </c>
      <c r="L737" s="61">
        <v>7.0</v>
      </c>
      <c r="M737" s="59">
        <v>100.0</v>
      </c>
      <c r="N737" s="61">
        <v>0.28</v>
      </c>
    </row>
    <row r="738">
      <c r="A738" s="237" t="s">
        <v>53</v>
      </c>
      <c r="B738" s="237"/>
      <c r="C738" s="59">
        <v>581.0</v>
      </c>
      <c r="D738" s="59" t="s">
        <v>133</v>
      </c>
      <c r="E738" s="59" t="s">
        <v>26</v>
      </c>
      <c r="F738" s="236">
        <v>44068.0</v>
      </c>
      <c r="G738" s="236">
        <v>45048.0</v>
      </c>
      <c r="H738" s="236">
        <v>45737.0</v>
      </c>
      <c r="I738" s="236">
        <v>45753.0</v>
      </c>
      <c r="J738" s="61">
        <v>21.99</v>
      </c>
      <c r="K738" s="61">
        <v>0.0</v>
      </c>
      <c r="L738" s="61">
        <v>21.99</v>
      </c>
      <c r="M738" s="59">
        <v>19.0</v>
      </c>
      <c r="N738" s="61">
        <v>0.0</v>
      </c>
    </row>
    <row r="739">
      <c r="A739" s="59" t="s">
        <v>53</v>
      </c>
      <c r="B739" s="59"/>
      <c r="C739" s="59">
        <v>666.0</v>
      </c>
      <c r="D739" s="59" t="s">
        <v>1321</v>
      </c>
      <c r="E739" s="59" t="s">
        <v>26</v>
      </c>
      <c r="F739" s="236">
        <v>44610.0</v>
      </c>
      <c r="G739" s="236">
        <v>44923.0</v>
      </c>
      <c r="H739" s="236">
        <v>44946.0</v>
      </c>
      <c r="I739" s="236">
        <v>45630.0</v>
      </c>
      <c r="J739" s="61">
        <v>79.99</v>
      </c>
      <c r="K739" s="61">
        <v>49.59</v>
      </c>
      <c r="L739" s="61">
        <v>30.4</v>
      </c>
      <c r="M739" s="59">
        <v>67.0</v>
      </c>
      <c r="N739" s="61">
        <v>0.74</v>
      </c>
    </row>
    <row r="740">
      <c r="A740" s="59" t="s">
        <v>53</v>
      </c>
      <c r="B740" s="59" t="s">
        <v>461</v>
      </c>
      <c r="C740" s="59">
        <v>986.0</v>
      </c>
      <c r="D740" s="59" t="s">
        <v>1322</v>
      </c>
      <c r="E740" s="59" t="s">
        <v>27</v>
      </c>
      <c r="F740" s="236">
        <v>42710.0</v>
      </c>
      <c r="G740" s="236">
        <v>44516.0</v>
      </c>
      <c r="H740" s="236">
        <v>44860.0</v>
      </c>
      <c r="I740" s="236">
        <v>44860.0</v>
      </c>
      <c r="J740" s="61">
        <v>44.99</v>
      </c>
      <c r="K740" s="61">
        <v>11.24</v>
      </c>
      <c r="L740" s="61">
        <v>33.75</v>
      </c>
      <c r="M740" s="59">
        <v>1.0</v>
      </c>
      <c r="N740" s="61">
        <v>11.24</v>
      </c>
    </row>
    <row r="741">
      <c r="A741" s="59" t="s">
        <v>53</v>
      </c>
      <c r="B741" s="59" t="s">
        <v>459</v>
      </c>
      <c r="C741" s="59">
        <v>1041.0</v>
      </c>
      <c r="D741" s="59" t="s">
        <v>1323</v>
      </c>
      <c r="E741" s="59" t="s">
        <v>27</v>
      </c>
      <c r="F741" s="236">
        <v>43333.0</v>
      </c>
      <c r="G741" s="236">
        <v>43804.0</v>
      </c>
      <c r="H741" s="236">
        <v>43804.0</v>
      </c>
      <c r="I741" s="236">
        <v>43804.0</v>
      </c>
      <c r="J741" s="61">
        <v>19.99</v>
      </c>
      <c r="K741" s="61">
        <v>8.99</v>
      </c>
      <c r="L741" s="61">
        <v>11.0</v>
      </c>
      <c r="M741" s="59">
        <v>1.0</v>
      </c>
      <c r="N741" s="61">
        <v>8.99</v>
      </c>
    </row>
    <row r="742">
      <c r="A742" s="59" t="s">
        <v>53</v>
      </c>
      <c r="B742" s="59"/>
      <c r="C742" s="59">
        <v>1042.0</v>
      </c>
      <c r="D742" s="59" t="s">
        <v>1324</v>
      </c>
      <c r="E742" s="59" t="s">
        <v>27</v>
      </c>
      <c r="F742" s="236">
        <v>44434.0</v>
      </c>
      <c r="G742" s="236">
        <v>44517.0</v>
      </c>
      <c r="H742" s="236">
        <v>44630.0</v>
      </c>
      <c r="I742" s="236">
        <v>44678.0</v>
      </c>
      <c r="J742" s="61">
        <v>19.99</v>
      </c>
      <c r="K742" s="61">
        <v>12.99</v>
      </c>
      <c r="L742" s="61">
        <v>7.0</v>
      </c>
      <c r="M742" s="59">
        <v>1.0</v>
      </c>
      <c r="N742" s="61">
        <v>12.99</v>
      </c>
    </row>
    <row r="743">
      <c r="A743" s="62">
        <f t="shared" ref="A743:B743" si="66">COUNTA(A732:A742)</f>
        <v>11</v>
      </c>
      <c r="B743" s="62">
        <f t="shared" si="66"/>
        <v>7</v>
      </c>
      <c r="C743" s="62">
        <v>11.0</v>
      </c>
      <c r="D743" s="62">
        <v>7.0</v>
      </c>
      <c r="E743" s="64">
        <v>280.38</v>
      </c>
      <c r="F743" s="64">
        <v>137.74</v>
      </c>
      <c r="G743" s="64">
        <v>142.64</v>
      </c>
      <c r="H743" s="62">
        <v>201.0</v>
      </c>
      <c r="I743" s="65">
        <v>0.6887000000000001</v>
      </c>
      <c r="J743" s="238">
        <f t="shared" ref="J743:M743" si="67">SUM(J732:J742)</f>
        <v>280.38</v>
      </c>
      <c r="K743" s="238">
        <f t="shared" si="67"/>
        <v>137.74</v>
      </c>
      <c r="L743" s="238">
        <f t="shared" si="67"/>
        <v>142.64</v>
      </c>
      <c r="M743" s="63">
        <f t="shared" si="67"/>
        <v>201</v>
      </c>
      <c r="N743" s="238">
        <f>K743/M743</f>
        <v>0.6852736318</v>
      </c>
    </row>
    <row r="744">
      <c r="A744" s="239"/>
      <c r="B744" s="239"/>
      <c r="C744" s="239"/>
      <c r="D744" s="240"/>
      <c r="E744" s="240"/>
      <c r="F744" s="240"/>
      <c r="G744" s="240"/>
      <c r="H744" s="240"/>
      <c r="I744" s="240"/>
      <c r="J744" s="1"/>
      <c r="K744" s="1"/>
      <c r="L744" s="1"/>
      <c r="M744" s="1"/>
      <c r="N744" s="1"/>
    </row>
    <row r="745">
      <c r="A745" s="130" t="s">
        <v>464</v>
      </c>
      <c r="B745" s="130" t="s">
        <v>463</v>
      </c>
      <c r="C745" s="130">
        <v>1050.0</v>
      </c>
      <c r="D745" s="130" t="s">
        <v>1325</v>
      </c>
      <c r="E745" s="130" t="s">
        <v>27</v>
      </c>
      <c r="F745" s="212">
        <v>44588.0</v>
      </c>
      <c r="G745" s="212">
        <v>44678.0</v>
      </c>
      <c r="H745" s="212">
        <v>44678.0</v>
      </c>
      <c r="I745" s="212">
        <v>44678.0</v>
      </c>
      <c r="J745" s="213">
        <v>39.99</v>
      </c>
      <c r="K745" s="213">
        <v>19.99</v>
      </c>
      <c r="L745" s="213">
        <v>20.0</v>
      </c>
      <c r="M745" s="130">
        <v>1.0</v>
      </c>
      <c r="N745" s="213">
        <v>19.99</v>
      </c>
    </row>
    <row r="746">
      <c r="A746" s="26">
        <f t="shared" ref="A746:B746" si="68">COUNTA(A745)</f>
        <v>1</v>
      </c>
      <c r="B746" s="26">
        <f t="shared" si="68"/>
        <v>1</v>
      </c>
      <c r="C746" s="26"/>
      <c r="D746" s="16"/>
      <c r="E746" s="14">
        <v>39.99</v>
      </c>
      <c r="F746" s="14">
        <v>19.99</v>
      </c>
      <c r="G746" s="14">
        <v>20.0</v>
      </c>
      <c r="H746" s="26">
        <v>1.0</v>
      </c>
      <c r="I746" s="141">
        <v>19.99</v>
      </c>
      <c r="J746" s="18">
        <f t="shared" ref="J746:M746" si="69">SUM(J745)</f>
        <v>39.99</v>
      </c>
      <c r="K746" s="18">
        <f t="shared" si="69"/>
        <v>19.99</v>
      </c>
      <c r="L746" s="18">
        <f t="shared" si="69"/>
        <v>20</v>
      </c>
      <c r="M746" s="16">
        <f t="shared" si="69"/>
        <v>1</v>
      </c>
      <c r="N746" s="18">
        <f>K746/M746</f>
        <v>19.99</v>
      </c>
    </row>
    <row r="747">
      <c r="A747" s="26"/>
      <c r="B747" s="26"/>
      <c r="C747" s="26"/>
      <c r="D747" s="16"/>
      <c r="E747" s="16"/>
      <c r="F747" s="16"/>
      <c r="G747" s="16"/>
      <c r="H747" s="16"/>
      <c r="I747" s="16"/>
      <c r="J747" s="18"/>
      <c r="K747" s="18"/>
      <c r="L747" s="18"/>
      <c r="M747" s="16"/>
      <c r="N747" s="18"/>
    </row>
    <row r="748">
      <c r="A748" s="40" t="s">
        <v>466</v>
      </c>
      <c r="B748" s="40" t="s">
        <v>465</v>
      </c>
      <c r="C748" s="40">
        <v>876.0</v>
      </c>
      <c r="D748" s="40" t="s">
        <v>1326</v>
      </c>
      <c r="E748" s="40" t="s">
        <v>26</v>
      </c>
      <c r="F748" s="197">
        <v>43625.0</v>
      </c>
      <c r="G748" s="197">
        <v>44431.0</v>
      </c>
      <c r="H748" s="197">
        <v>44436.0</v>
      </c>
      <c r="I748" s="197">
        <v>44446.0</v>
      </c>
      <c r="J748" s="196">
        <v>19.99</v>
      </c>
      <c r="K748" s="196">
        <v>11.99</v>
      </c>
      <c r="L748" s="196">
        <v>8.0</v>
      </c>
      <c r="M748" s="40">
        <v>8.0</v>
      </c>
      <c r="N748" s="196">
        <v>1.5</v>
      </c>
    </row>
    <row r="749">
      <c r="A749" s="241" t="s">
        <v>466</v>
      </c>
      <c r="B749" s="40"/>
      <c r="C749" s="40">
        <v>1071.0</v>
      </c>
      <c r="D749" s="40" t="s">
        <v>1327</v>
      </c>
      <c r="E749" s="40" t="s">
        <v>28</v>
      </c>
      <c r="F749" s="197">
        <v>45568.0</v>
      </c>
      <c r="G749" s="197">
        <v>45602.0</v>
      </c>
      <c r="H749" s="197">
        <v>45604.0</v>
      </c>
      <c r="I749" s="197">
        <v>45623.0</v>
      </c>
      <c r="J749" s="43">
        <v>34.99</v>
      </c>
      <c r="K749" s="43">
        <v>23.44</v>
      </c>
      <c r="L749" s="196">
        <v>11.55</v>
      </c>
      <c r="M749" s="40">
        <v>34.0</v>
      </c>
      <c r="N749" s="196">
        <v>0.69</v>
      </c>
    </row>
    <row r="750">
      <c r="A750" s="37">
        <f>COUNTA(A748:A749)</f>
        <v>2</v>
      </c>
      <c r="B750" s="37">
        <f>COUNTA(B748)</f>
        <v>1</v>
      </c>
      <c r="C750" s="37"/>
      <c r="D750" s="58"/>
      <c r="E750" s="49">
        <v>54.98</v>
      </c>
      <c r="F750" s="49">
        <v>35.43</v>
      </c>
      <c r="G750" s="49">
        <v>19.55</v>
      </c>
      <c r="H750" s="37">
        <v>42.0</v>
      </c>
      <c r="I750" s="49">
        <v>0.8435714285714285</v>
      </c>
      <c r="J750" s="173">
        <f t="shared" ref="J750:M750" si="70">SUM(J748:J749)</f>
        <v>54.98</v>
      </c>
      <c r="K750" s="173">
        <f t="shared" si="70"/>
        <v>35.43</v>
      </c>
      <c r="L750" s="173">
        <f t="shared" si="70"/>
        <v>19.55</v>
      </c>
      <c r="M750" s="58">
        <f t="shared" si="70"/>
        <v>42</v>
      </c>
      <c r="N750" s="173">
        <f>K750/M750</f>
        <v>0.8435714286</v>
      </c>
    </row>
    <row r="751">
      <c r="A751" s="109"/>
      <c r="B751" s="109"/>
      <c r="C751" s="109"/>
      <c r="D751" s="144"/>
      <c r="E751" s="144"/>
      <c r="F751" s="144"/>
      <c r="G751" s="144"/>
      <c r="H751" s="144"/>
      <c r="I751" s="144"/>
      <c r="J751" s="1"/>
      <c r="K751" s="1"/>
      <c r="L751" s="1"/>
      <c r="M751" s="1"/>
      <c r="N751" s="1"/>
    </row>
    <row r="752">
      <c r="A752" s="37" t="s">
        <v>468</v>
      </c>
      <c r="B752" s="37" t="s">
        <v>467</v>
      </c>
      <c r="C752" s="37">
        <v>723.0</v>
      </c>
      <c r="D752" s="37" t="s">
        <v>1328</v>
      </c>
      <c r="E752" s="37" t="s">
        <v>26</v>
      </c>
      <c r="F752" s="143">
        <v>42654.0</v>
      </c>
      <c r="G752" s="143">
        <v>42951.0</v>
      </c>
      <c r="H752" s="143">
        <v>42998.0</v>
      </c>
      <c r="I752" s="143">
        <v>44385.0</v>
      </c>
      <c r="J752" s="39">
        <v>9.99</v>
      </c>
      <c r="K752" s="39">
        <v>4.99</v>
      </c>
      <c r="L752" s="39">
        <v>5.0</v>
      </c>
      <c r="M752" s="37">
        <v>10.0</v>
      </c>
      <c r="N752" s="39">
        <v>0.5</v>
      </c>
    </row>
    <row r="753">
      <c r="A753" s="37" t="s">
        <v>468</v>
      </c>
      <c r="B753" s="37"/>
      <c r="C753" s="37">
        <v>914.0</v>
      </c>
      <c r="D753" s="37" t="s">
        <v>1329</v>
      </c>
      <c r="E753" s="37" t="s">
        <v>26</v>
      </c>
      <c r="F753" s="143">
        <v>45561.0</v>
      </c>
      <c r="G753" s="143">
        <v>45651.0</v>
      </c>
      <c r="H753" s="143">
        <v>45694.0</v>
      </c>
      <c r="I753" s="143">
        <v>45697.0</v>
      </c>
      <c r="J753" s="49">
        <v>19.99</v>
      </c>
      <c r="K753" s="49">
        <v>0.0</v>
      </c>
      <c r="L753" s="39">
        <v>19.99</v>
      </c>
      <c r="M753" s="37">
        <v>13.0</v>
      </c>
      <c r="N753" s="39">
        <v>0.0</v>
      </c>
    </row>
    <row r="754">
      <c r="A754" s="50">
        <f t="shared" ref="A754:B754" si="71">COUNTA(A752:A753)</f>
        <v>2</v>
      </c>
      <c r="B754" s="50">
        <f t="shared" si="71"/>
        <v>1</v>
      </c>
      <c r="C754" s="50"/>
      <c r="D754" s="193"/>
      <c r="E754" s="190">
        <v>29.98</v>
      </c>
      <c r="F754" s="190">
        <v>4.99</v>
      </c>
      <c r="G754" s="190">
        <v>24.99</v>
      </c>
      <c r="H754" s="50">
        <v>23.0</v>
      </c>
      <c r="I754" s="189">
        <v>0.21695652173913044</v>
      </c>
      <c r="J754" s="53">
        <f t="shared" ref="J754:M754" si="72">SUM(J752:J753)</f>
        <v>29.98</v>
      </c>
      <c r="K754" s="53">
        <f t="shared" si="72"/>
        <v>4.99</v>
      </c>
      <c r="L754" s="53">
        <f t="shared" si="72"/>
        <v>24.99</v>
      </c>
      <c r="M754" s="193">
        <f t="shared" si="72"/>
        <v>23</v>
      </c>
      <c r="N754" s="53">
        <f>K754/M754</f>
        <v>0.2169565217</v>
      </c>
    </row>
    <row r="755">
      <c r="A755" s="54"/>
      <c r="B755" s="54"/>
      <c r="C755" s="54"/>
      <c r="D755" s="55"/>
      <c r="E755" s="55"/>
      <c r="F755" s="55"/>
      <c r="G755" s="55"/>
      <c r="H755" s="55"/>
      <c r="I755" s="55"/>
      <c r="J755" s="191"/>
      <c r="K755" s="191"/>
      <c r="L755" s="191"/>
      <c r="M755" s="54"/>
      <c r="N755" s="191"/>
    </row>
    <row r="756">
      <c r="A756" s="37" t="s">
        <v>470</v>
      </c>
      <c r="B756" s="37" t="s">
        <v>469</v>
      </c>
      <c r="C756" s="37">
        <v>824.0</v>
      </c>
      <c r="D756" s="37" t="s">
        <v>1330</v>
      </c>
      <c r="E756" s="37" t="s">
        <v>26</v>
      </c>
      <c r="F756" s="143">
        <v>42752.0</v>
      </c>
      <c r="G756" s="143">
        <v>43519.0</v>
      </c>
      <c r="H756" s="143">
        <v>43520.0</v>
      </c>
      <c r="I756" s="143">
        <v>43520.0</v>
      </c>
      <c r="J756" s="39">
        <v>19.99</v>
      </c>
      <c r="K756" s="39">
        <v>3.99</v>
      </c>
      <c r="L756" s="39">
        <v>16.0</v>
      </c>
      <c r="M756" s="37">
        <v>3.0</v>
      </c>
      <c r="N756" s="39">
        <v>1.33</v>
      </c>
    </row>
    <row r="757">
      <c r="A757" s="58" t="s">
        <v>470</v>
      </c>
      <c r="B757" s="58"/>
      <c r="C757" s="58">
        <v>716.0</v>
      </c>
      <c r="D757" s="58" t="s">
        <v>1331</v>
      </c>
      <c r="E757" s="58" t="s">
        <v>26</v>
      </c>
      <c r="F757" s="143">
        <v>45562.0</v>
      </c>
      <c r="G757" s="143">
        <v>45878.0</v>
      </c>
      <c r="H757" s="143">
        <v>45919.0</v>
      </c>
      <c r="I757" s="143">
        <v>45921.0</v>
      </c>
      <c r="J757" s="194">
        <v>49.99</v>
      </c>
      <c r="K757" s="194">
        <v>17.49</v>
      </c>
      <c r="L757" s="194">
        <f>J757-K757</f>
        <v>32.5</v>
      </c>
      <c r="M757" s="58">
        <v>14.0</v>
      </c>
      <c r="N757" s="194">
        <f t="shared" ref="N757:N758" si="75">K757/M757</f>
        <v>1.249285714</v>
      </c>
    </row>
    <row r="758">
      <c r="A758" s="40">
        <f t="shared" ref="A758:B758" si="73">COUNTA(A756:A757)</f>
        <v>2</v>
      </c>
      <c r="B758" s="40">
        <f t="shared" si="73"/>
        <v>1</v>
      </c>
      <c r="C758" s="40"/>
      <c r="D758" s="40"/>
      <c r="E758" s="196">
        <v>69.98</v>
      </c>
      <c r="F758" s="196">
        <v>21.48</v>
      </c>
      <c r="G758" s="196">
        <v>48.5</v>
      </c>
      <c r="H758" s="40">
        <v>17.0</v>
      </c>
      <c r="I758" s="43">
        <v>1.263529411764706</v>
      </c>
      <c r="J758" s="47">
        <f t="shared" ref="J758:M758" si="74">SUM(J756:J757)</f>
        <v>69.98</v>
      </c>
      <c r="K758" s="47">
        <f t="shared" si="74"/>
        <v>21.48</v>
      </c>
      <c r="L758" s="47">
        <f t="shared" si="74"/>
        <v>48.5</v>
      </c>
      <c r="M758" s="41">
        <f t="shared" si="74"/>
        <v>17</v>
      </c>
      <c r="N758" s="47">
        <f t="shared" si="75"/>
        <v>1.263529412</v>
      </c>
    </row>
    <row r="759">
      <c r="A759" s="109"/>
      <c r="B759" s="109"/>
      <c r="C759" s="109"/>
      <c r="D759" s="109"/>
      <c r="E759" s="144"/>
      <c r="F759" s="144"/>
      <c r="G759" s="144"/>
      <c r="H759" s="144"/>
      <c r="I759" s="144"/>
      <c r="J759" s="7"/>
      <c r="K759" s="7"/>
      <c r="L759" s="7"/>
      <c r="M759" s="7"/>
      <c r="N759" s="7"/>
    </row>
    <row r="760">
      <c r="A760" s="41" t="s">
        <v>472</v>
      </c>
      <c r="B760" s="41" t="s">
        <v>483</v>
      </c>
      <c r="C760" s="40">
        <v>218.0</v>
      </c>
      <c r="D760" s="40" t="s">
        <v>1332</v>
      </c>
      <c r="E760" s="40" t="s">
        <v>24</v>
      </c>
      <c r="F760" s="197">
        <v>40795.0</v>
      </c>
      <c r="G760" s="197">
        <v>45734.0</v>
      </c>
      <c r="H760" s="197">
        <v>45742.0</v>
      </c>
      <c r="I760" s="197">
        <v>45751.0</v>
      </c>
      <c r="J760" s="43">
        <v>19.99</v>
      </c>
      <c r="K760" s="43">
        <v>2.99</v>
      </c>
      <c r="L760" s="43">
        <v>17.0</v>
      </c>
      <c r="M760" s="40">
        <v>23.0</v>
      </c>
      <c r="N760" s="43">
        <v>0.13</v>
      </c>
    </row>
    <row r="761">
      <c r="A761" s="40" t="s">
        <v>472</v>
      </c>
      <c r="B761" s="40" t="s">
        <v>471</v>
      </c>
      <c r="C761" s="40">
        <v>223.0</v>
      </c>
      <c r="D761" s="40" t="s">
        <v>1333</v>
      </c>
      <c r="E761" s="40" t="s">
        <v>24</v>
      </c>
      <c r="F761" s="197">
        <v>41493.0</v>
      </c>
      <c r="G761" s="197">
        <v>42187.0</v>
      </c>
      <c r="H761" s="197">
        <v>42187.0</v>
      </c>
      <c r="I761" s="197">
        <v>42187.0</v>
      </c>
      <c r="J761" s="196">
        <v>0.0</v>
      </c>
      <c r="K761" s="196">
        <v>0.0</v>
      </c>
      <c r="L761" s="43">
        <v>0.0</v>
      </c>
      <c r="M761" s="40">
        <v>1.0</v>
      </c>
      <c r="N761" s="43">
        <v>0.0</v>
      </c>
    </row>
    <row r="762">
      <c r="A762" s="40" t="s">
        <v>472</v>
      </c>
      <c r="B762" s="40" t="s">
        <v>473</v>
      </c>
      <c r="C762" s="40">
        <v>929.0</v>
      </c>
      <c r="D762" s="40" t="s">
        <v>1334</v>
      </c>
      <c r="E762" s="40" t="s">
        <v>26</v>
      </c>
      <c r="F762" s="197">
        <v>42143.0</v>
      </c>
      <c r="G762" s="197">
        <v>43564.0</v>
      </c>
      <c r="H762" s="197">
        <v>43835.0</v>
      </c>
      <c r="I762" s="197">
        <v>43835.0</v>
      </c>
      <c r="J762" s="196">
        <v>74.98</v>
      </c>
      <c r="K762" s="196">
        <v>24.98</v>
      </c>
      <c r="L762" s="43">
        <v>50.0</v>
      </c>
      <c r="M762" s="40">
        <v>10.0</v>
      </c>
      <c r="N762" s="43">
        <v>2.5</v>
      </c>
    </row>
    <row r="763">
      <c r="A763" s="40" t="s">
        <v>472</v>
      </c>
      <c r="B763" s="40" t="s">
        <v>478</v>
      </c>
      <c r="C763" s="40">
        <v>703.0</v>
      </c>
      <c r="D763" s="40" t="s">
        <v>1335</v>
      </c>
      <c r="E763" s="40" t="s">
        <v>26</v>
      </c>
      <c r="F763" s="197">
        <v>42640.0</v>
      </c>
      <c r="G763" s="197">
        <v>42950.0</v>
      </c>
      <c r="H763" s="197">
        <v>43059.0</v>
      </c>
      <c r="I763" s="197">
        <v>44917.0</v>
      </c>
      <c r="J763" s="196">
        <v>9.99</v>
      </c>
      <c r="K763" s="196">
        <v>5.99</v>
      </c>
      <c r="L763" s="43">
        <v>4.0</v>
      </c>
      <c r="M763" s="40">
        <v>5.0</v>
      </c>
      <c r="N763" s="43">
        <v>1.2</v>
      </c>
    </row>
    <row r="764">
      <c r="A764" s="40" t="s">
        <v>472</v>
      </c>
      <c r="B764" s="40" t="s">
        <v>480</v>
      </c>
      <c r="C764" s="40">
        <v>527.0</v>
      </c>
      <c r="D764" s="40" t="s">
        <v>1336</v>
      </c>
      <c r="E764" s="40" t="s">
        <v>26</v>
      </c>
      <c r="F764" s="197">
        <v>42824.0</v>
      </c>
      <c r="G764" s="197">
        <v>44431.0</v>
      </c>
      <c r="H764" s="197">
        <v>44566.0</v>
      </c>
      <c r="I764" s="197">
        <v>44569.0</v>
      </c>
      <c r="J764" s="196">
        <v>14.99</v>
      </c>
      <c r="K764" s="196">
        <v>1.49</v>
      </c>
      <c r="L764" s="43">
        <v>13.5</v>
      </c>
      <c r="M764" s="40">
        <v>20.0</v>
      </c>
      <c r="N764" s="43">
        <v>0.07</v>
      </c>
    </row>
    <row r="765">
      <c r="A765" s="40" t="s">
        <v>472</v>
      </c>
      <c r="B765" s="40" t="s">
        <v>484</v>
      </c>
      <c r="C765" s="40">
        <v>900.0</v>
      </c>
      <c r="D765" s="40" t="s">
        <v>1337</v>
      </c>
      <c r="E765" s="40" t="s">
        <v>26</v>
      </c>
      <c r="F765" s="197">
        <v>43784.0</v>
      </c>
      <c r="G765" s="197">
        <v>44455.0</v>
      </c>
      <c r="H765" s="197">
        <v>44455.0</v>
      </c>
      <c r="I765" s="197">
        <v>44455.0</v>
      </c>
      <c r="J765" s="196">
        <v>44.99</v>
      </c>
      <c r="K765" s="196">
        <v>26.99</v>
      </c>
      <c r="L765" s="43">
        <v>18.0</v>
      </c>
      <c r="M765" s="40">
        <v>1.0</v>
      </c>
      <c r="N765" s="43">
        <v>26.99</v>
      </c>
    </row>
    <row r="766">
      <c r="A766" s="40" t="s">
        <v>472</v>
      </c>
      <c r="B766" s="40" t="s">
        <v>481</v>
      </c>
      <c r="C766" s="40">
        <v>500.0</v>
      </c>
      <c r="D766" s="40" t="s">
        <v>1338</v>
      </c>
      <c r="E766" s="40" t="s">
        <v>26</v>
      </c>
      <c r="F766" s="197">
        <v>43896.0</v>
      </c>
      <c r="G766" s="197">
        <v>44915.0</v>
      </c>
      <c r="H766" s="197">
        <v>44933.0</v>
      </c>
      <c r="I766" s="197">
        <v>44936.0</v>
      </c>
      <c r="J766" s="196">
        <v>9.99</v>
      </c>
      <c r="K766" s="196">
        <v>0.0</v>
      </c>
      <c r="L766" s="43">
        <v>9.99</v>
      </c>
      <c r="M766" s="40">
        <v>3.0</v>
      </c>
      <c r="N766" s="43">
        <v>0.0</v>
      </c>
    </row>
    <row r="767">
      <c r="A767" s="40" t="s">
        <v>472</v>
      </c>
      <c r="B767" s="40" t="s">
        <v>479</v>
      </c>
      <c r="C767" s="40">
        <v>835.0</v>
      </c>
      <c r="D767" s="40" t="s">
        <v>1339</v>
      </c>
      <c r="E767" s="40" t="s">
        <v>26</v>
      </c>
      <c r="F767" s="197">
        <v>44070.0</v>
      </c>
      <c r="G767" s="197">
        <v>44398.0</v>
      </c>
      <c r="H767" s="197">
        <v>44445.0</v>
      </c>
      <c r="I767" s="197">
        <v>44448.0</v>
      </c>
      <c r="J767" s="43">
        <v>19.99</v>
      </c>
      <c r="K767" s="43">
        <v>4.99</v>
      </c>
      <c r="L767" s="43">
        <v>15.0</v>
      </c>
      <c r="M767" s="40">
        <v>11.0</v>
      </c>
      <c r="N767" s="43">
        <v>0.45</v>
      </c>
    </row>
    <row r="768">
      <c r="A768" s="40" t="s">
        <v>472</v>
      </c>
      <c r="B768" s="40"/>
      <c r="C768" s="40">
        <v>565.0</v>
      </c>
      <c r="D768" s="40" t="s">
        <v>1340</v>
      </c>
      <c r="E768" s="40" t="s">
        <v>26</v>
      </c>
      <c r="F768" s="197">
        <v>44175.0</v>
      </c>
      <c r="G768" s="197">
        <v>44607.0</v>
      </c>
      <c r="H768" s="197">
        <v>44609.0</v>
      </c>
      <c r="I768" s="197">
        <v>44652.0</v>
      </c>
      <c r="J768" s="196">
        <v>49.99</v>
      </c>
      <c r="K768" s="196">
        <v>33.49</v>
      </c>
      <c r="L768" s="43">
        <v>16.5</v>
      </c>
      <c r="M768" s="40">
        <v>83.0</v>
      </c>
      <c r="N768" s="43">
        <v>0.4</v>
      </c>
    </row>
    <row r="769">
      <c r="A769" s="40" t="s">
        <v>472</v>
      </c>
      <c r="B769" s="40" t="s">
        <v>476</v>
      </c>
      <c r="C769" s="40">
        <v>823.0</v>
      </c>
      <c r="D769" s="40" t="s">
        <v>1341</v>
      </c>
      <c r="E769" s="40" t="s">
        <v>26</v>
      </c>
      <c r="F769" s="197">
        <v>44439.0</v>
      </c>
      <c r="G769" s="197">
        <v>44708.0</v>
      </c>
      <c r="H769" s="197">
        <v>44817.0</v>
      </c>
      <c r="I769" s="197">
        <v>45451.0</v>
      </c>
      <c r="J769" s="196">
        <v>29.99</v>
      </c>
      <c r="K769" s="196">
        <v>14.99</v>
      </c>
      <c r="L769" s="43">
        <v>15.0</v>
      </c>
      <c r="M769" s="40">
        <v>24.0</v>
      </c>
      <c r="N769" s="43">
        <v>0.62</v>
      </c>
    </row>
    <row r="770">
      <c r="A770" s="40" t="s">
        <v>472</v>
      </c>
      <c r="B770" s="40" t="s">
        <v>475</v>
      </c>
      <c r="C770" s="40">
        <v>905.0</v>
      </c>
      <c r="D770" s="40" t="s">
        <v>1342</v>
      </c>
      <c r="E770" s="40" t="s">
        <v>26</v>
      </c>
      <c r="F770" s="197">
        <v>44455.0</v>
      </c>
      <c r="G770" s="197">
        <v>45176.0</v>
      </c>
      <c r="H770" s="197">
        <v>45176.0</v>
      </c>
      <c r="I770" s="197">
        <v>45176.0</v>
      </c>
      <c r="J770" s="196">
        <v>19.99</v>
      </c>
      <c r="K770" s="196">
        <v>0.0</v>
      </c>
      <c r="L770" s="43">
        <v>19.99</v>
      </c>
      <c r="M770" s="40">
        <v>1.0</v>
      </c>
      <c r="N770" s="43">
        <v>0.0</v>
      </c>
    </row>
    <row r="771">
      <c r="A771" s="40" t="s">
        <v>472</v>
      </c>
      <c r="B771" s="40" t="s">
        <v>474</v>
      </c>
      <c r="C771" s="40">
        <v>939.0</v>
      </c>
      <c r="D771" s="40" t="s">
        <v>1343</v>
      </c>
      <c r="E771" s="40" t="s">
        <v>26</v>
      </c>
      <c r="F771" s="197">
        <v>44686.0</v>
      </c>
      <c r="G771" s="197">
        <v>45083.0</v>
      </c>
      <c r="H771" s="197">
        <v>45083.0</v>
      </c>
      <c r="I771" s="197">
        <v>45083.0</v>
      </c>
      <c r="J771" s="196">
        <v>19.99</v>
      </c>
      <c r="K771" s="196">
        <v>0.0</v>
      </c>
      <c r="L771" s="43">
        <v>19.99</v>
      </c>
      <c r="M771" s="40">
        <v>1.0</v>
      </c>
      <c r="N771" s="43">
        <v>0.0</v>
      </c>
    </row>
    <row r="772">
      <c r="A772" s="40" t="s">
        <v>472</v>
      </c>
      <c r="B772" s="40" t="s">
        <v>485</v>
      </c>
      <c r="C772" s="40">
        <v>962.0</v>
      </c>
      <c r="D772" s="40" t="s">
        <v>1344</v>
      </c>
      <c r="E772" s="40" t="s">
        <v>26</v>
      </c>
      <c r="F772" s="197">
        <v>44833.0</v>
      </c>
      <c r="G772" s="197">
        <v>45482.0</v>
      </c>
      <c r="H772" s="197">
        <v>45484.0</v>
      </c>
      <c r="I772" s="197">
        <v>45484.0</v>
      </c>
      <c r="J772" s="196">
        <v>24.99</v>
      </c>
      <c r="K772" s="196">
        <v>9.9</v>
      </c>
      <c r="L772" s="43">
        <v>15.09</v>
      </c>
      <c r="M772" s="40">
        <v>2.0</v>
      </c>
      <c r="N772" s="43">
        <v>4.95</v>
      </c>
    </row>
    <row r="773">
      <c r="A773" s="40" t="s">
        <v>472</v>
      </c>
      <c r="B773" s="40" t="s">
        <v>477</v>
      </c>
      <c r="C773" s="40">
        <v>756.0</v>
      </c>
      <c r="D773" s="40" t="s">
        <v>1345</v>
      </c>
      <c r="E773" s="40" t="s">
        <v>26</v>
      </c>
      <c r="F773" s="197">
        <v>44861.0</v>
      </c>
      <c r="G773" s="197">
        <v>45542.0</v>
      </c>
      <c r="H773" s="197">
        <v>45549.0</v>
      </c>
      <c r="I773" s="197">
        <v>45549.0</v>
      </c>
      <c r="J773" s="196">
        <v>19.99</v>
      </c>
      <c r="K773" s="196">
        <v>0.0</v>
      </c>
      <c r="L773" s="43">
        <v>19.99</v>
      </c>
      <c r="M773" s="40">
        <v>2.0</v>
      </c>
      <c r="N773" s="43">
        <v>0.0</v>
      </c>
    </row>
    <row r="774">
      <c r="A774" s="40" t="s">
        <v>472</v>
      </c>
      <c r="B774" s="40" t="s">
        <v>482</v>
      </c>
      <c r="C774" s="40">
        <v>1034.0</v>
      </c>
      <c r="D774" s="40" t="s">
        <v>1346</v>
      </c>
      <c r="E774" s="40" t="s">
        <v>27</v>
      </c>
      <c r="F774" s="197">
        <v>42935.0</v>
      </c>
      <c r="G774" s="197">
        <v>43472.0</v>
      </c>
      <c r="H774" s="197">
        <v>43543.0</v>
      </c>
      <c r="I774" s="197">
        <v>43543.0</v>
      </c>
      <c r="J774" s="196">
        <v>24.99</v>
      </c>
      <c r="K774" s="196">
        <v>14.99</v>
      </c>
      <c r="L774" s="43">
        <v>10.0</v>
      </c>
      <c r="M774" s="40">
        <v>1.0</v>
      </c>
      <c r="N774" s="43">
        <v>14.99</v>
      </c>
    </row>
    <row r="775">
      <c r="A775" s="40" t="s">
        <v>472</v>
      </c>
      <c r="B775" s="40" t="s">
        <v>486</v>
      </c>
      <c r="C775" s="40">
        <v>1008.0</v>
      </c>
      <c r="D775" s="40" t="s">
        <v>1347</v>
      </c>
      <c r="E775" s="40" t="s">
        <v>27</v>
      </c>
      <c r="F775" s="197">
        <v>44693.0</v>
      </c>
      <c r="G775" s="197">
        <v>45048.0</v>
      </c>
      <c r="H775" s="197">
        <v>45048.0</v>
      </c>
      <c r="I775" s="197">
        <v>45048.0</v>
      </c>
      <c r="J775" s="196">
        <v>19.99</v>
      </c>
      <c r="K775" s="196">
        <v>12.99</v>
      </c>
      <c r="L775" s="43">
        <v>7.0</v>
      </c>
      <c r="M775" s="40">
        <v>1.0</v>
      </c>
      <c r="N775" s="43">
        <v>12.99</v>
      </c>
    </row>
    <row r="776">
      <c r="A776" s="40" t="s">
        <v>472</v>
      </c>
      <c r="B776" s="40"/>
      <c r="C776" s="40">
        <v>1075.0</v>
      </c>
      <c r="D776" s="40" t="s">
        <v>1348</v>
      </c>
      <c r="E776" s="40" t="s">
        <v>28</v>
      </c>
      <c r="F776" s="197">
        <v>45232.0</v>
      </c>
      <c r="G776" s="197">
        <v>45337.0</v>
      </c>
      <c r="H776" s="197">
        <v>45350.0</v>
      </c>
      <c r="I776" s="197">
        <v>45354.0</v>
      </c>
      <c r="J776" s="43">
        <v>59.99</v>
      </c>
      <c r="K776" s="43">
        <v>15.99</v>
      </c>
      <c r="L776" s="43">
        <v>44.0</v>
      </c>
      <c r="M776" s="40">
        <v>17.0</v>
      </c>
      <c r="N776" s="43">
        <v>0.94</v>
      </c>
    </row>
    <row r="777">
      <c r="A777" s="37">
        <f t="shared" ref="A777:B777" si="76">COUNTA(A760:A776)</f>
        <v>17</v>
      </c>
      <c r="B777" s="37">
        <f t="shared" si="76"/>
        <v>15</v>
      </c>
      <c r="C777" s="37"/>
      <c r="D777" s="58"/>
      <c r="E777" s="49">
        <v>464.83</v>
      </c>
      <c r="F777" s="49">
        <v>169.78</v>
      </c>
      <c r="G777" s="49">
        <v>295.05</v>
      </c>
      <c r="H777" s="37">
        <v>206.0</v>
      </c>
      <c r="I777" s="49">
        <v>0.8241747572815534</v>
      </c>
      <c r="J777" s="173">
        <f t="shared" ref="J777:M777" si="77">SUM(J760:J776)</f>
        <v>464.83</v>
      </c>
      <c r="K777" s="173">
        <f t="shared" si="77"/>
        <v>169.78</v>
      </c>
      <c r="L777" s="173">
        <f t="shared" si="77"/>
        <v>295.05</v>
      </c>
      <c r="M777" s="58">
        <f t="shared" si="77"/>
        <v>206</v>
      </c>
      <c r="N777" s="173">
        <f>K777/M777</f>
        <v>0.8241747573</v>
      </c>
    </row>
    <row r="778">
      <c r="A778" s="109"/>
      <c r="B778" s="109"/>
      <c r="C778" s="109"/>
      <c r="D778" s="144"/>
      <c r="E778" s="144"/>
      <c r="F778" s="144"/>
      <c r="G778" s="144"/>
      <c r="H778" s="144"/>
      <c r="I778" s="144"/>
      <c r="J778" s="172"/>
      <c r="K778" s="172"/>
      <c r="L778" s="172"/>
      <c r="M778" s="144"/>
      <c r="N778" s="172"/>
    </row>
    <row r="779">
      <c r="A779" s="242" t="s">
        <v>488</v>
      </c>
      <c r="B779" s="242" t="s">
        <v>489</v>
      </c>
      <c r="C779" s="242">
        <v>804.0</v>
      </c>
      <c r="D779" s="242" t="s">
        <v>1349</v>
      </c>
      <c r="E779" s="242" t="s">
        <v>26</v>
      </c>
      <c r="F779" s="243">
        <v>42752.0</v>
      </c>
      <c r="G779" s="243">
        <v>42859.0</v>
      </c>
      <c r="H779" s="243">
        <v>45641.0</v>
      </c>
      <c r="I779" s="243">
        <v>45641.0</v>
      </c>
      <c r="J779" s="244">
        <v>8.99</v>
      </c>
      <c r="K779" s="244">
        <v>3.99</v>
      </c>
      <c r="L779" s="244">
        <v>5.0</v>
      </c>
      <c r="M779" s="242">
        <v>3.0</v>
      </c>
      <c r="N779" s="244">
        <v>1.33</v>
      </c>
    </row>
    <row r="780">
      <c r="A780" s="242" t="s">
        <v>488</v>
      </c>
      <c r="B780" s="242" t="s">
        <v>487</v>
      </c>
      <c r="C780" s="242">
        <v>1067.0</v>
      </c>
      <c r="D780" s="242" t="s">
        <v>1350</v>
      </c>
      <c r="E780" s="242" t="s">
        <v>28</v>
      </c>
      <c r="F780" s="243">
        <v>45230.0</v>
      </c>
      <c r="G780" s="243">
        <v>45725.0</v>
      </c>
      <c r="H780" s="243">
        <v>45812.0</v>
      </c>
      <c r="I780" s="243">
        <v>45812.0</v>
      </c>
      <c r="J780" s="245">
        <v>19.99</v>
      </c>
      <c r="K780" s="245">
        <v>11.99</v>
      </c>
      <c r="L780" s="245">
        <v>8.0</v>
      </c>
      <c r="M780" s="242">
        <v>2.0</v>
      </c>
      <c r="N780" s="245">
        <v>6.0</v>
      </c>
    </row>
    <row r="781">
      <c r="A781" s="246">
        <f t="shared" ref="A781:B781" si="78">COUNTA(A779:A780)</f>
        <v>2</v>
      </c>
      <c r="B781" s="246">
        <f t="shared" si="78"/>
        <v>2</v>
      </c>
      <c r="C781" s="246"/>
      <c r="D781" s="247"/>
      <c r="E781" s="248">
        <v>28.98</v>
      </c>
      <c r="F781" s="248">
        <v>15.98</v>
      </c>
      <c r="G781" s="248">
        <v>13.0</v>
      </c>
      <c r="H781" s="246">
        <v>5.0</v>
      </c>
      <c r="I781" s="248">
        <v>3.196</v>
      </c>
      <c r="J781" s="249">
        <f t="shared" ref="J781:M781" si="79">SUM(J779:J780)</f>
        <v>28.98</v>
      </c>
      <c r="K781" s="249">
        <f t="shared" si="79"/>
        <v>15.98</v>
      </c>
      <c r="L781" s="249">
        <f t="shared" si="79"/>
        <v>13</v>
      </c>
      <c r="M781" s="247">
        <f t="shared" si="79"/>
        <v>5</v>
      </c>
      <c r="N781" s="249">
        <f>K781/M781</f>
        <v>3.196</v>
      </c>
    </row>
    <row r="782">
      <c r="A782" s="246"/>
      <c r="B782" s="246"/>
      <c r="C782" s="246"/>
      <c r="D782" s="247"/>
      <c r="E782" s="247"/>
      <c r="F782" s="247"/>
      <c r="G782" s="247"/>
      <c r="H782" s="247"/>
      <c r="I782" s="247"/>
      <c r="J782" s="249"/>
      <c r="K782" s="249"/>
      <c r="L782" s="249"/>
      <c r="M782" s="247"/>
      <c r="N782" s="249"/>
    </row>
    <row r="783">
      <c r="A783" s="250" t="s">
        <v>491</v>
      </c>
      <c r="B783" s="250" t="s">
        <v>490</v>
      </c>
      <c r="C783" s="250">
        <v>605.0</v>
      </c>
      <c r="D783" s="250" t="s">
        <v>1351</v>
      </c>
      <c r="E783" s="250" t="s">
        <v>26</v>
      </c>
      <c r="F783" s="251">
        <v>44166.0</v>
      </c>
      <c r="G783" s="251">
        <v>44967.0</v>
      </c>
      <c r="H783" s="251">
        <v>45718.0</v>
      </c>
      <c r="I783" s="251">
        <v>45989.0</v>
      </c>
      <c r="J783" s="252">
        <v>64.98</v>
      </c>
      <c r="K783" s="252">
        <v>19.23</v>
      </c>
      <c r="L783" s="252">
        <v>45.75</v>
      </c>
      <c r="M783" s="250">
        <v>126.0</v>
      </c>
      <c r="N783" s="252">
        <v>0.15261904761904763</v>
      </c>
    </row>
    <row r="784">
      <c r="A784" s="253" t="s">
        <v>491</v>
      </c>
      <c r="B784" s="253" t="s">
        <v>492</v>
      </c>
      <c r="C784" s="253">
        <v>910.0</v>
      </c>
      <c r="D784" s="253" t="s">
        <v>1352</v>
      </c>
      <c r="E784" s="253" t="s">
        <v>26</v>
      </c>
      <c r="F784" s="254">
        <v>44294.0</v>
      </c>
      <c r="G784" s="254">
        <v>44398.0</v>
      </c>
      <c r="H784" s="254">
        <v>44852.0</v>
      </c>
      <c r="I784" s="254">
        <v>44854.0</v>
      </c>
      <c r="J784" s="255">
        <v>12.99</v>
      </c>
      <c r="K784" s="255">
        <v>9.74</v>
      </c>
      <c r="L784" s="255">
        <v>3.25</v>
      </c>
      <c r="M784" s="253">
        <v>12.0</v>
      </c>
      <c r="N784" s="255">
        <v>0.81</v>
      </c>
    </row>
    <row r="785">
      <c r="A785" s="253" t="s">
        <v>491</v>
      </c>
      <c r="B785" s="253"/>
      <c r="C785" s="253">
        <v>911.0</v>
      </c>
      <c r="D785" s="253" t="s">
        <v>1353</v>
      </c>
      <c r="E785" s="253" t="s">
        <v>26</v>
      </c>
      <c r="F785" s="254">
        <v>44301.0</v>
      </c>
      <c r="G785" s="254">
        <v>44854.0</v>
      </c>
      <c r="H785" s="254">
        <v>44854.0</v>
      </c>
      <c r="I785" s="254">
        <v>44858.0</v>
      </c>
      <c r="J785" s="255">
        <v>12.99</v>
      </c>
      <c r="K785" s="255">
        <v>12.99</v>
      </c>
      <c r="L785" s="255">
        <v>0.0</v>
      </c>
      <c r="M785" s="253">
        <v>15.0</v>
      </c>
      <c r="N785" s="255">
        <v>0.87</v>
      </c>
    </row>
    <row r="786">
      <c r="A786" s="170">
        <f t="shared" ref="A786:B786" si="80">COUNTA(A783:A785)</f>
        <v>3</v>
      </c>
      <c r="B786" s="170">
        <f t="shared" si="80"/>
        <v>2</v>
      </c>
      <c r="C786" s="170"/>
      <c r="D786" s="170"/>
      <c r="E786" s="256">
        <v>90.96</v>
      </c>
      <c r="F786" s="256">
        <v>41.96</v>
      </c>
      <c r="G786" s="256">
        <v>49.0</v>
      </c>
      <c r="H786" s="170">
        <v>153.0</v>
      </c>
      <c r="I786" s="257">
        <v>0.27</v>
      </c>
      <c r="J786" s="171">
        <f t="shared" ref="J786:M786" si="81">SUM(J783:J785)</f>
        <v>90.96</v>
      </c>
      <c r="K786" s="171">
        <f t="shared" si="81"/>
        <v>41.96</v>
      </c>
      <c r="L786" s="171">
        <f t="shared" si="81"/>
        <v>49</v>
      </c>
      <c r="M786" s="140">
        <f t="shared" si="81"/>
        <v>153</v>
      </c>
      <c r="N786" s="171">
        <f>K786/M786</f>
        <v>0.274248366</v>
      </c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7"/>
      <c r="K787" s="7"/>
      <c r="L787" s="7"/>
      <c r="M787" s="7"/>
      <c r="N787" s="7"/>
    </row>
    <row r="788">
      <c r="A788" s="54" t="s">
        <v>494</v>
      </c>
      <c r="B788" s="258" t="s">
        <v>498</v>
      </c>
      <c r="C788" s="259">
        <v>494.0</v>
      </c>
      <c r="D788" s="54" t="s">
        <v>1354</v>
      </c>
      <c r="E788" s="54" t="s">
        <v>25</v>
      </c>
      <c r="F788" s="192">
        <v>44397.0</v>
      </c>
      <c r="G788" s="192">
        <v>45730.0</v>
      </c>
      <c r="H788" s="192">
        <v>45730.0</v>
      </c>
      <c r="I788" s="192">
        <v>45730.0</v>
      </c>
      <c r="J788" s="57">
        <v>9.99</v>
      </c>
      <c r="K788" s="57">
        <v>3.99</v>
      </c>
      <c r="L788" s="57">
        <v>6.0</v>
      </c>
      <c r="M788" s="259">
        <v>1.0</v>
      </c>
      <c r="N788" s="260">
        <v>3.99</v>
      </c>
    </row>
    <row r="789">
      <c r="A789" s="54" t="s">
        <v>494</v>
      </c>
      <c r="B789" s="54" t="s">
        <v>495</v>
      </c>
      <c r="C789" s="54">
        <v>795.0</v>
      </c>
      <c r="D789" s="54" t="s">
        <v>1355</v>
      </c>
      <c r="E789" s="54" t="s">
        <v>26</v>
      </c>
      <c r="F789" s="192">
        <v>43643.0</v>
      </c>
      <c r="G789" s="192">
        <v>44431.0</v>
      </c>
      <c r="H789" s="192">
        <v>44438.0</v>
      </c>
      <c r="I789" s="192">
        <v>44438.0</v>
      </c>
      <c r="J789" s="191">
        <v>9.99</v>
      </c>
      <c r="K789" s="191">
        <v>4.99</v>
      </c>
      <c r="L789" s="57">
        <v>5.0</v>
      </c>
      <c r="M789" s="54">
        <v>1.0</v>
      </c>
      <c r="N789" s="260">
        <v>4.99</v>
      </c>
    </row>
    <row r="790">
      <c r="A790" s="54" t="s">
        <v>494</v>
      </c>
      <c r="B790" s="54" t="s">
        <v>496</v>
      </c>
      <c r="C790" s="54">
        <v>784.0</v>
      </c>
      <c r="D790" s="54" t="s">
        <v>1356</v>
      </c>
      <c r="E790" s="54" t="s">
        <v>26</v>
      </c>
      <c r="F790" s="192">
        <v>43649.0</v>
      </c>
      <c r="G790" s="192">
        <v>44351.0</v>
      </c>
      <c r="H790" s="192">
        <v>44539.0</v>
      </c>
      <c r="I790" s="192">
        <v>44544.0</v>
      </c>
      <c r="J790" s="191">
        <v>6.99</v>
      </c>
      <c r="K790" s="191">
        <v>2.79</v>
      </c>
      <c r="L790" s="57">
        <v>4.2</v>
      </c>
      <c r="M790" s="54">
        <v>2.0</v>
      </c>
      <c r="N790" s="260">
        <v>1.4</v>
      </c>
    </row>
    <row r="791">
      <c r="A791" s="54" t="s">
        <v>494</v>
      </c>
      <c r="B791" s="54" t="s">
        <v>499</v>
      </c>
      <c r="C791" s="54">
        <v>672.0</v>
      </c>
      <c r="D791" s="54" t="s">
        <v>1357</v>
      </c>
      <c r="E791" s="54" t="s">
        <v>26</v>
      </c>
      <c r="F791" s="192">
        <v>43986.0</v>
      </c>
      <c r="G791" s="192">
        <v>44351.0</v>
      </c>
      <c r="H791" s="192">
        <v>44673.0</v>
      </c>
      <c r="I791" s="192">
        <v>44673.0</v>
      </c>
      <c r="J791" s="191">
        <v>7.99</v>
      </c>
      <c r="K791" s="191">
        <v>5.59</v>
      </c>
      <c r="L791" s="57">
        <v>2.4</v>
      </c>
      <c r="M791" s="54">
        <v>5.0</v>
      </c>
      <c r="N791" s="260">
        <v>1.12</v>
      </c>
    </row>
    <row r="792">
      <c r="A792" s="54" t="s">
        <v>494</v>
      </c>
      <c r="B792" s="261" t="s">
        <v>497</v>
      </c>
      <c r="C792" s="54">
        <v>964.0</v>
      </c>
      <c r="D792" s="54" t="s">
        <v>1358</v>
      </c>
      <c r="E792" s="54" t="s">
        <v>26</v>
      </c>
      <c r="F792" s="192">
        <v>44019.0</v>
      </c>
      <c r="G792" s="192">
        <v>44431.0</v>
      </c>
      <c r="H792" s="192">
        <v>45471.0</v>
      </c>
      <c r="I792" s="192">
        <v>45471.0</v>
      </c>
      <c r="J792" s="191">
        <v>14.99</v>
      </c>
      <c r="K792" s="191">
        <v>9.74</v>
      </c>
      <c r="L792" s="57">
        <v>5.25</v>
      </c>
      <c r="M792" s="54">
        <v>2.0</v>
      </c>
      <c r="N792" s="260">
        <v>4.87</v>
      </c>
    </row>
    <row r="793">
      <c r="A793" s="54" t="s">
        <v>494</v>
      </c>
      <c r="B793" s="54" t="s">
        <v>493</v>
      </c>
      <c r="C793" s="54">
        <v>779.0</v>
      </c>
      <c r="D793" s="54" t="s">
        <v>1359</v>
      </c>
      <c r="E793" s="54" t="s">
        <v>26</v>
      </c>
      <c r="F793" s="192">
        <v>44281.0</v>
      </c>
      <c r="G793" s="192">
        <v>44335.0</v>
      </c>
      <c r="H793" s="192">
        <v>44335.0</v>
      </c>
      <c r="I793" s="192">
        <v>44335.0</v>
      </c>
      <c r="J793" s="191">
        <v>4.99</v>
      </c>
      <c r="K793" s="191">
        <v>3.49</v>
      </c>
      <c r="L793" s="57">
        <v>1.5</v>
      </c>
      <c r="M793" s="54">
        <v>2.0</v>
      </c>
      <c r="N793" s="260">
        <v>1.75</v>
      </c>
    </row>
    <row r="794">
      <c r="A794" s="54" t="s">
        <v>494</v>
      </c>
      <c r="B794" s="54" t="s">
        <v>500</v>
      </c>
      <c r="C794" s="54">
        <v>760.0</v>
      </c>
      <c r="D794" s="54" t="s">
        <v>1360</v>
      </c>
      <c r="E794" s="54" t="s">
        <v>26</v>
      </c>
      <c r="F794" s="192">
        <v>44623.0</v>
      </c>
      <c r="G794" s="192">
        <v>45176.0</v>
      </c>
      <c r="H794" s="192">
        <v>45176.0</v>
      </c>
      <c r="I794" s="192">
        <v>45176.0</v>
      </c>
      <c r="J794" s="191">
        <v>6.99</v>
      </c>
      <c r="K794" s="191">
        <v>0.0</v>
      </c>
      <c r="L794" s="57">
        <v>6.99</v>
      </c>
      <c r="M794" s="54">
        <v>1.0</v>
      </c>
      <c r="N794" s="260">
        <v>0.0</v>
      </c>
    </row>
    <row r="795">
      <c r="A795" s="50">
        <f t="shared" ref="A795:B795" si="82">COUNTA(A788:A794)</f>
        <v>7</v>
      </c>
      <c r="B795" s="50">
        <f t="shared" si="82"/>
        <v>7</v>
      </c>
      <c r="C795" s="50"/>
      <c r="D795" s="193"/>
      <c r="E795" s="189">
        <v>61.93</v>
      </c>
      <c r="F795" s="189">
        <v>30.59</v>
      </c>
      <c r="G795" s="189">
        <v>31.34</v>
      </c>
      <c r="H795" s="50">
        <v>14.0</v>
      </c>
      <c r="I795" s="189">
        <v>2.185</v>
      </c>
      <c r="J795" s="53">
        <f t="shared" ref="J795:M795" si="83">SUM(J788:J794)</f>
        <v>61.93</v>
      </c>
      <c r="K795" s="53">
        <f t="shared" si="83"/>
        <v>30.59</v>
      </c>
      <c r="L795" s="53">
        <f t="shared" si="83"/>
        <v>31.34</v>
      </c>
      <c r="M795" s="193">
        <f t="shared" si="83"/>
        <v>14</v>
      </c>
      <c r="N795" s="53">
        <f>K795/M795</f>
        <v>2.185</v>
      </c>
    </row>
    <row r="796">
      <c r="A796" s="54"/>
      <c r="B796" s="54"/>
      <c r="C796" s="54"/>
      <c r="D796" s="55"/>
      <c r="E796" s="54"/>
      <c r="F796" s="54"/>
      <c r="G796" s="54"/>
      <c r="H796" s="54"/>
      <c r="I796" s="54"/>
      <c r="J796" s="187"/>
      <c r="K796" s="187"/>
      <c r="L796" s="187"/>
      <c r="M796" s="55"/>
      <c r="N796" s="187"/>
    </row>
    <row r="797">
      <c r="A797" s="262" t="s">
        <v>502</v>
      </c>
      <c r="B797" s="262" t="s">
        <v>504</v>
      </c>
      <c r="C797" s="262">
        <v>98.0</v>
      </c>
      <c r="D797" s="262" t="s">
        <v>1361</v>
      </c>
      <c r="E797" s="262" t="s">
        <v>22</v>
      </c>
      <c r="F797" s="263">
        <v>37190.0</v>
      </c>
      <c r="G797" s="263">
        <v>42619.0</v>
      </c>
      <c r="H797" s="263">
        <v>42624.0</v>
      </c>
      <c r="I797" s="263">
        <v>43935.0</v>
      </c>
      <c r="J797" s="264">
        <v>10.99</v>
      </c>
      <c r="K797" s="264">
        <v>5.99</v>
      </c>
      <c r="L797" s="264">
        <v>5.0</v>
      </c>
      <c r="M797" s="262">
        <v>55.0</v>
      </c>
      <c r="N797" s="264">
        <v>0.11</v>
      </c>
    </row>
    <row r="798">
      <c r="A798" s="262" t="s">
        <v>502</v>
      </c>
      <c r="B798" s="262"/>
      <c r="C798" s="262">
        <v>99.0</v>
      </c>
      <c r="D798" s="262" t="s">
        <v>1362</v>
      </c>
      <c r="E798" s="262" t="s">
        <v>22</v>
      </c>
      <c r="F798" s="263">
        <v>37568.0</v>
      </c>
      <c r="G798" s="263">
        <v>42619.0</v>
      </c>
      <c r="H798" s="263">
        <v>43935.0</v>
      </c>
      <c r="I798" s="263">
        <v>45694.0</v>
      </c>
      <c r="J798" s="264">
        <v>12.0</v>
      </c>
      <c r="K798" s="264">
        <v>7.0</v>
      </c>
      <c r="L798" s="264">
        <v>5.0</v>
      </c>
      <c r="M798" s="262">
        <v>60.0</v>
      </c>
      <c r="N798" s="264">
        <v>0.12</v>
      </c>
    </row>
    <row r="799">
      <c r="A799" s="262" t="s">
        <v>502</v>
      </c>
      <c r="B799" s="262"/>
      <c r="C799" s="262">
        <v>113.0</v>
      </c>
      <c r="D799" s="262" t="s">
        <v>1363</v>
      </c>
      <c r="E799" s="262" t="s">
        <v>22</v>
      </c>
      <c r="F799" s="263">
        <v>37946.0</v>
      </c>
      <c r="G799" s="263">
        <v>42950.0</v>
      </c>
      <c r="H799" s="263">
        <v>44471.0</v>
      </c>
      <c r="I799" s="263">
        <v>44475.0</v>
      </c>
      <c r="J799" s="264">
        <v>13.99</v>
      </c>
      <c r="K799" s="264">
        <v>5.99</v>
      </c>
      <c r="L799" s="264">
        <v>8.0</v>
      </c>
      <c r="M799" s="262">
        <v>25.0</v>
      </c>
      <c r="N799" s="264">
        <v>0.24</v>
      </c>
    </row>
    <row r="800">
      <c r="A800" s="262" t="s">
        <v>502</v>
      </c>
      <c r="B800" s="262"/>
      <c r="C800" s="262">
        <v>100.0</v>
      </c>
      <c r="D800" s="262" t="s">
        <v>1364</v>
      </c>
      <c r="E800" s="262" t="s">
        <v>22</v>
      </c>
      <c r="F800" s="263">
        <v>38289.0</v>
      </c>
      <c r="G800" s="263">
        <v>42619.0</v>
      </c>
      <c r="H800" s="263">
        <v>42917.0</v>
      </c>
      <c r="I800" s="263">
        <v>44324.0</v>
      </c>
      <c r="J800" s="264">
        <v>12.0</v>
      </c>
      <c r="K800" s="264">
        <v>7.0</v>
      </c>
      <c r="L800" s="264">
        <v>5.0</v>
      </c>
      <c r="M800" s="262">
        <v>110.0</v>
      </c>
      <c r="N800" s="264">
        <v>0.06</v>
      </c>
    </row>
    <row r="801">
      <c r="A801" s="262" t="s">
        <v>502</v>
      </c>
      <c r="B801" s="262"/>
      <c r="C801" s="262">
        <v>256.0</v>
      </c>
      <c r="D801" s="262" t="s">
        <v>1365</v>
      </c>
      <c r="E801" s="262" t="s">
        <v>24</v>
      </c>
      <c r="F801" s="263">
        <v>39567.0</v>
      </c>
      <c r="G801" s="263">
        <v>40342.0</v>
      </c>
      <c r="H801" s="263">
        <v>40342.0</v>
      </c>
      <c r="I801" s="263">
        <v>45468.0</v>
      </c>
      <c r="J801" s="264">
        <v>59.99</v>
      </c>
      <c r="K801" s="264">
        <v>59.99</v>
      </c>
      <c r="L801" s="264">
        <v>0.0</v>
      </c>
      <c r="M801" s="262">
        <v>60.0</v>
      </c>
      <c r="N801" s="264">
        <v>1.0</v>
      </c>
    </row>
    <row r="802">
      <c r="A802" s="262" t="s">
        <v>502</v>
      </c>
      <c r="B802" s="262"/>
      <c r="C802" s="262">
        <v>257.0</v>
      </c>
      <c r="D802" s="262" t="s">
        <v>1366</v>
      </c>
      <c r="E802" s="262" t="s">
        <v>24</v>
      </c>
      <c r="F802" s="263">
        <v>41534.0</v>
      </c>
      <c r="G802" s="263">
        <v>41551.0</v>
      </c>
      <c r="H802" s="263">
        <v>41551.0</v>
      </c>
      <c r="I802" s="263">
        <v>44672.0</v>
      </c>
      <c r="J802" s="264">
        <v>109.98</v>
      </c>
      <c r="K802" s="264">
        <v>34.98</v>
      </c>
      <c r="L802" s="264">
        <v>75.0</v>
      </c>
      <c r="M802" s="262">
        <v>170.0</v>
      </c>
      <c r="N802" s="264">
        <v>0.21</v>
      </c>
    </row>
    <row r="803">
      <c r="A803" s="262" t="s">
        <v>502</v>
      </c>
      <c r="B803" s="262" t="s">
        <v>503</v>
      </c>
      <c r="C803" s="262">
        <v>837.0</v>
      </c>
      <c r="D803" s="262" t="s">
        <v>1367</v>
      </c>
      <c r="E803" s="262" t="s">
        <v>26</v>
      </c>
      <c r="F803" s="263">
        <v>42824.0</v>
      </c>
      <c r="G803" s="263">
        <v>42951.0</v>
      </c>
      <c r="H803" s="263">
        <v>43080.0</v>
      </c>
      <c r="I803" s="263">
        <v>43324.0</v>
      </c>
      <c r="J803" s="264">
        <v>8.99</v>
      </c>
      <c r="K803" s="264">
        <v>5.49</v>
      </c>
      <c r="L803" s="264">
        <v>3.5</v>
      </c>
      <c r="M803" s="262">
        <v>5.0</v>
      </c>
      <c r="N803" s="264">
        <v>1.1</v>
      </c>
    </row>
    <row r="804">
      <c r="A804" s="262" t="s">
        <v>502</v>
      </c>
      <c r="B804" s="262" t="s">
        <v>501</v>
      </c>
      <c r="C804" s="262">
        <v>573.0</v>
      </c>
      <c r="D804" s="262" t="s">
        <v>1368</v>
      </c>
      <c r="E804" s="262" t="s">
        <v>26</v>
      </c>
      <c r="F804" s="263">
        <v>43830.0</v>
      </c>
      <c r="G804" s="263">
        <v>44431.0</v>
      </c>
      <c r="H804" s="263">
        <v>44433.0</v>
      </c>
      <c r="I804" s="263">
        <v>44440.0</v>
      </c>
      <c r="J804" s="264">
        <v>14.99</v>
      </c>
      <c r="K804" s="264">
        <v>2.99</v>
      </c>
      <c r="L804" s="264">
        <v>12.0</v>
      </c>
      <c r="M804" s="262">
        <v>50.0</v>
      </c>
      <c r="N804" s="264">
        <v>0.06</v>
      </c>
    </row>
    <row r="805">
      <c r="A805" s="262" t="s">
        <v>502</v>
      </c>
      <c r="B805" s="262" t="s">
        <v>506</v>
      </c>
      <c r="C805" s="262">
        <v>1051.0</v>
      </c>
      <c r="D805" s="262" t="s">
        <v>1369</v>
      </c>
      <c r="E805" s="262" t="s">
        <v>27</v>
      </c>
      <c r="F805" s="263">
        <v>44358.0</v>
      </c>
      <c r="G805" s="263">
        <v>44383.0</v>
      </c>
      <c r="H805" s="263">
        <v>44383.0</v>
      </c>
      <c r="I805" s="263">
        <v>44383.0</v>
      </c>
      <c r="J805" s="264">
        <v>0.0</v>
      </c>
      <c r="K805" s="264">
        <v>0.0</v>
      </c>
      <c r="L805" s="264">
        <v>0.0</v>
      </c>
      <c r="M805" s="262">
        <v>1.0</v>
      </c>
      <c r="N805" s="264">
        <v>0.0</v>
      </c>
    </row>
    <row r="806">
      <c r="A806" s="265" t="s">
        <v>502</v>
      </c>
      <c r="B806" s="265" t="s">
        <v>505</v>
      </c>
      <c r="C806" s="265">
        <v>1085.0</v>
      </c>
      <c r="D806" s="265" t="s">
        <v>1370</v>
      </c>
      <c r="E806" s="265" t="s">
        <v>28</v>
      </c>
      <c r="F806" s="263">
        <v>45125.0</v>
      </c>
      <c r="G806" s="263">
        <v>45902.0</v>
      </c>
      <c r="H806" s="263">
        <v>45907.0</v>
      </c>
      <c r="I806" s="263">
        <v>45911.0</v>
      </c>
      <c r="J806" s="266">
        <v>24.99</v>
      </c>
      <c r="K806" s="266">
        <v>0.0</v>
      </c>
      <c r="L806" s="266">
        <f>J806-K806</f>
        <v>24.99</v>
      </c>
      <c r="M806" s="265">
        <v>13.0</v>
      </c>
      <c r="N806" s="266">
        <f t="shared" ref="N806:N807" si="86">K806/M806</f>
        <v>0</v>
      </c>
    </row>
    <row r="807">
      <c r="A807" s="267">
        <f t="shared" ref="A807:B807" si="84">COUNTA(A797:A806)</f>
        <v>10</v>
      </c>
      <c r="B807" s="267">
        <f t="shared" si="84"/>
        <v>5</v>
      </c>
      <c r="C807" s="267"/>
      <c r="D807" s="268"/>
      <c r="E807" s="269">
        <v>267.92</v>
      </c>
      <c r="F807" s="269">
        <v>129.43</v>
      </c>
      <c r="G807" s="269">
        <v>138.49</v>
      </c>
      <c r="H807" s="267">
        <v>549.0</v>
      </c>
      <c r="I807" s="270">
        <v>0.23575591985428052</v>
      </c>
      <c r="J807" s="271">
        <f t="shared" ref="J807:M807" si="85">SUM(J797:J806)</f>
        <v>267.92</v>
      </c>
      <c r="K807" s="271">
        <f t="shared" si="85"/>
        <v>129.43</v>
      </c>
      <c r="L807" s="271">
        <f t="shared" si="85"/>
        <v>138.49</v>
      </c>
      <c r="M807" s="268">
        <f t="shared" si="85"/>
        <v>549</v>
      </c>
      <c r="N807" s="271">
        <f t="shared" si="86"/>
        <v>0.2357559199</v>
      </c>
    </row>
    <row r="808">
      <c r="A808" s="26"/>
      <c r="B808" s="26"/>
      <c r="C808" s="26"/>
      <c r="D808" s="16"/>
      <c r="E808" s="16"/>
      <c r="F808" s="16"/>
      <c r="G808" s="16"/>
      <c r="H808" s="16"/>
      <c r="I808" s="16"/>
      <c r="J808" s="7"/>
      <c r="K808" s="7"/>
      <c r="L808" s="7"/>
      <c r="M808" s="7"/>
      <c r="N808" s="7"/>
    </row>
    <row r="809">
      <c r="A809" s="37" t="s">
        <v>508</v>
      </c>
      <c r="B809" s="37" t="s">
        <v>509</v>
      </c>
      <c r="C809" s="37">
        <v>463.0</v>
      </c>
      <c r="D809" s="37" t="s">
        <v>1371</v>
      </c>
      <c r="E809" s="37" t="s">
        <v>25</v>
      </c>
      <c r="F809" s="143">
        <v>42486.0</v>
      </c>
      <c r="G809" s="143">
        <v>42619.0</v>
      </c>
      <c r="H809" s="143">
        <v>44049.0</v>
      </c>
      <c r="I809" s="143">
        <v>44049.0</v>
      </c>
      <c r="J809" s="39">
        <v>12.99</v>
      </c>
      <c r="K809" s="39">
        <v>12.99</v>
      </c>
      <c r="L809" s="39">
        <v>0.0</v>
      </c>
      <c r="M809" s="37">
        <v>3.0</v>
      </c>
      <c r="N809" s="39">
        <v>4.33</v>
      </c>
    </row>
    <row r="810">
      <c r="A810" s="58" t="s">
        <v>508</v>
      </c>
      <c r="B810" s="58" t="s">
        <v>507</v>
      </c>
      <c r="C810" s="58">
        <v>661.0</v>
      </c>
      <c r="D810" s="58" t="s">
        <v>1372</v>
      </c>
      <c r="E810" s="58" t="s">
        <v>26</v>
      </c>
      <c r="F810" s="143">
        <v>42198.0</v>
      </c>
      <c r="G810" s="143">
        <v>45256.0</v>
      </c>
      <c r="H810" s="143">
        <v>45911.0</v>
      </c>
      <c r="I810" s="143">
        <v>45916.0</v>
      </c>
      <c r="J810" s="173">
        <v>14.99</v>
      </c>
      <c r="K810" s="173">
        <v>1.49</v>
      </c>
      <c r="L810" s="173">
        <f>J810-K810</f>
        <v>13.5</v>
      </c>
      <c r="M810" s="58">
        <v>33.0</v>
      </c>
      <c r="N810" s="173">
        <f>K810/M810</f>
        <v>0.04515151515</v>
      </c>
    </row>
    <row r="811">
      <c r="A811" s="37" t="s">
        <v>508</v>
      </c>
      <c r="B811" s="37"/>
      <c r="C811" s="37">
        <v>662.0</v>
      </c>
      <c r="D811" s="37" t="s">
        <v>1373</v>
      </c>
      <c r="E811" s="37" t="s">
        <v>26</v>
      </c>
      <c r="F811" s="143">
        <v>42780.0</v>
      </c>
      <c r="G811" s="143">
        <v>45256.0</v>
      </c>
      <c r="H811" s="143">
        <v>45256.0</v>
      </c>
      <c r="I811" s="143">
        <v>45256.0</v>
      </c>
      <c r="J811" s="39">
        <v>14.99</v>
      </c>
      <c r="K811" s="39">
        <v>1.49</v>
      </c>
      <c r="L811" s="39">
        <v>13.5</v>
      </c>
      <c r="M811" s="37">
        <v>1.0</v>
      </c>
      <c r="N811" s="39">
        <v>1.49</v>
      </c>
    </row>
    <row r="812">
      <c r="A812" s="37" t="s">
        <v>508</v>
      </c>
      <c r="B812" s="37"/>
      <c r="C812" s="37">
        <v>663.0</v>
      </c>
      <c r="D812" s="37" t="s">
        <v>1374</v>
      </c>
      <c r="E812" s="37" t="s">
        <v>26</v>
      </c>
      <c r="F812" s="143">
        <v>43006.0</v>
      </c>
      <c r="G812" s="143">
        <v>45256.0</v>
      </c>
      <c r="H812" s="143">
        <v>45256.0</v>
      </c>
      <c r="I812" s="143">
        <v>45256.0</v>
      </c>
      <c r="J812" s="39">
        <v>14.99</v>
      </c>
      <c r="K812" s="39">
        <v>1.49</v>
      </c>
      <c r="L812" s="39">
        <v>13.5</v>
      </c>
      <c r="M812" s="37">
        <v>1.0</v>
      </c>
      <c r="N812" s="39">
        <v>1.49</v>
      </c>
    </row>
    <row r="813">
      <c r="A813" s="40">
        <f t="shared" ref="A813:B813" si="87">COUNTA(A809:A812)</f>
        <v>4</v>
      </c>
      <c r="B813" s="40">
        <f t="shared" si="87"/>
        <v>2</v>
      </c>
      <c r="C813" s="40"/>
      <c r="D813" s="41"/>
      <c r="E813" s="196">
        <v>57.96</v>
      </c>
      <c r="F813" s="196">
        <v>17.46</v>
      </c>
      <c r="G813" s="196">
        <v>40.5</v>
      </c>
      <c r="H813" s="40">
        <v>38.0</v>
      </c>
      <c r="I813" s="43">
        <v>0.4594736842105263</v>
      </c>
      <c r="J813" s="47">
        <f t="shared" ref="J813:M813" si="88">SUM(J809:J812)</f>
        <v>57.96</v>
      </c>
      <c r="K813" s="47">
        <f t="shared" si="88"/>
        <v>17.46</v>
      </c>
      <c r="L813" s="47">
        <f t="shared" si="88"/>
        <v>40.5</v>
      </c>
      <c r="M813" s="41">
        <f t="shared" si="88"/>
        <v>38</v>
      </c>
      <c r="N813" s="47">
        <f>K813/M813</f>
        <v>0.4594736842</v>
      </c>
    </row>
    <row r="814">
      <c r="A814" s="109"/>
      <c r="B814" s="109"/>
      <c r="C814" s="109"/>
      <c r="D814" s="144"/>
      <c r="E814" s="144"/>
      <c r="F814" s="144"/>
      <c r="G814" s="144"/>
      <c r="H814" s="144"/>
      <c r="I814" s="144"/>
      <c r="J814" s="7"/>
      <c r="K814" s="7"/>
      <c r="L814" s="7"/>
      <c r="M814" s="7"/>
      <c r="N814" s="7"/>
    </row>
    <row r="815">
      <c r="A815" s="54" t="s">
        <v>511</v>
      </c>
      <c r="B815" s="54" t="s">
        <v>510</v>
      </c>
      <c r="C815" s="54">
        <v>765.0</v>
      </c>
      <c r="D815" s="54" t="s">
        <v>1375</v>
      </c>
      <c r="E815" s="54" t="s">
        <v>26</v>
      </c>
      <c r="F815" s="192">
        <v>42955.0</v>
      </c>
      <c r="G815" s="192">
        <v>44708.0</v>
      </c>
      <c r="H815" s="192">
        <v>44708.0</v>
      </c>
      <c r="I815" s="192">
        <v>44708.0</v>
      </c>
      <c r="J815" s="191">
        <v>9.99</v>
      </c>
      <c r="K815" s="191">
        <v>4.99</v>
      </c>
      <c r="L815" s="191">
        <v>5.0</v>
      </c>
      <c r="M815" s="54">
        <v>1.0</v>
      </c>
      <c r="N815" s="191">
        <v>4.99</v>
      </c>
    </row>
    <row r="816">
      <c r="A816" s="50">
        <f t="shared" ref="A816:B816" si="89">COUNTA(A815)</f>
        <v>1</v>
      </c>
      <c r="B816" s="50">
        <f t="shared" si="89"/>
        <v>1</v>
      </c>
      <c r="C816" s="50"/>
      <c r="D816" s="193"/>
      <c r="E816" s="211">
        <v>9.99</v>
      </c>
      <c r="F816" s="211">
        <v>4.99</v>
      </c>
      <c r="G816" s="211">
        <v>5.0</v>
      </c>
      <c r="H816" s="50">
        <v>1.0</v>
      </c>
      <c r="I816" s="189">
        <v>4.99</v>
      </c>
      <c r="J816" s="53">
        <f t="shared" ref="J816:M816" si="90">SUM(J815)</f>
        <v>9.99</v>
      </c>
      <c r="K816" s="53">
        <f t="shared" si="90"/>
        <v>4.99</v>
      </c>
      <c r="L816" s="53">
        <f t="shared" si="90"/>
        <v>5</v>
      </c>
      <c r="M816" s="193">
        <f t="shared" si="90"/>
        <v>1</v>
      </c>
      <c r="N816" s="53">
        <f>K816/M816</f>
        <v>4.99</v>
      </c>
    </row>
    <row r="817">
      <c r="A817" s="54"/>
      <c r="B817" s="54"/>
      <c r="C817" s="54"/>
      <c r="D817" s="55"/>
      <c r="E817" s="55"/>
      <c r="F817" s="55"/>
      <c r="G817" s="55"/>
      <c r="H817" s="55"/>
      <c r="I817" s="55"/>
      <c r="J817" s="187"/>
      <c r="K817" s="187"/>
      <c r="L817" s="187"/>
      <c r="M817" s="55"/>
      <c r="N817" s="187"/>
    </row>
    <row r="818">
      <c r="A818" s="132" t="s">
        <v>513</v>
      </c>
      <c r="B818" s="132" t="s">
        <v>512</v>
      </c>
      <c r="C818" s="132">
        <v>536.0</v>
      </c>
      <c r="D818" s="132" t="s">
        <v>1376</v>
      </c>
      <c r="E818" s="132" t="s">
        <v>26</v>
      </c>
      <c r="F818" s="133">
        <v>42430.0</v>
      </c>
      <c r="G818" s="133">
        <v>42750.0</v>
      </c>
      <c r="H818" s="133">
        <v>42753.0</v>
      </c>
      <c r="I818" s="133">
        <v>44009.0</v>
      </c>
      <c r="J818" s="134">
        <v>14.99</v>
      </c>
      <c r="K818" s="134">
        <v>4.99</v>
      </c>
      <c r="L818" s="134">
        <v>10.0</v>
      </c>
      <c r="M818" s="132">
        <v>18.0</v>
      </c>
      <c r="N818" s="134">
        <v>0.28</v>
      </c>
    </row>
    <row r="819">
      <c r="A819" s="272" t="s">
        <v>513</v>
      </c>
      <c r="B819" s="272"/>
      <c r="C819" s="272">
        <v>1092.0</v>
      </c>
      <c r="D819" s="272" t="s">
        <v>1377</v>
      </c>
      <c r="E819" s="272" t="s">
        <v>28</v>
      </c>
      <c r="F819" s="133">
        <v>45839.0</v>
      </c>
      <c r="G819" s="133">
        <v>45920.0</v>
      </c>
      <c r="H819" s="133">
        <v>45921.0</v>
      </c>
      <c r="I819" s="133">
        <v>45921.0</v>
      </c>
      <c r="J819" s="273">
        <v>19.99</v>
      </c>
      <c r="K819" s="273">
        <v>0.0</v>
      </c>
      <c r="L819" s="273">
        <f>J819-K819</f>
        <v>19.99</v>
      </c>
      <c r="M819" s="272">
        <v>2.0</v>
      </c>
      <c r="N819" s="273">
        <f t="shared" ref="N819:N820" si="93">K819/M819</f>
        <v>0</v>
      </c>
    </row>
    <row r="820">
      <c r="A820" s="136">
        <f t="shared" ref="A820:B820" si="91">COUNTA(A818:A819)</f>
        <v>2</v>
      </c>
      <c r="B820" s="136">
        <f t="shared" si="91"/>
        <v>1</v>
      </c>
      <c r="C820" s="136"/>
      <c r="D820" s="137"/>
      <c r="E820" s="274">
        <v>34.98</v>
      </c>
      <c r="F820" s="274">
        <v>4.99</v>
      </c>
      <c r="G820" s="274">
        <v>29.99</v>
      </c>
      <c r="H820" s="136">
        <v>20.0</v>
      </c>
      <c r="I820" s="138">
        <v>0.2495</v>
      </c>
      <c r="J820" s="139">
        <f t="shared" ref="J820:M820" si="92">SUM(J818:J819)</f>
        <v>34.98</v>
      </c>
      <c r="K820" s="139">
        <f t="shared" si="92"/>
        <v>4.99</v>
      </c>
      <c r="L820" s="139">
        <f t="shared" si="92"/>
        <v>29.99</v>
      </c>
      <c r="M820" s="137">
        <f t="shared" si="92"/>
        <v>20</v>
      </c>
      <c r="N820" s="139">
        <f t="shared" si="93"/>
        <v>0.2495</v>
      </c>
    </row>
    <row r="821">
      <c r="A821" s="170"/>
      <c r="B821" s="170"/>
      <c r="C821" s="170"/>
      <c r="D821" s="140"/>
      <c r="E821" s="140"/>
      <c r="F821" s="140"/>
      <c r="G821" s="140"/>
      <c r="H821" s="140"/>
      <c r="I821" s="140"/>
      <c r="J821" s="7"/>
      <c r="K821" s="7"/>
      <c r="L821" s="7"/>
      <c r="M821" s="7"/>
      <c r="N821" s="7"/>
    </row>
    <row r="822">
      <c r="A822" s="275" t="s">
        <v>515</v>
      </c>
      <c r="B822" s="275" t="s">
        <v>523</v>
      </c>
      <c r="C822" s="275">
        <v>467.0</v>
      </c>
      <c r="D822" s="275" t="s">
        <v>1378</v>
      </c>
      <c r="E822" s="275" t="s">
        <v>25</v>
      </c>
      <c r="F822" s="276">
        <v>42572.0</v>
      </c>
      <c r="G822" s="276">
        <v>42832.0</v>
      </c>
      <c r="H822" s="276">
        <v>42834.0</v>
      </c>
      <c r="I822" s="276">
        <v>44613.0</v>
      </c>
      <c r="J822" s="277">
        <v>4.99</v>
      </c>
      <c r="K822" s="277">
        <v>1.99</v>
      </c>
      <c r="L822" s="277">
        <v>3.0</v>
      </c>
      <c r="M822" s="275">
        <v>15.0</v>
      </c>
      <c r="N822" s="277">
        <v>0.13</v>
      </c>
    </row>
    <row r="823">
      <c r="A823" s="275" t="s">
        <v>515</v>
      </c>
      <c r="B823" s="275" t="s">
        <v>522</v>
      </c>
      <c r="C823" s="275">
        <v>483.0</v>
      </c>
      <c r="D823" s="275" t="s">
        <v>1379</v>
      </c>
      <c r="E823" s="275" t="s">
        <v>25</v>
      </c>
      <c r="F823" s="276">
        <v>43018.0</v>
      </c>
      <c r="G823" s="276">
        <v>44335.0</v>
      </c>
      <c r="H823" s="276">
        <v>44335.0</v>
      </c>
      <c r="I823" s="276">
        <v>44466.0</v>
      </c>
      <c r="J823" s="277">
        <v>7.99</v>
      </c>
      <c r="K823" s="277">
        <v>5.99</v>
      </c>
      <c r="L823" s="277">
        <v>2.0</v>
      </c>
      <c r="M823" s="275">
        <v>2.0</v>
      </c>
      <c r="N823" s="277">
        <v>3.0</v>
      </c>
    </row>
    <row r="824">
      <c r="A824" s="275" t="s">
        <v>515</v>
      </c>
      <c r="B824" s="275" t="s">
        <v>514</v>
      </c>
      <c r="C824" s="275">
        <v>655.0</v>
      </c>
      <c r="D824" s="275" t="s">
        <v>1380</v>
      </c>
      <c r="E824" s="275" t="s">
        <v>26</v>
      </c>
      <c r="F824" s="276">
        <v>42545.0</v>
      </c>
      <c r="G824" s="276">
        <v>42925.0</v>
      </c>
      <c r="H824" s="276">
        <v>43047.0</v>
      </c>
      <c r="I824" s="276">
        <v>45235.0</v>
      </c>
      <c r="J824" s="277">
        <v>19.99</v>
      </c>
      <c r="K824" s="277">
        <v>3.99</v>
      </c>
      <c r="L824" s="277">
        <v>16.0</v>
      </c>
      <c r="M824" s="275">
        <v>4.0</v>
      </c>
      <c r="N824" s="277">
        <v>1.0</v>
      </c>
    </row>
    <row r="825">
      <c r="A825" s="275" t="s">
        <v>515</v>
      </c>
      <c r="B825" s="275" t="s">
        <v>519</v>
      </c>
      <c r="C825" s="275">
        <v>531.0</v>
      </c>
      <c r="D825" s="275" t="s">
        <v>1381</v>
      </c>
      <c r="E825" s="275" t="s">
        <v>26</v>
      </c>
      <c r="F825" s="276">
        <v>43783.0</v>
      </c>
      <c r="G825" s="276">
        <v>44708.0</v>
      </c>
      <c r="H825" s="276">
        <v>44708.0</v>
      </c>
      <c r="I825" s="276">
        <v>44708.0</v>
      </c>
      <c r="J825" s="277">
        <v>39.99</v>
      </c>
      <c r="K825" s="277">
        <v>7.99</v>
      </c>
      <c r="L825" s="277">
        <v>32.0</v>
      </c>
      <c r="M825" s="275">
        <v>1.0</v>
      </c>
      <c r="N825" s="277">
        <v>7.99</v>
      </c>
    </row>
    <row r="826">
      <c r="A826" s="275" t="s">
        <v>515</v>
      </c>
      <c r="B826" s="275" t="s">
        <v>520</v>
      </c>
      <c r="C826" s="275">
        <v>597.0</v>
      </c>
      <c r="D826" s="275" t="s">
        <v>1382</v>
      </c>
      <c r="E826" s="275" t="s">
        <v>26</v>
      </c>
      <c r="F826" s="276">
        <v>43822.0</v>
      </c>
      <c r="G826" s="276">
        <v>43824.0</v>
      </c>
      <c r="H826" s="276">
        <v>44836.0</v>
      </c>
      <c r="I826" s="276">
        <v>44839.0</v>
      </c>
      <c r="J826" s="277">
        <v>5.99</v>
      </c>
      <c r="K826" s="277">
        <v>5.99</v>
      </c>
      <c r="L826" s="277">
        <v>0.0</v>
      </c>
      <c r="M826" s="275">
        <v>5.0</v>
      </c>
      <c r="N826" s="277">
        <v>1.2</v>
      </c>
    </row>
    <row r="827">
      <c r="A827" s="275" t="s">
        <v>515</v>
      </c>
      <c r="B827" s="275" t="s">
        <v>525</v>
      </c>
      <c r="C827" s="275">
        <v>874.0</v>
      </c>
      <c r="D827" s="275" t="s">
        <v>1383</v>
      </c>
      <c r="E827" s="275" t="s">
        <v>26</v>
      </c>
      <c r="F827" s="276">
        <v>43857.0</v>
      </c>
      <c r="G827" s="276">
        <v>44384.0</v>
      </c>
      <c r="H827" s="276">
        <v>44393.0</v>
      </c>
      <c r="I827" s="276">
        <v>44393.0</v>
      </c>
      <c r="J827" s="277">
        <v>19.99</v>
      </c>
      <c r="K827" s="277">
        <v>5.99</v>
      </c>
      <c r="L827" s="277">
        <v>14.0</v>
      </c>
      <c r="M827" s="275">
        <v>1.0</v>
      </c>
      <c r="N827" s="277">
        <v>5.99</v>
      </c>
    </row>
    <row r="828">
      <c r="A828" s="275" t="s">
        <v>515</v>
      </c>
      <c r="B828" s="275"/>
      <c r="C828" s="275">
        <v>555.0</v>
      </c>
      <c r="D828" s="275" t="s">
        <v>1384</v>
      </c>
      <c r="E828" s="275" t="s">
        <v>26</v>
      </c>
      <c r="F828" s="276">
        <v>43970.0</v>
      </c>
      <c r="G828" s="276">
        <v>44351.0</v>
      </c>
      <c r="H828" s="276">
        <v>44351.0</v>
      </c>
      <c r="I828" s="276">
        <v>44351.0</v>
      </c>
      <c r="J828" s="277">
        <v>4.99</v>
      </c>
      <c r="K828" s="277">
        <v>3.24</v>
      </c>
      <c r="L828" s="277">
        <v>1.75</v>
      </c>
      <c r="M828" s="275">
        <v>1.0</v>
      </c>
      <c r="N828" s="277">
        <v>3.24</v>
      </c>
    </row>
    <row r="829">
      <c r="A829" s="275" t="s">
        <v>515</v>
      </c>
      <c r="B829" s="275" t="s">
        <v>516</v>
      </c>
      <c r="C829" s="275">
        <v>755.0</v>
      </c>
      <c r="D829" s="275" t="s">
        <v>1385</v>
      </c>
      <c r="E829" s="275" t="s">
        <v>26</v>
      </c>
      <c r="F829" s="276">
        <v>44118.0</v>
      </c>
      <c r="G829" s="276">
        <v>45176.0</v>
      </c>
      <c r="H829" s="276">
        <v>45225.0</v>
      </c>
      <c r="I829" s="276">
        <v>45228.0</v>
      </c>
      <c r="J829" s="277">
        <v>15.99</v>
      </c>
      <c r="K829" s="277">
        <v>0.0</v>
      </c>
      <c r="L829" s="277">
        <v>15.99</v>
      </c>
      <c r="M829" s="275">
        <v>5.0</v>
      </c>
      <c r="N829" s="277">
        <v>0.0</v>
      </c>
    </row>
    <row r="830">
      <c r="A830" s="275" t="s">
        <v>515</v>
      </c>
      <c r="B830" s="275" t="s">
        <v>518</v>
      </c>
      <c r="C830" s="275">
        <v>611.0</v>
      </c>
      <c r="D830" s="275" t="s">
        <v>1386</v>
      </c>
      <c r="E830" s="275" t="s">
        <v>26</v>
      </c>
      <c r="F830" s="276">
        <v>44280.0</v>
      </c>
      <c r="G830" s="276">
        <v>44351.0</v>
      </c>
      <c r="H830" s="276">
        <v>44371.0</v>
      </c>
      <c r="I830" s="276">
        <v>44371.0</v>
      </c>
      <c r="J830" s="277">
        <v>12.99</v>
      </c>
      <c r="K830" s="277">
        <v>9.09</v>
      </c>
      <c r="L830" s="277">
        <v>3.9</v>
      </c>
      <c r="M830" s="275">
        <v>1.0</v>
      </c>
      <c r="N830" s="277">
        <v>9.09</v>
      </c>
    </row>
    <row r="831">
      <c r="A831" s="275" t="s">
        <v>515</v>
      </c>
      <c r="B831" s="275" t="s">
        <v>517</v>
      </c>
      <c r="C831" s="275">
        <v>607.0</v>
      </c>
      <c r="D831" s="275" t="s">
        <v>1387</v>
      </c>
      <c r="E831" s="275" t="s">
        <v>26</v>
      </c>
      <c r="F831" s="276">
        <v>44761.0</v>
      </c>
      <c r="G831" s="276">
        <v>45111.0</v>
      </c>
      <c r="H831" s="276">
        <v>45111.0</v>
      </c>
      <c r="I831" s="276">
        <v>45111.0</v>
      </c>
      <c r="J831" s="277">
        <v>29.99</v>
      </c>
      <c r="K831" s="277">
        <v>0.0</v>
      </c>
      <c r="L831" s="277">
        <v>29.99</v>
      </c>
      <c r="M831" s="275">
        <v>1.0</v>
      </c>
      <c r="N831" s="277">
        <v>0.0</v>
      </c>
    </row>
    <row r="832">
      <c r="A832" s="275" t="s">
        <v>515</v>
      </c>
      <c r="B832" s="275" t="s">
        <v>524</v>
      </c>
      <c r="C832" s="275">
        <v>994.0</v>
      </c>
      <c r="D832" s="275" t="s">
        <v>1388</v>
      </c>
      <c r="E832" s="275" t="s">
        <v>27</v>
      </c>
      <c r="F832" s="276">
        <v>43229.0</v>
      </c>
      <c r="G832" s="276">
        <v>43472.0</v>
      </c>
      <c r="H832" s="276">
        <v>43472.0</v>
      </c>
      <c r="I832" s="276">
        <v>43472.0</v>
      </c>
      <c r="J832" s="277">
        <v>19.99</v>
      </c>
      <c r="K832" s="277">
        <v>6.99</v>
      </c>
      <c r="L832" s="277">
        <v>13.0</v>
      </c>
      <c r="M832" s="275">
        <v>1.0</v>
      </c>
      <c r="N832" s="277">
        <v>6.99</v>
      </c>
    </row>
    <row r="833">
      <c r="A833" s="275" t="s">
        <v>515</v>
      </c>
      <c r="B833" s="275" t="s">
        <v>521</v>
      </c>
      <c r="C833" s="275">
        <v>1005.0</v>
      </c>
      <c r="D833" s="275" t="s">
        <v>1389</v>
      </c>
      <c r="E833" s="275" t="s">
        <v>27</v>
      </c>
      <c r="F833" s="276">
        <v>43725.0</v>
      </c>
      <c r="G833" s="276">
        <v>43804.0</v>
      </c>
      <c r="H833" s="276">
        <v>43810.0</v>
      </c>
      <c r="I833" s="276">
        <v>43810.0</v>
      </c>
      <c r="J833" s="277">
        <v>19.99</v>
      </c>
      <c r="K833" s="277">
        <v>19.99</v>
      </c>
      <c r="L833" s="277">
        <v>0.0</v>
      </c>
      <c r="M833" s="275">
        <v>2.0</v>
      </c>
      <c r="N833" s="277">
        <v>10.0</v>
      </c>
    </row>
    <row r="834">
      <c r="A834" s="278">
        <f t="shared" ref="A834:B834" si="94">COUNTA(A822:A833)</f>
        <v>12</v>
      </c>
      <c r="B834" s="278">
        <f t="shared" si="94"/>
        <v>11</v>
      </c>
      <c r="C834" s="278"/>
      <c r="D834" s="279"/>
      <c r="E834" s="280">
        <v>202.88</v>
      </c>
      <c r="F834" s="280">
        <v>71.25</v>
      </c>
      <c r="G834" s="280">
        <v>131.63</v>
      </c>
      <c r="H834" s="279">
        <v>39.0</v>
      </c>
      <c r="I834" s="281">
        <v>1.8269230769230769</v>
      </c>
      <c r="J834" s="282">
        <f t="shared" ref="J834:M834" si="95">SUM(J822:J833)</f>
        <v>202.88</v>
      </c>
      <c r="K834" s="282">
        <f t="shared" si="95"/>
        <v>71.25</v>
      </c>
      <c r="L834" s="282">
        <f t="shared" si="95"/>
        <v>131.63</v>
      </c>
      <c r="M834" s="279">
        <f t="shared" si="95"/>
        <v>39</v>
      </c>
      <c r="N834" s="282">
        <f>K834/M834</f>
        <v>1.826923077</v>
      </c>
    </row>
    <row r="835">
      <c r="A835" s="159"/>
      <c r="B835" s="159"/>
      <c r="C835" s="159"/>
      <c r="D835" s="160"/>
      <c r="E835" s="160"/>
      <c r="F835" s="160"/>
      <c r="G835" s="160"/>
      <c r="H835" s="160"/>
      <c r="I835" s="160"/>
      <c r="J835" s="161"/>
      <c r="K835" s="161"/>
      <c r="L835" s="161"/>
      <c r="M835" s="160"/>
      <c r="N835" s="161"/>
    </row>
    <row r="836">
      <c r="A836" s="179" t="s">
        <v>527</v>
      </c>
      <c r="B836" s="179" t="s">
        <v>537</v>
      </c>
      <c r="C836" s="179">
        <v>31.0</v>
      </c>
      <c r="D836" s="179" t="s">
        <v>1390</v>
      </c>
      <c r="E836" s="179" t="s">
        <v>21</v>
      </c>
      <c r="F836" s="180">
        <v>35986.0</v>
      </c>
      <c r="G836" s="180">
        <v>40794.0</v>
      </c>
      <c r="H836" s="180">
        <v>40794.0</v>
      </c>
      <c r="I836" s="180">
        <v>40794.0</v>
      </c>
      <c r="J836" s="181">
        <v>4.99</v>
      </c>
      <c r="K836" s="181">
        <v>4.99</v>
      </c>
      <c r="L836" s="181">
        <v>0.0</v>
      </c>
      <c r="M836" s="179">
        <v>3.0</v>
      </c>
      <c r="N836" s="181">
        <v>1.66</v>
      </c>
    </row>
    <row r="837">
      <c r="A837" s="179" t="s">
        <v>527</v>
      </c>
      <c r="B837" s="179" t="s">
        <v>548</v>
      </c>
      <c r="C837" s="179">
        <v>387.0</v>
      </c>
      <c r="D837" s="179" t="s">
        <v>1391</v>
      </c>
      <c r="E837" s="179" t="s">
        <v>24</v>
      </c>
      <c r="F837" s="180">
        <v>39283.0</v>
      </c>
      <c r="G837" s="180">
        <v>44091.0</v>
      </c>
      <c r="H837" s="180">
        <v>44091.0</v>
      </c>
      <c r="I837" s="180">
        <v>44091.0</v>
      </c>
      <c r="J837" s="181">
        <v>29.99</v>
      </c>
      <c r="K837" s="181">
        <v>3.0</v>
      </c>
      <c r="L837" s="181">
        <v>26.99</v>
      </c>
      <c r="M837" s="179">
        <v>1.0</v>
      </c>
      <c r="N837" s="181">
        <v>3.0</v>
      </c>
    </row>
    <row r="838">
      <c r="A838" s="179" t="s">
        <v>527</v>
      </c>
      <c r="B838" s="179" t="s">
        <v>532</v>
      </c>
      <c r="C838" s="179">
        <v>192.0</v>
      </c>
      <c r="D838" s="179" t="s">
        <v>1392</v>
      </c>
      <c r="E838" s="179" t="s">
        <v>24</v>
      </c>
      <c r="F838" s="180">
        <v>40844.0</v>
      </c>
      <c r="G838" s="180">
        <v>44422.0</v>
      </c>
      <c r="H838" s="180">
        <v>44422.0</v>
      </c>
      <c r="I838" s="180">
        <v>44422.0</v>
      </c>
      <c r="J838" s="283">
        <v>19.99</v>
      </c>
      <c r="K838" s="283">
        <v>0.0</v>
      </c>
      <c r="L838" s="181">
        <v>19.99</v>
      </c>
      <c r="M838" s="179">
        <v>1.0</v>
      </c>
      <c r="N838" s="181">
        <v>0.0</v>
      </c>
    </row>
    <row r="839">
      <c r="A839" s="179" t="s">
        <v>527</v>
      </c>
      <c r="B839" s="179" t="s">
        <v>545</v>
      </c>
      <c r="C839" s="179">
        <v>320.0</v>
      </c>
      <c r="D839" s="179" t="s">
        <v>1393</v>
      </c>
      <c r="E839" s="179" t="s">
        <v>24</v>
      </c>
      <c r="F839" s="180">
        <v>40849.0</v>
      </c>
      <c r="G839" s="180">
        <v>41461.0</v>
      </c>
      <c r="H839" s="180">
        <v>41461.0</v>
      </c>
      <c r="I839" s="180">
        <v>44781.0</v>
      </c>
      <c r="J839" s="181">
        <v>16.99</v>
      </c>
      <c r="K839" s="181">
        <v>12.99</v>
      </c>
      <c r="L839" s="181">
        <v>4.0</v>
      </c>
      <c r="M839" s="179">
        <v>2.0</v>
      </c>
      <c r="N839" s="181">
        <v>6.5</v>
      </c>
    </row>
    <row r="840">
      <c r="A840" s="179" t="s">
        <v>527</v>
      </c>
      <c r="B840" s="179"/>
      <c r="C840" s="179">
        <v>377.0</v>
      </c>
      <c r="D840" s="179" t="s">
        <v>1394</v>
      </c>
      <c r="E840" s="179" t="s">
        <v>24</v>
      </c>
      <c r="F840" s="180">
        <v>40963.0</v>
      </c>
      <c r="G840" s="180">
        <v>41693.0</v>
      </c>
      <c r="H840" s="180">
        <v>41693.0</v>
      </c>
      <c r="I840" s="180">
        <v>44796.0</v>
      </c>
      <c r="J840" s="181">
        <v>19.99</v>
      </c>
      <c r="K840" s="181">
        <v>1.0</v>
      </c>
      <c r="L840" s="181">
        <v>18.99</v>
      </c>
      <c r="M840" s="179">
        <v>15.0</v>
      </c>
      <c r="N840" s="181">
        <v>0.07</v>
      </c>
    </row>
    <row r="841">
      <c r="A841" s="179" t="s">
        <v>527</v>
      </c>
      <c r="B841" s="179" t="s">
        <v>530</v>
      </c>
      <c r="C841" s="179">
        <v>262.0</v>
      </c>
      <c r="D841" s="179" t="s">
        <v>1395</v>
      </c>
      <c r="E841" s="179" t="s">
        <v>24</v>
      </c>
      <c r="F841" s="180">
        <v>41451.0</v>
      </c>
      <c r="G841" s="180">
        <v>41748.0</v>
      </c>
      <c r="H841" s="180">
        <v>41748.0</v>
      </c>
      <c r="I841" s="180">
        <v>44869.0</v>
      </c>
      <c r="J841" s="181">
        <v>9.99</v>
      </c>
      <c r="K841" s="181">
        <v>9.99</v>
      </c>
      <c r="L841" s="181">
        <v>0.0</v>
      </c>
      <c r="M841" s="179">
        <v>8.0</v>
      </c>
      <c r="N841" s="181">
        <v>1.25</v>
      </c>
    </row>
    <row r="842">
      <c r="A842" s="179" t="s">
        <v>527</v>
      </c>
      <c r="B842" s="179"/>
      <c r="C842" s="179">
        <v>205.0</v>
      </c>
      <c r="D842" s="179" t="s">
        <v>1396</v>
      </c>
      <c r="E842" s="179" t="s">
        <v>24</v>
      </c>
      <c r="F842" s="180">
        <v>41520.0</v>
      </c>
      <c r="G842" s="180">
        <v>44314.0</v>
      </c>
      <c r="H842" s="180">
        <v>44314.0</v>
      </c>
      <c r="I842" s="180">
        <v>44314.0</v>
      </c>
      <c r="J842" s="181">
        <v>19.99</v>
      </c>
      <c r="K842" s="181">
        <v>4.99</v>
      </c>
      <c r="L842" s="181">
        <v>15.0</v>
      </c>
      <c r="M842" s="179">
        <v>1.0</v>
      </c>
      <c r="N842" s="181">
        <v>4.99</v>
      </c>
    </row>
    <row r="843">
      <c r="A843" s="179" t="s">
        <v>527</v>
      </c>
      <c r="B843" s="179" t="s">
        <v>543</v>
      </c>
      <c r="C843" s="179">
        <v>300.0</v>
      </c>
      <c r="D843" s="179" t="s">
        <v>1397</v>
      </c>
      <c r="E843" s="179" t="s">
        <v>24</v>
      </c>
      <c r="F843" s="180">
        <v>41626.0</v>
      </c>
      <c r="G843" s="180">
        <v>45427.0</v>
      </c>
      <c r="H843" s="180">
        <v>45427.0</v>
      </c>
      <c r="I843" s="180">
        <v>45427.0</v>
      </c>
      <c r="J843" s="181">
        <v>18.99</v>
      </c>
      <c r="K843" s="181">
        <v>8.46</v>
      </c>
      <c r="L843" s="181">
        <v>10.53</v>
      </c>
      <c r="M843" s="179">
        <v>1.0</v>
      </c>
      <c r="N843" s="181">
        <v>8.46</v>
      </c>
    </row>
    <row r="844">
      <c r="A844" s="179" t="s">
        <v>527</v>
      </c>
      <c r="B844" s="179" t="s">
        <v>542</v>
      </c>
      <c r="C844" s="179">
        <v>422.0</v>
      </c>
      <c r="D844" s="179" t="s">
        <v>1398</v>
      </c>
      <c r="E844" s="179" t="s">
        <v>24</v>
      </c>
      <c r="F844" s="180">
        <v>41779.0</v>
      </c>
      <c r="G844" s="180">
        <v>45058.0</v>
      </c>
      <c r="H844" s="180">
        <v>45058.0</v>
      </c>
      <c r="I844" s="180">
        <v>45058.0</v>
      </c>
      <c r="J844" s="181">
        <v>19.99</v>
      </c>
      <c r="K844" s="181">
        <v>3.5</v>
      </c>
      <c r="L844" s="181">
        <v>16.49</v>
      </c>
      <c r="M844" s="179">
        <v>1.0</v>
      </c>
      <c r="N844" s="181">
        <v>3.5</v>
      </c>
    </row>
    <row r="845">
      <c r="A845" s="179" t="s">
        <v>527</v>
      </c>
      <c r="B845" s="179"/>
      <c r="C845" s="179">
        <v>263.0</v>
      </c>
      <c r="D845" s="179" t="s">
        <v>1399</v>
      </c>
      <c r="E845" s="179" t="s">
        <v>24</v>
      </c>
      <c r="F845" s="180">
        <v>42073.0</v>
      </c>
      <c r="G845" s="180">
        <v>42750.0</v>
      </c>
      <c r="H845" s="180">
        <v>44430.0</v>
      </c>
      <c r="I845" s="180">
        <v>44430.0</v>
      </c>
      <c r="J845" s="181">
        <v>14.99</v>
      </c>
      <c r="K845" s="181">
        <v>3.59</v>
      </c>
      <c r="L845" s="181">
        <v>11.4</v>
      </c>
      <c r="M845" s="179">
        <v>2.0</v>
      </c>
      <c r="N845" s="181">
        <v>1.8</v>
      </c>
    </row>
    <row r="846">
      <c r="A846" s="179" t="s">
        <v>527</v>
      </c>
      <c r="B846" s="179" t="s">
        <v>528</v>
      </c>
      <c r="C846" s="179">
        <v>253.0</v>
      </c>
      <c r="D846" s="179" t="s">
        <v>1400</v>
      </c>
      <c r="E846" s="179" t="s">
        <v>24</v>
      </c>
      <c r="F846" s="180">
        <v>42228.0</v>
      </c>
      <c r="G846" s="180">
        <v>42650.0</v>
      </c>
      <c r="H846" s="180">
        <v>42655.0</v>
      </c>
      <c r="I846" s="180">
        <v>44037.0</v>
      </c>
      <c r="J846" s="181">
        <v>31.95</v>
      </c>
      <c r="K846" s="181">
        <v>18.55</v>
      </c>
      <c r="L846" s="181">
        <v>13.4</v>
      </c>
      <c r="M846" s="179">
        <v>20.0</v>
      </c>
      <c r="N846" s="181">
        <v>0.93</v>
      </c>
    </row>
    <row r="847">
      <c r="A847" s="179" t="s">
        <v>527</v>
      </c>
      <c r="B847" s="179" t="s">
        <v>539</v>
      </c>
      <c r="C847" s="179">
        <v>469.0</v>
      </c>
      <c r="D847" s="179" t="s">
        <v>1401</v>
      </c>
      <c r="E847" s="179" t="s">
        <v>25</v>
      </c>
      <c r="F847" s="180">
        <v>41717.0</v>
      </c>
      <c r="G847" s="180">
        <v>42750.0</v>
      </c>
      <c r="H847" s="180">
        <v>42753.0</v>
      </c>
      <c r="I847" s="180">
        <v>44585.0</v>
      </c>
      <c r="J847" s="181">
        <v>8.99</v>
      </c>
      <c r="K847" s="181">
        <v>1.99</v>
      </c>
      <c r="L847" s="181">
        <v>7.0</v>
      </c>
      <c r="M847" s="179">
        <v>10.0</v>
      </c>
      <c r="N847" s="181">
        <v>0.2</v>
      </c>
    </row>
    <row r="848">
      <c r="A848" s="179" t="s">
        <v>527</v>
      </c>
      <c r="B848" s="179"/>
      <c r="C848" s="179">
        <v>470.0</v>
      </c>
      <c r="D848" s="179" t="s">
        <v>1402</v>
      </c>
      <c r="E848" s="179" t="s">
        <v>25</v>
      </c>
      <c r="F848" s="180">
        <v>42529.0</v>
      </c>
      <c r="G848" s="180">
        <v>42754.0</v>
      </c>
      <c r="H848" s="180">
        <v>43004.0</v>
      </c>
      <c r="I848" s="180">
        <v>45183.0</v>
      </c>
      <c r="J848" s="181">
        <v>14.99</v>
      </c>
      <c r="K848" s="181">
        <v>9.99</v>
      </c>
      <c r="L848" s="181">
        <v>5.0</v>
      </c>
      <c r="M848" s="179">
        <v>9.0</v>
      </c>
      <c r="N848" s="181">
        <v>1.11</v>
      </c>
    </row>
    <row r="849">
      <c r="A849" s="179" t="s">
        <v>527</v>
      </c>
      <c r="B849" s="179"/>
      <c r="C849" s="179">
        <v>471.0</v>
      </c>
      <c r="D849" s="179" t="s">
        <v>1403</v>
      </c>
      <c r="E849" s="179" t="s">
        <v>25</v>
      </c>
      <c r="F849" s="180">
        <v>43005.0</v>
      </c>
      <c r="G849" s="180">
        <v>44567.0</v>
      </c>
      <c r="H849" s="180">
        <v>44569.0</v>
      </c>
      <c r="I849" s="180">
        <v>44576.0</v>
      </c>
      <c r="J849" s="181">
        <v>19.99</v>
      </c>
      <c r="K849" s="181">
        <v>4.99</v>
      </c>
      <c r="L849" s="181">
        <v>15.0</v>
      </c>
      <c r="M849" s="179">
        <v>4.0</v>
      </c>
      <c r="N849" s="181">
        <v>1.25</v>
      </c>
    </row>
    <row r="850">
      <c r="A850" s="179" t="s">
        <v>527</v>
      </c>
      <c r="B850" s="179" t="s">
        <v>526</v>
      </c>
      <c r="C850" s="179">
        <v>657.0</v>
      </c>
      <c r="D850" s="179" t="s">
        <v>1404</v>
      </c>
      <c r="E850" s="179" t="s">
        <v>26</v>
      </c>
      <c r="F850" s="180">
        <v>42067.0</v>
      </c>
      <c r="G850" s="180">
        <v>43016.0</v>
      </c>
      <c r="H850" s="180">
        <v>43017.0</v>
      </c>
      <c r="I850" s="180">
        <v>45051.0</v>
      </c>
      <c r="J850" s="181">
        <v>29.99</v>
      </c>
      <c r="K850" s="181">
        <v>29.99</v>
      </c>
      <c r="L850" s="181">
        <v>0.0</v>
      </c>
      <c r="M850" s="179">
        <v>3.0</v>
      </c>
      <c r="N850" s="181">
        <v>10.0</v>
      </c>
    </row>
    <row r="851">
      <c r="A851" s="179" t="s">
        <v>527</v>
      </c>
      <c r="B851" s="179"/>
      <c r="C851" s="179">
        <v>965.0</v>
      </c>
      <c r="D851" s="179" t="s">
        <v>1405</v>
      </c>
      <c r="E851" s="179" t="s">
        <v>26</v>
      </c>
      <c r="F851" s="180">
        <v>42129.0</v>
      </c>
      <c r="G851" s="180">
        <v>45058.0</v>
      </c>
      <c r="H851" s="180">
        <v>45058.0</v>
      </c>
      <c r="I851" s="180">
        <v>45058.0</v>
      </c>
      <c r="J851" s="181">
        <v>19.99</v>
      </c>
      <c r="K851" s="181">
        <v>3.5</v>
      </c>
      <c r="L851" s="181">
        <v>16.49</v>
      </c>
      <c r="M851" s="179">
        <v>1.0</v>
      </c>
      <c r="N851" s="181">
        <v>3.5</v>
      </c>
    </row>
    <row r="852">
      <c r="A852" s="179" t="s">
        <v>527</v>
      </c>
      <c r="B852" s="179" t="s">
        <v>529</v>
      </c>
      <c r="C852" s="179">
        <v>954.0</v>
      </c>
      <c r="D852" s="179" t="s">
        <v>1406</v>
      </c>
      <c r="E852" s="179" t="s">
        <v>26</v>
      </c>
      <c r="F852" s="180">
        <v>42409.0</v>
      </c>
      <c r="G852" s="180">
        <v>42754.0</v>
      </c>
      <c r="H852" s="180">
        <v>42754.0</v>
      </c>
      <c r="I852" s="180">
        <v>42754.0</v>
      </c>
      <c r="J852" s="181">
        <v>19.99</v>
      </c>
      <c r="K852" s="181">
        <v>7.99</v>
      </c>
      <c r="L852" s="181">
        <v>12.0</v>
      </c>
      <c r="M852" s="179">
        <v>1.0</v>
      </c>
      <c r="N852" s="181">
        <v>7.99</v>
      </c>
    </row>
    <row r="853">
      <c r="A853" s="179" t="s">
        <v>527</v>
      </c>
      <c r="B853" s="179" t="s">
        <v>540</v>
      </c>
      <c r="C853" s="179">
        <v>551.0</v>
      </c>
      <c r="D853" s="179" t="s">
        <v>1407</v>
      </c>
      <c r="E853" s="179" t="s">
        <v>26</v>
      </c>
      <c r="F853" s="180">
        <v>42640.0</v>
      </c>
      <c r="G853" s="180">
        <v>44067.0</v>
      </c>
      <c r="H853" s="180">
        <v>44393.0</v>
      </c>
      <c r="I853" s="180">
        <v>44393.0</v>
      </c>
      <c r="J853" s="181">
        <v>14.99</v>
      </c>
      <c r="K853" s="181">
        <v>4.49</v>
      </c>
      <c r="L853" s="181">
        <v>10.5</v>
      </c>
      <c r="M853" s="179">
        <v>2.0</v>
      </c>
      <c r="N853" s="181">
        <v>2.25</v>
      </c>
    </row>
    <row r="854">
      <c r="A854" s="179" t="s">
        <v>527</v>
      </c>
      <c r="B854" s="179"/>
      <c r="C854" s="179">
        <v>524.0</v>
      </c>
      <c r="D854" s="179" t="s">
        <v>1408</v>
      </c>
      <c r="E854" s="179" t="s">
        <v>26</v>
      </c>
      <c r="F854" s="180">
        <v>42664.0</v>
      </c>
      <c r="G854" s="180">
        <v>44334.0</v>
      </c>
      <c r="H854" s="180">
        <v>44334.0</v>
      </c>
      <c r="I854" s="180">
        <v>44334.0</v>
      </c>
      <c r="J854" s="181">
        <v>19.99</v>
      </c>
      <c r="K854" s="181">
        <v>0.0</v>
      </c>
      <c r="L854" s="181">
        <v>19.99</v>
      </c>
      <c r="M854" s="179">
        <v>1.0</v>
      </c>
      <c r="N854" s="181">
        <v>0.0</v>
      </c>
    </row>
    <row r="855">
      <c r="A855" s="179" t="s">
        <v>527</v>
      </c>
      <c r="B855" s="179" t="s">
        <v>536</v>
      </c>
      <c r="C855" s="179">
        <v>507.0</v>
      </c>
      <c r="D855" s="179" t="s">
        <v>1409</v>
      </c>
      <c r="E855" s="179" t="s">
        <v>26</v>
      </c>
      <c r="F855" s="180">
        <v>42696.0</v>
      </c>
      <c r="G855" s="180">
        <v>44139.0</v>
      </c>
      <c r="H855" s="180">
        <v>44139.0</v>
      </c>
      <c r="I855" s="180">
        <v>44139.0</v>
      </c>
      <c r="J855" s="181">
        <v>14.25</v>
      </c>
      <c r="K855" s="181">
        <v>1.57</v>
      </c>
      <c r="L855" s="181">
        <v>12.68</v>
      </c>
      <c r="M855" s="179">
        <v>1.0</v>
      </c>
      <c r="N855" s="181">
        <v>1.57</v>
      </c>
    </row>
    <row r="856">
      <c r="A856" s="179" t="s">
        <v>527</v>
      </c>
      <c r="B856" s="179" t="s">
        <v>550</v>
      </c>
      <c r="C856" s="179">
        <v>714.0</v>
      </c>
      <c r="D856" s="179" t="s">
        <v>1410</v>
      </c>
      <c r="E856" s="179" t="s">
        <v>26</v>
      </c>
      <c r="F856" s="180">
        <v>42853.0</v>
      </c>
      <c r="G856" s="180">
        <v>44776.0</v>
      </c>
      <c r="H856" s="180">
        <v>44776.0</v>
      </c>
      <c r="I856" s="180">
        <v>44776.0</v>
      </c>
      <c r="J856" s="181">
        <v>19.99</v>
      </c>
      <c r="K856" s="181">
        <v>0.0</v>
      </c>
      <c r="L856" s="181">
        <v>19.99</v>
      </c>
      <c r="M856" s="179">
        <v>1.0</v>
      </c>
      <c r="N856" s="181">
        <v>0.0</v>
      </c>
    </row>
    <row r="857">
      <c r="A857" s="179" t="s">
        <v>527</v>
      </c>
      <c r="B857" s="179"/>
      <c r="C857" s="179">
        <v>966.0</v>
      </c>
      <c r="D857" s="179" t="s">
        <v>1411</v>
      </c>
      <c r="E857" s="179" t="s">
        <v>26</v>
      </c>
      <c r="F857" s="180">
        <v>43035.0</v>
      </c>
      <c r="G857" s="180">
        <v>45058.0</v>
      </c>
      <c r="H857" s="180">
        <v>45058.0</v>
      </c>
      <c r="I857" s="180">
        <v>45058.0</v>
      </c>
      <c r="J857" s="181">
        <v>39.99</v>
      </c>
      <c r="K857" s="181">
        <v>3.5</v>
      </c>
      <c r="L857" s="181">
        <v>36.49</v>
      </c>
      <c r="M857" s="179">
        <v>1.0</v>
      </c>
      <c r="N857" s="181">
        <v>3.5</v>
      </c>
    </row>
    <row r="858">
      <c r="A858" s="179" t="s">
        <v>527</v>
      </c>
      <c r="B858" s="179" t="s">
        <v>549</v>
      </c>
      <c r="C858" s="179">
        <v>638.0</v>
      </c>
      <c r="D858" s="179" t="s">
        <v>1412</v>
      </c>
      <c r="E858" s="179" t="s">
        <v>26</v>
      </c>
      <c r="F858" s="180">
        <v>43550.0</v>
      </c>
      <c r="G858" s="180">
        <v>45174.0</v>
      </c>
      <c r="H858" s="180">
        <v>45174.0</v>
      </c>
      <c r="I858" s="180">
        <v>45174.0</v>
      </c>
      <c r="J858" s="283">
        <v>29.99</v>
      </c>
      <c r="K858" s="283">
        <v>0.0</v>
      </c>
      <c r="L858" s="181">
        <v>29.99</v>
      </c>
      <c r="M858" s="179">
        <v>1.0</v>
      </c>
      <c r="N858" s="181">
        <v>0.0</v>
      </c>
    </row>
    <row r="859">
      <c r="A859" s="179" t="s">
        <v>527</v>
      </c>
      <c r="B859" s="179"/>
      <c r="C859" s="179">
        <v>967.0</v>
      </c>
      <c r="D859" s="179" t="s">
        <v>1413</v>
      </c>
      <c r="E859" s="179" t="s">
        <v>26</v>
      </c>
      <c r="F859" s="180">
        <v>43672.0</v>
      </c>
      <c r="G859" s="180">
        <v>45058.0</v>
      </c>
      <c r="H859" s="180">
        <v>45058.0</v>
      </c>
      <c r="I859" s="180">
        <v>45058.0</v>
      </c>
      <c r="J859" s="181">
        <v>19.99</v>
      </c>
      <c r="K859" s="181">
        <v>3.49</v>
      </c>
      <c r="L859" s="181">
        <v>16.5</v>
      </c>
      <c r="M859" s="179">
        <v>1.0</v>
      </c>
      <c r="N859" s="181">
        <v>3.49</v>
      </c>
    </row>
    <row r="860">
      <c r="A860" s="179" t="s">
        <v>527</v>
      </c>
      <c r="B860" s="179" t="s">
        <v>533</v>
      </c>
      <c r="C860" s="179">
        <v>763.0</v>
      </c>
      <c r="D860" s="179" t="s">
        <v>1414</v>
      </c>
      <c r="E860" s="179" t="s">
        <v>26</v>
      </c>
      <c r="F860" s="180">
        <v>43777.0</v>
      </c>
      <c r="G860" s="180">
        <v>44811.0</v>
      </c>
      <c r="H860" s="180">
        <v>44830.0</v>
      </c>
      <c r="I860" s="180">
        <v>44917.0</v>
      </c>
      <c r="J860" s="181">
        <v>69.99</v>
      </c>
      <c r="K860" s="181">
        <v>0.0</v>
      </c>
      <c r="L860" s="181">
        <v>69.99</v>
      </c>
      <c r="M860" s="179">
        <v>11.0</v>
      </c>
      <c r="N860" s="181">
        <v>0.0</v>
      </c>
    </row>
    <row r="861">
      <c r="A861" s="179" t="s">
        <v>527</v>
      </c>
      <c r="B861" s="179"/>
      <c r="C861" s="179">
        <v>751.0</v>
      </c>
      <c r="D861" s="179" t="s">
        <v>1415</v>
      </c>
      <c r="E861" s="179" t="s">
        <v>26</v>
      </c>
      <c r="F861" s="180">
        <v>43977.0</v>
      </c>
      <c r="G861" s="180">
        <v>44992.0</v>
      </c>
      <c r="H861" s="180">
        <v>45705.0</v>
      </c>
      <c r="I861" s="180">
        <v>45708.0</v>
      </c>
      <c r="J861" s="181">
        <v>19.99</v>
      </c>
      <c r="K861" s="181">
        <v>0.0</v>
      </c>
      <c r="L861" s="181">
        <v>19.99</v>
      </c>
      <c r="M861" s="179">
        <v>10.0</v>
      </c>
      <c r="N861" s="181">
        <v>0.0</v>
      </c>
    </row>
    <row r="862">
      <c r="A862" s="284" t="s">
        <v>527</v>
      </c>
      <c r="B862" s="284" t="s">
        <v>546</v>
      </c>
      <c r="C862" s="179">
        <v>937.0</v>
      </c>
      <c r="D862" s="179" t="s">
        <v>1416</v>
      </c>
      <c r="E862" s="179" t="s">
        <v>26</v>
      </c>
      <c r="F862" s="180">
        <v>44057.0</v>
      </c>
      <c r="G862" s="180">
        <v>45176.0</v>
      </c>
      <c r="H862" s="180">
        <v>45759.0</v>
      </c>
      <c r="I862" s="180">
        <v>45761.0</v>
      </c>
      <c r="J862" s="181">
        <v>9.99</v>
      </c>
      <c r="K862" s="181">
        <v>0.0</v>
      </c>
      <c r="L862" s="181">
        <v>9.99</v>
      </c>
      <c r="M862" s="179">
        <v>4.0</v>
      </c>
      <c r="N862" s="181">
        <v>0.0</v>
      </c>
    </row>
    <row r="863">
      <c r="A863" s="179" t="s">
        <v>527</v>
      </c>
      <c r="B863" s="179"/>
      <c r="C863" s="179">
        <v>715.0</v>
      </c>
      <c r="D863" s="179" t="s">
        <v>1417</v>
      </c>
      <c r="E863" s="179" t="s">
        <v>26</v>
      </c>
      <c r="F863" s="180">
        <v>44238.0</v>
      </c>
      <c r="G863" s="180">
        <v>45538.0</v>
      </c>
      <c r="H863" s="180">
        <v>45538.0</v>
      </c>
      <c r="I863" s="180">
        <v>45538.0</v>
      </c>
      <c r="J863" s="181">
        <v>29.99</v>
      </c>
      <c r="K863" s="181">
        <v>0.0</v>
      </c>
      <c r="L863" s="181">
        <v>29.99</v>
      </c>
      <c r="M863" s="179">
        <v>1.0</v>
      </c>
      <c r="N863" s="181">
        <v>0.0</v>
      </c>
    </row>
    <row r="864">
      <c r="A864" s="179" t="s">
        <v>527</v>
      </c>
      <c r="B864" s="179" t="s">
        <v>538</v>
      </c>
      <c r="C864" s="179">
        <v>678.0</v>
      </c>
      <c r="D864" s="179" t="s">
        <v>1418</v>
      </c>
      <c r="E864" s="179" t="s">
        <v>26</v>
      </c>
      <c r="F864" s="180">
        <v>44281.0</v>
      </c>
      <c r="G864" s="180">
        <v>44567.0</v>
      </c>
      <c r="H864" s="180">
        <v>44567.0</v>
      </c>
      <c r="I864" s="180">
        <v>44567.0</v>
      </c>
      <c r="J864" s="181">
        <v>39.99</v>
      </c>
      <c r="K864" s="181">
        <v>19.99</v>
      </c>
      <c r="L864" s="181">
        <v>20.0</v>
      </c>
      <c r="M864" s="179">
        <v>1.0</v>
      </c>
      <c r="N864" s="181">
        <v>19.99</v>
      </c>
    </row>
    <row r="865">
      <c r="A865" s="179" t="s">
        <v>527</v>
      </c>
      <c r="B865" s="179" t="s">
        <v>531</v>
      </c>
      <c r="C865" s="179">
        <v>683.0</v>
      </c>
      <c r="D865" s="179" t="s">
        <v>1419</v>
      </c>
      <c r="E865" s="179" t="s">
        <v>26</v>
      </c>
      <c r="F865" s="180">
        <v>44336.0</v>
      </c>
      <c r="G865" s="180">
        <v>44678.0</v>
      </c>
      <c r="H865" s="180">
        <v>44679.0</v>
      </c>
      <c r="I865" s="180">
        <v>44686.0</v>
      </c>
      <c r="J865" s="181">
        <v>13.99</v>
      </c>
      <c r="K865" s="181">
        <v>6.29</v>
      </c>
      <c r="L865" s="181">
        <v>7.7</v>
      </c>
      <c r="M865" s="179">
        <v>14.0</v>
      </c>
      <c r="N865" s="181">
        <v>0.45</v>
      </c>
    </row>
    <row r="866">
      <c r="A866" s="179" t="s">
        <v>527</v>
      </c>
      <c r="B866" s="179" t="s">
        <v>534</v>
      </c>
      <c r="C866" s="179">
        <v>530.0</v>
      </c>
      <c r="D866" s="179" t="s">
        <v>1420</v>
      </c>
      <c r="E866" s="179" t="s">
        <v>26</v>
      </c>
      <c r="F866" s="180">
        <v>44341.0</v>
      </c>
      <c r="G866" s="180">
        <v>44813.0</v>
      </c>
      <c r="H866" s="180">
        <v>44824.0</v>
      </c>
      <c r="I866" s="180">
        <v>44883.0</v>
      </c>
      <c r="J866" s="181">
        <v>59.99</v>
      </c>
      <c r="K866" s="181">
        <v>29.99</v>
      </c>
      <c r="L866" s="181">
        <v>30.0</v>
      </c>
      <c r="M866" s="179">
        <v>49.0</v>
      </c>
      <c r="N866" s="181">
        <v>0.61</v>
      </c>
    </row>
    <row r="867">
      <c r="A867" s="179" t="s">
        <v>527</v>
      </c>
      <c r="B867" s="179" t="s">
        <v>541</v>
      </c>
      <c r="C867" s="179">
        <v>769.0</v>
      </c>
      <c r="D867" s="179" t="s">
        <v>1421</v>
      </c>
      <c r="E867" s="179" t="s">
        <v>26</v>
      </c>
      <c r="F867" s="180">
        <v>44474.0</v>
      </c>
      <c r="G867" s="180">
        <v>44720.0</v>
      </c>
      <c r="H867" s="180">
        <v>44814.0</v>
      </c>
      <c r="I867" s="180">
        <v>44815.0</v>
      </c>
      <c r="J867" s="181">
        <v>49.99</v>
      </c>
      <c r="K867" s="181">
        <v>0.0</v>
      </c>
      <c r="L867" s="181">
        <v>49.99</v>
      </c>
      <c r="M867" s="179">
        <v>11.0</v>
      </c>
      <c r="N867" s="181">
        <v>0.0</v>
      </c>
    </row>
    <row r="868">
      <c r="A868" s="179" t="s">
        <v>527</v>
      </c>
      <c r="B868" s="179"/>
      <c r="C868" s="179">
        <v>525.0</v>
      </c>
      <c r="D868" s="179" t="s">
        <v>1422</v>
      </c>
      <c r="E868" s="179" t="s">
        <v>26</v>
      </c>
      <c r="F868" s="180">
        <v>44519.0</v>
      </c>
      <c r="G868" s="180">
        <v>44992.0</v>
      </c>
      <c r="H868" s="180">
        <v>44992.0</v>
      </c>
      <c r="I868" s="180">
        <v>44992.0</v>
      </c>
      <c r="J868" s="181">
        <v>79.99</v>
      </c>
      <c r="K868" s="181">
        <v>0.0</v>
      </c>
      <c r="L868" s="181">
        <v>79.99</v>
      </c>
      <c r="M868" s="179">
        <v>1.0</v>
      </c>
      <c r="N868" s="181">
        <v>0.0</v>
      </c>
    </row>
    <row r="869">
      <c r="A869" s="179" t="s">
        <v>527</v>
      </c>
      <c r="B869" s="179"/>
      <c r="C869" s="179">
        <v>752.0</v>
      </c>
      <c r="D869" s="179" t="s">
        <v>1423</v>
      </c>
      <c r="E869" s="179" t="s">
        <v>26</v>
      </c>
      <c r="F869" s="180">
        <v>45034.0</v>
      </c>
      <c r="G869" s="180">
        <v>45385.0</v>
      </c>
      <c r="H869" s="180">
        <v>45385.0</v>
      </c>
      <c r="I869" s="180">
        <v>45385.0</v>
      </c>
      <c r="J869" s="181">
        <v>39.99</v>
      </c>
      <c r="K869" s="181">
        <v>0.0</v>
      </c>
      <c r="L869" s="181">
        <v>39.99</v>
      </c>
      <c r="M869" s="179">
        <v>1.0</v>
      </c>
      <c r="N869" s="181">
        <v>0.0</v>
      </c>
    </row>
    <row r="870">
      <c r="A870" s="179" t="s">
        <v>527</v>
      </c>
      <c r="B870" s="179"/>
      <c r="C870" s="179">
        <v>859.0</v>
      </c>
      <c r="D870" s="179" t="s">
        <v>1424</v>
      </c>
      <c r="E870" s="179" t="s">
        <v>26</v>
      </c>
      <c r="F870" s="180">
        <v>45261.0</v>
      </c>
      <c r="G870" s="180">
        <v>45586.0</v>
      </c>
      <c r="H870" s="180">
        <v>45586.0</v>
      </c>
      <c r="I870" s="180">
        <v>45586.0</v>
      </c>
      <c r="J870" s="181">
        <v>29.99</v>
      </c>
      <c r="K870" s="181">
        <v>15.74</v>
      </c>
      <c r="L870" s="181">
        <v>14.25</v>
      </c>
      <c r="M870" s="179">
        <v>1.0</v>
      </c>
      <c r="N870" s="181">
        <v>15.74</v>
      </c>
    </row>
    <row r="871">
      <c r="A871" s="179" t="s">
        <v>527</v>
      </c>
      <c r="B871" s="179" t="s">
        <v>551</v>
      </c>
      <c r="C871" s="179">
        <v>1049.0</v>
      </c>
      <c r="D871" s="179" t="s">
        <v>1425</v>
      </c>
      <c r="E871" s="179" t="s">
        <v>27</v>
      </c>
      <c r="F871" s="180">
        <v>43087.0</v>
      </c>
      <c r="G871" s="180">
        <v>43466.0</v>
      </c>
      <c r="H871" s="180">
        <v>43466.0</v>
      </c>
      <c r="I871" s="180">
        <v>43466.0</v>
      </c>
      <c r="J871" s="181">
        <v>14.99</v>
      </c>
      <c r="K871" s="181">
        <v>5.99</v>
      </c>
      <c r="L871" s="181">
        <v>9.0</v>
      </c>
      <c r="M871" s="179">
        <v>1.0</v>
      </c>
      <c r="N871" s="181">
        <v>5.99</v>
      </c>
    </row>
    <row r="872">
      <c r="A872" s="179" t="s">
        <v>527</v>
      </c>
      <c r="B872" s="179" t="s">
        <v>535</v>
      </c>
      <c r="C872" s="179">
        <v>984.0</v>
      </c>
      <c r="D872" s="179" t="s">
        <v>1426</v>
      </c>
      <c r="E872" s="179" t="s">
        <v>27</v>
      </c>
      <c r="F872" s="180">
        <v>43151.0</v>
      </c>
      <c r="G872" s="180">
        <v>43472.0</v>
      </c>
      <c r="H872" s="180">
        <v>43472.0</v>
      </c>
      <c r="I872" s="180">
        <v>43472.0</v>
      </c>
      <c r="J872" s="283">
        <v>19.99</v>
      </c>
      <c r="K872" s="283">
        <v>14.99</v>
      </c>
      <c r="L872" s="181">
        <v>5.0</v>
      </c>
      <c r="M872" s="179">
        <v>1.0</v>
      </c>
      <c r="N872" s="181">
        <v>14.99</v>
      </c>
    </row>
    <row r="873">
      <c r="A873" s="179" t="s">
        <v>527</v>
      </c>
      <c r="B873" s="179" t="s">
        <v>544</v>
      </c>
      <c r="C873" s="179">
        <v>991.0</v>
      </c>
      <c r="D873" s="179" t="s">
        <v>1427</v>
      </c>
      <c r="E873" s="179" t="s">
        <v>27</v>
      </c>
      <c r="F873" s="180">
        <v>43966.0</v>
      </c>
      <c r="G873" s="180">
        <v>45176.0</v>
      </c>
      <c r="H873" s="180">
        <v>45176.0</v>
      </c>
      <c r="I873" s="180">
        <v>45176.0</v>
      </c>
      <c r="J873" s="181">
        <v>24.99</v>
      </c>
      <c r="K873" s="181">
        <v>0.0</v>
      </c>
      <c r="L873" s="181">
        <v>24.99</v>
      </c>
      <c r="M873" s="179">
        <v>1.0</v>
      </c>
      <c r="N873" s="181">
        <v>0.0</v>
      </c>
    </row>
    <row r="874">
      <c r="A874" s="179" t="s">
        <v>527</v>
      </c>
      <c r="B874" s="179" t="s">
        <v>547</v>
      </c>
      <c r="C874" s="179">
        <v>1083.0</v>
      </c>
      <c r="D874" s="179" t="s">
        <v>1428</v>
      </c>
      <c r="E874" s="179" t="s">
        <v>28</v>
      </c>
      <c r="F874" s="180">
        <v>44456.0</v>
      </c>
      <c r="G874" s="180">
        <v>44811.0</v>
      </c>
      <c r="H874" s="180">
        <v>44828.0</v>
      </c>
      <c r="I874" s="180">
        <v>44829.0</v>
      </c>
      <c r="J874" s="283">
        <v>19.99</v>
      </c>
      <c r="K874" s="283">
        <v>0.0</v>
      </c>
      <c r="L874" s="181">
        <v>19.99</v>
      </c>
      <c r="M874" s="179">
        <v>10.0</v>
      </c>
      <c r="N874" s="181">
        <v>0.0</v>
      </c>
    </row>
    <row r="875">
      <c r="A875" s="284" t="s">
        <v>527</v>
      </c>
      <c r="B875" s="284"/>
      <c r="C875" s="179">
        <v>1062.0</v>
      </c>
      <c r="D875" s="179" t="s">
        <v>1429</v>
      </c>
      <c r="E875" s="179" t="s">
        <v>28</v>
      </c>
      <c r="F875" s="180">
        <v>44882.0</v>
      </c>
      <c r="G875" s="180">
        <v>45362.0</v>
      </c>
      <c r="H875" s="180">
        <v>45365.0</v>
      </c>
      <c r="I875" s="180">
        <v>45761.0</v>
      </c>
      <c r="J875" s="283">
        <v>29.99</v>
      </c>
      <c r="K875" s="283">
        <v>14.99</v>
      </c>
      <c r="L875" s="181">
        <v>15.0</v>
      </c>
      <c r="M875" s="179">
        <v>14.0</v>
      </c>
      <c r="N875" s="181">
        <v>1.07</v>
      </c>
    </row>
    <row r="876">
      <c r="A876" s="182">
        <f t="shared" ref="A876:B876" si="96">COUNTA(A836:A875)</f>
        <v>40</v>
      </c>
      <c r="B876" s="182">
        <f t="shared" si="96"/>
        <v>25</v>
      </c>
      <c r="C876" s="182"/>
      <c r="D876" s="183"/>
      <c r="E876" s="185">
        <v>1034.82</v>
      </c>
      <c r="F876" s="185">
        <v>250.54</v>
      </c>
      <c r="G876" s="185">
        <v>784.28</v>
      </c>
      <c r="H876" s="182">
        <v>222.0</v>
      </c>
      <c r="I876" s="185">
        <v>1.1285585585585585</v>
      </c>
      <c r="J876" s="186">
        <f t="shared" ref="J876:M876" si="97">SUM(J836:J875)</f>
        <v>1034.82</v>
      </c>
      <c r="K876" s="186">
        <f t="shared" si="97"/>
        <v>250.54</v>
      </c>
      <c r="L876" s="186">
        <f t="shared" si="97"/>
        <v>784.28</v>
      </c>
      <c r="M876" s="183">
        <f t="shared" si="97"/>
        <v>222</v>
      </c>
      <c r="N876" s="186">
        <f>K876/M876</f>
        <v>1.128558559</v>
      </c>
    </row>
    <row r="877">
      <c r="A877" s="54"/>
      <c r="B877" s="54"/>
      <c r="C877" s="54"/>
      <c r="D877" s="55"/>
      <c r="E877" s="55"/>
      <c r="F877" s="55"/>
      <c r="G877" s="55"/>
      <c r="H877" s="55"/>
      <c r="I877" s="55"/>
      <c r="J877" s="187"/>
      <c r="K877" s="187"/>
      <c r="L877" s="187"/>
      <c r="M877" s="55"/>
      <c r="N877" s="187"/>
    </row>
    <row r="878">
      <c r="A878" s="37" t="s">
        <v>553</v>
      </c>
      <c r="B878" s="37" t="s">
        <v>552</v>
      </c>
      <c r="C878" s="37">
        <v>623.0</v>
      </c>
      <c r="D878" s="37" t="s">
        <v>1430</v>
      </c>
      <c r="E878" s="37" t="s">
        <v>26</v>
      </c>
      <c r="F878" s="143">
        <v>44522.0</v>
      </c>
      <c r="G878" s="143">
        <v>45202.0</v>
      </c>
      <c r="H878" s="143">
        <v>45202.0</v>
      </c>
      <c r="I878" s="143">
        <v>45202.0</v>
      </c>
      <c r="J878" s="39">
        <v>39.99</v>
      </c>
      <c r="K878" s="39">
        <v>0.0</v>
      </c>
      <c r="L878" s="39">
        <v>39.99</v>
      </c>
      <c r="M878" s="37">
        <v>1.0</v>
      </c>
      <c r="N878" s="39">
        <v>0.0</v>
      </c>
    </row>
    <row r="879">
      <c r="A879" s="40">
        <f t="shared" ref="A879:B879" si="98">COUNTA(A878)</f>
        <v>1</v>
      </c>
      <c r="B879" s="40">
        <f t="shared" si="98"/>
        <v>1</v>
      </c>
      <c r="C879" s="40"/>
      <c r="D879" s="41"/>
      <c r="E879" s="44">
        <v>39.99</v>
      </c>
      <c r="F879" s="44">
        <v>0.0</v>
      </c>
      <c r="G879" s="44">
        <v>39.99</v>
      </c>
      <c r="H879" s="40">
        <v>1.0</v>
      </c>
      <c r="I879" s="43">
        <v>0.0</v>
      </c>
      <c r="J879" s="47">
        <f t="shared" ref="J879:M879" si="99">SUM(J878)</f>
        <v>39.99</v>
      </c>
      <c r="K879" s="47">
        <f t="shared" si="99"/>
        <v>0</v>
      </c>
      <c r="L879" s="47">
        <f t="shared" si="99"/>
        <v>39.99</v>
      </c>
      <c r="M879" s="41">
        <f t="shared" si="99"/>
        <v>1</v>
      </c>
      <c r="N879" s="47">
        <f>K879/M879</f>
        <v>0</v>
      </c>
    </row>
    <row r="880">
      <c r="A880" s="109"/>
      <c r="B880" s="109"/>
      <c r="C880" s="109"/>
      <c r="D880" s="144"/>
      <c r="E880" s="144"/>
      <c r="F880" s="144"/>
      <c r="G880" s="144"/>
      <c r="H880" s="144"/>
      <c r="I880" s="144"/>
      <c r="J880" s="172"/>
      <c r="K880" s="172"/>
      <c r="L880" s="172"/>
      <c r="M880" s="144"/>
      <c r="N880" s="172"/>
    </row>
    <row r="881">
      <c r="A881" s="193" t="s">
        <v>555</v>
      </c>
      <c r="B881" s="193" t="s">
        <v>554</v>
      </c>
      <c r="C881" s="50">
        <v>601.0</v>
      </c>
      <c r="D881" s="50" t="s">
        <v>1431</v>
      </c>
      <c r="E881" s="50" t="s">
        <v>26</v>
      </c>
      <c r="F881" s="188">
        <v>44939.0</v>
      </c>
      <c r="G881" s="188">
        <v>45176.0</v>
      </c>
      <c r="H881" s="188">
        <v>45472.0</v>
      </c>
      <c r="I881" s="188">
        <v>45753.0</v>
      </c>
      <c r="J881" s="190">
        <v>14.99</v>
      </c>
      <c r="K881" s="190">
        <v>0.0</v>
      </c>
      <c r="L881" s="190">
        <v>14.99</v>
      </c>
      <c r="M881" s="50">
        <v>21.0</v>
      </c>
      <c r="N881" s="190">
        <v>0.0</v>
      </c>
    </row>
    <row r="882">
      <c r="A882" s="37">
        <f t="shared" ref="A882:B882" si="100">COUNTA(A881)</f>
        <v>1</v>
      </c>
      <c r="B882" s="37">
        <f t="shared" si="100"/>
        <v>1</v>
      </c>
      <c r="C882" s="37"/>
      <c r="D882" s="58"/>
      <c r="E882" s="194">
        <v>14.99</v>
      </c>
      <c r="F882" s="194">
        <v>0.0</v>
      </c>
      <c r="G882" s="194">
        <v>14.99</v>
      </c>
      <c r="H882" s="37">
        <v>21.0</v>
      </c>
      <c r="I882" s="49">
        <v>0.0</v>
      </c>
      <c r="J882" s="173">
        <f t="shared" ref="J882:M882" si="101">SUM(J881)</f>
        <v>14.99</v>
      </c>
      <c r="K882" s="173">
        <f t="shared" si="101"/>
        <v>0</v>
      </c>
      <c r="L882" s="173">
        <f t="shared" si="101"/>
        <v>14.99</v>
      </c>
      <c r="M882" s="58">
        <f t="shared" si="101"/>
        <v>21</v>
      </c>
      <c r="N882" s="173">
        <f>K882/M882</f>
        <v>0</v>
      </c>
    </row>
    <row r="883">
      <c r="A883" s="54"/>
      <c r="B883" s="54"/>
      <c r="C883" s="54"/>
      <c r="D883" s="55"/>
      <c r="E883" s="54"/>
      <c r="F883" s="54"/>
      <c r="G883" s="54"/>
      <c r="H883" s="54"/>
      <c r="I883" s="54"/>
      <c r="J883" s="187"/>
      <c r="K883" s="187"/>
      <c r="L883" s="187"/>
      <c r="M883" s="55"/>
      <c r="N883" s="187"/>
    </row>
    <row r="884">
      <c r="A884" s="265" t="s">
        <v>557</v>
      </c>
      <c r="B884" s="265" t="s">
        <v>556</v>
      </c>
      <c r="C884" s="265">
        <v>1088.0</v>
      </c>
      <c r="D884" s="265" t="s">
        <v>1432</v>
      </c>
      <c r="E884" s="265" t="s">
        <v>28</v>
      </c>
      <c r="F884" s="285">
        <v>45490.0</v>
      </c>
      <c r="G884" s="285">
        <v>45910.0</v>
      </c>
      <c r="H884" s="285">
        <v>45975.0</v>
      </c>
      <c r="I884" s="285">
        <v>45977.0</v>
      </c>
      <c r="J884" s="266">
        <v>19.99</v>
      </c>
      <c r="K884" s="266">
        <v>0.0</v>
      </c>
      <c r="L884" s="266">
        <v>19.99</v>
      </c>
      <c r="M884" s="265">
        <v>4.0</v>
      </c>
      <c r="N884" s="266">
        <v>0.0</v>
      </c>
    </row>
    <row r="885">
      <c r="A885" s="37">
        <f t="shared" ref="A885:B885" si="102">COUNTA(A884)</f>
        <v>1</v>
      </c>
      <c r="B885" s="37">
        <f t="shared" si="102"/>
        <v>1</v>
      </c>
      <c r="C885" s="37"/>
      <c r="D885" s="58"/>
      <c r="E885" s="49">
        <v>19.99</v>
      </c>
      <c r="F885" s="194">
        <v>0.0</v>
      </c>
      <c r="G885" s="49">
        <v>19.99</v>
      </c>
      <c r="H885" s="37">
        <v>4.0</v>
      </c>
      <c r="I885" s="49">
        <v>0.0</v>
      </c>
      <c r="J885" s="173">
        <f t="shared" ref="J885:M885" si="103">SUM(J884)</f>
        <v>19.99</v>
      </c>
      <c r="K885" s="173">
        <f t="shared" si="103"/>
        <v>0</v>
      </c>
      <c r="L885" s="173">
        <f t="shared" si="103"/>
        <v>19.99</v>
      </c>
      <c r="M885" s="195">
        <f t="shared" si="103"/>
        <v>4</v>
      </c>
      <c r="N885" s="173">
        <f>K885/M885</f>
        <v>0</v>
      </c>
    </row>
    <row r="886">
      <c r="A886" s="54"/>
      <c r="B886" s="54"/>
      <c r="C886" s="54"/>
      <c r="D886" s="55"/>
      <c r="E886" s="54"/>
      <c r="F886" s="54"/>
      <c r="G886" s="54"/>
      <c r="H886" s="54"/>
      <c r="I886" s="54"/>
      <c r="J886" s="187"/>
      <c r="K886" s="187"/>
      <c r="L886" s="187"/>
      <c r="M886" s="55"/>
      <c r="N886" s="187"/>
    </row>
    <row r="887">
      <c r="A887" s="179" t="s">
        <v>559</v>
      </c>
      <c r="B887" s="179" t="s">
        <v>558</v>
      </c>
      <c r="C887" s="179">
        <v>299.0</v>
      </c>
      <c r="D887" s="179" t="s">
        <v>1433</v>
      </c>
      <c r="E887" s="179" t="s">
        <v>24</v>
      </c>
      <c r="F887" s="180">
        <v>41411.0</v>
      </c>
      <c r="G887" s="180">
        <v>44431.0</v>
      </c>
      <c r="H887" s="180">
        <v>44431.0</v>
      </c>
      <c r="I887" s="180">
        <v>44431.0</v>
      </c>
      <c r="J887" s="181">
        <v>15.0</v>
      </c>
      <c r="K887" s="181">
        <v>2.25</v>
      </c>
      <c r="L887" s="181">
        <v>12.75</v>
      </c>
      <c r="M887" s="179">
        <v>1.0</v>
      </c>
      <c r="N887" s="181">
        <v>2.25</v>
      </c>
    </row>
    <row r="888">
      <c r="A888" s="179" t="s">
        <v>559</v>
      </c>
      <c r="B888" s="179"/>
      <c r="C888" s="179">
        <v>748.0</v>
      </c>
      <c r="D888" s="179" t="s">
        <v>1434</v>
      </c>
      <c r="E888" s="179" t="s">
        <v>26</v>
      </c>
      <c r="F888" s="180">
        <v>41880.0</v>
      </c>
      <c r="G888" s="180">
        <v>44431.0</v>
      </c>
      <c r="H888" s="180">
        <v>44431.0</v>
      </c>
      <c r="I888" s="180">
        <v>44431.0</v>
      </c>
      <c r="J888" s="181">
        <v>14.99</v>
      </c>
      <c r="K888" s="181">
        <v>2.24</v>
      </c>
      <c r="L888" s="181">
        <v>12.75</v>
      </c>
      <c r="M888" s="179">
        <v>1.0</v>
      </c>
      <c r="N888" s="181">
        <v>2.24</v>
      </c>
    </row>
    <row r="889">
      <c r="A889" s="179" t="s">
        <v>559</v>
      </c>
      <c r="B889" s="179" t="s">
        <v>561</v>
      </c>
      <c r="C889" s="179">
        <v>789.0</v>
      </c>
      <c r="D889" s="179" t="s">
        <v>1435</v>
      </c>
      <c r="E889" s="179" t="s">
        <v>26</v>
      </c>
      <c r="F889" s="180">
        <v>42486.0</v>
      </c>
      <c r="G889" s="180">
        <v>42951.0</v>
      </c>
      <c r="H889" s="180">
        <v>43270.0</v>
      </c>
      <c r="I889" s="180">
        <v>43604.0</v>
      </c>
      <c r="J889" s="181">
        <v>12.99</v>
      </c>
      <c r="K889" s="181">
        <v>4.99</v>
      </c>
      <c r="L889" s="181">
        <v>8.0</v>
      </c>
      <c r="M889" s="179">
        <v>9.0</v>
      </c>
      <c r="N889" s="181">
        <v>0.55</v>
      </c>
    </row>
    <row r="890">
      <c r="A890" s="179" t="s">
        <v>559</v>
      </c>
      <c r="B890" s="179"/>
      <c r="C890" s="179">
        <v>749.0</v>
      </c>
      <c r="D890" s="179" t="s">
        <v>1436</v>
      </c>
      <c r="E890" s="179" t="s">
        <v>26</v>
      </c>
      <c r="F890" s="180">
        <v>43511.0</v>
      </c>
      <c r="G890" s="180">
        <v>44405.0</v>
      </c>
      <c r="H890" s="180">
        <v>44405.0</v>
      </c>
      <c r="I890" s="180">
        <v>44405.0</v>
      </c>
      <c r="J890" s="181">
        <v>39.99</v>
      </c>
      <c r="K890" s="181">
        <v>9.99</v>
      </c>
      <c r="L890" s="181">
        <v>30.0</v>
      </c>
      <c r="M890" s="179">
        <v>1.0</v>
      </c>
      <c r="N890" s="181">
        <v>9.99</v>
      </c>
    </row>
    <row r="891">
      <c r="A891" s="179" t="s">
        <v>559</v>
      </c>
      <c r="B891" s="179" t="s">
        <v>560</v>
      </c>
      <c r="C891" s="179">
        <v>923.0</v>
      </c>
      <c r="D891" s="179" t="s">
        <v>1437</v>
      </c>
      <c r="E891" s="179" t="s">
        <v>26</v>
      </c>
      <c r="F891" s="180">
        <v>43643.0</v>
      </c>
      <c r="G891" s="180">
        <v>44398.0</v>
      </c>
      <c r="H891" s="180">
        <v>44474.0</v>
      </c>
      <c r="I891" s="180">
        <v>44499.0</v>
      </c>
      <c r="J891" s="181">
        <v>64.99</v>
      </c>
      <c r="K891" s="181">
        <v>45.49</v>
      </c>
      <c r="L891" s="181">
        <v>19.5</v>
      </c>
      <c r="M891" s="179">
        <v>4.0</v>
      </c>
      <c r="N891" s="181">
        <v>11.37</v>
      </c>
    </row>
    <row r="892">
      <c r="A892" s="179" t="s">
        <v>559</v>
      </c>
      <c r="B892" s="179"/>
      <c r="C892" s="179">
        <v>790.0</v>
      </c>
      <c r="D892" s="179" t="s">
        <v>1438</v>
      </c>
      <c r="E892" s="179" t="s">
        <v>26</v>
      </c>
      <c r="F892" s="180">
        <v>44082.0</v>
      </c>
      <c r="G892" s="180">
        <v>44965.0</v>
      </c>
      <c r="H892" s="180">
        <v>44965.0</v>
      </c>
      <c r="I892" s="180">
        <v>44965.0</v>
      </c>
      <c r="J892" s="181">
        <v>19.99</v>
      </c>
      <c r="K892" s="181">
        <v>4.99</v>
      </c>
      <c r="L892" s="181">
        <v>15.0</v>
      </c>
      <c r="M892" s="179">
        <v>1.0</v>
      </c>
      <c r="N892" s="181">
        <v>4.99</v>
      </c>
    </row>
    <row r="893">
      <c r="A893" s="182">
        <f t="shared" ref="A893:B893" si="104">COUNTA(A887:A892)</f>
        <v>6</v>
      </c>
      <c r="B893" s="182">
        <f t="shared" si="104"/>
        <v>3</v>
      </c>
      <c r="C893" s="182"/>
      <c r="D893" s="183"/>
      <c r="E893" s="184">
        <v>167.95</v>
      </c>
      <c r="F893" s="184">
        <v>69.95</v>
      </c>
      <c r="G893" s="184">
        <v>98.0</v>
      </c>
      <c r="H893" s="182">
        <v>17.0</v>
      </c>
      <c r="I893" s="185">
        <v>4.114705882352942</v>
      </c>
      <c r="J893" s="186">
        <f t="shared" ref="J893:M893" si="105">SUM(J887:J892)</f>
        <v>167.95</v>
      </c>
      <c r="K893" s="186">
        <f t="shared" si="105"/>
        <v>69.95</v>
      </c>
      <c r="L893" s="186">
        <f t="shared" si="105"/>
        <v>98</v>
      </c>
      <c r="M893" s="183">
        <f t="shared" si="105"/>
        <v>17</v>
      </c>
      <c r="N893" s="186">
        <f>K893/M893</f>
        <v>4.114705882</v>
      </c>
    </row>
    <row r="894">
      <c r="A894" s="159"/>
      <c r="B894" s="159"/>
      <c r="C894" s="159"/>
      <c r="D894" s="160"/>
      <c r="E894" s="160"/>
      <c r="F894" s="160"/>
      <c r="G894" s="160"/>
      <c r="H894" s="160"/>
      <c r="I894" s="160"/>
      <c r="J894" s="161"/>
      <c r="K894" s="161"/>
      <c r="L894" s="161"/>
      <c r="M894" s="160"/>
      <c r="N894" s="161"/>
    </row>
    <row r="895">
      <c r="A895" s="40" t="s">
        <v>56</v>
      </c>
      <c r="B895" s="40" t="s">
        <v>618</v>
      </c>
      <c r="C895" s="40">
        <v>14.0</v>
      </c>
      <c r="D895" s="40" t="s">
        <v>1439</v>
      </c>
      <c r="E895" s="40" t="s">
        <v>21</v>
      </c>
      <c r="F895" s="197">
        <v>35019.0</v>
      </c>
      <c r="G895" s="197">
        <v>44708.0</v>
      </c>
      <c r="H895" s="197">
        <v>44708.0</v>
      </c>
      <c r="I895" s="197">
        <v>44708.0</v>
      </c>
      <c r="J895" s="196">
        <v>4.99</v>
      </c>
      <c r="K895" s="196">
        <v>2.49</v>
      </c>
      <c r="L895" s="196">
        <v>2.5</v>
      </c>
      <c r="M895" s="40">
        <v>1.0</v>
      </c>
      <c r="N895" s="196">
        <v>2.49</v>
      </c>
    </row>
    <row r="896">
      <c r="A896" s="40" t="s">
        <v>56</v>
      </c>
      <c r="B896" s="40"/>
      <c r="C896" s="40">
        <v>13.0</v>
      </c>
      <c r="D896" s="40" t="s">
        <v>1440</v>
      </c>
      <c r="E896" s="40" t="s">
        <v>21</v>
      </c>
      <c r="F896" s="197">
        <v>35034.0</v>
      </c>
      <c r="G896" s="197">
        <v>44708.0</v>
      </c>
      <c r="H896" s="197">
        <v>44708.0</v>
      </c>
      <c r="I896" s="197">
        <v>44708.0</v>
      </c>
      <c r="J896" s="196">
        <v>4.99</v>
      </c>
      <c r="K896" s="196">
        <v>2.49</v>
      </c>
      <c r="L896" s="196">
        <v>2.5</v>
      </c>
      <c r="M896" s="40">
        <v>1.0</v>
      </c>
      <c r="N896" s="196">
        <v>2.49</v>
      </c>
    </row>
    <row r="897">
      <c r="A897" s="40" t="s">
        <v>56</v>
      </c>
      <c r="B897" s="40" t="s">
        <v>632</v>
      </c>
      <c r="C897" s="40">
        <v>36.0</v>
      </c>
      <c r="D897" s="40" t="s">
        <v>1441</v>
      </c>
      <c r="E897" s="40" t="s">
        <v>21</v>
      </c>
      <c r="F897" s="197">
        <v>35041.0</v>
      </c>
      <c r="G897" s="197">
        <v>44422.0</v>
      </c>
      <c r="H897" s="197">
        <v>44422.0</v>
      </c>
      <c r="I897" s="197">
        <v>44422.0</v>
      </c>
      <c r="J897" s="196">
        <v>3.33</v>
      </c>
      <c r="K897" s="196">
        <v>3.33</v>
      </c>
      <c r="L897" s="196">
        <v>0.0</v>
      </c>
      <c r="M897" s="40">
        <v>1.0</v>
      </c>
      <c r="N897" s="196">
        <v>3.33</v>
      </c>
    </row>
    <row r="898">
      <c r="A898" s="40" t="s">
        <v>56</v>
      </c>
      <c r="B898" s="40" t="s">
        <v>670</v>
      </c>
      <c r="C898" s="40">
        <v>72.0</v>
      </c>
      <c r="D898" s="40" t="s">
        <v>1442</v>
      </c>
      <c r="E898" s="40" t="s">
        <v>21</v>
      </c>
      <c r="F898" s="197">
        <v>35080.0</v>
      </c>
      <c r="G898" s="197">
        <v>43014.0</v>
      </c>
      <c r="H898" s="197">
        <v>43014.0</v>
      </c>
      <c r="I898" s="197">
        <v>43014.0</v>
      </c>
      <c r="J898" s="196">
        <v>4.99</v>
      </c>
      <c r="K898" s="196">
        <v>1.99</v>
      </c>
      <c r="L898" s="196">
        <v>3.0</v>
      </c>
      <c r="M898" s="40">
        <v>1.0</v>
      </c>
      <c r="N898" s="196">
        <v>1.99</v>
      </c>
    </row>
    <row r="899">
      <c r="A899" s="41" t="s">
        <v>56</v>
      </c>
      <c r="B899" s="41" t="s">
        <v>581</v>
      </c>
      <c r="C899" s="41">
        <v>24.0</v>
      </c>
      <c r="D899" s="41" t="s">
        <v>1443</v>
      </c>
      <c r="E899" s="41" t="s">
        <v>21</v>
      </c>
      <c r="F899" s="197">
        <v>35156.0</v>
      </c>
      <c r="G899" s="197">
        <v>42279.0</v>
      </c>
      <c r="H899" s="197">
        <v>45924.0</v>
      </c>
      <c r="I899" s="197">
        <v>45926.0</v>
      </c>
      <c r="J899" s="47">
        <v>14.99</v>
      </c>
      <c r="K899" s="47">
        <v>10.0</v>
      </c>
      <c r="L899" s="47">
        <f>J899-K899</f>
        <v>4.99</v>
      </c>
      <c r="M899" s="41">
        <v>7.0</v>
      </c>
      <c r="N899" s="47">
        <f>K899/M899</f>
        <v>1.428571429</v>
      </c>
    </row>
    <row r="900">
      <c r="A900" s="40" t="s">
        <v>56</v>
      </c>
      <c r="B900" s="40" t="s">
        <v>636</v>
      </c>
      <c r="C900" s="40">
        <v>7.0</v>
      </c>
      <c r="D900" s="40" t="s">
        <v>1444</v>
      </c>
      <c r="E900" s="40" t="s">
        <v>21</v>
      </c>
      <c r="F900" s="197">
        <v>35377.0</v>
      </c>
      <c r="G900" s="197">
        <v>40557.0</v>
      </c>
      <c r="H900" s="197">
        <v>40557.0</v>
      </c>
      <c r="I900" s="197">
        <v>40557.0</v>
      </c>
      <c r="J900" s="196">
        <v>4.99</v>
      </c>
      <c r="K900" s="196">
        <v>4.99</v>
      </c>
      <c r="L900" s="196">
        <v>0.0</v>
      </c>
      <c r="M900" s="40">
        <v>30.0</v>
      </c>
      <c r="N900" s="196">
        <v>0.17</v>
      </c>
    </row>
    <row r="901">
      <c r="A901" s="40" t="s">
        <v>56</v>
      </c>
      <c r="B901" s="40" t="s">
        <v>675</v>
      </c>
      <c r="C901" s="40">
        <v>42.0</v>
      </c>
      <c r="D901" s="40" t="s">
        <v>1445</v>
      </c>
      <c r="E901" s="40" t="s">
        <v>21</v>
      </c>
      <c r="F901" s="197">
        <v>35615.0</v>
      </c>
      <c r="G901" s="197">
        <v>43014.0</v>
      </c>
      <c r="H901" s="197">
        <v>43014.0</v>
      </c>
      <c r="I901" s="197">
        <v>43014.0</v>
      </c>
      <c r="J901" s="196">
        <v>4.99</v>
      </c>
      <c r="K901" s="196">
        <v>1.99</v>
      </c>
      <c r="L901" s="196">
        <v>3.0</v>
      </c>
      <c r="M901" s="40">
        <v>1.0</v>
      </c>
      <c r="N901" s="196">
        <v>1.99</v>
      </c>
    </row>
    <row r="902">
      <c r="A902" s="40" t="s">
        <v>56</v>
      </c>
      <c r="B902" s="40" t="s">
        <v>643</v>
      </c>
      <c r="C902" s="41">
        <v>38.0</v>
      </c>
      <c r="D902" s="41" t="s">
        <v>1446</v>
      </c>
      <c r="E902" s="41" t="s">
        <v>21</v>
      </c>
      <c r="F902" s="46">
        <v>35691.0</v>
      </c>
      <c r="G902" s="46">
        <v>40538.0</v>
      </c>
      <c r="H902" s="46">
        <v>45950.0</v>
      </c>
      <c r="I902" s="46">
        <v>45951.0</v>
      </c>
      <c r="J902" s="47">
        <v>4.99</v>
      </c>
      <c r="K902" s="47">
        <v>4.99</v>
      </c>
      <c r="L902" s="47">
        <v>0.0</v>
      </c>
      <c r="M902" s="41">
        <v>25.0</v>
      </c>
      <c r="N902" s="47">
        <v>0.1996</v>
      </c>
    </row>
    <row r="903">
      <c r="A903" s="40" t="s">
        <v>56</v>
      </c>
      <c r="B903" s="40"/>
      <c r="C903" s="40">
        <v>8.0</v>
      </c>
      <c r="D903" s="40" t="s">
        <v>1447</v>
      </c>
      <c r="E903" s="40" t="s">
        <v>21</v>
      </c>
      <c r="F903" s="197">
        <v>35769.0</v>
      </c>
      <c r="G903" s="197">
        <v>40579.0</v>
      </c>
      <c r="H903" s="197">
        <v>40579.0</v>
      </c>
      <c r="I903" s="197">
        <v>45685.0</v>
      </c>
      <c r="J903" s="196">
        <v>4.99</v>
      </c>
      <c r="K903" s="196">
        <v>4.99</v>
      </c>
      <c r="L903" s="196">
        <v>0.0</v>
      </c>
      <c r="M903" s="40">
        <v>40.0</v>
      </c>
      <c r="N903" s="196">
        <v>0.12</v>
      </c>
    </row>
    <row r="904">
      <c r="A904" s="41" t="s">
        <v>56</v>
      </c>
      <c r="B904" s="41"/>
      <c r="C904" s="41">
        <v>25.0</v>
      </c>
      <c r="D904" s="41" t="s">
        <v>1448</v>
      </c>
      <c r="E904" s="41" t="s">
        <v>21</v>
      </c>
      <c r="F904" s="197">
        <v>35888.0</v>
      </c>
      <c r="G904" s="197">
        <v>42279.0</v>
      </c>
      <c r="H904" s="197">
        <v>45925.0</v>
      </c>
      <c r="I904" s="197">
        <v>45927.0</v>
      </c>
      <c r="J904" s="47">
        <v>15.99</v>
      </c>
      <c r="K904" s="47">
        <v>10.5</v>
      </c>
      <c r="L904" s="47">
        <f>J904-K904</f>
        <v>5.49</v>
      </c>
      <c r="M904" s="41">
        <v>4.0</v>
      </c>
      <c r="N904" s="47">
        <f>K904/M904</f>
        <v>2.625</v>
      </c>
    </row>
    <row r="905">
      <c r="A905" s="40" t="s">
        <v>56</v>
      </c>
      <c r="B905" s="40" t="s">
        <v>622</v>
      </c>
      <c r="C905" s="40">
        <v>50.0</v>
      </c>
      <c r="D905" s="40" t="s">
        <v>1449</v>
      </c>
      <c r="E905" s="40" t="s">
        <v>21</v>
      </c>
      <c r="F905" s="197">
        <v>36091.0</v>
      </c>
      <c r="G905" s="197">
        <v>41684.0</v>
      </c>
      <c r="H905" s="197">
        <v>41684.0</v>
      </c>
      <c r="I905" s="197">
        <v>41684.0</v>
      </c>
      <c r="J905" s="196">
        <v>3.99</v>
      </c>
      <c r="K905" s="196">
        <v>3.99</v>
      </c>
      <c r="L905" s="196">
        <v>0.0</v>
      </c>
      <c r="M905" s="40">
        <v>40.0</v>
      </c>
      <c r="N905" s="196">
        <v>0.1</v>
      </c>
    </row>
    <row r="906">
      <c r="A906" s="40" t="s">
        <v>56</v>
      </c>
      <c r="B906" s="40"/>
      <c r="C906" s="41">
        <v>39.0</v>
      </c>
      <c r="D906" s="41" t="s">
        <v>1450</v>
      </c>
      <c r="E906" s="41" t="s">
        <v>21</v>
      </c>
      <c r="F906" s="46">
        <v>36126.0</v>
      </c>
      <c r="G906" s="46">
        <v>40696.0</v>
      </c>
      <c r="H906" s="46">
        <v>45951.0</v>
      </c>
      <c r="I906" s="46">
        <v>45953.0</v>
      </c>
      <c r="J906" s="47">
        <v>4.99</v>
      </c>
      <c r="K906" s="47">
        <v>4.99</v>
      </c>
      <c r="L906" s="47">
        <v>0.0</v>
      </c>
      <c r="M906" s="41">
        <v>30.0</v>
      </c>
      <c r="N906" s="47">
        <v>0.16633333333333333</v>
      </c>
    </row>
    <row r="907">
      <c r="A907" s="40" t="s">
        <v>56</v>
      </c>
      <c r="B907" s="40"/>
      <c r="C907" s="40">
        <v>9.0</v>
      </c>
      <c r="D907" s="40" t="s">
        <v>1451</v>
      </c>
      <c r="E907" s="40" t="s">
        <v>21</v>
      </c>
      <c r="F907" s="197">
        <v>36140.0</v>
      </c>
      <c r="G907" s="197">
        <v>40583.0</v>
      </c>
      <c r="H907" s="197">
        <v>40583.0</v>
      </c>
      <c r="I907" s="197">
        <v>40583.0</v>
      </c>
      <c r="J907" s="196">
        <v>4.99</v>
      </c>
      <c r="K907" s="196">
        <v>4.99</v>
      </c>
      <c r="L907" s="196">
        <v>0.0</v>
      </c>
      <c r="M907" s="40">
        <v>50.0</v>
      </c>
      <c r="N907" s="196">
        <v>0.1</v>
      </c>
    </row>
    <row r="908">
      <c r="A908" s="41" t="s">
        <v>56</v>
      </c>
      <c r="B908" s="41"/>
      <c r="C908" s="41">
        <v>26.0</v>
      </c>
      <c r="D908" s="41" t="s">
        <v>1452</v>
      </c>
      <c r="E908" s="41" t="s">
        <v>21</v>
      </c>
      <c r="F908" s="197">
        <v>36260.0</v>
      </c>
      <c r="G908" s="197">
        <v>42279.0</v>
      </c>
      <c r="H908" s="197">
        <v>45927.0</v>
      </c>
      <c r="I908" s="197">
        <v>45928.0</v>
      </c>
      <c r="J908" s="47">
        <v>15.98</v>
      </c>
      <c r="K908" s="47">
        <v>10.49</v>
      </c>
      <c r="L908" s="47">
        <f>J908-K908</f>
        <v>5.49</v>
      </c>
      <c r="M908" s="41">
        <v>6.0</v>
      </c>
      <c r="N908" s="47">
        <f>K908/M908</f>
        <v>1.748333333</v>
      </c>
    </row>
    <row r="909">
      <c r="A909" s="40" t="s">
        <v>56</v>
      </c>
      <c r="B909" s="40" t="s">
        <v>569</v>
      </c>
      <c r="C909" s="40">
        <v>59.0</v>
      </c>
      <c r="D909" s="40" t="s">
        <v>1453</v>
      </c>
      <c r="E909" s="40" t="s">
        <v>21</v>
      </c>
      <c r="F909" s="197">
        <v>36357.0</v>
      </c>
      <c r="G909" s="197">
        <v>43014.0</v>
      </c>
      <c r="H909" s="197">
        <v>43014.0</v>
      </c>
      <c r="I909" s="197">
        <v>43014.0</v>
      </c>
      <c r="J909" s="196">
        <v>4.99</v>
      </c>
      <c r="K909" s="196">
        <v>2.49</v>
      </c>
      <c r="L909" s="196">
        <v>2.5</v>
      </c>
      <c r="M909" s="40">
        <v>1.0</v>
      </c>
      <c r="N909" s="196">
        <v>2.49</v>
      </c>
    </row>
    <row r="910">
      <c r="A910" s="40" t="s">
        <v>56</v>
      </c>
      <c r="B910" s="40"/>
      <c r="C910" s="40">
        <v>10.0</v>
      </c>
      <c r="D910" s="40" t="s">
        <v>1454</v>
      </c>
      <c r="E910" s="40" t="s">
        <v>21</v>
      </c>
      <c r="F910" s="197">
        <v>36453.0</v>
      </c>
      <c r="G910" s="197">
        <v>40583.0</v>
      </c>
      <c r="H910" s="197">
        <v>40583.0</v>
      </c>
      <c r="I910" s="197">
        <v>40583.0</v>
      </c>
      <c r="J910" s="196">
        <v>4.99</v>
      </c>
      <c r="K910" s="196">
        <v>4.99</v>
      </c>
      <c r="L910" s="196">
        <v>0.0</v>
      </c>
      <c r="M910" s="40">
        <v>80.0</v>
      </c>
      <c r="N910" s="196">
        <v>0.06</v>
      </c>
    </row>
    <row r="911">
      <c r="A911" s="40" t="s">
        <v>56</v>
      </c>
      <c r="B911" s="40"/>
      <c r="C911" s="40">
        <v>51.0</v>
      </c>
      <c r="D911" s="40" t="s">
        <v>1455</v>
      </c>
      <c r="E911" s="40" t="s">
        <v>21</v>
      </c>
      <c r="F911" s="197">
        <v>36469.0</v>
      </c>
      <c r="G911" s="197">
        <v>41684.0</v>
      </c>
      <c r="H911" s="197">
        <v>41684.0</v>
      </c>
      <c r="I911" s="197">
        <v>41684.0</v>
      </c>
      <c r="J911" s="196">
        <v>3.0</v>
      </c>
      <c r="K911" s="196">
        <v>3.0</v>
      </c>
      <c r="L911" s="196">
        <v>0.0</v>
      </c>
      <c r="M911" s="40">
        <v>55.0</v>
      </c>
      <c r="N911" s="196">
        <v>0.05</v>
      </c>
    </row>
    <row r="912">
      <c r="A912" s="40" t="s">
        <v>56</v>
      </c>
      <c r="B912" s="40" t="s">
        <v>627</v>
      </c>
      <c r="C912" s="40">
        <v>17.0</v>
      </c>
      <c r="D912" s="40" t="s">
        <v>1456</v>
      </c>
      <c r="E912" s="40" t="s">
        <v>21</v>
      </c>
      <c r="F912" s="197">
        <v>36741.0</v>
      </c>
      <c r="G912" s="197">
        <v>44300.0</v>
      </c>
      <c r="H912" s="197">
        <v>44300.0</v>
      </c>
      <c r="I912" s="197">
        <v>44300.0</v>
      </c>
      <c r="J912" s="196">
        <v>6.99</v>
      </c>
      <c r="K912" s="196">
        <v>6.99</v>
      </c>
      <c r="L912" s="196">
        <v>0.0</v>
      </c>
      <c r="M912" s="40">
        <v>1.0</v>
      </c>
      <c r="N912" s="196">
        <v>6.99</v>
      </c>
    </row>
    <row r="913">
      <c r="A913" s="40" t="s">
        <v>56</v>
      </c>
      <c r="B913" s="40"/>
      <c r="C913" s="40">
        <v>52.0</v>
      </c>
      <c r="D913" s="40" t="s">
        <v>1457</v>
      </c>
      <c r="E913" s="40" t="s">
        <v>21</v>
      </c>
      <c r="F913" s="197">
        <v>36840.0</v>
      </c>
      <c r="G913" s="197">
        <v>41684.0</v>
      </c>
      <c r="H913" s="197">
        <v>41684.0</v>
      </c>
      <c r="I913" s="197">
        <v>41684.0</v>
      </c>
      <c r="J913" s="196">
        <v>3.0</v>
      </c>
      <c r="K913" s="196">
        <v>3.0</v>
      </c>
      <c r="L913" s="196">
        <v>0.0</v>
      </c>
      <c r="M913" s="40">
        <v>65.0</v>
      </c>
      <c r="N913" s="196">
        <v>0.05</v>
      </c>
    </row>
    <row r="914">
      <c r="A914" s="40" t="s">
        <v>56</v>
      </c>
      <c r="B914" s="40"/>
      <c r="C914" s="40">
        <v>18.0</v>
      </c>
      <c r="D914" s="40" t="s">
        <v>1458</v>
      </c>
      <c r="E914" s="40" t="s">
        <v>21</v>
      </c>
      <c r="F914" s="197">
        <v>36973.0</v>
      </c>
      <c r="G914" s="197">
        <v>44300.0</v>
      </c>
      <c r="H914" s="197">
        <v>44300.0</v>
      </c>
      <c r="I914" s="197">
        <v>44300.0</v>
      </c>
      <c r="J914" s="196">
        <v>6.99</v>
      </c>
      <c r="K914" s="196">
        <v>6.99</v>
      </c>
      <c r="L914" s="196">
        <v>0.0</v>
      </c>
      <c r="M914" s="40">
        <v>1.0</v>
      </c>
      <c r="N914" s="196">
        <v>6.99</v>
      </c>
    </row>
    <row r="915">
      <c r="A915" s="40" t="s">
        <v>56</v>
      </c>
      <c r="B915" s="40"/>
      <c r="C915" s="40">
        <v>103.0</v>
      </c>
      <c r="D915" s="40" t="s">
        <v>1459</v>
      </c>
      <c r="E915" s="40" t="s">
        <v>22</v>
      </c>
      <c r="F915" s="197">
        <v>37232.0</v>
      </c>
      <c r="G915" s="197">
        <v>41240.0</v>
      </c>
      <c r="H915" s="197">
        <v>41240.0</v>
      </c>
      <c r="I915" s="197">
        <v>43123.0</v>
      </c>
      <c r="J915" s="196">
        <v>26.98</v>
      </c>
      <c r="K915" s="196">
        <v>26.98</v>
      </c>
      <c r="L915" s="196">
        <v>0.0</v>
      </c>
      <c r="M915" s="40">
        <v>55.0</v>
      </c>
      <c r="N915" s="196">
        <v>0.49</v>
      </c>
    </row>
    <row r="916">
      <c r="A916" s="40" t="s">
        <v>56</v>
      </c>
      <c r="B916" s="40" t="s">
        <v>619</v>
      </c>
      <c r="C916" s="40">
        <v>150.0</v>
      </c>
      <c r="D916" s="40" t="s">
        <v>1460</v>
      </c>
      <c r="E916" s="40" t="s">
        <v>22</v>
      </c>
      <c r="F916" s="197">
        <v>37232.0</v>
      </c>
      <c r="G916" s="197">
        <v>42343.0</v>
      </c>
      <c r="H916" s="197">
        <v>42343.0</v>
      </c>
      <c r="I916" s="197">
        <v>42343.0</v>
      </c>
      <c r="J916" s="196">
        <v>9.99</v>
      </c>
      <c r="K916" s="196">
        <v>4.99</v>
      </c>
      <c r="L916" s="196">
        <v>5.0</v>
      </c>
      <c r="M916" s="40">
        <v>1.0</v>
      </c>
      <c r="N916" s="196">
        <v>4.99</v>
      </c>
    </row>
    <row r="917">
      <c r="A917" s="40" t="s">
        <v>56</v>
      </c>
      <c r="B917" s="40" t="s">
        <v>623</v>
      </c>
      <c r="C917" s="40">
        <v>88.0</v>
      </c>
      <c r="D917" s="40" t="s">
        <v>1461</v>
      </c>
      <c r="E917" s="40" t="s">
        <v>22</v>
      </c>
      <c r="F917" s="197">
        <v>37414.0</v>
      </c>
      <c r="G917" s="197">
        <v>44300.0</v>
      </c>
      <c r="H917" s="197">
        <v>44300.0</v>
      </c>
      <c r="I917" s="197">
        <v>44300.0</v>
      </c>
      <c r="J917" s="196">
        <v>9.99</v>
      </c>
      <c r="K917" s="196">
        <v>9.99</v>
      </c>
      <c r="L917" s="196">
        <v>0.0</v>
      </c>
      <c r="M917" s="40">
        <v>1.0</v>
      </c>
      <c r="N917" s="196">
        <v>9.99</v>
      </c>
    </row>
    <row r="918">
      <c r="A918" s="40" t="s">
        <v>56</v>
      </c>
      <c r="B918" s="40"/>
      <c r="C918" s="40">
        <v>124.0</v>
      </c>
      <c r="D918" s="40" t="s">
        <v>1462</v>
      </c>
      <c r="E918" s="40" t="s">
        <v>22</v>
      </c>
      <c r="F918" s="197">
        <v>37568.0</v>
      </c>
      <c r="G918" s="197">
        <v>41979.0</v>
      </c>
      <c r="H918" s="197">
        <v>41983.0</v>
      </c>
      <c r="I918" s="197">
        <v>44900.0</v>
      </c>
      <c r="J918" s="196">
        <v>8.99</v>
      </c>
      <c r="K918" s="196">
        <v>3.99</v>
      </c>
      <c r="L918" s="196">
        <v>5.0</v>
      </c>
      <c r="M918" s="40">
        <v>100.0</v>
      </c>
      <c r="N918" s="196">
        <v>0.04</v>
      </c>
    </row>
    <row r="919">
      <c r="A919" s="40" t="s">
        <v>56</v>
      </c>
      <c r="B919" s="40" t="s">
        <v>679</v>
      </c>
      <c r="C919" s="40">
        <v>135.0</v>
      </c>
      <c r="D919" s="40" t="s">
        <v>1463</v>
      </c>
      <c r="E919" s="40" t="s">
        <v>22</v>
      </c>
      <c r="F919" s="197">
        <v>37638.0</v>
      </c>
      <c r="G919" s="197">
        <v>40832.0</v>
      </c>
      <c r="H919" s="197">
        <v>40832.0</v>
      </c>
      <c r="I919" s="197">
        <v>44744.0</v>
      </c>
      <c r="J919" s="196">
        <v>8.99</v>
      </c>
      <c r="K919" s="196">
        <v>1.99</v>
      </c>
      <c r="L919" s="196">
        <v>7.0</v>
      </c>
      <c r="M919" s="40">
        <v>50.0</v>
      </c>
      <c r="N919" s="196">
        <v>0.04</v>
      </c>
    </row>
    <row r="920">
      <c r="A920" s="40" t="s">
        <v>56</v>
      </c>
      <c r="B920" s="40" t="s">
        <v>630</v>
      </c>
      <c r="C920" s="40">
        <v>142.0</v>
      </c>
      <c r="D920" s="40" t="s">
        <v>1464</v>
      </c>
      <c r="E920" s="40" t="s">
        <v>22</v>
      </c>
      <c r="F920" s="197">
        <v>37652.0</v>
      </c>
      <c r="G920" s="197">
        <v>41578.0</v>
      </c>
      <c r="H920" s="197">
        <v>41578.0</v>
      </c>
      <c r="I920" s="197">
        <v>41578.0</v>
      </c>
      <c r="J920" s="43">
        <v>14.99</v>
      </c>
      <c r="K920" s="43">
        <v>14.99</v>
      </c>
      <c r="L920" s="196">
        <v>0.0</v>
      </c>
      <c r="M920" s="40">
        <v>50.0</v>
      </c>
      <c r="N920" s="196">
        <v>0.3</v>
      </c>
    </row>
    <row r="921">
      <c r="A921" s="40" t="s">
        <v>56</v>
      </c>
      <c r="B921" s="40" t="s">
        <v>685</v>
      </c>
      <c r="C921" s="40">
        <v>79.0</v>
      </c>
      <c r="D921" s="40" t="s">
        <v>1465</v>
      </c>
      <c r="E921" s="40" t="s">
        <v>22</v>
      </c>
      <c r="F921" s="197">
        <v>37743.0</v>
      </c>
      <c r="G921" s="197">
        <v>44640.0</v>
      </c>
      <c r="H921" s="197">
        <v>44838.0</v>
      </c>
      <c r="I921" s="197">
        <v>44851.0</v>
      </c>
      <c r="J921" s="196">
        <v>19.99</v>
      </c>
      <c r="K921" s="196">
        <v>13.99</v>
      </c>
      <c r="L921" s="196">
        <v>6.0</v>
      </c>
      <c r="M921" s="40">
        <v>9.0</v>
      </c>
      <c r="N921" s="196">
        <v>1.55</v>
      </c>
    </row>
    <row r="922">
      <c r="A922" s="40" t="s">
        <v>56</v>
      </c>
      <c r="B922" s="40"/>
      <c r="C922" s="40">
        <v>104.0</v>
      </c>
      <c r="D922" s="40" t="s">
        <v>1466</v>
      </c>
      <c r="E922" s="40" t="s">
        <v>22</v>
      </c>
      <c r="F922" s="197">
        <v>37911.0</v>
      </c>
      <c r="G922" s="197">
        <v>41240.0</v>
      </c>
      <c r="H922" s="197">
        <v>41240.0</v>
      </c>
      <c r="I922" s="197">
        <v>43310.0</v>
      </c>
      <c r="J922" s="196">
        <v>24.97</v>
      </c>
      <c r="K922" s="196">
        <v>24.97</v>
      </c>
      <c r="L922" s="196">
        <v>0.0</v>
      </c>
      <c r="M922" s="40">
        <v>35.0</v>
      </c>
      <c r="N922" s="196">
        <v>0.71</v>
      </c>
    </row>
    <row r="923">
      <c r="A923" s="40" t="s">
        <v>56</v>
      </c>
      <c r="B923" s="40"/>
      <c r="C923" s="40">
        <v>125.0</v>
      </c>
      <c r="D923" s="40" t="s">
        <v>1467</v>
      </c>
      <c r="E923" s="40" t="s">
        <v>22</v>
      </c>
      <c r="F923" s="197">
        <v>37946.0</v>
      </c>
      <c r="G923" s="197">
        <v>41979.0</v>
      </c>
      <c r="H923" s="197">
        <v>41992.0</v>
      </c>
      <c r="I923" s="197">
        <v>44551.0</v>
      </c>
      <c r="J923" s="196">
        <v>8.0</v>
      </c>
      <c r="K923" s="196">
        <v>3.0</v>
      </c>
      <c r="L923" s="196">
        <v>5.0</v>
      </c>
      <c r="M923" s="40">
        <v>90.0</v>
      </c>
      <c r="N923" s="196">
        <v>0.03</v>
      </c>
    </row>
    <row r="924">
      <c r="A924" s="40" t="s">
        <v>56</v>
      </c>
      <c r="B924" s="40" t="s">
        <v>662</v>
      </c>
      <c r="C924" s="40">
        <v>129.0</v>
      </c>
      <c r="D924" s="40" t="s">
        <v>1468</v>
      </c>
      <c r="E924" s="40" t="s">
        <v>22</v>
      </c>
      <c r="F924" s="197">
        <v>38149.0</v>
      </c>
      <c r="G924" s="197">
        <v>42950.0</v>
      </c>
      <c r="H924" s="197">
        <v>42950.0</v>
      </c>
      <c r="I924" s="197">
        <v>42950.0</v>
      </c>
      <c r="J924" s="196">
        <v>13.99</v>
      </c>
      <c r="K924" s="196">
        <v>5.99</v>
      </c>
      <c r="L924" s="196">
        <v>8.0</v>
      </c>
      <c r="M924" s="40">
        <v>1.0</v>
      </c>
      <c r="N924" s="196">
        <v>5.99</v>
      </c>
    </row>
    <row r="925">
      <c r="A925" s="40" t="s">
        <v>56</v>
      </c>
      <c r="B925" s="40"/>
      <c r="C925" s="40">
        <v>136.0</v>
      </c>
      <c r="D925" s="40" t="s">
        <v>1469</v>
      </c>
      <c r="E925" s="40" t="s">
        <v>22</v>
      </c>
      <c r="F925" s="197">
        <v>38289.0</v>
      </c>
      <c r="G925" s="197">
        <v>40832.0</v>
      </c>
      <c r="H925" s="197">
        <v>44744.0</v>
      </c>
      <c r="I925" s="197">
        <v>44747.0</v>
      </c>
      <c r="J925" s="196">
        <v>8.0</v>
      </c>
      <c r="K925" s="196">
        <v>3.0</v>
      </c>
      <c r="L925" s="196">
        <v>5.0</v>
      </c>
      <c r="M925" s="40">
        <v>70.0</v>
      </c>
      <c r="N925" s="196">
        <v>0.04</v>
      </c>
    </row>
    <row r="926">
      <c r="A926" s="40" t="s">
        <v>56</v>
      </c>
      <c r="B926" s="40"/>
      <c r="C926" s="40">
        <v>126.0</v>
      </c>
      <c r="D926" s="40" t="s">
        <v>1470</v>
      </c>
      <c r="E926" s="40" t="s">
        <v>22</v>
      </c>
      <c r="F926" s="197">
        <v>38303.0</v>
      </c>
      <c r="G926" s="197">
        <v>41979.0</v>
      </c>
      <c r="H926" s="197">
        <v>41996.0</v>
      </c>
      <c r="I926" s="197">
        <v>44555.0</v>
      </c>
      <c r="J926" s="196">
        <v>8.0</v>
      </c>
      <c r="K926" s="196">
        <v>3.0</v>
      </c>
      <c r="L926" s="196">
        <v>5.0</v>
      </c>
      <c r="M926" s="40">
        <v>110.0</v>
      </c>
      <c r="N926" s="196">
        <v>0.03</v>
      </c>
    </row>
    <row r="927">
      <c r="A927" s="40" t="s">
        <v>56</v>
      </c>
      <c r="B927" s="40"/>
      <c r="C927" s="40">
        <v>105.0</v>
      </c>
      <c r="D927" s="40" t="s">
        <v>1471</v>
      </c>
      <c r="E927" s="40" t="s">
        <v>22</v>
      </c>
      <c r="F927" s="197">
        <v>38317.0</v>
      </c>
      <c r="G927" s="197">
        <v>41240.0</v>
      </c>
      <c r="H927" s="197">
        <v>41255.0</v>
      </c>
      <c r="I927" s="197">
        <v>41274.0</v>
      </c>
      <c r="J927" s="196">
        <v>26.98</v>
      </c>
      <c r="K927" s="196">
        <v>26.98</v>
      </c>
      <c r="L927" s="196">
        <v>0.0</v>
      </c>
      <c r="M927" s="40">
        <v>30.0</v>
      </c>
      <c r="N927" s="196">
        <v>0.9</v>
      </c>
    </row>
    <row r="928">
      <c r="A928" s="40" t="s">
        <v>56</v>
      </c>
      <c r="B928" s="40" t="s">
        <v>647</v>
      </c>
      <c r="C928" s="40">
        <v>86.0</v>
      </c>
      <c r="D928" s="40" t="s">
        <v>1472</v>
      </c>
      <c r="E928" s="40" t="s">
        <v>22</v>
      </c>
      <c r="F928" s="197">
        <v>38527.0</v>
      </c>
      <c r="G928" s="197">
        <v>42832.0</v>
      </c>
      <c r="H928" s="197">
        <v>42832.0</v>
      </c>
      <c r="I928" s="197">
        <v>44076.0</v>
      </c>
      <c r="J928" s="196">
        <v>19.99</v>
      </c>
      <c r="K928" s="196">
        <v>7.99</v>
      </c>
      <c r="L928" s="196">
        <v>12.0</v>
      </c>
      <c r="M928" s="40">
        <v>18.0</v>
      </c>
      <c r="N928" s="196">
        <v>0.44</v>
      </c>
    </row>
    <row r="929">
      <c r="A929" s="40" t="s">
        <v>56</v>
      </c>
      <c r="B929" s="40" t="s">
        <v>666</v>
      </c>
      <c r="C929" s="40">
        <v>96.0</v>
      </c>
      <c r="D929" s="40" t="s">
        <v>1473</v>
      </c>
      <c r="E929" s="40" t="s">
        <v>22</v>
      </c>
      <c r="F929" s="197">
        <v>38541.0</v>
      </c>
      <c r="G929" s="197">
        <v>43014.0</v>
      </c>
      <c r="H929" s="197">
        <v>45127.0</v>
      </c>
      <c r="I929" s="197">
        <v>45133.0</v>
      </c>
      <c r="J929" s="196">
        <v>12.99</v>
      </c>
      <c r="K929" s="196">
        <v>4.99</v>
      </c>
      <c r="L929" s="196">
        <v>8.0</v>
      </c>
      <c r="M929" s="40">
        <v>25.0</v>
      </c>
      <c r="N929" s="196">
        <v>0.2</v>
      </c>
    </row>
    <row r="930">
      <c r="A930" s="40" t="s">
        <v>56</v>
      </c>
      <c r="B930" s="40"/>
      <c r="C930" s="40">
        <v>106.0</v>
      </c>
      <c r="D930" s="40" t="s">
        <v>1474</v>
      </c>
      <c r="E930" s="40" t="s">
        <v>22</v>
      </c>
      <c r="F930" s="197">
        <v>38660.0</v>
      </c>
      <c r="G930" s="197">
        <v>43078.0</v>
      </c>
      <c r="H930" s="197">
        <v>44539.0</v>
      </c>
      <c r="I930" s="197">
        <v>44543.0</v>
      </c>
      <c r="J930" s="43">
        <v>9.99</v>
      </c>
      <c r="K930" s="43">
        <v>9.99</v>
      </c>
      <c r="L930" s="196">
        <v>0.0</v>
      </c>
      <c r="M930" s="40">
        <v>30.0</v>
      </c>
      <c r="N930" s="196">
        <v>0.33</v>
      </c>
    </row>
    <row r="931">
      <c r="A931" s="40" t="s">
        <v>56</v>
      </c>
      <c r="B931" s="40"/>
      <c r="C931" s="40">
        <v>143.0</v>
      </c>
      <c r="D931" s="40" t="s">
        <v>1475</v>
      </c>
      <c r="E931" s="40" t="s">
        <v>22</v>
      </c>
      <c r="F931" s="197">
        <v>38660.0</v>
      </c>
      <c r="G931" s="197">
        <v>41578.0</v>
      </c>
      <c r="H931" s="197">
        <v>41578.0</v>
      </c>
      <c r="I931" s="197">
        <v>41578.0</v>
      </c>
      <c r="J931" s="196">
        <v>14.99</v>
      </c>
      <c r="K931" s="196">
        <v>14.99</v>
      </c>
      <c r="L931" s="196">
        <v>0.0</v>
      </c>
      <c r="M931" s="40">
        <v>80.0</v>
      </c>
      <c r="N931" s="196">
        <v>0.19</v>
      </c>
    </row>
    <row r="932">
      <c r="A932" s="40" t="s">
        <v>56</v>
      </c>
      <c r="B932" s="40"/>
      <c r="C932" s="40">
        <v>127.0</v>
      </c>
      <c r="D932" s="40" t="s">
        <v>1476</v>
      </c>
      <c r="E932" s="40" t="s">
        <v>22</v>
      </c>
      <c r="F932" s="197">
        <v>38674.0</v>
      </c>
      <c r="G932" s="197">
        <v>42011.0</v>
      </c>
      <c r="H932" s="197">
        <v>42012.0</v>
      </c>
      <c r="I932" s="197">
        <v>44290.0</v>
      </c>
      <c r="J932" s="196">
        <v>14.99</v>
      </c>
      <c r="K932" s="196">
        <v>14.99</v>
      </c>
      <c r="L932" s="196">
        <v>0.0</v>
      </c>
      <c r="M932" s="40">
        <v>55.0</v>
      </c>
      <c r="N932" s="196">
        <v>0.27</v>
      </c>
    </row>
    <row r="933">
      <c r="A933" s="40" t="s">
        <v>56</v>
      </c>
      <c r="B933" s="40"/>
      <c r="C933" s="40">
        <v>137.0</v>
      </c>
      <c r="D933" s="40" t="s">
        <v>1477</v>
      </c>
      <c r="E933" s="40" t="s">
        <v>22</v>
      </c>
      <c r="F933" s="197">
        <v>38674.0</v>
      </c>
      <c r="G933" s="197">
        <v>40832.0</v>
      </c>
      <c r="H933" s="197">
        <v>44747.0</v>
      </c>
      <c r="I933" s="197">
        <v>44750.0</v>
      </c>
      <c r="J933" s="196">
        <v>8.0</v>
      </c>
      <c r="K933" s="196">
        <v>3.0</v>
      </c>
      <c r="L933" s="196">
        <v>5.0</v>
      </c>
      <c r="M933" s="40">
        <v>65.0</v>
      </c>
      <c r="N933" s="196">
        <v>0.05</v>
      </c>
    </row>
    <row r="934">
      <c r="A934" s="40" t="s">
        <v>56</v>
      </c>
      <c r="B934" s="40" t="s">
        <v>589</v>
      </c>
      <c r="C934" s="40">
        <v>123.0</v>
      </c>
      <c r="D934" s="40" t="s">
        <v>1478</v>
      </c>
      <c r="E934" s="40" t="s">
        <v>22</v>
      </c>
      <c r="F934" s="197">
        <v>38758.0</v>
      </c>
      <c r="G934" s="197">
        <v>42623.0</v>
      </c>
      <c r="H934" s="197">
        <v>44409.0</v>
      </c>
      <c r="I934" s="197">
        <v>44412.0</v>
      </c>
      <c r="J934" s="196">
        <v>10.99</v>
      </c>
      <c r="K934" s="196">
        <v>7.99</v>
      </c>
      <c r="L934" s="196">
        <v>3.0</v>
      </c>
      <c r="M934" s="40">
        <v>20.0</v>
      </c>
      <c r="N934" s="196">
        <v>0.4</v>
      </c>
    </row>
    <row r="935">
      <c r="A935" s="40" t="s">
        <v>56</v>
      </c>
      <c r="B935" s="40"/>
      <c r="C935" s="40">
        <v>80.0</v>
      </c>
      <c r="D935" s="40" t="s">
        <v>1479</v>
      </c>
      <c r="E935" s="40" t="s">
        <v>22</v>
      </c>
      <c r="F935" s="197">
        <v>38765.0</v>
      </c>
      <c r="G935" s="197">
        <v>44640.0</v>
      </c>
      <c r="H935" s="197">
        <v>44851.0</v>
      </c>
      <c r="I935" s="197">
        <v>44852.0</v>
      </c>
      <c r="J935" s="196">
        <v>19.99</v>
      </c>
      <c r="K935" s="196">
        <v>13.99</v>
      </c>
      <c r="L935" s="196">
        <v>6.0</v>
      </c>
      <c r="M935" s="40">
        <v>2.0</v>
      </c>
      <c r="N935" s="196">
        <v>7.0</v>
      </c>
    </row>
    <row r="936">
      <c r="A936" s="40" t="s">
        <v>56</v>
      </c>
      <c r="B936" s="40"/>
      <c r="C936" s="40">
        <v>148.0</v>
      </c>
      <c r="D936" s="40" t="s">
        <v>1480</v>
      </c>
      <c r="E936" s="40" t="s">
        <v>22</v>
      </c>
      <c r="F936" s="197">
        <v>38814.0</v>
      </c>
      <c r="G936" s="197">
        <v>42806.0</v>
      </c>
      <c r="H936" s="197">
        <v>42806.0</v>
      </c>
      <c r="I936" s="197">
        <v>42806.0</v>
      </c>
      <c r="J936" s="196">
        <v>9.99</v>
      </c>
      <c r="K936" s="196">
        <v>3.99</v>
      </c>
      <c r="L936" s="196">
        <v>6.0</v>
      </c>
      <c r="M936" s="40">
        <v>1.0</v>
      </c>
      <c r="N936" s="196">
        <v>3.99</v>
      </c>
    </row>
    <row r="937">
      <c r="A937" s="40" t="s">
        <v>56</v>
      </c>
      <c r="B937" s="40"/>
      <c r="C937" s="40">
        <v>87.0</v>
      </c>
      <c r="D937" s="40" t="s">
        <v>1481</v>
      </c>
      <c r="E937" s="40" t="s">
        <v>22</v>
      </c>
      <c r="F937" s="197">
        <v>39010.0</v>
      </c>
      <c r="G937" s="197">
        <v>42832.0</v>
      </c>
      <c r="H937" s="197">
        <v>43095.0</v>
      </c>
      <c r="I937" s="197">
        <v>44083.0</v>
      </c>
      <c r="J937" s="196">
        <v>19.99</v>
      </c>
      <c r="K937" s="196">
        <v>7.99</v>
      </c>
      <c r="L937" s="196">
        <v>12.0</v>
      </c>
      <c r="M937" s="40">
        <v>23.0</v>
      </c>
      <c r="N937" s="196">
        <v>0.35</v>
      </c>
    </row>
    <row r="938">
      <c r="A938" s="40" t="s">
        <v>56</v>
      </c>
      <c r="B938" s="40"/>
      <c r="C938" s="40">
        <v>97.0</v>
      </c>
      <c r="D938" s="40" t="s">
        <v>1482</v>
      </c>
      <c r="E938" s="40" t="s">
        <v>22</v>
      </c>
      <c r="F938" s="197">
        <v>39199.0</v>
      </c>
      <c r="G938" s="197">
        <v>43014.0</v>
      </c>
      <c r="H938" s="197">
        <v>45134.0</v>
      </c>
      <c r="I938" s="197">
        <v>45134.0</v>
      </c>
      <c r="J938" s="196">
        <v>12.0</v>
      </c>
      <c r="K938" s="196">
        <v>3.0</v>
      </c>
      <c r="L938" s="196">
        <v>9.0</v>
      </c>
      <c r="M938" s="40">
        <v>5.0</v>
      </c>
      <c r="N938" s="196">
        <v>0.6</v>
      </c>
    </row>
    <row r="939">
      <c r="A939" s="40" t="s">
        <v>56</v>
      </c>
      <c r="B939" s="40"/>
      <c r="C939" s="40">
        <v>149.0</v>
      </c>
      <c r="D939" s="40" t="s">
        <v>1483</v>
      </c>
      <c r="E939" s="40" t="s">
        <v>22</v>
      </c>
      <c r="F939" s="197">
        <v>39234.0</v>
      </c>
      <c r="G939" s="197">
        <v>42806.0</v>
      </c>
      <c r="H939" s="197">
        <v>42806.0</v>
      </c>
      <c r="I939" s="197">
        <v>42806.0</v>
      </c>
      <c r="J939" s="196">
        <v>9.99</v>
      </c>
      <c r="K939" s="196">
        <v>3.99</v>
      </c>
      <c r="L939" s="196">
        <v>6.0</v>
      </c>
      <c r="M939" s="40">
        <v>1.0</v>
      </c>
      <c r="N939" s="196">
        <v>3.99</v>
      </c>
    </row>
    <row r="940">
      <c r="A940" s="40" t="s">
        <v>56</v>
      </c>
      <c r="B940" s="40" t="s">
        <v>648</v>
      </c>
      <c r="C940" s="40">
        <v>139.0</v>
      </c>
      <c r="D940" s="40" t="s">
        <v>1484</v>
      </c>
      <c r="E940" s="40" t="s">
        <v>22</v>
      </c>
      <c r="F940" s="197">
        <v>39325.0</v>
      </c>
      <c r="G940" s="197">
        <v>44300.0</v>
      </c>
      <c r="H940" s="197">
        <v>44300.0</v>
      </c>
      <c r="I940" s="197">
        <v>44300.0</v>
      </c>
      <c r="J940" s="196">
        <v>9.99</v>
      </c>
      <c r="K940" s="196">
        <v>9.99</v>
      </c>
      <c r="L940" s="196">
        <v>0.0</v>
      </c>
      <c r="M940" s="40">
        <v>1.0</v>
      </c>
      <c r="N940" s="196">
        <v>9.99</v>
      </c>
    </row>
    <row r="941">
      <c r="A941" s="40" t="s">
        <v>56</v>
      </c>
      <c r="B941" s="40" t="s">
        <v>706</v>
      </c>
      <c r="C941" s="40">
        <v>141.0</v>
      </c>
      <c r="D941" s="40" t="s">
        <v>1485</v>
      </c>
      <c r="E941" s="40" t="s">
        <v>22</v>
      </c>
      <c r="F941" s="197">
        <v>39388.0</v>
      </c>
      <c r="G941" s="197">
        <v>44115.0</v>
      </c>
      <c r="H941" s="197">
        <v>44115.0</v>
      </c>
      <c r="I941" s="197">
        <v>44115.0</v>
      </c>
      <c r="J941" s="196">
        <v>28.0</v>
      </c>
      <c r="K941" s="196">
        <v>28.0</v>
      </c>
      <c r="L941" s="196">
        <v>0.0</v>
      </c>
      <c r="M941" s="40">
        <v>5.0</v>
      </c>
      <c r="N941" s="196">
        <v>5.6</v>
      </c>
    </row>
    <row r="942">
      <c r="A942" s="40" t="s">
        <v>56</v>
      </c>
      <c r="B942" s="40" t="s">
        <v>658</v>
      </c>
      <c r="C942" s="40">
        <v>157.0</v>
      </c>
      <c r="D942" s="40" t="s">
        <v>1486</v>
      </c>
      <c r="E942" s="40" t="s">
        <v>23</v>
      </c>
      <c r="F942" s="197">
        <v>38820.0</v>
      </c>
      <c r="G942" s="197">
        <v>43014.0</v>
      </c>
      <c r="H942" s="197">
        <v>45476.0</v>
      </c>
      <c r="I942" s="197">
        <v>45478.0</v>
      </c>
      <c r="J942" s="196">
        <v>7.99</v>
      </c>
      <c r="K942" s="196">
        <v>2.99</v>
      </c>
      <c r="L942" s="196">
        <v>5.0</v>
      </c>
      <c r="M942" s="40">
        <v>10.0</v>
      </c>
      <c r="N942" s="196">
        <v>0.3</v>
      </c>
    </row>
    <row r="943">
      <c r="A943" s="40" t="s">
        <v>56</v>
      </c>
      <c r="B943" s="40" t="s">
        <v>614</v>
      </c>
      <c r="C943" s="40">
        <v>176.0</v>
      </c>
      <c r="D943" s="40" t="s">
        <v>1487</v>
      </c>
      <c r="E943" s="40" t="s">
        <v>23</v>
      </c>
      <c r="F943" s="197">
        <v>39213.0</v>
      </c>
      <c r="G943" s="197">
        <v>42279.0</v>
      </c>
      <c r="H943" s="197">
        <v>45501.0</v>
      </c>
      <c r="I943" s="197">
        <v>45522.0</v>
      </c>
      <c r="J943" s="196">
        <v>7.99</v>
      </c>
      <c r="K943" s="196">
        <v>4.0</v>
      </c>
      <c r="L943" s="196">
        <v>3.99</v>
      </c>
      <c r="M943" s="40">
        <v>15.0</v>
      </c>
      <c r="N943" s="196">
        <v>0.27</v>
      </c>
    </row>
    <row r="944">
      <c r="A944" s="45" t="s">
        <v>56</v>
      </c>
      <c r="B944" s="45"/>
      <c r="C944" s="45">
        <v>1103.0</v>
      </c>
      <c r="D944" s="45" t="s">
        <v>1488</v>
      </c>
      <c r="E944" s="45" t="s">
        <v>23</v>
      </c>
      <c r="F944" s="46">
        <v>39640.0</v>
      </c>
      <c r="G944" s="46">
        <v>46016.0</v>
      </c>
      <c r="H944" s="46">
        <v>46018.0</v>
      </c>
      <c r="I944" s="46">
        <v>46021.0</v>
      </c>
      <c r="J944" s="47">
        <v>9.99</v>
      </c>
      <c r="K944" s="47">
        <v>5.76</v>
      </c>
      <c r="L944" s="47">
        <v>4.23</v>
      </c>
      <c r="M944" s="45">
        <v>16.0</v>
      </c>
      <c r="N944" s="47">
        <v>0.36</v>
      </c>
    </row>
    <row r="945">
      <c r="A945" s="40" t="s">
        <v>56</v>
      </c>
      <c r="B945" s="40"/>
      <c r="C945" s="40">
        <v>177.0</v>
      </c>
      <c r="D945" s="40" t="s">
        <v>1489</v>
      </c>
      <c r="E945" s="40" t="s">
        <v>23</v>
      </c>
      <c r="F945" s="197">
        <v>39892.0</v>
      </c>
      <c r="G945" s="197">
        <v>42279.0</v>
      </c>
      <c r="H945" s="197">
        <v>42279.0</v>
      </c>
      <c r="I945" s="197">
        <v>42279.0</v>
      </c>
      <c r="J945" s="196">
        <v>7.99</v>
      </c>
      <c r="K945" s="196">
        <v>2.99</v>
      </c>
      <c r="L945" s="196">
        <v>5.0</v>
      </c>
      <c r="M945" s="40">
        <v>1.0</v>
      </c>
      <c r="N945" s="196">
        <v>2.99</v>
      </c>
    </row>
    <row r="946">
      <c r="A946" s="40" t="s">
        <v>56</v>
      </c>
      <c r="B946" s="40"/>
      <c r="C946" s="40">
        <v>167.0</v>
      </c>
      <c r="D946" s="40" t="s">
        <v>1490</v>
      </c>
      <c r="E946" s="40" t="s">
        <v>23</v>
      </c>
      <c r="F946" s="197">
        <v>40137.0</v>
      </c>
      <c r="G946" s="197">
        <v>43014.0</v>
      </c>
      <c r="H946" s="197">
        <v>45486.0</v>
      </c>
      <c r="I946" s="197">
        <v>45486.0</v>
      </c>
      <c r="J946" s="196">
        <v>7.99</v>
      </c>
      <c r="K946" s="196">
        <v>3.99</v>
      </c>
      <c r="L946" s="196">
        <v>4.0</v>
      </c>
      <c r="M946" s="40">
        <v>2.0</v>
      </c>
      <c r="N946" s="196">
        <v>2.0</v>
      </c>
    </row>
    <row r="947">
      <c r="A947" s="40" t="s">
        <v>56</v>
      </c>
      <c r="B947" s="40" t="s">
        <v>687</v>
      </c>
      <c r="C947" s="40">
        <v>249.0</v>
      </c>
      <c r="D947" s="40" t="s">
        <v>1491</v>
      </c>
      <c r="E947" s="40" t="s">
        <v>24</v>
      </c>
      <c r="F947" s="197">
        <v>39164.0</v>
      </c>
      <c r="G947" s="197">
        <v>42925.0</v>
      </c>
      <c r="H947" s="197">
        <v>43684.0</v>
      </c>
      <c r="I947" s="197">
        <v>43684.0</v>
      </c>
      <c r="J947" s="196">
        <v>4.99</v>
      </c>
      <c r="K947" s="196">
        <v>1.99</v>
      </c>
      <c r="L947" s="196">
        <v>3.0</v>
      </c>
      <c r="M947" s="40">
        <v>1.0</v>
      </c>
      <c r="N947" s="196">
        <v>1.99</v>
      </c>
    </row>
    <row r="948">
      <c r="A948" s="40" t="s">
        <v>56</v>
      </c>
      <c r="B948" s="40"/>
      <c r="C948" s="40">
        <v>345.0</v>
      </c>
      <c r="D948" s="40" t="s">
        <v>1492</v>
      </c>
      <c r="E948" s="40" t="s">
        <v>24</v>
      </c>
      <c r="F948" s="197">
        <v>39164.0</v>
      </c>
      <c r="G948" s="197">
        <v>44091.0</v>
      </c>
      <c r="H948" s="197">
        <v>44091.0</v>
      </c>
      <c r="I948" s="197">
        <v>44091.0</v>
      </c>
      <c r="J948" s="196">
        <v>14.99</v>
      </c>
      <c r="K948" s="196">
        <v>2.0</v>
      </c>
      <c r="L948" s="196">
        <v>12.99</v>
      </c>
      <c r="M948" s="40">
        <v>1.0</v>
      </c>
      <c r="N948" s="196">
        <v>2.0</v>
      </c>
    </row>
    <row r="949">
      <c r="A949" s="40" t="s">
        <v>56</v>
      </c>
      <c r="B949" s="40" t="s">
        <v>633</v>
      </c>
      <c r="C949" s="40">
        <v>239.0</v>
      </c>
      <c r="D949" s="40" t="s">
        <v>1493</v>
      </c>
      <c r="E949" s="40" t="s">
        <v>24</v>
      </c>
      <c r="F949" s="197">
        <v>39192.0</v>
      </c>
      <c r="G949" s="197">
        <v>44091.0</v>
      </c>
      <c r="H949" s="197">
        <v>44091.0</v>
      </c>
      <c r="I949" s="197">
        <v>44091.0</v>
      </c>
      <c r="J949" s="196">
        <v>12.0</v>
      </c>
      <c r="K949" s="196">
        <v>12.0</v>
      </c>
      <c r="L949" s="196">
        <v>0.0</v>
      </c>
      <c r="M949" s="40">
        <v>1.0</v>
      </c>
      <c r="N949" s="196">
        <v>12.0</v>
      </c>
    </row>
    <row r="950">
      <c r="A950" s="40" t="s">
        <v>56</v>
      </c>
      <c r="B950" s="40"/>
      <c r="C950" s="40">
        <v>331.0</v>
      </c>
      <c r="D950" s="40" t="s">
        <v>1494</v>
      </c>
      <c r="E950" s="40" t="s">
        <v>24</v>
      </c>
      <c r="F950" s="197">
        <v>39395.0</v>
      </c>
      <c r="G950" s="197">
        <v>40143.0</v>
      </c>
      <c r="H950" s="197">
        <v>40143.0</v>
      </c>
      <c r="I950" s="197">
        <v>40147.0</v>
      </c>
      <c r="J950" s="196">
        <v>14.99</v>
      </c>
      <c r="K950" s="196">
        <v>10.0</v>
      </c>
      <c r="L950" s="196">
        <v>4.99</v>
      </c>
      <c r="M950" s="40">
        <v>45.0</v>
      </c>
      <c r="N950" s="196">
        <v>0.22</v>
      </c>
    </row>
    <row r="951">
      <c r="A951" s="40" t="s">
        <v>56</v>
      </c>
      <c r="B951" s="40"/>
      <c r="C951" s="40">
        <v>414.0</v>
      </c>
      <c r="D951" s="40" t="s">
        <v>1495</v>
      </c>
      <c r="E951" s="40" t="s">
        <v>24</v>
      </c>
      <c r="F951" s="197">
        <v>39423.0</v>
      </c>
      <c r="G951" s="197">
        <v>41615.0</v>
      </c>
      <c r="H951" s="197">
        <v>41615.0</v>
      </c>
      <c r="I951" s="197">
        <v>45140.0</v>
      </c>
      <c r="J951" s="196">
        <v>22.15</v>
      </c>
      <c r="K951" s="196">
        <v>15.15</v>
      </c>
      <c r="L951" s="196">
        <v>7.0</v>
      </c>
      <c r="M951" s="40">
        <v>60.0</v>
      </c>
      <c r="N951" s="196">
        <v>0.25</v>
      </c>
    </row>
    <row r="952">
      <c r="A952" s="40" t="s">
        <v>56</v>
      </c>
      <c r="B952" s="40"/>
      <c r="C952" s="40">
        <v>332.0</v>
      </c>
      <c r="D952" s="40" t="s">
        <v>1496</v>
      </c>
      <c r="E952" s="40" t="s">
        <v>24</v>
      </c>
      <c r="F952" s="197">
        <v>39681.0</v>
      </c>
      <c r="G952" s="197">
        <v>40153.0</v>
      </c>
      <c r="H952" s="197">
        <v>40153.0</v>
      </c>
      <c r="I952" s="197">
        <v>40156.0</v>
      </c>
      <c r="J952" s="196">
        <v>9.99</v>
      </c>
      <c r="K952" s="196">
        <v>9.99</v>
      </c>
      <c r="L952" s="196">
        <v>0.0</v>
      </c>
      <c r="M952" s="40">
        <v>5.0</v>
      </c>
      <c r="N952" s="196">
        <v>2.0</v>
      </c>
    </row>
    <row r="953">
      <c r="A953" s="40" t="s">
        <v>56</v>
      </c>
      <c r="B953" s="40" t="s">
        <v>584</v>
      </c>
      <c r="C953" s="40">
        <v>349.0</v>
      </c>
      <c r="D953" s="40" t="s">
        <v>1497</v>
      </c>
      <c r="E953" s="40" t="s">
        <v>24</v>
      </c>
      <c r="F953" s="197">
        <v>39738.0</v>
      </c>
      <c r="G953" s="197">
        <v>44971.0</v>
      </c>
      <c r="H953" s="197">
        <v>44971.0</v>
      </c>
      <c r="I953" s="197">
        <v>44971.0</v>
      </c>
      <c r="J953" s="196">
        <v>4.99</v>
      </c>
      <c r="K953" s="196">
        <v>0.0</v>
      </c>
      <c r="L953" s="196">
        <v>4.99</v>
      </c>
      <c r="M953" s="40">
        <v>3.0</v>
      </c>
      <c r="N953" s="196">
        <v>0.0</v>
      </c>
    </row>
    <row r="954">
      <c r="A954" s="40" t="s">
        <v>56</v>
      </c>
      <c r="B954" s="40" t="s">
        <v>562</v>
      </c>
      <c r="C954" s="40">
        <v>197.0</v>
      </c>
      <c r="D954" s="40" t="s">
        <v>1498</v>
      </c>
      <c r="E954" s="40" t="s">
        <v>24</v>
      </c>
      <c r="F954" s="197">
        <v>39738.0</v>
      </c>
      <c r="G954" s="197">
        <v>42969.0</v>
      </c>
      <c r="H954" s="197">
        <v>43033.0</v>
      </c>
      <c r="I954" s="197">
        <v>44282.0</v>
      </c>
      <c r="J954" s="196">
        <v>12.5</v>
      </c>
      <c r="K954" s="196">
        <v>5.0</v>
      </c>
      <c r="L954" s="196">
        <v>7.5</v>
      </c>
      <c r="M954" s="40">
        <v>15.0</v>
      </c>
      <c r="N954" s="196">
        <v>0.33</v>
      </c>
    </row>
    <row r="955">
      <c r="A955" s="40" t="s">
        <v>56</v>
      </c>
      <c r="B955" s="40"/>
      <c r="C955" s="40">
        <v>221.0</v>
      </c>
      <c r="D955" s="40" t="s">
        <v>1499</v>
      </c>
      <c r="E955" s="40" t="s">
        <v>24</v>
      </c>
      <c r="F955" s="197">
        <v>39745.0</v>
      </c>
      <c r="G955" s="197">
        <v>44091.0</v>
      </c>
      <c r="H955" s="197">
        <v>44091.0</v>
      </c>
      <c r="I955" s="197">
        <v>44091.0</v>
      </c>
      <c r="J955" s="196">
        <v>19.99</v>
      </c>
      <c r="K955" s="196">
        <v>4.0</v>
      </c>
      <c r="L955" s="196">
        <v>15.99</v>
      </c>
      <c r="M955" s="40">
        <v>5.0</v>
      </c>
      <c r="N955" s="196">
        <v>0.8</v>
      </c>
    </row>
    <row r="956">
      <c r="A956" s="40" t="s">
        <v>56</v>
      </c>
      <c r="B956" s="40"/>
      <c r="C956" s="40">
        <v>250.0</v>
      </c>
      <c r="D956" s="40" t="s">
        <v>1500</v>
      </c>
      <c r="E956" s="40" t="s">
        <v>24</v>
      </c>
      <c r="F956" s="197">
        <v>39856.0</v>
      </c>
      <c r="G956" s="197">
        <v>42925.0</v>
      </c>
      <c r="H956" s="197">
        <v>42925.0</v>
      </c>
      <c r="I956" s="197">
        <v>42925.0</v>
      </c>
      <c r="J956" s="196">
        <v>7.99</v>
      </c>
      <c r="K956" s="196">
        <v>1.99</v>
      </c>
      <c r="L956" s="196">
        <v>6.0</v>
      </c>
      <c r="M956" s="40">
        <v>1.0</v>
      </c>
      <c r="N956" s="196">
        <v>1.99</v>
      </c>
    </row>
    <row r="957">
      <c r="A957" s="40" t="s">
        <v>56</v>
      </c>
      <c r="B957" s="40"/>
      <c r="C957" s="40">
        <v>264.0</v>
      </c>
      <c r="D957" s="40" t="s">
        <v>1501</v>
      </c>
      <c r="E957" s="40" t="s">
        <v>24</v>
      </c>
      <c r="F957" s="197">
        <v>39962.0</v>
      </c>
      <c r="G957" s="197">
        <v>40706.0</v>
      </c>
      <c r="H957" s="197">
        <v>40706.0</v>
      </c>
      <c r="I957" s="197">
        <v>44103.0</v>
      </c>
      <c r="J957" s="196">
        <v>14.99</v>
      </c>
      <c r="K957" s="196">
        <v>8.99</v>
      </c>
      <c r="L957" s="196">
        <v>6.0</v>
      </c>
      <c r="M957" s="40">
        <v>60.0</v>
      </c>
      <c r="N957" s="196">
        <v>0.15</v>
      </c>
    </row>
    <row r="958">
      <c r="A958" s="40" t="s">
        <v>56</v>
      </c>
      <c r="B958" s="40" t="s">
        <v>629</v>
      </c>
      <c r="C958" s="40">
        <v>392.0</v>
      </c>
      <c r="D958" s="40" t="s">
        <v>1502</v>
      </c>
      <c r="E958" s="40" t="s">
        <v>24</v>
      </c>
      <c r="F958" s="197">
        <v>40009.0</v>
      </c>
      <c r="G958" s="197">
        <v>44237.0</v>
      </c>
      <c r="H958" s="197">
        <v>44237.0</v>
      </c>
      <c r="I958" s="197">
        <v>44237.0</v>
      </c>
      <c r="J958" s="196">
        <v>4.99</v>
      </c>
      <c r="K958" s="196">
        <v>4.99</v>
      </c>
      <c r="L958" s="196">
        <v>0.0</v>
      </c>
      <c r="M958" s="40">
        <v>1.0</v>
      </c>
      <c r="N958" s="196">
        <v>4.99</v>
      </c>
    </row>
    <row r="959">
      <c r="A959" s="40" t="s">
        <v>56</v>
      </c>
      <c r="B959" s="40" t="s">
        <v>693</v>
      </c>
      <c r="C959" s="40">
        <v>238.0</v>
      </c>
      <c r="D959" s="40" t="s">
        <v>1503</v>
      </c>
      <c r="E959" s="40" t="s">
        <v>24</v>
      </c>
      <c r="F959" s="197">
        <v>40024.0</v>
      </c>
      <c r="G959" s="197">
        <v>41404.0</v>
      </c>
      <c r="H959" s="197">
        <v>41404.0</v>
      </c>
      <c r="I959" s="197">
        <v>41408.0</v>
      </c>
      <c r="J959" s="196">
        <v>9.99</v>
      </c>
      <c r="K959" s="196">
        <v>9.99</v>
      </c>
      <c r="L959" s="196">
        <v>0.0</v>
      </c>
      <c r="M959" s="40">
        <v>10.0</v>
      </c>
      <c r="N959" s="196">
        <v>1.0</v>
      </c>
    </row>
    <row r="960">
      <c r="A960" s="40" t="s">
        <v>56</v>
      </c>
      <c r="B960" s="40"/>
      <c r="C960" s="40">
        <v>415.0</v>
      </c>
      <c r="D960" s="40" t="s">
        <v>1504</v>
      </c>
      <c r="E960" s="40" t="s">
        <v>24</v>
      </c>
      <c r="F960" s="197">
        <v>40102.0</v>
      </c>
      <c r="G960" s="197">
        <v>40136.0</v>
      </c>
      <c r="H960" s="197">
        <v>40136.0</v>
      </c>
      <c r="I960" s="197">
        <v>45144.0</v>
      </c>
      <c r="J960" s="196">
        <v>22.15</v>
      </c>
      <c r="K960" s="196">
        <v>15.15</v>
      </c>
      <c r="L960" s="196">
        <v>7.0</v>
      </c>
      <c r="M960" s="40">
        <v>100.0</v>
      </c>
      <c r="N960" s="196">
        <v>0.15</v>
      </c>
    </row>
    <row r="961">
      <c r="A961" s="40" t="s">
        <v>56</v>
      </c>
      <c r="B961" s="40" t="s">
        <v>604</v>
      </c>
      <c r="C961" s="40">
        <v>201.0</v>
      </c>
      <c r="D961" s="40" t="s">
        <v>1505</v>
      </c>
      <c r="E961" s="40" t="s">
        <v>24</v>
      </c>
      <c r="F961" s="197">
        <v>40109.0</v>
      </c>
      <c r="G961" s="197">
        <v>41762.0</v>
      </c>
      <c r="H961" s="197">
        <v>41762.0</v>
      </c>
      <c r="I961" s="197">
        <v>45348.0</v>
      </c>
      <c r="J961" s="196">
        <v>29.99</v>
      </c>
      <c r="K961" s="196">
        <v>29.99</v>
      </c>
      <c r="L961" s="196">
        <v>0.0</v>
      </c>
      <c r="M961" s="40">
        <v>71.0</v>
      </c>
      <c r="N961" s="196">
        <v>0.42</v>
      </c>
    </row>
    <row r="962">
      <c r="A962" s="40" t="s">
        <v>56</v>
      </c>
      <c r="B962" s="40"/>
      <c r="C962" s="40">
        <v>333.0</v>
      </c>
      <c r="D962" s="40" t="s">
        <v>1506</v>
      </c>
      <c r="E962" s="40" t="s">
        <v>24</v>
      </c>
      <c r="F962" s="197">
        <v>40123.0</v>
      </c>
      <c r="G962" s="197">
        <v>40338.0</v>
      </c>
      <c r="H962" s="197">
        <v>40338.0</v>
      </c>
      <c r="I962" s="197">
        <v>44125.0</v>
      </c>
      <c r="J962" s="196">
        <v>14.99</v>
      </c>
      <c r="K962" s="196">
        <v>10.0</v>
      </c>
      <c r="L962" s="196">
        <v>4.99</v>
      </c>
      <c r="M962" s="40">
        <v>50.0</v>
      </c>
      <c r="N962" s="196">
        <v>0.2</v>
      </c>
    </row>
    <row r="963">
      <c r="A963" s="40" t="s">
        <v>56</v>
      </c>
      <c r="B963" s="40" t="s">
        <v>620</v>
      </c>
      <c r="C963" s="40">
        <v>208.0</v>
      </c>
      <c r="D963" s="40" t="s">
        <v>1507</v>
      </c>
      <c r="E963" s="40" t="s">
        <v>24</v>
      </c>
      <c r="F963" s="197">
        <v>40127.0</v>
      </c>
      <c r="G963" s="197">
        <v>40197.0</v>
      </c>
      <c r="H963" s="197">
        <v>40197.0</v>
      </c>
      <c r="I963" s="197">
        <v>44727.0</v>
      </c>
      <c r="J963" s="196">
        <v>29.99</v>
      </c>
      <c r="K963" s="196">
        <v>4.0</v>
      </c>
      <c r="L963" s="196">
        <v>25.99</v>
      </c>
      <c r="M963" s="40">
        <v>20.0</v>
      </c>
      <c r="N963" s="196">
        <v>0.2</v>
      </c>
    </row>
    <row r="964">
      <c r="A964" s="40" t="s">
        <v>56</v>
      </c>
      <c r="B964" s="40" t="s">
        <v>563</v>
      </c>
      <c r="C964" s="40">
        <v>198.0</v>
      </c>
      <c r="D964" s="40" t="s">
        <v>1508</v>
      </c>
      <c r="E964" s="40" t="s">
        <v>24</v>
      </c>
      <c r="F964" s="197">
        <v>40218.0</v>
      </c>
      <c r="G964" s="197">
        <v>42969.0</v>
      </c>
      <c r="H964" s="197">
        <v>44280.0</v>
      </c>
      <c r="I964" s="197">
        <v>44281.0</v>
      </c>
      <c r="J964" s="196">
        <v>12.49</v>
      </c>
      <c r="K964" s="196">
        <v>4.99</v>
      </c>
      <c r="L964" s="196">
        <v>7.5</v>
      </c>
      <c r="M964" s="40">
        <v>15.0</v>
      </c>
      <c r="N964" s="196">
        <v>0.33</v>
      </c>
    </row>
    <row r="965">
      <c r="A965" s="40" t="s">
        <v>56</v>
      </c>
      <c r="B965" s="40"/>
      <c r="C965" s="40">
        <v>254.0</v>
      </c>
      <c r="D965" s="40" t="s">
        <v>1509</v>
      </c>
      <c r="E965" s="40" t="s">
        <v>24</v>
      </c>
      <c r="F965" s="197">
        <v>40256.0</v>
      </c>
      <c r="G965" s="197">
        <v>43014.0</v>
      </c>
      <c r="H965" s="197">
        <v>43014.0</v>
      </c>
      <c r="I965" s="197">
        <v>43014.0</v>
      </c>
      <c r="J965" s="196">
        <v>19.99</v>
      </c>
      <c r="K965" s="196">
        <v>9.99</v>
      </c>
      <c r="L965" s="196">
        <v>10.0</v>
      </c>
      <c r="M965" s="40">
        <v>1.0</v>
      </c>
      <c r="N965" s="196">
        <v>9.99</v>
      </c>
    </row>
    <row r="966">
      <c r="A966" s="40" t="s">
        <v>56</v>
      </c>
      <c r="B966" s="40" t="s">
        <v>684</v>
      </c>
      <c r="C966" s="40">
        <v>354.0</v>
      </c>
      <c r="D966" s="40" t="s">
        <v>1510</v>
      </c>
      <c r="E966" s="40" t="s">
        <v>24</v>
      </c>
      <c r="F966" s="197">
        <v>40283.0</v>
      </c>
      <c r="G966" s="197">
        <v>44832.0</v>
      </c>
      <c r="H966" s="197">
        <v>44832.0</v>
      </c>
      <c r="I966" s="197">
        <v>44832.0</v>
      </c>
      <c r="J966" s="196">
        <v>24.99</v>
      </c>
      <c r="K966" s="196">
        <v>24.99</v>
      </c>
      <c r="L966" s="196">
        <v>0.0</v>
      </c>
      <c r="M966" s="40">
        <v>1.0</v>
      </c>
      <c r="N966" s="196">
        <v>24.99</v>
      </c>
    </row>
    <row r="967">
      <c r="A967" s="40" t="s">
        <v>56</v>
      </c>
      <c r="B967" s="40"/>
      <c r="C967" s="40">
        <v>338.0</v>
      </c>
      <c r="D967" s="40" t="s">
        <v>1511</v>
      </c>
      <c r="E967" s="40" t="s">
        <v>24</v>
      </c>
      <c r="F967" s="197">
        <v>40319.0</v>
      </c>
      <c r="G967" s="197">
        <v>44091.0</v>
      </c>
      <c r="H967" s="197">
        <v>44417.0</v>
      </c>
      <c r="I967" s="197">
        <v>44423.0</v>
      </c>
      <c r="J967" s="196">
        <v>44.98</v>
      </c>
      <c r="K967" s="196">
        <v>18.0</v>
      </c>
      <c r="L967" s="196">
        <v>26.98</v>
      </c>
      <c r="M967" s="40">
        <v>50.0</v>
      </c>
      <c r="N967" s="196">
        <v>0.36</v>
      </c>
    </row>
    <row r="968">
      <c r="A968" s="40" t="s">
        <v>56</v>
      </c>
      <c r="B968" s="40" t="s">
        <v>591</v>
      </c>
      <c r="C968" s="40">
        <v>402.0</v>
      </c>
      <c r="D968" s="40" t="s">
        <v>1512</v>
      </c>
      <c r="E968" s="40" t="s">
        <v>24</v>
      </c>
      <c r="F968" s="197">
        <v>40361.0</v>
      </c>
      <c r="G968" s="197">
        <v>40405.0</v>
      </c>
      <c r="H968" s="197">
        <v>40405.0</v>
      </c>
      <c r="I968" s="197">
        <v>44743.0</v>
      </c>
      <c r="J968" s="196">
        <v>29.99</v>
      </c>
      <c r="K968" s="196">
        <v>1.0</v>
      </c>
      <c r="L968" s="196">
        <v>28.99</v>
      </c>
      <c r="M968" s="40">
        <v>25.0</v>
      </c>
      <c r="N968" s="196">
        <v>0.04</v>
      </c>
    </row>
    <row r="969">
      <c r="A969" s="40" t="s">
        <v>56</v>
      </c>
      <c r="B969" s="40"/>
      <c r="C969" s="40">
        <v>394.0</v>
      </c>
      <c r="D969" s="43" t="s">
        <v>1513</v>
      </c>
      <c r="E969" s="43" t="s">
        <v>24</v>
      </c>
      <c r="F969" s="197">
        <v>40480.0</v>
      </c>
      <c r="G969" s="197">
        <v>40489.0</v>
      </c>
      <c r="H969" s="197">
        <v>40489.0</v>
      </c>
      <c r="I969" s="197">
        <v>40635.0</v>
      </c>
      <c r="J969" s="196">
        <v>19.99</v>
      </c>
      <c r="K969" s="196">
        <v>18.0</v>
      </c>
      <c r="L969" s="196">
        <v>1.99</v>
      </c>
      <c r="M969" s="40">
        <v>5.0</v>
      </c>
      <c r="N969" s="196">
        <v>3.6</v>
      </c>
    </row>
    <row r="970">
      <c r="A970" s="40" t="s">
        <v>56</v>
      </c>
      <c r="B970" s="40" t="s">
        <v>688</v>
      </c>
      <c r="C970" s="40">
        <v>209.0</v>
      </c>
      <c r="D970" s="40" t="s">
        <v>1514</v>
      </c>
      <c r="E970" s="40" t="s">
        <v>24</v>
      </c>
      <c r="F970" s="197">
        <v>40485.0</v>
      </c>
      <c r="G970" s="197">
        <v>41776.0</v>
      </c>
      <c r="H970" s="197">
        <v>41776.0</v>
      </c>
      <c r="I970" s="197">
        <v>43730.0</v>
      </c>
      <c r="J970" s="196">
        <v>30.98</v>
      </c>
      <c r="K970" s="196">
        <v>30.98</v>
      </c>
      <c r="L970" s="196">
        <v>0.0</v>
      </c>
      <c r="M970" s="40">
        <v>4.0</v>
      </c>
      <c r="N970" s="196">
        <v>7.75</v>
      </c>
    </row>
    <row r="971">
      <c r="A971" s="40" t="s">
        <v>56</v>
      </c>
      <c r="B971" s="40"/>
      <c r="C971" s="40">
        <v>187.0</v>
      </c>
      <c r="D971" s="40" t="s">
        <v>1515</v>
      </c>
      <c r="E971" s="40" t="s">
        <v>24</v>
      </c>
      <c r="F971" s="197">
        <v>40563.0</v>
      </c>
      <c r="G971" s="197">
        <v>41366.0</v>
      </c>
      <c r="H971" s="197">
        <v>41366.0</v>
      </c>
      <c r="I971" s="197">
        <v>41368.0</v>
      </c>
      <c r="J971" s="196">
        <v>12.98</v>
      </c>
      <c r="K971" s="196">
        <v>12.98</v>
      </c>
      <c r="L971" s="196">
        <v>0.0</v>
      </c>
      <c r="M971" s="40">
        <v>3.0</v>
      </c>
      <c r="N971" s="196">
        <v>4.33</v>
      </c>
    </row>
    <row r="972">
      <c r="A972" s="40" t="s">
        <v>56</v>
      </c>
      <c r="B972" s="40" t="s">
        <v>640</v>
      </c>
      <c r="C972" s="40">
        <v>324.0</v>
      </c>
      <c r="D972" s="40" t="s">
        <v>1516</v>
      </c>
      <c r="E972" s="40" t="s">
        <v>24</v>
      </c>
      <c r="F972" s="197">
        <v>40627.0</v>
      </c>
      <c r="G972" s="197">
        <v>44091.0</v>
      </c>
      <c r="H972" s="197">
        <v>45122.0</v>
      </c>
      <c r="I972" s="197">
        <v>45127.0</v>
      </c>
      <c r="J972" s="196">
        <v>14.99</v>
      </c>
      <c r="K972" s="196">
        <v>7.5</v>
      </c>
      <c r="L972" s="196">
        <v>7.49</v>
      </c>
      <c r="M972" s="40">
        <v>20.0</v>
      </c>
      <c r="N972" s="196">
        <v>0.38</v>
      </c>
    </row>
    <row r="973">
      <c r="A973" s="40" t="s">
        <v>56</v>
      </c>
      <c r="B973" s="40" t="s">
        <v>637</v>
      </c>
      <c r="C973" s="40">
        <v>306.0</v>
      </c>
      <c r="D973" s="40" t="s">
        <v>1517</v>
      </c>
      <c r="E973" s="40" t="s">
        <v>24</v>
      </c>
      <c r="F973" s="197">
        <v>40654.0</v>
      </c>
      <c r="G973" s="197">
        <v>41389.0</v>
      </c>
      <c r="H973" s="197">
        <v>41389.0</v>
      </c>
      <c r="I973" s="197">
        <v>44774.0</v>
      </c>
      <c r="J973" s="196">
        <v>19.99</v>
      </c>
      <c r="K973" s="196">
        <v>19.99</v>
      </c>
      <c r="L973" s="196">
        <v>0.0</v>
      </c>
      <c r="M973" s="40">
        <v>1.0</v>
      </c>
      <c r="N973" s="196">
        <v>19.99</v>
      </c>
    </row>
    <row r="974">
      <c r="A974" s="40" t="s">
        <v>56</v>
      </c>
      <c r="B974" s="40"/>
      <c r="C974" s="40">
        <v>265.0</v>
      </c>
      <c r="D974" s="40" t="s">
        <v>1518</v>
      </c>
      <c r="E974" s="40" t="s">
        <v>24</v>
      </c>
      <c r="F974" s="197">
        <v>40702.0</v>
      </c>
      <c r="G974" s="197">
        <v>41373.0</v>
      </c>
      <c r="H974" s="197">
        <v>41373.0</v>
      </c>
      <c r="I974" s="197">
        <v>44113.0</v>
      </c>
      <c r="J974" s="196">
        <v>19.99</v>
      </c>
      <c r="K974" s="196">
        <v>8.0</v>
      </c>
      <c r="L974" s="196">
        <v>11.99</v>
      </c>
      <c r="M974" s="40">
        <v>70.0</v>
      </c>
      <c r="N974" s="196">
        <v>0.11</v>
      </c>
    </row>
    <row r="975">
      <c r="A975" s="40" t="s">
        <v>56</v>
      </c>
      <c r="B975" s="40"/>
      <c r="C975" s="40">
        <v>230.0</v>
      </c>
      <c r="D975" s="40" t="s">
        <v>1519</v>
      </c>
      <c r="E975" s="40" t="s">
        <v>24</v>
      </c>
      <c r="F975" s="197">
        <v>40704.0</v>
      </c>
      <c r="G975" s="197">
        <v>44091.0</v>
      </c>
      <c r="H975" s="197">
        <v>44175.0</v>
      </c>
      <c r="I975" s="197">
        <v>44177.0</v>
      </c>
      <c r="J975" s="196">
        <v>19.99</v>
      </c>
      <c r="K975" s="196">
        <v>3.5</v>
      </c>
      <c r="L975" s="196">
        <v>16.49</v>
      </c>
      <c r="M975" s="40">
        <v>15.0</v>
      </c>
      <c r="N975" s="196">
        <v>0.23</v>
      </c>
    </row>
    <row r="976">
      <c r="A976" s="40" t="s">
        <v>56</v>
      </c>
      <c r="B976" s="40"/>
      <c r="C976" s="40">
        <v>304.0</v>
      </c>
      <c r="D976" s="40" t="s">
        <v>1520</v>
      </c>
      <c r="E976" s="40" t="s">
        <v>24</v>
      </c>
      <c r="F976" s="197">
        <v>40785.0</v>
      </c>
      <c r="G976" s="197">
        <v>44422.0</v>
      </c>
      <c r="H976" s="197">
        <v>44422.0</v>
      </c>
      <c r="I976" s="197">
        <v>44422.0</v>
      </c>
      <c r="J976" s="196">
        <v>3.33</v>
      </c>
      <c r="K976" s="196">
        <v>3.33</v>
      </c>
      <c r="L976" s="196">
        <v>0.0</v>
      </c>
      <c r="M976" s="40">
        <v>1.0</v>
      </c>
      <c r="N976" s="196">
        <v>3.33</v>
      </c>
    </row>
    <row r="977">
      <c r="A977" s="40" t="s">
        <v>56</v>
      </c>
      <c r="B977" s="40"/>
      <c r="C977" s="40">
        <v>305.0</v>
      </c>
      <c r="D977" s="40" t="s">
        <v>1521</v>
      </c>
      <c r="E977" s="40" t="s">
        <v>24</v>
      </c>
      <c r="F977" s="197">
        <v>40785.0</v>
      </c>
      <c r="G977" s="197">
        <v>44422.0</v>
      </c>
      <c r="H977" s="197">
        <v>44422.0</v>
      </c>
      <c r="I977" s="197">
        <v>44422.0</v>
      </c>
      <c r="J977" s="196">
        <v>3.33</v>
      </c>
      <c r="K977" s="196">
        <v>3.33</v>
      </c>
      <c r="L977" s="196">
        <v>0.0</v>
      </c>
      <c r="M977" s="40">
        <v>1.0</v>
      </c>
      <c r="N977" s="196">
        <v>3.33</v>
      </c>
    </row>
    <row r="978">
      <c r="A978" s="40" t="s">
        <v>56</v>
      </c>
      <c r="B978" s="40"/>
      <c r="C978" s="40">
        <v>353.0</v>
      </c>
      <c r="D978" s="40" t="s">
        <v>1522</v>
      </c>
      <c r="E978" s="40" t="s">
        <v>24</v>
      </c>
      <c r="F978" s="197">
        <v>40834.0</v>
      </c>
      <c r="G978" s="197">
        <v>44836.0</v>
      </c>
      <c r="H978" s="197">
        <v>44836.0</v>
      </c>
      <c r="I978" s="197">
        <v>44836.0</v>
      </c>
      <c r="J978" s="196">
        <v>19.99</v>
      </c>
      <c r="K978" s="196">
        <v>14.99</v>
      </c>
      <c r="L978" s="196">
        <v>5.0</v>
      </c>
      <c r="M978" s="40">
        <v>1.0</v>
      </c>
      <c r="N978" s="196">
        <v>14.99</v>
      </c>
    </row>
    <row r="979">
      <c r="A979" s="40" t="s">
        <v>56</v>
      </c>
      <c r="B979" s="40" t="s">
        <v>656</v>
      </c>
      <c r="C979" s="40">
        <v>347.0</v>
      </c>
      <c r="D979" s="40" t="s">
        <v>1523</v>
      </c>
      <c r="E979" s="40" t="s">
        <v>24</v>
      </c>
      <c r="F979" s="197">
        <v>40835.0</v>
      </c>
      <c r="G979" s="197">
        <v>42336.0</v>
      </c>
      <c r="H979" s="197">
        <v>42336.0</v>
      </c>
      <c r="I979" s="197">
        <v>44944.0</v>
      </c>
      <c r="J979" s="196">
        <v>7.99</v>
      </c>
      <c r="K979" s="196">
        <v>7.99</v>
      </c>
      <c r="L979" s="196">
        <v>0.0</v>
      </c>
      <c r="M979" s="40">
        <v>10.0</v>
      </c>
      <c r="N979" s="196">
        <v>0.8</v>
      </c>
    </row>
    <row r="980">
      <c r="A980" s="40" t="s">
        <v>56</v>
      </c>
      <c r="B980" s="40"/>
      <c r="C980" s="40">
        <v>395.0</v>
      </c>
      <c r="D980" s="40" t="s">
        <v>1524</v>
      </c>
      <c r="E980" s="40" t="s">
        <v>24</v>
      </c>
      <c r="F980" s="197">
        <v>40837.0</v>
      </c>
      <c r="G980" s="197">
        <v>40837.0</v>
      </c>
      <c r="H980" s="197">
        <v>40837.0</v>
      </c>
      <c r="I980" s="197">
        <v>40837.0</v>
      </c>
      <c r="J980" s="196">
        <v>19.99</v>
      </c>
      <c r="K980" s="196">
        <v>18.0</v>
      </c>
      <c r="L980" s="196">
        <v>1.99</v>
      </c>
      <c r="M980" s="40">
        <v>5.0</v>
      </c>
      <c r="N980" s="196">
        <v>3.6</v>
      </c>
    </row>
    <row r="981">
      <c r="A981" s="40" t="s">
        <v>56</v>
      </c>
      <c r="B981" s="40"/>
      <c r="C981" s="40">
        <v>266.0</v>
      </c>
      <c r="D981" s="40" t="s">
        <v>1525</v>
      </c>
      <c r="E981" s="40" t="s">
        <v>24</v>
      </c>
      <c r="F981" s="197">
        <v>40842.0</v>
      </c>
      <c r="G981" s="197">
        <v>41999.0</v>
      </c>
      <c r="H981" s="197">
        <v>44113.0</v>
      </c>
      <c r="I981" s="197">
        <v>44114.0</v>
      </c>
      <c r="J981" s="196">
        <v>9.99</v>
      </c>
      <c r="K981" s="196">
        <v>8.0</v>
      </c>
      <c r="L981" s="196">
        <v>1.99</v>
      </c>
      <c r="M981" s="40">
        <v>10.0</v>
      </c>
      <c r="N981" s="196">
        <v>0.8</v>
      </c>
    </row>
    <row r="982">
      <c r="A982" s="40" t="s">
        <v>56</v>
      </c>
      <c r="B982" s="40"/>
      <c r="C982" s="40">
        <v>416.0</v>
      </c>
      <c r="D982" s="40" t="s">
        <v>1526</v>
      </c>
      <c r="E982" s="40" t="s">
        <v>24</v>
      </c>
      <c r="F982" s="197">
        <v>40849.0</v>
      </c>
      <c r="G982" s="197">
        <v>40857.0</v>
      </c>
      <c r="H982" s="197">
        <v>40857.0</v>
      </c>
      <c r="I982" s="197">
        <v>45147.0</v>
      </c>
      <c r="J982" s="196">
        <v>22.16</v>
      </c>
      <c r="K982" s="196">
        <v>15.16</v>
      </c>
      <c r="L982" s="196">
        <v>7.0</v>
      </c>
      <c r="M982" s="40">
        <v>70.0</v>
      </c>
      <c r="N982" s="196">
        <v>0.22</v>
      </c>
    </row>
    <row r="983">
      <c r="A983" s="40" t="s">
        <v>56</v>
      </c>
      <c r="B983" s="40"/>
      <c r="C983" s="40">
        <v>350.0</v>
      </c>
      <c r="D983" s="40" t="s">
        <v>1527</v>
      </c>
      <c r="E983" s="40" t="s">
        <v>24</v>
      </c>
      <c r="F983" s="197">
        <v>40865.0</v>
      </c>
      <c r="G983" s="197">
        <v>40933.0</v>
      </c>
      <c r="H983" s="197">
        <v>40933.0</v>
      </c>
      <c r="I983" s="197">
        <v>45673.0</v>
      </c>
      <c r="J983" s="196">
        <v>49.98</v>
      </c>
      <c r="K983" s="196">
        <v>39.98</v>
      </c>
      <c r="L983" s="196">
        <v>10.0</v>
      </c>
      <c r="M983" s="40">
        <v>155.0</v>
      </c>
      <c r="N983" s="196">
        <v>0.26</v>
      </c>
    </row>
    <row r="984">
      <c r="A984" s="40" t="s">
        <v>56</v>
      </c>
      <c r="B984" s="40"/>
      <c r="C984" s="40">
        <v>317.0</v>
      </c>
      <c r="D984" s="40" t="s">
        <v>1528</v>
      </c>
      <c r="E984" s="40" t="s">
        <v>24</v>
      </c>
      <c r="F984" s="197">
        <v>40898.0</v>
      </c>
      <c r="G984" s="197">
        <v>40929.0</v>
      </c>
      <c r="H984" s="197">
        <v>40929.0</v>
      </c>
      <c r="I984" s="197">
        <v>41309.0</v>
      </c>
      <c r="J984" s="196">
        <v>12.99</v>
      </c>
      <c r="K984" s="196">
        <v>12.99</v>
      </c>
      <c r="L984" s="196">
        <v>0.0</v>
      </c>
      <c r="M984" s="40">
        <v>45.0</v>
      </c>
      <c r="N984" s="196">
        <v>0.29</v>
      </c>
    </row>
    <row r="985">
      <c r="A985" s="40" t="s">
        <v>56</v>
      </c>
      <c r="B985" s="40" t="s">
        <v>571</v>
      </c>
      <c r="C985" s="40">
        <v>276.0</v>
      </c>
      <c r="D985" s="40" t="s">
        <v>1529</v>
      </c>
      <c r="E985" s="40" t="s">
        <v>24</v>
      </c>
      <c r="F985" s="197">
        <v>40949.0</v>
      </c>
      <c r="G985" s="197">
        <v>44502.0</v>
      </c>
      <c r="H985" s="197">
        <v>44502.0</v>
      </c>
      <c r="I985" s="197">
        <v>44502.0</v>
      </c>
      <c r="J985" s="196">
        <v>39.99</v>
      </c>
      <c r="K985" s="196">
        <v>0.0</v>
      </c>
      <c r="L985" s="196">
        <v>39.99</v>
      </c>
      <c r="M985" s="40">
        <v>1.0</v>
      </c>
      <c r="N985" s="196">
        <v>0.0</v>
      </c>
    </row>
    <row r="986">
      <c r="A986" s="40" t="s">
        <v>56</v>
      </c>
      <c r="B986" s="40"/>
      <c r="C986" s="40">
        <v>271.0</v>
      </c>
      <c r="D986" s="40" t="s">
        <v>1530</v>
      </c>
      <c r="E986" s="40" t="s">
        <v>24</v>
      </c>
      <c r="F986" s="197">
        <v>40982.0</v>
      </c>
      <c r="G986" s="197">
        <v>42925.0</v>
      </c>
      <c r="H986" s="197">
        <v>42925.0</v>
      </c>
      <c r="I986" s="197">
        <v>42925.0</v>
      </c>
      <c r="J986" s="196">
        <v>14.99</v>
      </c>
      <c r="K986" s="196">
        <v>14.99</v>
      </c>
      <c r="L986" s="196">
        <v>0.0</v>
      </c>
      <c r="M986" s="40">
        <v>1.0</v>
      </c>
      <c r="N986" s="196">
        <v>14.99</v>
      </c>
    </row>
    <row r="987">
      <c r="A987" s="40" t="s">
        <v>56</v>
      </c>
      <c r="B987" s="40" t="s">
        <v>592</v>
      </c>
      <c r="C987" s="40">
        <v>411.0</v>
      </c>
      <c r="D987" s="40" t="s">
        <v>1531</v>
      </c>
      <c r="E987" s="40" t="s">
        <v>24</v>
      </c>
      <c r="F987" s="197">
        <v>40984.0</v>
      </c>
      <c r="G987" s="197">
        <v>44115.0</v>
      </c>
      <c r="H987" s="197">
        <v>44115.0</v>
      </c>
      <c r="I987" s="197">
        <v>44115.0</v>
      </c>
      <c r="J987" s="196">
        <v>24.99</v>
      </c>
      <c r="K987" s="196">
        <v>5.0</v>
      </c>
      <c r="L987" s="196">
        <v>19.99</v>
      </c>
      <c r="M987" s="40">
        <v>1.0</v>
      </c>
      <c r="N987" s="196">
        <v>5.0</v>
      </c>
    </row>
    <row r="988">
      <c r="A988" s="40" t="s">
        <v>56</v>
      </c>
      <c r="B988" s="40"/>
      <c r="C988" s="40">
        <v>398.0</v>
      </c>
      <c r="D988" s="43" t="s">
        <v>1532</v>
      </c>
      <c r="E988" s="43" t="s">
        <v>24</v>
      </c>
      <c r="F988" s="197">
        <v>41024.0</v>
      </c>
      <c r="G988" s="197">
        <v>42363.0</v>
      </c>
      <c r="H988" s="197">
        <v>42364.0</v>
      </c>
      <c r="I988" s="197">
        <v>42664.0</v>
      </c>
      <c r="J988" s="196">
        <v>14.99</v>
      </c>
      <c r="K988" s="196">
        <v>5.99</v>
      </c>
      <c r="L988" s="196">
        <v>9.0</v>
      </c>
      <c r="M988" s="40">
        <v>30.0</v>
      </c>
      <c r="N988" s="196">
        <v>0.2</v>
      </c>
    </row>
    <row r="989">
      <c r="A989" s="40" t="s">
        <v>56</v>
      </c>
      <c r="B989" s="40" t="s">
        <v>566</v>
      </c>
      <c r="C989" s="40">
        <v>330.0</v>
      </c>
      <c r="D989" s="40" t="s">
        <v>1533</v>
      </c>
      <c r="E989" s="40" t="s">
        <v>24</v>
      </c>
      <c r="F989" s="197">
        <v>41101.0</v>
      </c>
      <c r="G989" s="197">
        <v>44422.0</v>
      </c>
      <c r="H989" s="197">
        <v>45071.0</v>
      </c>
      <c r="I989" s="197">
        <v>45090.0</v>
      </c>
      <c r="J989" s="196">
        <v>10.99</v>
      </c>
      <c r="K989" s="196">
        <v>10.99</v>
      </c>
      <c r="L989" s="196">
        <v>0.0</v>
      </c>
      <c r="M989" s="40">
        <v>7.0</v>
      </c>
      <c r="N989" s="196">
        <v>1.57</v>
      </c>
    </row>
    <row r="990">
      <c r="A990" s="40" t="s">
        <v>56</v>
      </c>
      <c r="B990" s="40" t="s">
        <v>661</v>
      </c>
      <c r="C990" s="40">
        <v>408.0</v>
      </c>
      <c r="D990" s="40" t="s">
        <v>1534</v>
      </c>
      <c r="E990" s="40" t="s">
        <v>24</v>
      </c>
      <c r="F990" s="197">
        <v>41149.0</v>
      </c>
      <c r="G990" s="197">
        <v>41694.0</v>
      </c>
      <c r="H990" s="197">
        <v>41694.0</v>
      </c>
      <c r="I990" s="197">
        <v>44793.0</v>
      </c>
      <c r="J990" s="196">
        <v>14.99</v>
      </c>
      <c r="K990" s="196">
        <v>9.99</v>
      </c>
      <c r="L990" s="196">
        <v>5.0</v>
      </c>
      <c r="M990" s="40">
        <v>12.0</v>
      </c>
      <c r="N990" s="196">
        <v>0.83</v>
      </c>
    </row>
    <row r="991">
      <c r="A991" s="40" t="s">
        <v>56</v>
      </c>
      <c r="B991" s="40"/>
      <c r="C991" s="40">
        <v>203.0</v>
      </c>
      <c r="D991" s="40" t="s">
        <v>1535</v>
      </c>
      <c r="E991" s="40" t="s">
        <v>24</v>
      </c>
      <c r="F991" s="197">
        <v>41173.0</v>
      </c>
      <c r="G991" s="197">
        <v>41913.0</v>
      </c>
      <c r="H991" s="197">
        <v>41913.0</v>
      </c>
      <c r="I991" s="197">
        <v>43901.0</v>
      </c>
      <c r="J991" s="196">
        <v>54.99</v>
      </c>
      <c r="K991" s="196">
        <v>31.49</v>
      </c>
      <c r="L991" s="196">
        <v>23.5</v>
      </c>
      <c r="M991" s="40">
        <v>69.0</v>
      </c>
      <c r="N991" s="196">
        <v>0.46</v>
      </c>
    </row>
    <row r="992">
      <c r="A992" s="40" t="s">
        <v>56</v>
      </c>
      <c r="B992" s="40" t="s">
        <v>598</v>
      </c>
      <c r="C992" s="40">
        <v>424.0</v>
      </c>
      <c r="D992" s="40" t="s">
        <v>1536</v>
      </c>
      <c r="E992" s="40" t="s">
        <v>24</v>
      </c>
      <c r="F992" s="197">
        <v>41194.0</v>
      </c>
      <c r="G992" s="197">
        <v>41449.0</v>
      </c>
      <c r="H992" s="197">
        <v>41449.0</v>
      </c>
      <c r="I992" s="197">
        <v>44782.0</v>
      </c>
      <c r="J992" s="196">
        <v>39.98</v>
      </c>
      <c r="K992" s="196">
        <v>25.98</v>
      </c>
      <c r="L992" s="196">
        <v>14.0</v>
      </c>
      <c r="M992" s="40">
        <v>15.0</v>
      </c>
      <c r="N992" s="196">
        <v>1.73</v>
      </c>
    </row>
    <row r="993">
      <c r="A993" s="40" t="s">
        <v>56</v>
      </c>
      <c r="B993" s="40" t="s">
        <v>605</v>
      </c>
      <c r="C993" s="40">
        <v>397.0</v>
      </c>
      <c r="D993" s="40" t="s">
        <v>1537</v>
      </c>
      <c r="E993" s="40" t="s">
        <v>24</v>
      </c>
      <c r="F993" s="197">
        <v>41206.0</v>
      </c>
      <c r="G993" s="197">
        <v>42925.0</v>
      </c>
      <c r="H993" s="197">
        <v>43280.0</v>
      </c>
      <c r="I993" s="197">
        <v>44872.0</v>
      </c>
      <c r="J993" s="196">
        <v>12.99</v>
      </c>
      <c r="K993" s="196">
        <v>2.99</v>
      </c>
      <c r="L993" s="196">
        <v>10.0</v>
      </c>
      <c r="M993" s="40">
        <v>20.0</v>
      </c>
      <c r="N993" s="196">
        <v>0.15</v>
      </c>
    </row>
    <row r="994">
      <c r="A994" s="40" t="s">
        <v>56</v>
      </c>
      <c r="B994" s="40" t="s">
        <v>626</v>
      </c>
      <c r="C994" s="40">
        <v>404.0</v>
      </c>
      <c r="D994" s="40" t="s">
        <v>1538</v>
      </c>
      <c r="E994" s="40" t="s">
        <v>24</v>
      </c>
      <c r="F994" s="197">
        <v>41220.0</v>
      </c>
      <c r="G994" s="197">
        <v>44237.0</v>
      </c>
      <c r="H994" s="197">
        <v>44237.0</v>
      </c>
      <c r="I994" s="197">
        <v>44238.0</v>
      </c>
      <c r="J994" s="196">
        <v>2.75</v>
      </c>
      <c r="K994" s="196">
        <v>2.75</v>
      </c>
      <c r="L994" s="196">
        <v>0.0</v>
      </c>
      <c r="M994" s="40">
        <v>10.0</v>
      </c>
      <c r="N994" s="196">
        <v>0.28</v>
      </c>
    </row>
    <row r="995">
      <c r="A995" s="40" t="s">
        <v>56</v>
      </c>
      <c r="B995" s="40"/>
      <c r="C995" s="40">
        <v>405.0</v>
      </c>
      <c r="D995" s="40" t="s">
        <v>1539</v>
      </c>
      <c r="E995" s="40" t="s">
        <v>24</v>
      </c>
      <c r="F995" s="197">
        <v>41220.0</v>
      </c>
      <c r="G995" s="197">
        <v>44237.0</v>
      </c>
      <c r="H995" s="197">
        <v>44240.0</v>
      </c>
      <c r="I995" s="197">
        <v>44240.0</v>
      </c>
      <c r="J995" s="196">
        <v>2.74</v>
      </c>
      <c r="K995" s="196">
        <v>2.74</v>
      </c>
      <c r="L995" s="196">
        <v>0.0</v>
      </c>
      <c r="M995" s="40">
        <v>5.0</v>
      </c>
      <c r="N995" s="196">
        <v>0.55</v>
      </c>
    </row>
    <row r="996">
      <c r="A996" s="40" t="s">
        <v>56</v>
      </c>
      <c r="B996" s="40" t="s">
        <v>680</v>
      </c>
      <c r="C996" s="40">
        <v>323.0</v>
      </c>
      <c r="D996" s="43" t="s">
        <v>1540</v>
      </c>
      <c r="E996" s="43" t="s">
        <v>24</v>
      </c>
      <c r="F996" s="197">
        <v>41234.0</v>
      </c>
      <c r="G996" s="197">
        <v>41480.0</v>
      </c>
      <c r="H996" s="197">
        <v>41480.0</v>
      </c>
      <c r="I996" s="197">
        <v>44788.0</v>
      </c>
      <c r="J996" s="196">
        <v>19.99</v>
      </c>
      <c r="K996" s="196">
        <v>14.99</v>
      </c>
      <c r="L996" s="196">
        <v>5.0</v>
      </c>
      <c r="M996" s="40">
        <v>35.0</v>
      </c>
      <c r="N996" s="196">
        <v>0.43</v>
      </c>
    </row>
    <row r="997">
      <c r="A997" s="40" t="s">
        <v>56</v>
      </c>
      <c r="B997" s="40" t="s">
        <v>613</v>
      </c>
      <c r="C997" s="40">
        <v>233.0</v>
      </c>
      <c r="D997" s="40" t="s">
        <v>1541</v>
      </c>
      <c r="E997" s="40" t="s">
        <v>24</v>
      </c>
      <c r="F997" s="197">
        <v>41236.0</v>
      </c>
      <c r="G997" s="197">
        <v>44091.0</v>
      </c>
      <c r="H997" s="197">
        <v>44095.0</v>
      </c>
      <c r="I997" s="197">
        <v>44127.0</v>
      </c>
      <c r="J997" s="196">
        <v>59.99</v>
      </c>
      <c r="K997" s="196">
        <v>8.0</v>
      </c>
      <c r="L997" s="196">
        <v>51.99</v>
      </c>
      <c r="M997" s="40">
        <v>40.0</v>
      </c>
      <c r="N997" s="196">
        <v>0.2</v>
      </c>
    </row>
    <row r="998">
      <c r="A998" s="40" t="s">
        <v>56</v>
      </c>
      <c r="B998" s="40"/>
      <c r="C998" s="40">
        <v>334.0</v>
      </c>
      <c r="D998" s="40" t="s">
        <v>1542</v>
      </c>
      <c r="E998" s="40" t="s">
        <v>24</v>
      </c>
      <c r="F998" s="197">
        <v>41243.0</v>
      </c>
      <c r="G998" s="197">
        <v>41318.0</v>
      </c>
      <c r="H998" s="197">
        <v>41318.0</v>
      </c>
      <c r="I998" s="197">
        <v>44549.0</v>
      </c>
      <c r="J998" s="196">
        <v>14.99</v>
      </c>
      <c r="K998" s="196">
        <v>4.99</v>
      </c>
      <c r="L998" s="196">
        <v>10.0</v>
      </c>
      <c r="M998" s="40">
        <v>20.0</v>
      </c>
      <c r="N998" s="196">
        <v>0.25</v>
      </c>
    </row>
    <row r="999">
      <c r="A999" s="40" t="s">
        <v>56</v>
      </c>
      <c r="B999" s="40"/>
      <c r="C999" s="40">
        <v>318.0</v>
      </c>
      <c r="D999" s="43" t="s">
        <v>1543</v>
      </c>
      <c r="E999" s="43" t="s">
        <v>24</v>
      </c>
      <c r="F999" s="197">
        <v>41262.0</v>
      </c>
      <c r="G999" s="197">
        <v>41305.0</v>
      </c>
      <c r="H999" s="197">
        <v>41305.0</v>
      </c>
      <c r="I999" s="197">
        <v>44760.0</v>
      </c>
      <c r="J999" s="196">
        <v>8.99</v>
      </c>
      <c r="K999" s="196">
        <v>8.99</v>
      </c>
      <c r="L999" s="196">
        <v>0.0</v>
      </c>
      <c r="M999" s="40">
        <v>30.0</v>
      </c>
      <c r="N999" s="196">
        <v>0.3</v>
      </c>
    </row>
    <row r="1000">
      <c r="A1000" s="40" t="s">
        <v>56</v>
      </c>
      <c r="B1000" s="40"/>
      <c r="C1000" s="40">
        <v>385.0</v>
      </c>
      <c r="D1000" s="40" t="s">
        <v>1544</v>
      </c>
      <c r="E1000" s="40" t="s">
        <v>24</v>
      </c>
      <c r="F1000" s="197">
        <v>41297.0</v>
      </c>
      <c r="G1000" s="197">
        <v>41297.0</v>
      </c>
      <c r="H1000" s="197">
        <v>45077.0</v>
      </c>
      <c r="I1000" s="197">
        <v>45077.0</v>
      </c>
      <c r="J1000" s="196">
        <v>12.99</v>
      </c>
      <c r="K1000" s="196">
        <v>0.0</v>
      </c>
      <c r="L1000" s="196">
        <v>12.99</v>
      </c>
      <c r="M1000" s="40">
        <v>5.0</v>
      </c>
      <c r="N1000" s="196">
        <v>0.0</v>
      </c>
    </row>
    <row r="1001">
      <c r="A1001" s="40" t="s">
        <v>56</v>
      </c>
      <c r="B1001" s="40"/>
      <c r="C1001" s="40">
        <v>407.0</v>
      </c>
      <c r="D1001" s="40" t="s">
        <v>1545</v>
      </c>
      <c r="E1001" s="40" t="s">
        <v>24</v>
      </c>
      <c r="F1001" s="197">
        <v>41338.0</v>
      </c>
      <c r="G1001" s="197">
        <v>41707.0</v>
      </c>
      <c r="H1001" s="197">
        <v>41707.0</v>
      </c>
      <c r="I1001" s="197">
        <v>45051.0</v>
      </c>
      <c r="J1001" s="196">
        <v>24.99</v>
      </c>
      <c r="K1001" s="196">
        <v>5.0</v>
      </c>
      <c r="L1001" s="196">
        <v>19.99</v>
      </c>
      <c r="M1001" s="40">
        <v>45.0</v>
      </c>
      <c r="N1001" s="196">
        <v>0.11</v>
      </c>
    </row>
    <row r="1002">
      <c r="A1002" s="40" t="s">
        <v>56</v>
      </c>
      <c r="B1002" s="40"/>
      <c r="C1002" s="40">
        <v>199.0</v>
      </c>
      <c r="D1002" s="40" t="s">
        <v>1546</v>
      </c>
      <c r="E1002" s="40" t="s">
        <v>24</v>
      </c>
      <c r="F1002" s="197">
        <v>41359.0</v>
      </c>
      <c r="G1002" s="197">
        <v>42969.0</v>
      </c>
      <c r="H1002" s="197">
        <v>42969.0</v>
      </c>
      <c r="I1002" s="197">
        <v>42969.0</v>
      </c>
      <c r="J1002" s="196">
        <v>24.99</v>
      </c>
      <c r="K1002" s="196">
        <v>9.99</v>
      </c>
      <c r="L1002" s="196">
        <v>15.0</v>
      </c>
      <c r="M1002" s="40">
        <v>1.0</v>
      </c>
      <c r="N1002" s="196">
        <v>9.99</v>
      </c>
    </row>
    <row r="1003">
      <c r="A1003" s="40" t="s">
        <v>56</v>
      </c>
      <c r="B1003" s="40" t="s">
        <v>667</v>
      </c>
      <c r="C1003" s="40">
        <v>195.0</v>
      </c>
      <c r="D1003" s="40" t="s">
        <v>1547</v>
      </c>
      <c r="E1003" s="40" t="s">
        <v>24</v>
      </c>
      <c r="F1003" s="197">
        <v>41361.0</v>
      </c>
      <c r="G1003" s="197">
        <v>44285.0</v>
      </c>
      <c r="H1003" s="197">
        <v>45022.0</v>
      </c>
      <c r="I1003" s="197">
        <v>45053.0</v>
      </c>
      <c r="J1003" s="196">
        <v>1.99</v>
      </c>
      <c r="K1003" s="196">
        <v>1.99</v>
      </c>
      <c r="L1003" s="196">
        <v>0.0</v>
      </c>
      <c r="M1003" s="40">
        <v>5.0</v>
      </c>
      <c r="N1003" s="196">
        <v>0.4</v>
      </c>
    </row>
    <row r="1004">
      <c r="A1004" s="40" t="s">
        <v>56</v>
      </c>
      <c r="B1004" s="40"/>
      <c r="C1004" s="40">
        <v>362.0</v>
      </c>
      <c r="D1004" s="40" t="s">
        <v>1548</v>
      </c>
      <c r="E1004" s="40" t="s">
        <v>24</v>
      </c>
      <c r="F1004" s="197">
        <v>41361.0</v>
      </c>
      <c r="G1004" s="197">
        <v>43014.0</v>
      </c>
      <c r="H1004" s="197">
        <v>45028.0</v>
      </c>
      <c r="I1004" s="197">
        <v>45041.0</v>
      </c>
      <c r="J1004" s="196">
        <v>14.99</v>
      </c>
      <c r="K1004" s="196">
        <v>4.99</v>
      </c>
      <c r="L1004" s="196">
        <v>10.0</v>
      </c>
      <c r="M1004" s="40">
        <v>30.0</v>
      </c>
      <c r="N1004" s="196">
        <v>0.17</v>
      </c>
    </row>
    <row r="1005">
      <c r="A1005" s="40" t="s">
        <v>56</v>
      </c>
      <c r="B1005" s="40"/>
      <c r="C1005" s="40">
        <v>267.0</v>
      </c>
      <c r="D1005" s="40" t="s">
        <v>1549</v>
      </c>
      <c r="E1005" s="40" t="s">
        <v>24</v>
      </c>
      <c r="F1005" s="197">
        <v>41383.0</v>
      </c>
      <c r="G1005" s="197">
        <v>44105.0</v>
      </c>
      <c r="H1005" s="197">
        <v>44257.0</v>
      </c>
      <c r="I1005" s="197">
        <v>44257.0</v>
      </c>
      <c r="J1005" s="196">
        <v>59.99</v>
      </c>
      <c r="K1005" s="196">
        <v>9.59</v>
      </c>
      <c r="L1005" s="196">
        <v>50.4</v>
      </c>
      <c r="M1005" s="40">
        <v>2.0</v>
      </c>
      <c r="N1005" s="196">
        <v>4.8</v>
      </c>
    </row>
    <row r="1006">
      <c r="A1006" s="40" t="s">
        <v>56</v>
      </c>
      <c r="B1006" s="40" t="s">
        <v>657</v>
      </c>
      <c r="C1006" s="40">
        <v>383.0</v>
      </c>
      <c r="D1006" s="40" t="s">
        <v>1550</v>
      </c>
      <c r="E1006" s="40" t="s">
        <v>24</v>
      </c>
      <c r="F1006" s="197">
        <v>41409.0</v>
      </c>
      <c r="G1006" s="197">
        <v>42330.0</v>
      </c>
      <c r="H1006" s="197">
        <v>42330.0</v>
      </c>
      <c r="I1006" s="197">
        <v>44943.0</v>
      </c>
      <c r="J1006" s="196">
        <v>33.98</v>
      </c>
      <c r="K1006" s="196">
        <v>15.49</v>
      </c>
      <c r="L1006" s="196">
        <v>18.49</v>
      </c>
      <c r="M1006" s="40">
        <v>1.0</v>
      </c>
      <c r="N1006" s="196">
        <v>15.49</v>
      </c>
    </row>
    <row r="1007">
      <c r="A1007" s="40" t="s">
        <v>56</v>
      </c>
      <c r="B1007" s="40"/>
      <c r="C1007" s="40">
        <v>391.0</v>
      </c>
      <c r="D1007" s="40" t="s">
        <v>1551</v>
      </c>
      <c r="E1007" s="40" t="s">
        <v>24</v>
      </c>
      <c r="F1007" s="197">
        <v>41439.0</v>
      </c>
      <c r="G1007" s="197">
        <v>41614.0</v>
      </c>
      <c r="H1007" s="197">
        <v>41614.0</v>
      </c>
      <c r="I1007" s="197">
        <v>44358.0</v>
      </c>
      <c r="J1007" s="196">
        <v>49.99</v>
      </c>
      <c r="K1007" s="196">
        <v>44.99</v>
      </c>
      <c r="L1007" s="196">
        <v>5.0</v>
      </c>
      <c r="M1007" s="40">
        <v>120.0</v>
      </c>
      <c r="N1007" s="196">
        <v>0.37</v>
      </c>
    </row>
    <row r="1008">
      <c r="A1008" s="40" t="s">
        <v>56</v>
      </c>
      <c r="B1008" s="40" t="s">
        <v>615</v>
      </c>
      <c r="C1008" s="40">
        <v>222.0</v>
      </c>
      <c r="D1008" s="40" t="s">
        <v>1552</v>
      </c>
      <c r="E1008" s="40" t="s">
        <v>24</v>
      </c>
      <c r="F1008" s="197">
        <v>41453.0</v>
      </c>
      <c r="G1008" s="197">
        <v>42382.0</v>
      </c>
      <c r="H1008" s="197">
        <v>42382.0</v>
      </c>
      <c r="I1008" s="197">
        <v>43910.0</v>
      </c>
      <c r="J1008" s="196">
        <v>39.99</v>
      </c>
      <c r="K1008" s="196">
        <v>19.99</v>
      </c>
      <c r="L1008" s="196">
        <v>20.0</v>
      </c>
      <c r="M1008" s="40">
        <v>40.0</v>
      </c>
      <c r="N1008" s="196">
        <v>0.5</v>
      </c>
    </row>
    <row r="1009">
      <c r="A1009" s="40" t="s">
        <v>56</v>
      </c>
      <c r="B1009" s="40"/>
      <c r="C1009" s="40">
        <v>351.0</v>
      </c>
      <c r="D1009" s="40" t="s">
        <v>1553</v>
      </c>
      <c r="E1009" s="40" t="s">
        <v>24</v>
      </c>
      <c r="F1009" s="197">
        <v>41509.0</v>
      </c>
      <c r="G1009" s="197">
        <v>42263.0</v>
      </c>
      <c r="H1009" s="197">
        <v>42263.0</v>
      </c>
      <c r="I1009" s="197">
        <v>44395.0</v>
      </c>
      <c r="J1009" s="196">
        <v>34.98</v>
      </c>
      <c r="K1009" s="196">
        <v>7.49</v>
      </c>
      <c r="L1009" s="196">
        <v>27.49</v>
      </c>
      <c r="M1009" s="40">
        <v>100.0</v>
      </c>
      <c r="N1009" s="196">
        <v>0.07</v>
      </c>
    </row>
    <row r="1010">
      <c r="A1010" s="40" t="s">
        <v>56</v>
      </c>
      <c r="B1010" s="40" t="s">
        <v>634</v>
      </c>
      <c r="C1010" s="40">
        <v>369.0</v>
      </c>
      <c r="D1010" s="40" t="s">
        <v>1554</v>
      </c>
      <c r="E1010" s="40" t="s">
        <v>24</v>
      </c>
      <c r="F1010" s="197">
        <v>41514.0</v>
      </c>
      <c r="G1010" s="197">
        <v>44190.0</v>
      </c>
      <c r="H1010" s="197">
        <v>44194.0</v>
      </c>
      <c r="I1010" s="197">
        <v>44195.0</v>
      </c>
      <c r="J1010" s="196">
        <v>14.99</v>
      </c>
      <c r="K1010" s="196">
        <v>0.0</v>
      </c>
      <c r="L1010" s="196">
        <v>14.99</v>
      </c>
      <c r="M1010" s="40">
        <v>8.0</v>
      </c>
      <c r="N1010" s="196">
        <v>0.0</v>
      </c>
    </row>
    <row r="1011">
      <c r="A1011" s="40" t="s">
        <v>56</v>
      </c>
      <c r="B1011" s="40" t="s">
        <v>628</v>
      </c>
      <c r="C1011" s="40">
        <v>252.0</v>
      </c>
      <c r="D1011" s="40" t="s">
        <v>1555</v>
      </c>
      <c r="E1011" s="40" t="s">
        <v>24</v>
      </c>
      <c r="F1011" s="197">
        <v>41549.0</v>
      </c>
      <c r="G1011" s="197">
        <v>44299.0</v>
      </c>
      <c r="H1011" s="197">
        <v>45109.0</v>
      </c>
      <c r="I1011" s="197">
        <v>45126.0</v>
      </c>
      <c r="J1011" s="196">
        <v>7.99</v>
      </c>
      <c r="K1011" s="196">
        <v>7.99</v>
      </c>
      <c r="L1011" s="196">
        <v>0.0</v>
      </c>
      <c r="M1011" s="40">
        <v>5.0</v>
      </c>
      <c r="N1011" s="196">
        <v>1.6</v>
      </c>
    </row>
    <row r="1012">
      <c r="A1012" s="40" t="s">
        <v>56</v>
      </c>
      <c r="B1012" s="40"/>
      <c r="C1012" s="40">
        <v>400.0</v>
      </c>
      <c r="D1012" s="40" t="s">
        <v>1556</v>
      </c>
      <c r="E1012" s="40" t="s">
        <v>24</v>
      </c>
      <c r="F1012" s="197">
        <v>41563.0</v>
      </c>
      <c r="G1012" s="197">
        <v>42810.0</v>
      </c>
      <c r="H1012" s="197">
        <v>42810.0</v>
      </c>
      <c r="I1012" s="197">
        <v>44854.0</v>
      </c>
      <c r="J1012" s="43">
        <v>14.99</v>
      </c>
      <c r="K1012" s="43">
        <v>14.99</v>
      </c>
      <c r="L1012" s="196">
        <v>0.0</v>
      </c>
      <c r="M1012" s="40">
        <v>18.0</v>
      </c>
      <c r="N1012" s="196">
        <v>0.83</v>
      </c>
    </row>
    <row r="1013">
      <c r="A1013" s="40" t="s">
        <v>56</v>
      </c>
      <c r="B1013" s="40"/>
      <c r="C1013" s="40">
        <v>335.0</v>
      </c>
      <c r="D1013" s="40" t="s">
        <v>1557</v>
      </c>
      <c r="E1013" s="40" t="s">
        <v>24</v>
      </c>
      <c r="F1013" s="197">
        <v>41600.0</v>
      </c>
      <c r="G1013" s="197">
        <v>44237.0</v>
      </c>
      <c r="H1013" s="197">
        <v>44238.0</v>
      </c>
      <c r="I1013" s="197">
        <v>44240.0</v>
      </c>
      <c r="J1013" s="43">
        <v>19.99</v>
      </c>
      <c r="K1013" s="43">
        <v>14.99</v>
      </c>
      <c r="L1013" s="196">
        <v>5.0</v>
      </c>
      <c r="M1013" s="40">
        <v>15.0</v>
      </c>
      <c r="N1013" s="196">
        <v>1.0</v>
      </c>
    </row>
    <row r="1014">
      <c r="A1014" s="40" t="s">
        <v>56</v>
      </c>
      <c r="B1014" s="40" t="s">
        <v>617</v>
      </c>
      <c r="C1014" s="40">
        <v>229.0</v>
      </c>
      <c r="D1014" s="40" t="s">
        <v>1558</v>
      </c>
      <c r="E1014" s="40" t="s">
        <v>24</v>
      </c>
      <c r="F1014" s="197">
        <v>41610.0</v>
      </c>
      <c r="G1014" s="197">
        <v>42925.0</v>
      </c>
      <c r="H1014" s="197">
        <v>42932.0</v>
      </c>
      <c r="I1014" s="197">
        <v>45171.0</v>
      </c>
      <c r="J1014" s="196">
        <v>8.98</v>
      </c>
      <c r="K1014" s="196">
        <v>3.48</v>
      </c>
      <c r="L1014" s="196">
        <v>5.5</v>
      </c>
      <c r="M1014" s="40">
        <v>11.0</v>
      </c>
      <c r="N1014" s="196">
        <v>0.32</v>
      </c>
    </row>
    <row r="1015">
      <c r="A1015" s="40" t="s">
        <v>56</v>
      </c>
      <c r="B1015" s="40"/>
      <c r="C1015" s="40">
        <v>399.0</v>
      </c>
      <c r="D1015" s="40" t="s">
        <v>1559</v>
      </c>
      <c r="E1015" s="40" t="s">
        <v>24</v>
      </c>
      <c r="F1015" s="197">
        <v>41626.0</v>
      </c>
      <c r="G1015" s="197">
        <v>42664.0</v>
      </c>
      <c r="H1015" s="197">
        <v>42665.0</v>
      </c>
      <c r="I1015" s="197">
        <v>42668.0</v>
      </c>
      <c r="J1015" s="43">
        <v>14.99</v>
      </c>
      <c r="K1015" s="43">
        <v>14.99</v>
      </c>
      <c r="L1015" s="196">
        <v>0.0</v>
      </c>
      <c r="M1015" s="40">
        <v>8.0</v>
      </c>
      <c r="N1015" s="196">
        <v>1.87</v>
      </c>
    </row>
    <row r="1016">
      <c r="A1016" s="40" t="s">
        <v>56</v>
      </c>
      <c r="B1016" s="40" t="s">
        <v>642</v>
      </c>
      <c r="C1016" s="40">
        <v>367.0</v>
      </c>
      <c r="D1016" s="40" t="s">
        <v>1560</v>
      </c>
      <c r="E1016" s="40" t="s">
        <v>24</v>
      </c>
      <c r="F1016" s="197">
        <v>41705.0</v>
      </c>
      <c r="G1016" s="197">
        <v>43081.0</v>
      </c>
      <c r="H1016" s="197">
        <v>43088.0</v>
      </c>
      <c r="I1016" s="197">
        <v>44121.0</v>
      </c>
      <c r="J1016" s="196">
        <v>29.99</v>
      </c>
      <c r="K1016" s="196">
        <v>0.0</v>
      </c>
      <c r="L1016" s="196">
        <v>29.99</v>
      </c>
      <c r="M1016" s="40">
        <v>44.0</v>
      </c>
      <c r="N1016" s="196">
        <v>0.0</v>
      </c>
    </row>
    <row r="1017">
      <c r="A1017" s="40" t="s">
        <v>56</v>
      </c>
      <c r="B1017" s="40" t="s">
        <v>590</v>
      </c>
      <c r="C1017" s="40">
        <v>213.0</v>
      </c>
      <c r="D1017" s="40" t="s">
        <v>1561</v>
      </c>
      <c r="E1017" s="40" t="s">
        <v>24</v>
      </c>
      <c r="F1017" s="197">
        <v>41871.0</v>
      </c>
      <c r="G1017" s="197">
        <v>42925.0</v>
      </c>
      <c r="H1017" s="197">
        <v>43080.0</v>
      </c>
      <c r="I1017" s="197">
        <v>43241.0</v>
      </c>
      <c r="J1017" s="196">
        <v>12.99</v>
      </c>
      <c r="K1017" s="196">
        <v>3.99</v>
      </c>
      <c r="L1017" s="196">
        <v>9.0</v>
      </c>
      <c r="M1017" s="40">
        <v>5.0</v>
      </c>
      <c r="N1017" s="196">
        <v>0.8</v>
      </c>
    </row>
    <row r="1018">
      <c r="A1018" s="40" t="s">
        <v>56</v>
      </c>
      <c r="B1018" s="40"/>
      <c r="C1018" s="40">
        <v>378.0</v>
      </c>
      <c r="D1018" s="40" t="s">
        <v>1562</v>
      </c>
      <c r="E1018" s="40" t="s">
        <v>24</v>
      </c>
      <c r="F1018" s="197">
        <v>41976.0</v>
      </c>
      <c r="G1018" s="197">
        <v>42095.0</v>
      </c>
      <c r="H1018" s="197">
        <v>42095.0</v>
      </c>
      <c r="I1018" s="197">
        <v>43316.0</v>
      </c>
      <c r="J1018" s="196">
        <v>29.98</v>
      </c>
      <c r="K1018" s="196">
        <v>29.98</v>
      </c>
      <c r="L1018" s="196">
        <v>0.0</v>
      </c>
      <c r="M1018" s="40">
        <v>40.0</v>
      </c>
      <c r="N1018" s="196">
        <v>0.75</v>
      </c>
    </row>
    <row r="1019">
      <c r="A1019" s="40" t="s">
        <v>56</v>
      </c>
      <c r="B1019" s="40"/>
      <c r="C1019" s="40">
        <v>352.0</v>
      </c>
      <c r="D1019" s="40" t="s">
        <v>1563</v>
      </c>
      <c r="E1019" s="40" t="s">
        <v>24</v>
      </c>
      <c r="F1019" s="197">
        <v>42027.0</v>
      </c>
      <c r="G1019" s="197">
        <v>44091.0</v>
      </c>
      <c r="H1019" s="197">
        <v>45671.0</v>
      </c>
      <c r="I1019" s="197">
        <v>45675.0</v>
      </c>
      <c r="J1019" s="196">
        <v>19.99</v>
      </c>
      <c r="K1019" s="196">
        <v>7.99</v>
      </c>
      <c r="L1019" s="196">
        <v>12.0</v>
      </c>
      <c r="M1019" s="40">
        <v>20.0</v>
      </c>
      <c r="N1019" s="196">
        <v>0.4</v>
      </c>
    </row>
    <row r="1020">
      <c r="A1020" s="40" t="s">
        <v>56</v>
      </c>
      <c r="B1020" s="40" t="s">
        <v>712</v>
      </c>
      <c r="C1020" s="40">
        <v>357.0</v>
      </c>
      <c r="D1020" s="40" t="s">
        <v>1564</v>
      </c>
      <c r="E1020" s="40" t="s">
        <v>24</v>
      </c>
      <c r="F1020" s="197">
        <v>42115.0</v>
      </c>
      <c r="G1020" s="197">
        <v>43341.0</v>
      </c>
      <c r="H1020" s="197">
        <v>43341.0</v>
      </c>
      <c r="I1020" s="197">
        <v>43342.0</v>
      </c>
      <c r="J1020" s="196">
        <v>24.99</v>
      </c>
      <c r="K1020" s="196">
        <v>24.99</v>
      </c>
      <c r="L1020" s="196">
        <v>0.0</v>
      </c>
      <c r="M1020" s="40">
        <v>3.0</v>
      </c>
      <c r="N1020" s="196">
        <v>8.33</v>
      </c>
    </row>
    <row r="1021">
      <c r="A1021" s="40" t="s">
        <v>56</v>
      </c>
      <c r="B1021" s="40"/>
      <c r="C1021" s="40">
        <v>486.0</v>
      </c>
      <c r="D1021" s="40" t="s">
        <v>1565</v>
      </c>
      <c r="E1021" s="40" t="s">
        <v>25</v>
      </c>
      <c r="F1021" s="197">
        <v>40961.0</v>
      </c>
      <c r="G1021" s="197">
        <v>42218.0</v>
      </c>
      <c r="H1021" s="197">
        <v>42218.0</v>
      </c>
      <c r="I1021" s="197">
        <v>44992.0</v>
      </c>
      <c r="J1021" s="196">
        <v>24.99</v>
      </c>
      <c r="K1021" s="196">
        <v>6.99</v>
      </c>
      <c r="L1021" s="196">
        <v>18.0</v>
      </c>
      <c r="M1021" s="40">
        <v>50.0</v>
      </c>
      <c r="N1021" s="196">
        <v>0.14</v>
      </c>
    </row>
    <row r="1022">
      <c r="A1022" s="40" t="s">
        <v>56</v>
      </c>
      <c r="B1022" s="40" t="s">
        <v>665</v>
      </c>
      <c r="C1022" s="40">
        <v>450.0</v>
      </c>
      <c r="D1022" s="40" t="s">
        <v>1566</v>
      </c>
      <c r="E1022" s="40" t="s">
        <v>25</v>
      </c>
      <c r="F1022" s="197">
        <v>40961.0</v>
      </c>
      <c r="G1022" s="197">
        <v>42326.0</v>
      </c>
      <c r="H1022" s="197">
        <v>42328.0</v>
      </c>
      <c r="I1022" s="197">
        <v>44955.0</v>
      </c>
      <c r="J1022" s="196">
        <v>14.99</v>
      </c>
      <c r="K1022" s="196">
        <v>14.99</v>
      </c>
      <c r="L1022" s="196">
        <v>0.0</v>
      </c>
      <c r="M1022" s="40">
        <v>25.0</v>
      </c>
      <c r="N1022" s="196">
        <v>0.6</v>
      </c>
    </row>
    <row r="1023">
      <c r="A1023" s="40" t="s">
        <v>56</v>
      </c>
      <c r="B1023" s="40" t="s">
        <v>603</v>
      </c>
      <c r="C1023" s="40">
        <v>437.0</v>
      </c>
      <c r="D1023" s="40" t="s">
        <v>1567</v>
      </c>
      <c r="E1023" s="40" t="s">
        <v>25</v>
      </c>
      <c r="F1023" s="197">
        <v>40961.0</v>
      </c>
      <c r="G1023" s="197">
        <v>42929.0</v>
      </c>
      <c r="H1023" s="197">
        <v>42929.0</v>
      </c>
      <c r="I1023" s="197">
        <v>42929.0</v>
      </c>
      <c r="J1023" s="196">
        <v>19.99</v>
      </c>
      <c r="K1023" s="196">
        <v>19.99</v>
      </c>
      <c r="L1023" s="196">
        <v>0.0</v>
      </c>
      <c r="M1023" s="40">
        <v>1.0</v>
      </c>
      <c r="N1023" s="196">
        <v>19.99</v>
      </c>
    </row>
    <row r="1024">
      <c r="A1024" s="40" t="s">
        <v>56</v>
      </c>
      <c r="B1024" s="40" t="s">
        <v>708</v>
      </c>
      <c r="C1024" s="40">
        <v>464.0</v>
      </c>
      <c r="D1024" s="40" t="s">
        <v>1568</v>
      </c>
      <c r="E1024" s="40" t="s">
        <v>25</v>
      </c>
      <c r="F1024" s="197">
        <v>41215.0</v>
      </c>
      <c r="G1024" s="197">
        <v>42665.0</v>
      </c>
      <c r="H1024" s="197">
        <v>45066.0</v>
      </c>
      <c r="I1024" s="197">
        <v>45066.0</v>
      </c>
      <c r="J1024" s="196">
        <v>14.99</v>
      </c>
      <c r="K1024" s="196">
        <v>6.99</v>
      </c>
      <c r="L1024" s="196">
        <v>8.0</v>
      </c>
      <c r="M1024" s="40">
        <v>5.0</v>
      </c>
      <c r="N1024" s="196">
        <v>1.4</v>
      </c>
    </row>
    <row r="1025">
      <c r="A1025" s="40" t="s">
        <v>56</v>
      </c>
      <c r="B1025" s="40"/>
      <c r="C1025" s="40">
        <v>487.0</v>
      </c>
      <c r="D1025" s="40" t="s">
        <v>1569</v>
      </c>
      <c r="E1025" s="40" t="s">
        <v>25</v>
      </c>
      <c r="F1025" s="197">
        <v>41248.0</v>
      </c>
      <c r="G1025" s="197">
        <v>42246.0</v>
      </c>
      <c r="H1025" s="197">
        <v>42246.0</v>
      </c>
      <c r="I1025" s="197">
        <v>44992.0</v>
      </c>
      <c r="J1025" s="196">
        <v>4.99</v>
      </c>
      <c r="K1025" s="196">
        <v>4.99</v>
      </c>
      <c r="L1025" s="196">
        <v>0.0</v>
      </c>
      <c r="M1025" s="40">
        <v>15.0</v>
      </c>
      <c r="N1025" s="196">
        <v>0.33</v>
      </c>
    </row>
    <row r="1026">
      <c r="A1026" s="40" t="s">
        <v>56</v>
      </c>
      <c r="B1026" s="40" t="s">
        <v>638</v>
      </c>
      <c r="C1026" s="40">
        <v>480.0</v>
      </c>
      <c r="D1026" s="40" t="s">
        <v>1570</v>
      </c>
      <c r="E1026" s="40" t="s">
        <v>25</v>
      </c>
      <c r="F1026" s="197">
        <v>41948.0</v>
      </c>
      <c r="G1026" s="197">
        <v>44190.0</v>
      </c>
      <c r="H1026" s="197">
        <v>44191.0</v>
      </c>
      <c r="I1026" s="197">
        <v>44485.0</v>
      </c>
      <c r="J1026" s="196">
        <v>14.99</v>
      </c>
      <c r="K1026" s="196">
        <v>0.0</v>
      </c>
      <c r="L1026" s="196">
        <v>14.99</v>
      </c>
      <c r="M1026" s="40">
        <v>12.0</v>
      </c>
      <c r="N1026" s="196">
        <v>0.0</v>
      </c>
    </row>
    <row r="1027">
      <c r="A1027" s="40" t="s">
        <v>56</v>
      </c>
      <c r="B1027" s="40" t="s">
        <v>644</v>
      </c>
      <c r="C1027" s="40">
        <v>438.0</v>
      </c>
      <c r="D1027" s="40" t="s">
        <v>1571</v>
      </c>
      <c r="E1027" s="40" t="s">
        <v>25</v>
      </c>
      <c r="F1027" s="197">
        <v>42018.0</v>
      </c>
      <c r="G1027" s="197">
        <v>42036.0</v>
      </c>
      <c r="H1027" s="197">
        <v>42193.0</v>
      </c>
      <c r="I1027" s="197">
        <v>44948.0</v>
      </c>
      <c r="J1027" s="196">
        <v>0.0</v>
      </c>
      <c r="K1027" s="196">
        <v>0.0</v>
      </c>
      <c r="L1027" s="196">
        <v>0.0</v>
      </c>
      <c r="M1027" s="40">
        <v>10.0</v>
      </c>
      <c r="N1027" s="196">
        <v>0.0</v>
      </c>
    </row>
    <row r="1028">
      <c r="A1028" s="40" t="s">
        <v>56</v>
      </c>
      <c r="B1028" s="40"/>
      <c r="C1028" s="40">
        <v>445.0</v>
      </c>
      <c r="D1028" s="40" t="s">
        <v>1572</v>
      </c>
      <c r="E1028" s="40" t="s">
        <v>25</v>
      </c>
      <c r="F1028" s="197">
        <v>42031.0</v>
      </c>
      <c r="G1028" s="197">
        <v>42778.0</v>
      </c>
      <c r="H1028" s="197">
        <v>42810.0</v>
      </c>
      <c r="I1028" s="197">
        <v>42810.0</v>
      </c>
      <c r="J1028" s="196">
        <v>14.99</v>
      </c>
      <c r="K1028" s="196">
        <v>3.99</v>
      </c>
      <c r="L1028" s="196">
        <v>11.0</v>
      </c>
      <c r="M1028" s="40">
        <v>1.0</v>
      </c>
      <c r="N1028" s="196">
        <v>3.99</v>
      </c>
    </row>
    <row r="1029">
      <c r="A1029" s="40" t="s">
        <v>56</v>
      </c>
      <c r="B1029" s="40"/>
      <c r="C1029" s="40">
        <v>431.0</v>
      </c>
      <c r="D1029" s="40" t="s">
        <v>1573</v>
      </c>
      <c r="E1029" s="40" t="s">
        <v>25</v>
      </c>
      <c r="F1029" s="197">
        <v>42123.0</v>
      </c>
      <c r="G1029" s="197">
        <v>42950.0</v>
      </c>
      <c r="H1029" s="197">
        <v>42950.0</v>
      </c>
      <c r="I1029" s="197">
        <v>42950.0</v>
      </c>
      <c r="J1029" s="196">
        <v>14.99</v>
      </c>
      <c r="K1029" s="196">
        <v>6.99</v>
      </c>
      <c r="L1029" s="196">
        <v>8.0</v>
      </c>
      <c r="M1029" s="40">
        <v>1.0</v>
      </c>
      <c r="N1029" s="196">
        <v>6.99</v>
      </c>
    </row>
    <row r="1030">
      <c r="A1030" s="40" t="s">
        <v>56</v>
      </c>
      <c r="B1030" s="40" t="s">
        <v>585</v>
      </c>
      <c r="C1030" s="40">
        <v>460.0</v>
      </c>
      <c r="D1030" s="40" t="s">
        <v>1574</v>
      </c>
      <c r="E1030" s="40" t="s">
        <v>25</v>
      </c>
      <c r="F1030" s="197">
        <v>42269.0</v>
      </c>
      <c r="G1030" s="197">
        <v>43295.0</v>
      </c>
      <c r="H1030" s="197">
        <v>43295.0</v>
      </c>
      <c r="I1030" s="197">
        <v>45005.0</v>
      </c>
      <c r="J1030" s="196">
        <v>10.99</v>
      </c>
      <c r="K1030" s="196">
        <v>10.99</v>
      </c>
      <c r="L1030" s="196">
        <v>0.0</v>
      </c>
      <c r="M1030" s="40">
        <v>10.0</v>
      </c>
      <c r="N1030" s="196">
        <v>1.1</v>
      </c>
    </row>
    <row r="1031">
      <c r="A1031" s="40" t="s">
        <v>56</v>
      </c>
      <c r="B1031" s="40" t="s">
        <v>682</v>
      </c>
      <c r="C1031" s="40">
        <v>473.0</v>
      </c>
      <c r="D1031" s="43" t="s">
        <v>1575</v>
      </c>
      <c r="E1031" s="43" t="s">
        <v>25</v>
      </c>
      <c r="F1031" s="197">
        <v>42283.0</v>
      </c>
      <c r="G1031" s="197">
        <v>42791.0</v>
      </c>
      <c r="H1031" s="197">
        <v>42792.0</v>
      </c>
      <c r="I1031" s="197">
        <v>45055.0</v>
      </c>
      <c r="J1031" s="196">
        <v>15.99</v>
      </c>
      <c r="K1031" s="196">
        <v>5.59</v>
      </c>
      <c r="L1031" s="196">
        <v>10.4</v>
      </c>
      <c r="M1031" s="40">
        <v>5.0</v>
      </c>
      <c r="N1031" s="196">
        <v>1.12</v>
      </c>
    </row>
    <row r="1032">
      <c r="A1032" s="41" t="s">
        <v>56</v>
      </c>
      <c r="B1032" s="41"/>
      <c r="C1032" s="40">
        <v>428.0</v>
      </c>
      <c r="D1032" s="40" t="s">
        <v>1576</v>
      </c>
      <c r="E1032" s="40" t="s">
        <v>25</v>
      </c>
      <c r="F1032" s="197">
        <v>42388.0</v>
      </c>
      <c r="G1032" s="197">
        <v>42950.0</v>
      </c>
      <c r="H1032" s="197">
        <v>45769.0</v>
      </c>
      <c r="I1032" s="197">
        <v>45772.0</v>
      </c>
      <c r="J1032" s="196">
        <v>9.99</v>
      </c>
      <c r="K1032" s="196">
        <v>3.99</v>
      </c>
      <c r="L1032" s="196">
        <v>6.0</v>
      </c>
      <c r="M1032" s="40">
        <v>12.0</v>
      </c>
      <c r="N1032" s="196">
        <v>0.33</v>
      </c>
    </row>
    <row r="1033">
      <c r="A1033" s="40" t="s">
        <v>56</v>
      </c>
      <c r="B1033" s="40"/>
      <c r="C1033" s="40">
        <v>435.0</v>
      </c>
      <c r="D1033" s="43" t="s">
        <v>1577</v>
      </c>
      <c r="E1033" s="43" t="s">
        <v>25</v>
      </c>
      <c r="F1033" s="197">
        <v>42451.0</v>
      </c>
      <c r="G1033" s="197">
        <v>42811.0</v>
      </c>
      <c r="H1033" s="197">
        <v>42851.0</v>
      </c>
      <c r="I1033" s="197">
        <v>42851.0</v>
      </c>
      <c r="J1033" s="196">
        <v>14.99</v>
      </c>
      <c r="K1033" s="196">
        <v>4.74</v>
      </c>
      <c r="L1033" s="196">
        <v>10.25</v>
      </c>
      <c r="M1033" s="40">
        <v>16.0</v>
      </c>
      <c r="N1033" s="196">
        <v>0.3</v>
      </c>
    </row>
    <row r="1034">
      <c r="A1034" s="40" t="s">
        <v>56</v>
      </c>
      <c r="B1034" s="40" t="s">
        <v>616</v>
      </c>
      <c r="C1034" s="40">
        <v>461.0</v>
      </c>
      <c r="D1034" s="43" t="s">
        <v>1578</v>
      </c>
      <c r="E1034" s="43" t="s">
        <v>25</v>
      </c>
      <c r="F1034" s="197">
        <v>42472.0</v>
      </c>
      <c r="G1034" s="197">
        <v>42950.0</v>
      </c>
      <c r="H1034" s="197">
        <v>42950.0</v>
      </c>
      <c r="I1034" s="197">
        <v>42950.0</v>
      </c>
      <c r="J1034" s="196">
        <v>8.99</v>
      </c>
      <c r="K1034" s="196">
        <v>3.99</v>
      </c>
      <c r="L1034" s="196">
        <v>5.0</v>
      </c>
      <c r="M1034" s="40">
        <v>1.0</v>
      </c>
      <c r="N1034" s="196">
        <v>3.99</v>
      </c>
    </row>
    <row r="1035">
      <c r="A1035" s="40" t="s">
        <v>56</v>
      </c>
      <c r="B1035" s="40" t="s">
        <v>609</v>
      </c>
      <c r="C1035" s="40">
        <v>432.0</v>
      </c>
      <c r="D1035" s="40" t="s">
        <v>1579</v>
      </c>
      <c r="E1035" s="40" t="s">
        <v>25</v>
      </c>
      <c r="F1035" s="197">
        <v>42613.0</v>
      </c>
      <c r="G1035" s="197">
        <v>42832.0</v>
      </c>
      <c r="H1035" s="197">
        <v>43080.0</v>
      </c>
      <c r="I1035" s="197">
        <v>44856.0</v>
      </c>
      <c r="J1035" s="196">
        <v>16.99</v>
      </c>
      <c r="K1035" s="196">
        <v>4.99</v>
      </c>
      <c r="L1035" s="196">
        <v>12.0</v>
      </c>
      <c r="M1035" s="40">
        <v>1.0</v>
      </c>
      <c r="N1035" s="196">
        <v>4.99</v>
      </c>
    </row>
    <row r="1036">
      <c r="A1036" s="40" t="s">
        <v>56</v>
      </c>
      <c r="B1036" s="40" t="s">
        <v>711</v>
      </c>
      <c r="C1036" s="40">
        <v>466.0</v>
      </c>
      <c r="D1036" s="40" t="s">
        <v>1580</v>
      </c>
      <c r="E1036" s="40" t="s">
        <v>25</v>
      </c>
      <c r="F1036" s="197">
        <v>42697.0</v>
      </c>
      <c r="G1036" s="197">
        <v>42887.0</v>
      </c>
      <c r="H1036" s="197">
        <v>42904.0</v>
      </c>
      <c r="I1036" s="197">
        <v>44485.0</v>
      </c>
      <c r="J1036" s="196">
        <v>14.99</v>
      </c>
      <c r="K1036" s="196">
        <v>4.99</v>
      </c>
      <c r="L1036" s="196">
        <v>10.0</v>
      </c>
      <c r="M1036" s="40">
        <v>3.0</v>
      </c>
      <c r="N1036" s="196">
        <v>1.66</v>
      </c>
    </row>
    <row r="1037">
      <c r="A1037" s="40" t="s">
        <v>56</v>
      </c>
      <c r="B1037" s="40" t="s">
        <v>580</v>
      </c>
      <c r="C1037" s="40">
        <v>485.0</v>
      </c>
      <c r="D1037" s="40" t="s">
        <v>1581</v>
      </c>
      <c r="E1037" s="40" t="s">
        <v>25</v>
      </c>
      <c r="F1037" s="197">
        <v>42773.0</v>
      </c>
      <c r="G1037" s="197">
        <v>44431.0</v>
      </c>
      <c r="H1037" s="197">
        <v>44486.0</v>
      </c>
      <c r="I1037" s="197">
        <v>44486.0</v>
      </c>
      <c r="J1037" s="196">
        <v>14.49</v>
      </c>
      <c r="K1037" s="196">
        <v>3.62</v>
      </c>
      <c r="L1037" s="196">
        <v>10.87</v>
      </c>
      <c r="M1037" s="40">
        <v>2.0</v>
      </c>
      <c r="N1037" s="196">
        <v>1.81</v>
      </c>
    </row>
    <row r="1038">
      <c r="A1038" s="40" t="s">
        <v>56</v>
      </c>
      <c r="B1038" s="40" t="s">
        <v>694</v>
      </c>
      <c r="C1038" s="40">
        <v>488.0</v>
      </c>
      <c r="D1038" s="40" t="s">
        <v>1582</v>
      </c>
      <c r="E1038" s="40" t="s">
        <v>25</v>
      </c>
      <c r="F1038" s="197">
        <v>42962.0</v>
      </c>
      <c r="G1038" s="197">
        <v>43091.0</v>
      </c>
      <c r="H1038" s="197">
        <v>43091.0</v>
      </c>
      <c r="I1038" s="197">
        <v>43091.0</v>
      </c>
      <c r="J1038" s="196">
        <v>14.99</v>
      </c>
      <c r="K1038" s="196">
        <v>8.99</v>
      </c>
      <c r="L1038" s="196">
        <v>6.0</v>
      </c>
      <c r="M1038" s="40">
        <v>1.0</v>
      </c>
      <c r="N1038" s="196">
        <v>8.99</v>
      </c>
    </row>
    <row r="1039">
      <c r="A1039" s="40" t="s">
        <v>56</v>
      </c>
      <c r="B1039" s="40" t="s">
        <v>641</v>
      </c>
      <c r="C1039" s="40">
        <v>477.0</v>
      </c>
      <c r="D1039" s="40" t="s">
        <v>1583</v>
      </c>
      <c r="E1039" s="40" t="s">
        <v>25</v>
      </c>
      <c r="F1039" s="197">
        <v>43894.0</v>
      </c>
      <c r="G1039" s="197">
        <v>43894.0</v>
      </c>
      <c r="H1039" s="197">
        <v>43894.0</v>
      </c>
      <c r="I1039" s="197">
        <v>45007.0</v>
      </c>
      <c r="J1039" s="196">
        <v>4.99</v>
      </c>
      <c r="K1039" s="196">
        <v>4.99</v>
      </c>
      <c r="L1039" s="196">
        <v>0.0</v>
      </c>
      <c r="M1039" s="40">
        <v>3.0</v>
      </c>
      <c r="N1039" s="196">
        <v>1.66</v>
      </c>
    </row>
    <row r="1040">
      <c r="A1040" s="40" t="s">
        <v>56</v>
      </c>
      <c r="B1040" s="40"/>
      <c r="C1040" s="40">
        <v>673.0</v>
      </c>
      <c r="D1040" s="40" t="s">
        <v>1584</v>
      </c>
      <c r="E1040" s="40" t="s">
        <v>26</v>
      </c>
      <c r="F1040" s="197">
        <v>41719.0</v>
      </c>
      <c r="G1040" s="197">
        <v>42700.0</v>
      </c>
      <c r="H1040" s="197">
        <v>42708.0</v>
      </c>
      <c r="I1040" s="197">
        <v>45159.0</v>
      </c>
      <c r="J1040" s="196">
        <v>25.0</v>
      </c>
      <c r="K1040" s="196">
        <v>6.99</v>
      </c>
      <c r="L1040" s="196">
        <v>18.01</v>
      </c>
      <c r="M1040" s="40">
        <v>25.0</v>
      </c>
      <c r="N1040" s="196">
        <v>0.28</v>
      </c>
    </row>
    <row r="1041">
      <c r="A1041" s="40" t="s">
        <v>56</v>
      </c>
      <c r="B1041" s="40" t="s">
        <v>713</v>
      </c>
      <c r="C1041" s="40">
        <v>775.0</v>
      </c>
      <c r="D1041" s="40" t="s">
        <v>1585</v>
      </c>
      <c r="E1041" s="40" t="s">
        <v>26</v>
      </c>
      <c r="F1041" s="197">
        <v>41752.0</v>
      </c>
      <c r="G1041" s="197">
        <v>42253.0</v>
      </c>
      <c r="H1041" s="197">
        <v>42253.0</v>
      </c>
      <c r="I1041" s="197">
        <v>44866.0</v>
      </c>
      <c r="J1041" s="196">
        <v>13.99</v>
      </c>
      <c r="K1041" s="196">
        <v>7.0</v>
      </c>
      <c r="L1041" s="196">
        <v>6.99</v>
      </c>
      <c r="M1041" s="40">
        <v>10.0</v>
      </c>
      <c r="N1041" s="196">
        <v>0.7</v>
      </c>
    </row>
    <row r="1042">
      <c r="A1042" s="40" t="s">
        <v>56</v>
      </c>
      <c r="B1042" s="40" t="s">
        <v>650</v>
      </c>
      <c r="C1042" s="40">
        <v>609.0</v>
      </c>
      <c r="D1042" s="40" t="s">
        <v>1586</v>
      </c>
      <c r="E1042" s="40" t="s">
        <v>26</v>
      </c>
      <c r="F1042" s="197">
        <v>41800.0</v>
      </c>
      <c r="G1042" s="197">
        <v>42925.0</v>
      </c>
      <c r="H1042" s="197">
        <v>42925.0</v>
      </c>
      <c r="I1042" s="197">
        <v>42925.0</v>
      </c>
      <c r="J1042" s="196">
        <v>7.99</v>
      </c>
      <c r="K1042" s="196">
        <v>1.99</v>
      </c>
      <c r="L1042" s="196">
        <v>6.0</v>
      </c>
      <c r="M1042" s="40">
        <v>1.0</v>
      </c>
      <c r="N1042" s="196">
        <v>1.99</v>
      </c>
    </row>
    <row r="1043">
      <c r="A1043" s="40" t="s">
        <v>56</v>
      </c>
      <c r="B1043" s="40"/>
      <c r="C1043" s="40">
        <v>674.0</v>
      </c>
      <c r="D1043" s="40" t="s">
        <v>1587</v>
      </c>
      <c r="E1043" s="40" t="s">
        <v>26</v>
      </c>
      <c r="F1043" s="197">
        <v>41878.0</v>
      </c>
      <c r="G1043" s="197">
        <v>42700.0</v>
      </c>
      <c r="H1043" s="197">
        <v>45159.0</v>
      </c>
      <c r="I1043" s="197">
        <v>45160.0</v>
      </c>
      <c r="J1043" s="196">
        <v>24.99</v>
      </c>
      <c r="K1043" s="196">
        <v>7.99</v>
      </c>
      <c r="L1043" s="196">
        <v>17.0</v>
      </c>
      <c r="M1043" s="40">
        <v>9.0</v>
      </c>
      <c r="N1043" s="196">
        <v>0.89</v>
      </c>
    </row>
    <row r="1044">
      <c r="A1044" s="40" t="s">
        <v>56</v>
      </c>
      <c r="B1044" s="40"/>
      <c r="C1044" s="40">
        <v>637.0</v>
      </c>
      <c r="D1044" s="40" t="s">
        <v>1588</v>
      </c>
      <c r="E1044" s="40" t="s">
        <v>26</v>
      </c>
      <c r="F1044" s="197">
        <v>41976.0</v>
      </c>
      <c r="G1044" s="197">
        <v>42834.0</v>
      </c>
      <c r="H1044" s="197">
        <v>42834.0</v>
      </c>
      <c r="I1044" s="197">
        <v>43021.0</v>
      </c>
      <c r="J1044" s="196">
        <v>14.99</v>
      </c>
      <c r="K1044" s="196">
        <v>14.99</v>
      </c>
      <c r="L1044" s="196">
        <v>0.0</v>
      </c>
      <c r="M1044" s="40">
        <v>30.0</v>
      </c>
      <c r="N1044" s="196">
        <v>0.5</v>
      </c>
    </row>
    <row r="1045">
      <c r="A1045" s="40" t="s">
        <v>56</v>
      </c>
      <c r="B1045" s="40" t="s">
        <v>674</v>
      </c>
      <c r="C1045" s="40">
        <v>902.0</v>
      </c>
      <c r="D1045" s="40" t="s">
        <v>1589</v>
      </c>
      <c r="E1045" s="40" t="s">
        <v>26</v>
      </c>
      <c r="F1045" s="197">
        <v>41990.0</v>
      </c>
      <c r="G1045" s="197">
        <v>42635.0</v>
      </c>
      <c r="H1045" s="197">
        <v>42635.0</v>
      </c>
      <c r="I1045" s="197">
        <v>42635.0</v>
      </c>
      <c r="J1045" s="196">
        <v>39.99</v>
      </c>
      <c r="K1045" s="196">
        <v>5.99</v>
      </c>
      <c r="L1045" s="196">
        <v>34.0</v>
      </c>
      <c r="M1045" s="40">
        <v>1.0</v>
      </c>
      <c r="N1045" s="196">
        <v>5.99</v>
      </c>
    </row>
    <row r="1046">
      <c r="A1046" s="40" t="s">
        <v>56</v>
      </c>
      <c r="B1046" s="40"/>
      <c r="C1046" s="40">
        <v>757.0</v>
      </c>
      <c r="D1046" s="40" t="s">
        <v>1590</v>
      </c>
      <c r="E1046" s="40" t="s">
        <v>26</v>
      </c>
      <c r="F1046" s="197">
        <v>42108.0</v>
      </c>
      <c r="G1046" s="197">
        <v>44334.0</v>
      </c>
      <c r="H1046" s="197">
        <v>44334.0</v>
      </c>
      <c r="I1046" s="197">
        <v>44334.0</v>
      </c>
      <c r="J1046" s="196">
        <v>19.99</v>
      </c>
      <c r="K1046" s="196">
        <v>0.0</v>
      </c>
      <c r="L1046" s="196">
        <v>19.99</v>
      </c>
      <c r="M1046" s="40">
        <v>1.0</v>
      </c>
      <c r="N1046" s="196">
        <v>0.0</v>
      </c>
    </row>
    <row r="1047">
      <c r="A1047" s="40" t="s">
        <v>56</v>
      </c>
      <c r="B1047" s="40" t="s">
        <v>654</v>
      </c>
      <c r="C1047" s="40">
        <v>818.0</v>
      </c>
      <c r="D1047" s="40" t="s">
        <v>1591</v>
      </c>
      <c r="E1047" s="40" t="s">
        <v>26</v>
      </c>
      <c r="F1047" s="197">
        <v>42192.0</v>
      </c>
      <c r="G1047" s="197">
        <v>42754.0</v>
      </c>
      <c r="H1047" s="197">
        <v>42760.0</v>
      </c>
      <c r="I1047" s="197">
        <v>45809.0</v>
      </c>
      <c r="J1047" s="196">
        <v>34.58</v>
      </c>
      <c r="K1047" s="196">
        <v>26.58</v>
      </c>
      <c r="L1047" s="196">
        <v>8.0</v>
      </c>
      <c r="M1047" s="40">
        <v>260.0</v>
      </c>
      <c r="N1047" s="196">
        <v>0.1</v>
      </c>
    </row>
    <row r="1048">
      <c r="A1048" s="40" t="s">
        <v>56</v>
      </c>
      <c r="B1048" s="40" t="s">
        <v>696</v>
      </c>
      <c r="C1048" s="40">
        <v>539.0</v>
      </c>
      <c r="D1048" s="40" t="s">
        <v>1592</v>
      </c>
      <c r="E1048" s="40" t="s">
        <v>26</v>
      </c>
      <c r="F1048" s="197">
        <v>42314.0</v>
      </c>
      <c r="G1048" s="197">
        <v>44590.0</v>
      </c>
      <c r="H1048" s="197">
        <v>44590.0</v>
      </c>
      <c r="I1048" s="197">
        <v>44590.0</v>
      </c>
      <c r="J1048" s="196">
        <v>69.99</v>
      </c>
      <c r="K1048" s="196">
        <v>0.0</v>
      </c>
      <c r="L1048" s="196">
        <v>69.99</v>
      </c>
      <c r="M1048" s="40">
        <v>1.0</v>
      </c>
      <c r="N1048" s="196">
        <v>0.0</v>
      </c>
    </row>
    <row r="1049">
      <c r="A1049" s="40" t="s">
        <v>56</v>
      </c>
      <c r="B1049" s="40" t="s">
        <v>570</v>
      </c>
      <c r="C1049" s="40">
        <v>617.0</v>
      </c>
      <c r="D1049" s="40" t="s">
        <v>1593</v>
      </c>
      <c r="E1049" s="40" t="s">
        <v>26</v>
      </c>
      <c r="F1049" s="197">
        <v>42318.0</v>
      </c>
      <c r="G1049" s="197">
        <v>43668.0</v>
      </c>
      <c r="H1049" s="197">
        <v>44197.0</v>
      </c>
      <c r="I1049" s="197">
        <v>44208.0</v>
      </c>
      <c r="J1049" s="196">
        <v>19.99</v>
      </c>
      <c r="K1049" s="196">
        <v>12.99</v>
      </c>
      <c r="L1049" s="196">
        <v>7.0</v>
      </c>
      <c r="M1049" s="40">
        <v>56.0</v>
      </c>
      <c r="N1049" s="196">
        <v>0.23</v>
      </c>
    </row>
    <row r="1050">
      <c r="A1050" s="40" t="s">
        <v>56</v>
      </c>
      <c r="B1050" s="40"/>
      <c r="C1050" s="40">
        <v>624.0</v>
      </c>
      <c r="D1050" s="40" t="s">
        <v>1594</v>
      </c>
      <c r="E1050" s="40" t="s">
        <v>26</v>
      </c>
      <c r="F1050" s="197">
        <v>42343.0</v>
      </c>
      <c r="G1050" s="197">
        <v>42650.0</v>
      </c>
      <c r="H1050" s="197">
        <v>42828.0</v>
      </c>
      <c r="I1050" s="197">
        <v>44188.0</v>
      </c>
      <c r="J1050" s="43">
        <v>19.99</v>
      </c>
      <c r="K1050" s="43">
        <v>9.99</v>
      </c>
      <c r="L1050" s="196">
        <v>10.0</v>
      </c>
      <c r="M1050" s="40">
        <v>19.0</v>
      </c>
      <c r="N1050" s="196">
        <v>0.53</v>
      </c>
    </row>
    <row r="1051">
      <c r="A1051" s="40" t="s">
        <v>56</v>
      </c>
      <c r="B1051" s="40" t="s">
        <v>612</v>
      </c>
      <c r="C1051" s="40">
        <v>509.0</v>
      </c>
      <c r="D1051" s="40" t="s">
        <v>1595</v>
      </c>
      <c r="E1051" s="40" t="s">
        <v>26</v>
      </c>
      <c r="F1051" s="197">
        <v>42374.0</v>
      </c>
      <c r="G1051" s="197">
        <v>42754.0</v>
      </c>
      <c r="H1051" s="197">
        <v>43140.0</v>
      </c>
      <c r="I1051" s="197">
        <v>45794.0</v>
      </c>
      <c r="J1051" s="196">
        <v>19.99</v>
      </c>
      <c r="K1051" s="196">
        <v>9.99</v>
      </c>
      <c r="L1051" s="196">
        <v>10.0</v>
      </c>
      <c r="M1051" s="40">
        <v>3.0</v>
      </c>
      <c r="N1051" s="196">
        <v>3.33</v>
      </c>
    </row>
    <row r="1052">
      <c r="A1052" s="40" t="s">
        <v>56</v>
      </c>
      <c r="B1052" s="40" t="s">
        <v>691</v>
      </c>
      <c r="C1052" s="40">
        <v>930.0</v>
      </c>
      <c r="D1052" s="40" t="s">
        <v>1596</v>
      </c>
      <c r="E1052" s="40" t="s">
        <v>26</v>
      </c>
      <c r="F1052" s="197">
        <v>42395.0</v>
      </c>
      <c r="G1052" s="197">
        <v>42951.0</v>
      </c>
      <c r="H1052" s="197">
        <v>42951.0</v>
      </c>
      <c r="I1052" s="197">
        <v>42951.0</v>
      </c>
      <c r="J1052" s="196">
        <v>36.99</v>
      </c>
      <c r="K1052" s="196">
        <v>8.44</v>
      </c>
      <c r="L1052" s="196">
        <v>28.55</v>
      </c>
      <c r="M1052" s="40">
        <v>1.0</v>
      </c>
      <c r="N1052" s="196">
        <v>8.44</v>
      </c>
    </row>
    <row r="1053">
      <c r="A1053" s="40" t="s">
        <v>56</v>
      </c>
      <c r="B1053" s="40" t="s">
        <v>588</v>
      </c>
      <c r="C1053" s="40">
        <v>608.0</v>
      </c>
      <c r="D1053" s="40" t="s">
        <v>1597</v>
      </c>
      <c r="E1053" s="40" t="s">
        <v>26</v>
      </c>
      <c r="F1053" s="197">
        <v>42465.0</v>
      </c>
      <c r="G1053" s="197">
        <v>42754.0</v>
      </c>
      <c r="H1053" s="197">
        <v>42939.0</v>
      </c>
      <c r="I1053" s="197">
        <v>44432.0</v>
      </c>
      <c r="J1053" s="196">
        <v>14.99</v>
      </c>
      <c r="K1053" s="196">
        <v>7.49</v>
      </c>
      <c r="L1053" s="196">
        <v>7.5</v>
      </c>
      <c r="M1053" s="40">
        <v>17.0</v>
      </c>
      <c r="N1053" s="196">
        <v>0.44</v>
      </c>
    </row>
    <row r="1054">
      <c r="A1054" s="40" t="s">
        <v>56</v>
      </c>
      <c r="B1054" s="40"/>
      <c r="C1054" s="40">
        <v>805.0</v>
      </c>
      <c r="D1054" s="40" t="s">
        <v>1598</v>
      </c>
      <c r="E1054" s="40" t="s">
        <v>26</v>
      </c>
      <c r="F1054" s="197">
        <v>42480.0</v>
      </c>
      <c r="G1054" s="197">
        <v>43091.0</v>
      </c>
      <c r="H1054" s="197">
        <v>43092.0</v>
      </c>
      <c r="I1054" s="197">
        <v>44135.0</v>
      </c>
      <c r="J1054" s="196">
        <v>39.99</v>
      </c>
      <c r="K1054" s="196">
        <v>16.49</v>
      </c>
      <c r="L1054" s="196">
        <v>23.5</v>
      </c>
      <c r="M1054" s="40">
        <v>28.0</v>
      </c>
      <c r="N1054" s="196">
        <v>0.59</v>
      </c>
    </row>
    <row r="1055">
      <c r="A1055" s="40" t="s">
        <v>56</v>
      </c>
      <c r="B1055" s="40"/>
      <c r="C1055" s="40">
        <v>834.0</v>
      </c>
      <c r="D1055" s="40" t="s">
        <v>1599</v>
      </c>
      <c r="E1055" s="40" t="s">
        <v>26</v>
      </c>
      <c r="F1055" s="197">
        <v>42480.0</v>
      </c>
      <c r="G1055" s="197">
        <v>43275.0</v>
      </c>
      <c r="H1055" s="197">
        <v>43280.0</v>
      </c>
      <c r="I1055" s="197">
        <v>43282.0</v>
      </c>
      <c r="J1055" s="196">
        <v>19.99</v>
      </c>
      <c r="K1055" s="196">
        <v>19.99</v>
      </c>
      <c r="L1055" s="196">
        <v>0.0</v>
      </c>
      <c r="M1055" s="40">
        <v>15.0</v>
      </c>
      <c r="N1055" s="196">
        <v>1.33</v>
      </c>
    </row>
    <row r="1056">
      <c r="A1056" s="40" t="s">
        <v>56</v>
      </c>
      <c r="B1056" s="40"/>
      <c r="C1056" s="40">
        <v>952.0</v>
      </c>
      <c r="D1056" s="40" t="s">
        <v>1600</v>
      </c>
      <c r="E1056" s="40" t="s">
        <v>26</v>
      </c>
      <c r="F1056" s="197">
        <v>42500.0</v>
      </c>
      <c r="G1056" s="197">
        <v>42615.0</v>
      </c>
      <c r="H1056" s="197">
        <v>42615.0</v>
      </c>
      <c r="I1056" s="197">
        <v>45152.0</v>
      </c>
      <c r="J1056" s="196">
        <v>69.99</v>
      </c>
      <c r="K1056" s="196">
        <v>22.99</v>
      </c>
      <c r="L1056" s="196">
        <v>47.0</v>
      </c>
      <c r="M1056" s="40">
        <v>75.0</v>
      </c>
      <c r="N1056" s="196">
        <v>0.31</v>
      </c>
    </row>
    <row r="1057">
      <c r="A1057" s="40" t="s">
        <v>56</v>
      </c>
      <c r="B1057" s="40" t="s">
        <v>639</v>
      </c>
      <c r="C1057" s="40">
        <v>785.0</v>
      </c>
      <c r="D1057" s="43" t="s">
        <v>1601</v>
      </c>
      <c r="E1057" s="43" t="s">
        <v>26</v>
      </c>
      <c r="F1057" s="197">
        <v>42521.0</v>
      </c>
      <c r="G1057" s="197">
        <v>42954.0</v>
      </c>
      <c r="H1057" s="197">
        <v>44856.0</v>
      </c>
      <c r="I1057" s="197">
        <v>44858.0</v>
      </c>
      <c r="J1057" s="196">
        <v>9.99</v>
      </c>
      <c r="K1057" s="196">
        <v>4.99</v>
      </c>
      <c r="L1057" s="196">
        <v>5.0</v>
      </c>
      <c r="M1057" s="40">
        <v>15.0</v>
      </c>
      <c r="N1057" s="196">
        <v>0.33</v>
      </c>
    </row>
    <row r="1058">
      <c r="A1058" s="40" t="s">
        <v>56</v>
      </c>
      <c r="B1058" s="40" t="s">
        <v>599</v>
      </c>
      <c r="C1058" s="40">
        <v>642.0</v>
      </c>
      <c r="D1058" s="40" t="s">
        <v>1602</v>
      </c>
      <c r="E1058" s="40" t="s">
        <v>26</v>
      </c>
      <c r="F1058" s="197">
        <v>42566.0</v>
      </c>
      <c r="G1058" s="197">
        <v>43275.0</v>
      </c>
      <c r="H1058" s="197">
        <v>43407.0</v>
      </c>
      <c r="I1058" s="197">
        <v>44842.0</v>
      </c>
      <c r="J1058" s="196">
        <v>29.99</v>
      </c>
      <c r="K1058" s="196">
        <v>7.99</v>
      </c>
      <c r="L1058" s="196">
        <v>22.0</v>
      </c>
      <c r="M1058" s="40">
        <v>9.0</v>
      </c>
      <c r="N1058" s="196">
        <v>0.89</v>
      </c>
    </row>
    <row r="1059">
      <c r="A1059" s="40" t="s">
        <v>56</v>
      </c>
      <c r="B1059" s="40" t="s">
        <v>703</v>
      </c>
      <c r="C1059" s="40">
        <v>815.0</v>
      </c>
      <c r="D1059" s="40" t="s">
        <v>1603</v>
      </c>
      <c r="E1059" s="40" t="s">
        <v>26</v>
      </c>
      <c r="F1059" s="197">
        <v>42577.0</v>
      </c>
      <c r="G1059" s="197">
        <v>42951.0</v>
      </c>
      <c r="H1059" s="197">
        <v>43450.0</v>
      </c>
      <c r="I1059" s="197">
        <v>45306.0</v>
      </c>
      <c r="J1059" s="196">
        <v>9.99</v>
      </c>
      <c r="K1059" s="196">
        <v>3.99</v>
      </c>
      <c r="L1059" s="196">
        <v>6.0</v>
      </c>
      <c r="M1059" s="40">
        <v>18.0</v>
      </c>
      <c r="N1059" s="196">
        <v>0.22</v>
      </c>
    </row>
    <row r="1060">
      <c r="A1060" s="40" t="s">
        <v>56</v>
      </c>
      <c r="B1060" s="40" t="s">
        <v>594</v>
      </c>
      <c r="C1060" s="40">
        <v>574.0</v>
      </c>
      <c r="D1060" s="40" t="s">
        <v>1604</v>
      </c>
      <c r="E1060" s="40" t="s">
        <v>26</v>
      </c>
      <c r="F1060" s="197">
        <v>42583.0</v>
      </c>
      <c r="G1060" s="197">
        <v>42750.0</v>
      </c>
      <c r="H1060" s="197">
        <v>42851.0</v>
      </c>
      <c r="I1060" s="197">
        <v>45412.0</v>
      </c>
      <c r="J1060" s="196">
        <v>4.99</v>
      </c>
      <c r="K1060" s="196">
        <v>2.99</v>
      </c>
      <c r="L1060" s="196">
        <v>2.0</v>
      </c>
      <c r="M1060" s="40">
        <v>1.0</v>
      </c>
      <c r="N1060" s="196">
        <v>2.99</v>
      </c>
    </row>
    <row r="1061">
      <c r="A1061" s="40" t="s">
        <v>56</v>
      </c>
      <c r="B1061" s="40"/>
      <c r="C1061" s="40">
        <v>521.0</v>
      </c>
      <c r="D1061" s="40" t="s">
        <v>1605</v>
      </c>
      <c r="E1061" s="40" t="s">
        <v>26</v>
      </c>
      <c r="F1061" s="197">
        <v>42584.0</v>
      </c>
      <c r="G1061" s="197">
        <v>42700.0</v>
      </c>
      <c r="H1061" s="197">
        <v>42715.0</v>
      </c>
      <c r="I1061" s="197">
        <v>42822.0</v>
      </c>
      <c r="J1061" s="196">
        <v>19.99</v>
      </c>
      <c r="K1061" s="196">
        <v>19.99</v>
      </c>
      <c r="L1061" s="196">
        <v>0.0</v>
      </c>
      <c r="M1061" s="40">
        <v>21.0</v>
      </c>
      <c r="N1061" s="196">
        <v>0.95</v>
      </c>
    </row>
    <row r="1062">
      <c r="A1062" s="40" t="s">
        <v>56</v>
      </c>
      <c r="B1062" s="40" t="s">
        <v>606</v>
      </c>
      <c r="C1062" s="40">
        <v>503.0</v>
      </c>
      <c r="D1062" s="40" t="s">
        <v>1606</v>
      </c>
      <c r="E1062" s="40" t="s">
        <v>26</v>
      </c>
      <c r="F1062" s="197">
        <v>42584.0</v>
      </c>
      <c r="G1062" s="197">
        <v>44432.0</v>
      </c>
      <c r="H1062" s="197">
        <v>44432.0</v>
      </c>
      <c r="I1062" s="197">
        <v>44432.0</v>
      </c>
      <c r="J1062" s="196">
        <v>19.99</v>
      </c>
      <c r="K1062" s="196">
        <v>0.0</v>
      </c>
      <c r="L1062" s="196">
        <v>19.99</v>
      </c>
      <c r="M1062" s="40">
        <v>2.0</v>
      </c>
      <c r="N1062" s="196">
        <v>0.0</v>
      </c>
    </row>
    <row r="1063">
      <c r="A1063" s="40" t="s">
        <v>56</v>
      </c>
      <c r="B1063" s="40" t="s">
        <v>649</v>
      </c>
      <c r="C1063" s="40">
        <v>513.0</v>
      </c>
      <c r="D1063" s="40" t="s">
        <v>1607</v>
      </c>
      <c r="E1063" s="40" t="s">
        <v>26</v>
      </c>
      <c r="F1063" s="197">
        <v>42605.0</v>
      </c>
      <c r="G1063" s="197">
        <v>44180.0</v>
      </c>
      <c r="H1063" s="197">
        <v>44180.0</v>
      </c>
      <c r="I1063" s="197">
        <v>44180.0</v>
      </c>
      <c r="J1063" s="196">
        <v>9.99</v>
      </c>
      <c r="K1063" s="196">
        <v>1.99</v>
      </c>
      <c r="L1063" s="196">
        <v>8.0</v>
      </c>
      <c r="M1063" s="40">
        <v>2.0</v>
      </c>
      <c r="N1063" s="196">
        <v>1.0</v>
      </c>
    </row>
    <row r="1064">
      <c r="A1064" s="40" t="s">
        <v>56</v>
      </c>
      <c r="B1064" s="40"/>
      <c r="C1064" s="40">
        <v>976.0</v>
      </c>
      <c r="D1064" s="40" t="s">
        <v>1608</v>
      </c>
      <c r="E1064" s="40" t="s">
        <v>26</v>
      </c>
      <c r="F1064" s="197">
        <v>42643.0</v>
      </c>
      <c r="G1064" s="197">
        <v>44063.0</v>
      </c>
      <c r="H1064" s="197">
        <v>44063.0</v>
      </c>
      <c r="I1064" s="197">
        <v>44063.0</v>
      </c>
      <c r="J1064" s="196">
        <v>49.99</v>
      </c>
      <c r="K1064" s="196">
        <v>12.49</v>
      </c>
      <c r="L1064" s="196">
        <v>37.5</v>
      </c>
      <c r="M1064" s="40">
        <v>1.0</v>
      </c>
      <c r="N1064" s="196">
        <v>12.49</v>
      </c>
    </row>
    <row r="1065">
      <c r="A1065" s="40" t="s">
        <v>56</v>
      </c>
      <c r="B1065" s="40" t="s">
        <v>610</v>
      </c>
      <c r="C1065" s="40">
        <v>720.0</v>
      </c>
      <c r="D1065" s="40" t="s">
        <v>1609</v>
      </c>
      <c r="E1065" s="40" t="s">
        <v>26</v>
      </c>
      <c r="F1065" s="197">
        <v>42650.0</v>
      </c>
      <c r="G1065" s="197">
        <v>43937.0</v>
      </c>
      <c r="H1065" s="197">
        <v>43937.0</v>
      </c>
      <c r="I1065" s="197">
        <v>43937.0</v>
      </c>
      <c r="J1065" s="196">
        <v>39.99</v>
      </c>
      <c r="K1065" s="196">
        <v>9.99</v>
      </c>
      <c r="L1065" s="196">
        <v>30.0</v>
      </c>
      <c r="M1065" s="40">
        <v>1.0</v>
      </c>
      <c r="N1065" s="196">
        <v>9.99</v>
      </c>
    </row>
    <row r="1066">
      <c r="A1066" s="40" t="s">
        <v>56</v>
      </c>
      <c r="B1066" s="40"/>
      <c r="C1066" s="40">
        <v>816.0</v>
      </c>
      <c r="D1066" s="40" t="s">
        <v>1610</v>
      </c>
      <c r="E1066" s="40" t="s">
        <v>26</v>
      </c>
      <c r="F1066" s="197">
        <v>42654.0</v>
      </c>
      <c r="G1066" s="197">
        <v>43275.0</v>
      </c>
      <c r="H1066" s="197">
        <v>43278.0</v>
      </c>
      <c r="I1066" s="197">
        <v>45264.0</v>
      </c>
      <c r="J1066" s="196">
        <v>29.99</v>
      </c>
      <c r="K1066" s="196">
        <v>14.99</v>
      </c>
      <c r="L1066" s="196">
        <v>15.0</v>
      </c>
      <c r="M1066" s="40">
        <v>52.0</v>
      </c>
      <c r="N1066" s="196">
        <v>0.29</v>
      </c>
    </row>
    <row r="1067">
      <c r="A1067" s="45" t="s">
        <v>56</v>
      </c>
      <c r="B1067" s="45" t="s">
        <v>578</v>
      </c>
      <c r="C1067" s="45">
        <v>858.0</v>
      </c>
      <c r="D1067" s="45" t="s">
        <v>1611</v>
      </c>
      <c r="E1067" s="45" t="s">
        <v>26</v>
      </c>
      <c r="F1067" s="46">
        <v>42717.0</v>
      </c>
      <c r="G1067" s="46">
        <v>42950.0</v>
      </c>
      <c r="H1067" s="46">
        <v>44151.0</v>
      </c>
      <c r="I1067" s="46">
        <v>46012.0</v>
      </c>
      <c r="J1067" s="47">
        <v>14.99</v>
      </c>
      <c r="K1067" s="47">
        <v>7.99</v>
      </c>
      <c r="L1067" s="47">
        <v>7.0</v>
      </c>
      <c r="M1067" s="45">
        <v>147.0</v>
      </c>
      <c r="N1067" s="47">
        <v>0.05435374149659864</v>
      </c>
    </row>
    <row r="1068">
      <c r="A1068" s="40" t="s">
        <v>56</v>
      </c>
      <c r="B1068" s="40"/>
      <c r="C1068" s="40">
        <v>927.0</v>
      </c>
      <c r="D1068" s="40" t="s">
        <v>1612</v>
      </c>
      <c r="E1068" s="40" t="s">
        <v>26</v>
      </c>
      <c r="F1068" s="197">
        <v>42724.0</v>
      </c>
      <c r="G1068" s="197">
        <v>43377.0</v>
      </c>
      <c r="H1068" s="197">
        <v>44842.0</v>
      </c>
      <c r="I1068" s="197">
        <v>44845.0</v>
      </c>
      <c r="J1068" s="196">
        <v>29.99</v>
      </c>
      <c r="K1068" s="196">
        <v>29.99</v>
      </c>
      <c r="L1068" s="196">
        <v>0.0</v>
      </c>
      <c r="M1068" s="40">
        <v>6.0</v>
      </c>
      <c r="N1068" s="196">
        <v>5.0</v>
      </c>
    </row>
    <row r="1069">
      <c r="A1069" s="40" t="s">
        <v>56</v>
      </c>
      <c r="B1069" s="40" t="s">
        <v>689</v>
      </c>
      <c r="C1069" s="40">
        <v>913.0</v>
      </c>
      <c r="D1069" s="40" t="s">
        <v>1613</v>
      </c>
      <c r="E1069" s="40" t="s">
        <v>26</v>
      </c>
      <c r="F1069" s="197">
        <v>42752.0</v>
      </c>
      <c r="G1069" s="197">
        <v>43964.0</v>
      </c>
      <c r="H1069" s="197">
        <v>44039.0</v>
      </c>
      <c r="I1069" s="197">
        <v>44041.0</v>
      </c>
      <c r="J1069" s="196">
        <v>14.99</v>
      </c>
      <c r="K1069" s="196">
        <v>4.49</v>
      </c>
      <c r="L1069" s="196">
        <v>10.5</v>
      </c>
      <c r="M1069" s="40">
        <v>9.0</v>
      </c>
      <c r="N1069" s="196">
        <v>0.5</v>
      </c>
    </row>
    <row r="1070">
      <c r="A1070" s="40" t="s">
        <v>56</v>
      </c>
      <c r="B1070" s="40"/>
      <c r="C1070" s="40">
        <v>725.0</v>
      </c>
      <c r="D1070" s="40" t="s">
        <v>1614</v>
      </c>
      <c r="E1070" s="40" t="s">
        <v>26</v>
      </c>
      <c r="F1070" s="197">
        <v>42843.0</v>
      </c>
      <c r="G1070" s="197">
        <v>42969.0</v>
      </c>
      <c r="H1070" s="197">
        <v>42994.0</v>
      </c>
      <c r="I1070" s="197">
        <v>44395.0</v>
      </c>
      <c r="J1070" s="196">
        <v>14.99</v>
      </c>
      <c r="K1070" s="196">
        <v>14.99</v>
      </c>
      <c r="L1070" s="196">
        <v>0.0</v>
      </c>
      <c r="M1070" s="40">
        <v>9.0</v>
      </c>
      <c r="N1070" s="196">
        <v>1.67</v>
      </c>
    </row>
    <row r="1071">
      <c r="A1071" s="40" t="s">
        <v>56</v>
      </c>
      <c r="B1071" s="40"/>
      <c r="C1071" s="40">
        <v>676.0</v>
      </c>
      <c r="D1071" s="40" t="s">
        <v>1615</v>
      </c>
      <c r="E1071" s="40" t="s">
        <v>26</v>
      </c>
      <c r="F1071" s="197">
        <v>42874.0</v>
      </c>
      <c r="G1071" s="197">
        <v>44839.0</v>
      </c>
      <c r="H1071" s="197">
        <v>44839.0</v>
      </c>
      <c r="I1071" s="197">
        <v>44839.0</v>
      </c>
      <c r="J1071" s="196">
        <v>19.99</v>
      </c>
      <c r="K1071" s="196">
        <v>0.0</v>
      </c>
      <c r="L1071" s="196">
        <v>19.99</v>
      </c>
      <c r="M1071" s="40">
        <v>1.0</v>
      </c>
      <c r="N1071" s="196">
        <v>0.0</v>
      </c>
    </row>
    <row r="1072">
      <c r="A1072" s="40" t="s">
        <v>56</v>
      </c>
      <c r="B1072" s="40" t="s">
        <v>705</v>
      </c>
      <c r="C1072" s="40">
        <v>557.0</v>
      </c>
      <c r="D1072" s="40" t="s">
        <v>1616</v>
      </c>
      <c r="E1072" s="40" t="s">
        <v>26</v>
      </c>
      <c r="F1072" s="197">
        <v>42916.0</v>
      </c>
      <c r="G1072" s="197">
        <v>42799.0</v>
      </c>
      <c r="H1072" s="197">
        <v>42916.0</v>
      </c>
      <c r="I1072" s="197">
        <v>44127.0</v>
      </c>
      <c r="J1072" s="196">
        <v>13.33</v>
      </c>
      <c r="K1072" s="196">
        <v>13.33</v>
      </c>
      <c r="L1072" s="196">
        <v>0.0</v>
      </c>
      <c r="M1072" s="40">
        <v>14.0</v>
      </c>
      <c r="N1072" s="196">
        <v>0.95</v>
      </c>
    </row>
    <row r="1073">
      <c r="A1073" s="40" t="s">
        <v>56</v>
      </c>
      <c r="B1073" s="40"/>
      <c r="C1073" s="40">
        <v>558.0</v>
      </c>
      <c r="D1073" s="40" t="s">
        <v>1617</v>
      </c>
      <c r="E1073" s="40" t="s">
        <v>26</v>
      </c>
      <c r="F1073" s="197">
        <v>42916.0</v>
      </c>
      <c r="G1073" s="197">
        <v>42799.0</v>
      </c>
      <c r="H1073" s="197">
        <v>42919.0</v>
      </c>
      <c r="I1073" s="197">
        <v>44123.0</v>
      </c>
      <c r="J1073" s="196">
        <v>13.33</v>
      </c>
      <c r="K1073" s="196">
        <v>13.33</v>
      </c>
      <c r="L1073" s="196">
        <v>0.0</v>
      </c>
      <c r="M1073" s="40">
        <v>14.0</v>
      </c>
      <c r="N1073" s="196">
        <v>0.95</v>
      </c>
    </row>
    <row r="1074">
      <c r="A1074" s="40" t="s">
        <v>56</v>
      </c>
      <c r="B1074" s="40"/>
      <c r="C1074" s="40">
        <v>559.0</v>
      </c>
      <c r="D1074" s="40" t="s">
        <v>1618</v>
      </c>
      <c r="E1074" s="40" t="s">
        <v>26</v>
      </c>
      <c r="F1074" s="197">
        <v>42916.0</v>
      </c>
      <c r="G1074" s="197">
        <v>42799.0</v>
      </c>
      <c r="H1074" s="197">
        <v>42920.0</v>
      </c>
      <c r="I1074" s="197">
        <v>44116.0</v>
      </c>
      <c r="J1074" s="196">
        <v>13.33</v>
      </c>
      <c r="K1074" s="196">
        <v>13.33</v>
      </c>
      <c r="L1074" s="196">
        <v>0.0</v>
      </c>
      <c r="M1074" s="40">
        <v>13.0</v>
      </c>
      <c r="N1074" s="196">
        <v>1.03</v>
      </c>
    </row>
    <row r="1075">
      <c r="A1075" s="40" t="s">
        <v>56</v>
      </c>
      <c r="B1075" s="40" t="s">
        <v>635</v>
      </c>
      <c r="C1075" s="40">
        <v>518.0</v>
      </c>
      <c r="D1075" s="40" t="s">
        <v>1619</v>
      </c>
      <c r="E1075" s="40" t="s">
        <v>26</v>
      </c>
      <c r="F1075" s="197">
        <v>42941.0</v>
      </c>
      <c r="G1075" s="197">
        <v>43903.0</v>
      </c>
      <c r="H1075" s="197">
        <v>43903.0</v>
      </c>
      <c r="I1075" s="197">
        <v>43903.0</v>
      </c>
      <c r="J1075" s="196">
        <v>29.99</v>
      </c>
      <c r="K1075" s="196">
        <v>14.99</v>
      </c>
      <c r="L1075" s="196">
        <v>15.0</v>
      </c>
      <c r="M1075" s="40">
        <v>2.0</v>
      </c>
      <c r="N1075" s="196">
        <v>7.5</v>
      </c>
    </row>
    <row r="1076">
      <c r="A1076" s="40" t="s">
        <v>56</v>
      </c>
      <c r="B1076" s="40" t="s">
        <v>596</v>
      </c>
      <c r="C1076" s="40">
        <v>636.0</v>
      </c>
      <c r="D1076" s="40" t="s">
        <v>1620</v>
      </c>
      <c r="E1076" s="40" t="s">
        <v>26</v>
      </c>
      <c r="F1076" s="197">
        <v>42941.0</v>
      </c>
      <c r="G1076" s="197">
        <v>43265.0</v>
      </c>
      <c r="H1076" s="197">
        <v>43265.0</v>
      </c>
      <c r="I1076" s="197">
        <v>43265.0</v>
      </c>
      <c r="J1076" s="196">
        <v>0.0</v>
      </c>
      <c r="K1076" s="196">
        <v>0.0</v>
      </c>
      <c r="L1076" s="196">
        <v>0.0</v>
      </c>
      <c r="M1076" s="40">
        <v>1.0</v>
      </c>
      <c r="N1076" s="196">
        <v>0.0</v>
      </c>
    </row>
    <row r="1077">
      <c r="A1077" s="40" t="s">
        <v>56</v>
      </c>
      <c r="B1077" s="40"/>
      <c r="C1077" s="40">
        <v>522.0</v>
      </c>
      <c r="D1077" s="40" t="s">
        <v>1621</v>
      </c>
      <c r="E1077" s="40" t="s">
        <v>26</v>
      </c>
      <c r="F1077" s="197">
        <v>42955.0</v>
      </c>
      <c r="G1077" s="197">
        <v>43421.0</v>
      </c>
      <c r="H1077" s="197">
        <v>43460.0</v>
      </c>
      <c r="I1077" s="197">
        <v>44033.0</v>
      </c>
      <c r="J1077" s="196">
        <v>14.99</v>
      </c>
      <c r="K1077" s="196">
        <v>14.99</v>
      </c>
      <c r="L1077" s="196">
        <v>0.0</v>
      </c>
      <c r="M1077" s="40">
        <v>10.0</v>
      </c>
      <c r="N1077" s="196">
        <v>1.5</v>
      </c>
    </row>
    <row r="1078">
      <c r="A1078" s="40" t="s">
        <v>56</v>
      </c>
      <c r="B1078" s="40"/>
      <c r="C1078" s="40">
        <v>953.0</v>
      </c>
      <c r="D1078" s="40" t="s">
        <v>1622</v>
      </c>
      <c r="E1078" s="40" t="s">
        <v>26</v>
      </c>
      <c r="F1078" s="197">
        <v>42970.0</v>
      </c>
      <c r="G1078" s="197">
        <v>43377.0</v>
      </c>
      <c r="H1078" s="197">
        <v>43379.0</v>
      </c>
      <c r="I1078" s="197">
        <v>45650.0</v>
      </c>
      <c r="J1078" s="196">
        <v>19.99</v>
      </c>
      <c r="K1078" s="196">
        <v>17.99</v>
      </c>
      <c r="L1078" s="196">
        <v>2.0</v>
      </c>
      <c r="M1078" s="40">
        <v>40.0</v>
      </c>
      <c r="N1078" s="196">
        <v>0.45</v>
      </c>
    </row>
    <row r="1079">
      <c r="A1079" s="40" t="s">
        <v>56</v>
      </c>
      <c r="B1079" s="40" t="s">
        <v>678</v>
      </c>
      <c r="C1079" s="40">
        <v>511.0</v>
      </c>
      <c r="D1079" s="40" t="s">
        <v>1623</v>
      </c>
      <c r="E1079" s="40" t="s">
        <v>26</v>
      </c>
      <c r="F1079" s="197">
        <v>42976.0</v>
      </c>
      <c r="G1079" s="197">
        <v>44621.0</v>
      </c>
      <c r="H1079" s="197">
        <v>44621.0</v>
      </c>
      <c r="I1079" s="197">
        <v>44621.0</v>
      </c>
      <c r="J1079" s="196">
        <v>29.99</v>
      </c>
      <c r="K1079" s="196">
        <v>0.0</v>
      </c>
      <c r="L1079" s="196">
        <v>29.99</v>
      </c>
      <c r="M1079" s="40">
        <v>1.0</v>
      </c>
      <c r="N1079" s="196">
        <v>0.0</v>
      </c>
    </row>
    <row r="1080">
      <c r="A1080" s="40" t="s">
        <v>56</v>
      </c>
      <c r="B1080" s="40" t="s">
        <v>573</v>
      </c>
      <c r="C1080" s="40">
        <v>582.0</v>
      </c>
      <c r="D1080" s="40" t="s">
        <v>1624</v>
      </c>
      <c r="E1080" s="40" t="s">
        <v>26</v>
      </c>
      <c r="F1080" s="197">
        <v>42984.0</v>
      </c>
      <c r="G1080" s="197">
        <v>44964.0</v>
      </c>
      <c r="H1080" s="197">
        <v>44964.0</v>
      </c>
      <c r="I1080" s="197">
        <v>44964.0</v>
      </c>
      <c r="J1080" s="196">
        <v>59.98</v>
      </c>
      <c r="K1080" s="196">
        <v>0.0</v>
      </c>
      <c r="L1080" s="196">
        <v>59.98</v>
      </c>
      <c r="M1080" s="40">
        <v>1.0</v>
      </c>
      <c r="N1080" s="196">
        <v>0.0</v>
      </c>
    </row>
    <row r="1081">
      <c r="A1081" s="40" t="s">
        <v>56</v>
      </c>
      <c r="B1081" s="40" t="s">
        <v>699</v>
      </c>
      <c r="C1081" s="40">
        <v>848.0</v>
      </c>
      <c r="D1081" s="40" t="s">
        <v>1625</v>
      </c>
      <c r="E1081" s="40" t="s">
        <v>26</v>
      </c>
      <c r="F1081" s="197">
        <v>43025.0</v>
      </c>
      <c r="G1081" s="197">
        <v>43081.0</v>
      </c>
      <c r="H1081" s="197">
        <v>43084.0</v>
      </c>
      <c r="I1081" s="197">
        <v>44118.0</v>
      </c>
      <c r="J1081" s="196">
        <v>96.94</v>
      </c>
      <c r="K1081" s="196">
        <v>57.94</v>
      </c>
      <c r="L1081" s="196">
        <v>39.0</v>
      </c>
      <c r="M1081" s="40">
        <v>71.0</v>
      </c>
      <c r="N1081" s="196">
        <v>0.82</v>
      </c>
    </row>
    <row r="1082">
      <c r="A1082" s="40" t="s">
        <v>56</v>
      </c>
      <c r="B1082" s="40"/>
      <c r="C1082" s="40">
        <v>922.0</v>
      </c>
      <c r="D1082" s="40" t="s">
        <v>1626</v>
      </c>
      <c r="E1082" s="40" t="s">
        <v>26</v>
      </c>
      <c r="F1082" s="197">
        <v>43056.0</v>
      </c>
      <c r="G1082" s="197">
        <v>43077.0</v>
      </c>
      <c r="H1082" s="197">
        <v>43305.0</v>
      </c>
      <c r="I1082" s="197">
        <v>43305.0</v>
      </c>
      <c r="J1082" s="196">
        <v>869.61</v>
      </c>
      <c r="K1082" s="196">
        <v>682.41</v>
      </c>
      <c r="L1082" s="196">
        <v>187.2</v>
      </c>
      <c r="M1082" s="40">
        <v>18.0</v>
      </c>
      <c r="N1082" s="196">
        <v>37.91</v>
      </c>
    </row>
    <row r="1083">
      <c r="A1083" s="40" t="s">
        <v>56</v>
      </c>
      <c r="B1083" s="40"/>
      <c r="C1083" s="40">
        <v>644.0</v>
      </c>
      <c r="D1083" s="40" t="s">
        <v>1627</v>
      </c>
      <c r="E1083" s="40" t="s">
        <v>26</v>
      </c>
      <c r="F1083" s="197">
        <v>43210.0</v>
      </c>
      <c r="G1083" s="197">
        <v>44334.0</v>
      </c>
      <c r="H1083" s="197">
        <v>44395.0</v>
      </c>
      <c r="I1083" s="197">
        <v>44406.0</v>
      </c>
      <c r="J1083" s="196">
        <v>19.99</v>
      </c>
      <c r="K1083" s="196">
        <v>0.0</v>
      </c>
      <c r="L1083" s="196">
        <v>19.99</v>
      </c>
      <c r="M1083" s="40">
        <v>44.0</v>
      </c>
      <c r="N1083" s="196">
        <v>0.0</v>
      </c>
    </row>
    <row r="1084">
      <c r="A1084" s="40" t="s">
        <v>56</v>
      </c>
      <c r="B1084" s="40"/>
      <c r="C1084" s="40">
        <v>618.0</v>
      </c>
      <c r="D1084" s="40" t="s">
        <v>1628</v>
      </c>
      <c r="E1084" s="40" t="s">
        <v>26</v>
      </c>
      <c r="F1084" s="197">
        <v>43261.0</v>
      </c>
      <c r="G1084" s="197">
        <v>45423.0</v>
      </c>
      <c r="H1084" s="197">
        <v>45423.0</v>
      </c>
      <c r="I1084" s="197">
        <v>45423.0</v>
      </c>
      <c r="J1084" s="196">
        <v>6.96</v>
      </c>
      <c r="K1084" s="196">
        <v>0.0</v>
      </c>
      <c r="L1084" s="196">
        <v>6.96</v>
      </c>
      <c r="M1084" s="40">
        <v>1.0</v>
      </c>
      <c r="N1084" s="196">
        <v>0.0</v>
      </c>
    </row>
    <row r="1085">
      <c r="A1085" s="40" t="s">
        <v>56</v>
      </c>
      <c r="B1085" s="40"/>
      <c r="C1085" s="40">
        <v>928.0</v>
      </c>
      <c r="D1085" s="40" t="s">
        <v>1629</v>
      </c>
      <c r="E1085" s="40" t="s">
        <v>26</v>
      </c>
      <c r="F1085" s="197">
        <v>43326.0</v>
      </c>
      <c r="G1085" s="197">
        <v>43824.0</v>
      </c>
      <c r="H1085" s="197">
        <v>44847.0</v>
      </c>
      <c r="I1085" s="197">
        <v>44850.0</v>
      </c>
      <c r="J1085" s="196">
        <v>23.99</v>
      </c>
      <c r="K1085" s="196">
        <v>23.99</v>
      </c>
      <c r="L1085" s="196">
        <v>0.0</v>
      </c>
      <c r="M1085" s="40">
        <v>20.0</v>
      </c>
      <c r="N1085" s="196">
        <v>1.2</v>
      </c>
    </row>
    <row r="1086">
      <c r="A1086" s="40" t="s">
        <v>56</v>
      </c>
      <c r="B1086" s="40" t="s">
        <v>568</v>
      </c>
      <c r="C1086" s="40">
        <v>593.0</v>
      </c>
      <c r="D1086" s="40" t="s">
        <v>1630</v>
      </c>
      <c r="E1086" s="40" t="s">
        <v>26</v>
      </c>
      <c r="F1086" s="197">
        <v>43340.0</v>
      </c>
      <c r="G1086" s="197">
        <v>43856.0</v>
      </c>
      <c r="H1086" s="197">
        <v>43857.0</v>
      </c>
      <c r="I1086" s="197">
        <v>44385.0</v>
      </c>
      <c r="J1086" s="196">
        <v>12.99</v>
      </c>
      <c r="K1086" s="196">
        <v>6.49</v>
      </c>
      <c r="L1086" s="196">
        <v>6.5</v>
      </c>
      <c r="M1086" s="40">
        <v>6.0</v>
      </c>
      <c r="N1086" s="196">
        <v>1.08</v>
      </c>
    </row>
    <row r="1087">
      <c r="A1087" s="40" t="s">
        <v>56</v>
      </c>
      <c r="B1087" s="40"/>
      <c r="C1087" s="40">
        <v>726.0</v>
      </c>
      <c r="D1087" s="40" t="s">
        <v>1631</v>
      </c>
      <c r="E1087" s="40" t="s">
        <v>26</v>
      </c>
      <c r="F1087" s="197">
        <v>43350.0</v>
      </c>
      <c r="G1087" s="197">
        <v>43306.0</v>
      </c>
      <c r="H1087" s="197">
        <v>43350.0</v>
      </c>
      <c r="I1087" s="197">
        <v>43479.0</v>
      </c>
      <c r="J1087" s="196">
        <v>79.99</v>
      </c>
      <c r="K1087" s="196">
        <v>0.0</v>
      </c>
      <c r="L1087" s="196">
        <v>79.99</v>
      </c>
      <c r="M1087" s="40">
        <v>82.0</v>
      </c>
      <c r="N1087" s="196">
        <v>0.0</v>
      </c>
    </row>
    <row r="1088">
      <c r="A1088" s="40" t="s">
        <v>56</v>
      </c>
      <c r="B1088" s="40" t="s">
        <v>564</v>
      </c>
      <c r="C1088" s="40">
        <v>828.0</v>
      </c>
      <c r="D1088" s="40" t="s">
        <v>1632</v>
      </c>
      <c r="E1088" s="40" t="s">
        <v>26</v>
      </c>
      <c r="F1088" s="197">
        <v>43361.0</v>
      </c>
      <c r="G1088" s="197">
        <v>43912.0</v>
      </c>
      <c r="H1088" s="197">
        <v>43923.0</v>
      </c>
      <c r="I1088" s="197">
        <v>43923.0</v>
      </c>
      <c r="J1088" s="196">
        <v>14.99</v>
      </c>
      <c r="K1088" s="196">
        <v>4.99</v>
      </c>
      <c r="L1088" s="196">
        <v>10.0</v>
      </c>
      <c r="M1088" s="40">
        <v>2.0</v>
      </c>
      <c r="N1088" s="196">
        <v>2.5</v>
      </c>
    </row>
    <row r="1089">
      <c r="A1089" s="40" t="s">
        <v>56</v>
      </c>
      <c r="B1089" s="40"/>
      <c r="C1089" s="40">
        <v>829.0</v>
      </c>
      <c r="D1089" s="43" t="s">
        <v>1633</v>
      </c>
      <c r="E1089" s="43" t="s">
        <v>26</v>
      </c>
      <c r="F1089" s="197">
        <v>43361.0</v>
      </c>
      <c r="G1089" s="197">
        <v>43912.0</v>
      </c>
      <c r="H1089" s="197">
        <v>43923.0</v>
      </c>
      <c r="I1089" s="197">
        <v>43923.0</v>
      </c>
      <c r="J1089" s="196">
        <v>14.99</v>
      </c>
      <c r="K1089" s="196">
        <v>4.99</v>
      </c>
      <c r="L1089" s="196">
        <v>10.0</v>
      </c>
      <c r="M1089" s="40">
        <v>1.0</v>
      </c>
      <c r="N1089" s="196">
        <v>4.99</v>
      </c>
    </row>
    <row r="1090">
      <c r="A1090" s="47" t="s">
        <v>56</v>
      </c>
      <c r="B1090" s="45" t="s">
        <v>700</v>
      </c>
      <c r="C1090" s="40">
        <v>654.0</v>
      </c>
      <c r="D1090" s="40" t="s">
        <v>1634</v>
      </c>
      <c r="E1090" s="40" t="s">
        <v>26</v>
      </c>
      <c r="F1090" s="197">
        <v>43396.0</v>
      </c>
      <c r="G1090" s="197">
        <v>45734.0</v>
      </c>
      <c r="H1090" s="197">
        <v>45739.0</v>
      </c>
      <c r="I1090" s="197">
        <v>45742.0</v>
      </c>
      <c r="J1090" s="43">
        <v>13.99</v>
      </c>
      <c r="K1090" s="43">
        <v>6.99</v>
      </c>
      <c r="L1090" s="196">
        <v>7.0</v>
      </c>
      <c r="M1090" s="40">
        <v>14.0</v>
      </c>
      <c r="N1090" s="196">
        <v>0.5</v>
      </c>
    </row>
    <row r="1091">
      <c r="A1091" s="40" t="s">
        <v>56</v>
      </c>
      <c r="B1091" s="40"/>
      <c r="C1091" s="40">
        <v>806.0</v>
      </c>
      <c r="D1091" s="40" t="s">
        <v>1635</v>
      </c>
      <c r="E1091" s="40" t="s">
        <v>26</v>
      </c>
      <c r="F1091" s="197">
        <v>43399.0</v>
      </c>
      <c r="G1091" s="197">
        <v>43749.0</v>
      </c>
      <c r="H1091" s="197">
        <v>43822.0</v>
      </c>
      <c r="I1091" s="197">
        <v>43881.0</v>
      </c>
      <c r="J1091" s="196">
        <v>69.99</v>
      </c>
      <c r="K1091" s="196">
        <v>34.99</v>
      </c>
      <c r="L1091" s="196">
        <v>35.0</v>
      </c>
      <c r="M1091" s="40">
        <v>62.0</v>
      </c>
      <c r="N1091" s="196">
        <v>0.56</v>
      </c>
    </row>
    <row r="1092">
      <c r="A1092" s="40" t="s">
        <v>56</v>
      </c>
      <c r="B1092" s="40" t="s">
        <v>597</v>
      </c>
      <c r="C1092" s="40">
        <v>817.0</v>
      </c>
      <c r="D1092" s="40" t="s">
        <v>1636</v>
      </c>
      <c r="E1092" s="40" t="s">
        <v>26</v>
      </c>
      <c r="F1092" s="197">
        <v>43410.0</v>
      </c>
      <c r="G1092" s="197">
        <v>44398.0</v>
      </c>
      <c r="H1092" s="197">
        <v>44406.0</v>
      </c>
      <c r="I1092" s="197">
        <v>44407.0</v>
      </c>
      <c r="J1092" s="196">
        <v>19.99</v>
      </c>
      <c r="K1092" s="196">
        <v>7.99</v>
      </c>
      <c r="L1092" s="196">
        <v>12.0</v>
      </c>
      <c r="M1092" s="40">
        <v>14.0</v>
      </c>
      <c r="N1092" s="196">
        <v>0.57</v>
      </c>
    </row>
    <row r="1093">
      <c r="A1093" s="40" t="s">
        <v>56</v>
      </c>
      <c r="B1093" s="40" t="s">
        <v>1637</v>
      </c>
      <c r="C1093" s="40">
        <v>853.0</v>
      </c>
      <c r="D1093" s="40" t="s">
        <v>1638</v>
      </c>
      <c r="E1093" s="40" t="s">
        <v>26</v>
      </c>
      <c r="F1093" s="197">
        <v>43417.0</v>
      </c>
      <c r="G1093" s="197">
        <v>43341.0</v>
      </c>
      <c r="H1093" s="197">
        <v>43417.0</v>
      </c>
      <c r="I1093" s="197">
        <v>43418.0</v>
      </c>
      <c r="J1093" s="196">
        <v>13.33</v>
      </c>
      <c r="K1093" s="196">
        <v>13.33</v>
      </c>
      <c r="L1093" s="196">
        <v>0.0</v>
      </c>
      <c r="M1093" s="40">
        <v>10.0</v>
      </c>
      <c r="N1093" s="196">
        <v>1.33</v>
      </c>
    </row>
    <row r="1094">
      <c r="A1094" s="40" t="s">
        <v>56</v>
      </c>
      <c r="B1094" s="40"/>
      <c r="C1094" s="40">
        <v>854.0</v>
      </c>
      <c r="D1094" s="40" t="s">
        <v>1639</v>
      </c>
      <c r="E1094" s="40" t="s">
        <v>26</v>
      </c>
      <c r="F1094" s="197">
        <v>43417.0</v>
      </c>
      <c r="G1094" s="197">
        <v>43341.0</v>
      </c>
      <c r="H1094" s="197">
        <v>43418.0</v>
      </c>
      <c r="I1094" s="197">
        <v>43423.0</v>
      </c>
      <c r="J1094" s="196">
        <v>13.33</v>
      </c>
      <c r="K1094" s="196">
        <v>13.33</v>
      </c>
      <c r="L1094" s="196">
        <v>0.0</v>
      </c>
      <c r="M1094" s="40">
        <v>10.0</v>
      </c>
      <c r="N1094" s="196">
        <v>1.33</v>
      </c>
    </row>
    <row r="1095">
      <c r="A1095" s="40" t="s">
        <v>56</v>
      </c>
      <c r="B1095" s="40"/>
      <c r="C1095" s="40">
        <v>855.0</v>
      </c>
      <c r="D1095" s="40" t="s">
        <v>1640</v>
      </c>
      <c r="E1095" s="40" t="s">
        <v>26</v>
      </c>
      <c r="F1095" s="197">
        <v>43417.0</v>
      </c>
      <c r="G1095" s="197">
        <v>43341.0</v>
      </c>
      <c r="H1095" s="197">
        <v>43421.0</v>
      </c>
      <c r="I1095" s="197">
        <v>43423.0</v>
      </c>
      <c r="J1095" s="196">
        <v>13.33</v>
      </c>
      <c r="K1095" s="196">
        <v>13.33</v>
      </c>
      <c r="L1095" s="196">
        <v>0.0</v>
      </c>
      <c r="M1095" s="40">
        <v>11.0</v>
      </c>
      <c r="N1095" s="196">
        <v>1.21</v>
      </c>
    </row>
    <row r="1096">
      <c r="A1096" s="40" t="s">
        <v>56</v>
      </c>
      <c r="B1096" s="40" t="s">
        <v>702</v>
      </c>
      <c r="C1096" s="40">
        <v>871.0</v>
      </c>
      <c r="D1096" s="40" t="s">
        <v>1641</v>
      </c>
      <c r="E1096" s="40" t="s">
        <v>26</v>
      </c>
      <c r="F1096" s="197">
        <v>43438.0</v>
      </c>
      <c r="G1096" s="197">
        <v>44296.0</v>
      </c>
      <c r="H1096" s="197">
        <v>44296.0</v>
      </c>
      <c r="I1096" s="197">
        <v>44298.0</v>
      </c>
      <c r="J1096" s="196">
        <v>29.99</v>
      </c>
      <c r="K1096" s="196">
        <v>0.0</v>
      </c>
      <c r="L1096" s="196">
        <v>29.99</v>
      </c>
      <c r="M1096" s="40">
        <v>17.0</v>
      </c>
      <c r="N1096" s="196">
        <v>0.0</v>
      </c>
    </row>
    <row r="1097">
      <c r="A1097" s="40" t="s">
        <v>56</v>
      </c>
      <c r="B1097" s="40" t="s">
        <v>660</v>
      </c>
      <c r="C1097" s="40">
        <v>510.0</v>
      </c>
      <c r="D1097" s="40" t="s">
        <v>1642</v>
      </c>
      <c r="E1097" s="40" t="s">
        <v>26</v>
      </c>
      <c r="F1097" s="197">
        <v>43500.0</v>
      </c>
      <c r="G1097" s="197">
        <v>44914.0</v>
      </c>
      <c r="H1097" s="197">
        <v>44914.0</v>
      </c>
      <c r="I1097" s="197">
        <v>44914.0</v>
      </c>
      <c r="J1097" s="196">
        <v>0.0</v>
      </c>
      <c r="K1097" s="196">
        <v>0.0</v>
      </c>
      <c r="L1097" s="196">
        <v>0.0</v>
      </c>
      <c r="M1097" s="40">
        <v>1.0</v>
      </c>
      <c r="N1097" s="196">
        <v>0.0</v>
      </c>
    </row>
    <row r="1098">
      <c r="A1098" s="40" t="s">
        <v>56</v>
      </c>
      <c r="B1098" s="40"/>
      <c r="C1098" s="40">
        <v>934.0</v>
      </c>
      <c r="D1098" s="40" t="s">
        <v>1643</v>
      </c>
      <c r="E1098" s="40" t="s">
        <v>26</v>
      </c>
      <c r="F1098" s="197">
        <v>43525.0</v>
      </c>
      <c r="G1098" s="197">
        <v>43519.0</v>
      </c>
      <c r="H1098" s="197">
        <v>43526.0</v>
      </c>
      <c r="I1098" s="197">
        <v>43896.0</v>
      </c>
      <c r="J1098" s="196">
        <v>18.89</v>
      </c>
      <c r="K1098" s="196">
        <v>18.89</v>
      </c>
      <c r="L1098" s="196">
        <v>0.0</v>
      </c>
      <c r="M1098" s="40">
        <v>26.0</v>
      </c>
      <c r="N1098" s="196">
        <v>0.73</v>
      </c>
    </row>
    <row r="1099">
      <c r="A1099" s="40" t="s">
        <v>56</v>
      </c>
      <c r="B1099" s="40"/>
      <c r="C1099" s="40">
        <v>571.0</v>
      </c>
      <c r="D1099" s="40" t="s">
        <v>1644</v>
      </c>
      <c r="E1099" s="40" t="s">
        <v>26</v>
      </c>
      <c r="F1099" s="197">
        <v>43581.0</v>
      </c>
      <c r="G1099" s="197">
        <v>44334.0</v>
      </c>
      <c r="H1099" s="197">
        <v>44339.0</v>
      </c>
      <c r="I1099" s="197">
        <v>44382.0</v>
      </c>
      <c r="J1099" s="196">
        <v>69.99</v>
      </c>
      <c r="K1099" s="196">
        <v>0.0</v>
      </c>
      <c r="L1099" s="196">
        <v>69.99</v>
      </c>
      <c r="M1099" s="40">
        <v>57.0</v>
      </c>
      <c r="N1099" s="196">
        <v>0.0</v>
      </c>
    </row>
    <row r="1100">
      <c r="A1100" s="40" t="s">
        <v>56</v>
      </c>
      <c r="B1100" s="40" t="s">
        <v>631</v>
      </c>
      <c r="C1100" s="40">
        <v>841.0</v>
      </c>
      <c r="D1100" s="40" t="s">
        <v>1645</v>
      </c>
      <c r="E1100" s="40" t="s">
        <v>26</v>
      </c>
      <c r="F1100" s="197">
        <v>43606.0</v>
      </c>
      <c r="G1100" s="197">
        <v>44656.0</v>
      </c>
      <c r="H1100" s="197">
        <v>44666.0</v>
      </c>
      <c r="I1100" s="197">
        <v>44675.0</v>
      </c>
      <c r="J1100" s="196">
        <v>24.99</v>
      </c>
      <c r="K1100" s="196">
        <v>0.0</v>
      </c>
      <c r="L1100" s="196">
        <v>24.99</v>
      </c>
      <c r="M1100" s="40">
        <v>35.0</v>
      </c>
      <c r="N1100" s="196">
        <v>0.0</v>
      </c>
    </row>
    <row r="1101">
      <c r="A1101" s="40" t="s">
        <v>56</v>
      </c>
      <c r="B1101" s="40" t="s">
        <v>676</v>
      </c>
      <c r="C1101" s="40">
        <v>945.0</v>
      </c>
      <c r="D1101" s="40" t="s">
        <v>1646</v>
      </c>
      <c r="E1101" s="40" t="s">
        <v>26</v>
      </c>
      <c r="F1101" s="197">
        <v>43616.0</v>
      </c>
      <c r="G1101" s="197">
        <v>44446.0</v>
      </c>
      <c r="H1101" s="197">
        <v>44449.0</v>
      </c>
      <c r="I1101" s="197">
        <v>44450.0</v>
      </c>
      <c r="J1101" s="196">
        <v>29.99</v>
      </c>
      <c r="K1101" s="196">
        <v>0.0</v>
      </c>
      <c r="L1101" s="196">
        <v>29.99</v>
      </c>
      <c r="M1101" s="40">
        <v>13.0</v>
      </c>
      <c r="N1101" s="196">
        <v>0.0</v>
      </c>
    </row>
    <row r="1102">
      <c r="A1102" s="40" t="s">
        <v>56</v>
      </c>
      <c r="B1102" s="40"/>
      <c r="C1102" s="40">
        <v>534.0</v>
      </c>
      <c r="D1102" s="40" t="s">
        <v>1647</v>
      </c>
      <c r="E1102" s="40" t="s">
        <v>26</v>
      </c>
      <c r="F1102" s="197">
        <v>43721.0</v>
      </c>
      <c r="G1102" s="197">
        <v>43559.0</v>
      </c>
      <c r="H1102" s="197">
        <v>43722.0</v>
      </c>
      <c r="I1102" s="197">
        <v>45797.0</v>
      </c>
      <c r="J1102" s="196">
        <v>114.98</v>
      </c>
      <c r="K1102" s="196">
        <v>114.98</v>
      </c>
      <c r="L1102" s="196">
        <v>0.0</v>
      </c>
      <c r="M1102" s="40">
        <v>241.0</v>
      </c>
      <c r="N1102" s="196">
        <v>0.48</v>
      </c>
    </row>
    <row r="1103">
      <c r="A1103" s="40" t="s">
        <v>56</v>
      </c>
      <c r="B1103" s="40"/>
      <c r="C1103" s="40">
        <v>556.0</v>
      </c>
      <c r="D1103" s="40" t="s">
        <v>1648</v>
      </c>
      <c r="E1103" s="40" t="s">
        <v>26</v>
      </c>
      <c r="F1103" s="197">
        <v>43746.0</v>
      </c>
      <c r="G1103" s="197">
        <v>43903.0</v>
      </c>
      <c r="H1103" s="197">
        <v>43912.0</v>
      </c>
      <c r="I1103" s="197">
        <v>44375.0</v>
      </c>
      <c r="J1103" s="43">
        <v>29.99</v>
      </c>
      <c r="K1103" s="43">
        <v>23.99</v>
      </c>
      <c r="L1103" s="196">
        <v>6.0</v>
      </c>
      <c r="M1103" s="40">
        <v>12.0</v>
      </c>
      <c r="N1103" s="196">
        <v>2.0</v>
      </c>
    </row>
    <row r="1104">
      <c r="A1104" s="40" t="s">
        <v>56</v>
      </c>
      <c r="B1104" s="40" t="s">
        <v>653</v>
      </c>
      <c r="C1104" s="40">
        <v>794.0</v>
      </c>
      <c r="D1104" s="40" t="s">
        <v>1649</v>
      </c>
      <c r="E1104" s="40" t="s">
        <v>26</v>
      </c>
      <c r="F1104" s="197">
        <v>43756.0</v>
      </c>
      <c r="G1104" s="197">
        <v>43964.0</v>
      </c>
      <c r="H1104" s="197">
        <v>44195.0</v>
      </c>
      <c r="I1104" s="197">
        <v>44197.0</v>
      </c>
      <c r="J1104" s="196">
        <v>39.99</v>
      </c>
      <c r="K1104" s="196">
        <v>24.99</v>
      </c>
      <c r="L1104" s="196">
        <v>15.0</v>
      </c>
      <c r="M1104" s="40">
        <v>65.0</v>
      </c>
      <c r="N1104" s="196">
        <v>0.38</v>
      </c>
    </row>
    <row r="1105">
      <c r="A1105" s="40" t="s">
        <v>56</v>
      </c>
      <c r="B1105" s="40" t="s">
        <v>645</v>
      </c>
      <c r="C1105" s="40">
        <v>728.0</v>
      </c>
      <c r="D1105" s="40" t="s">
        <v>1650</v>
      </c>
      <c r="E1105" s="40" t="s">
        <v>26</v>
      </c>
      <c r="F1105" s="197">
        <v>43763.0</v>
      </c>
      <c r="G1105" s="197">
        <v>43717.0</v>
      </c>
      <c r="H1105" s="197">
        <v>43764.0</v>
      </c>
      <c r="I1105" s="197">
        <v>44132.0</v>
      </c>
      <c r="J1105" s="196">
        <v>29.99</v>
      </c>
      <c r="K1105" s="196">
        <v>29.99</v>
      </c>
      <c r="L1105" s="196">
        <v>0.0</v>
      </c>
      <c r="M1105" s="40">
        <v>29.0</v>
      </c>
      <c r="N1105" s="196">
        <v>1.03</v>
      </c>
    </row>
    <row r="1106">
      <c r="A1106" s="40" t="s">
        <v>56</v>
      </c>
      <c r="B1106" s="7"/>
      <c r="C1106" s="40">
        <v>918.0</v>
      </c>
      <c r="D1106" s="40" t="s">
        <v>1651</v>
      </c>
      <c r="E1106" s="40" t="s">
        <v>26</v>
      </c>
      <c r="F1106" s="197">
        <v>43763.0</v>
      </c>
      <c r="G1106" s="197">
        <v>44960.0</v>
      </c>
      <c r="H1106" s="197">
        <v>45581.0</v>
      </c>
      <c r="I1106" s="197">
        <v>45583.0</v>
      </c>
      <c r="J1106" s="196">
        <v>59.99</v>
      </c>
      <c r="K1106" s="196">
        <v>19.79</v>
      </c>
      <c r="L1106" s="196">
        <v>40.2</v>
      </c>
      <c r="M1106" s="40">
        <v>2.0</v>
      </c>
      <c r="N1106" s="196">
        <v>9.9</v>
      </c>
    </row>
    <row r="1107">
      <c r="A1107" s="40" t="s">
        <v>56</v>
      </c>
      <c r="B1107" s="40" t="s">
        <v>586</v>
      </c>
      <c r="C1107" s="40">
        <v>917.0</v>
      </c>
      <c r="D1107" s="40" t="s">
        <v>1652</v>
      </c>
      <c r="E1107" s="40" t="s">
        <v>26</v>
      </c>
      <c r="F1107" s="197">
        <v>43767.0</v>
      </c>
      <c r="G1107" s="197">
        <v>43824.0</v>
      </c>
      <c r="H1107" s="197">
        <v>43824.0</v>
      </c>
      <c r="I1107" s="197">
        <v>43824.0</v>
      </c>
      <c r="J1107" s="196">
        <v>17.49</v>
      </c>
      <c r="K1107" s="196">
        <v>17.49</v>
      </c>
      <c r="L1107" s="196">
        <v>0.0</v>
      </c>
      <c r="M1107" s="40">
        <v>1.0</v>
      </c>
      <c r="N1107" s="196">
        <v>17.49</v>
      </c>
    </row>
    <row r="1108">
      <c r="A1108" s="40" t="s">
        <v>56</v>
      </c>
      <c r="B1108" s="40"/>
      <c r="C1108" s="40">
        <v>504.0</v>
      </c>
      <c r="D1108" s="40" t="s">
        <v>1653</v>
      </c>
      <c r="E1108" s="40" t="s">
        <v>26</v>
      </c>
      <c r="F1108" s="197">
        <v>43767.0</v>
      </c>
      <c r="G1108" s="197">
        <v>43824.0</v>
      </c>
      <c r="H1108" s="197">
        <v>43824.0</v>
      </c>
      <c r="I1108" s="197">
        <v>43824.0</v>
      </c>
      <c r="J1108" s="196">
        <v>17.5</v>
      </c>
      <c r="K1108" s="196">
        <v>17.5</v>
      </c>
      <c r="L1108" s="196">
        <v>0.0</v>
      </c>
      <c r="M1108" s="40">
        <v>1.0</v>
      </c>
      <c r="N1108" s="196">
        <v>17.5</v>
      </c>
    </row>
    <row r="1109">
      <c r="A1109" s="40" t="s">
        <v>56</v>
      </c>
      <c r="B1109" s="40" t="s">
        <v>621</v>
      </c>
      <c r="C1109" s="40">
        <v>850.0</v>
      </c>
      <c r="D1109" s="40" t="s">
        <v>1654</v>
      </c>
      <c r="E1109" s="40" t="s">
        <v>26</v>
      </c>
      <c r="F1109" s="197">
        <v>43770.0</v>
      </c>
      <c r="G1109" s="197">
        <v>44343.0</v>
      </c>
      <c r="H1109" s="197">
        <v>44354.0</v>
      </c>
      <c r="I1109" s="197">
        <v>45370.0</v>
      </c>
      <c r="J1109" s="196">
        <v>24.99</v>
      </c>
      <c r="K1109" s="196">
        <v>12.49</v>
      </c>
      <c r="L1109" s="196">
        <v>12.5</v>
      </c>
      <c r="M1109" s="40">
        <v>13.0</v>
      </c>
      <c r="N1109" s="196">
        <v>0.96</v>
      </c>
    </row>
    <row r="1110">
      <c r="A1110" s="40" t="s">
        <v>56</v>
      </c>
      <c r="B1110" s="40"/>
      <c r="C1110" s="40">
        <v>857.0</v>
      </c>
      <c r="D1110" s="40" t="s">
        <v>1655</v>
      </c>
      <c r="E1110" s="40" t="s">
        <v>26</v>
      </c>
      <c r="F1110" s="197">
        <v>43784.0</v>
      </c>
      <c r="G1110" s="197">
        <v>44594.0</v>
      </c>
      <c r="H1110" s="197">
        <v>45522.0</v>
      </c>
      <c r="I1110" s="197">
        <v>45522.0</v>
      </c>
      <c r="J1110" s="196">
        <v>49.99</v>
      </c>
      <c r="K1110" s="196">
        <v>17.49</v>
      </c>
      <c r="L1110" s="196">
        <v>32.5</v>
      </c>
      <c r="M1110" s="40">
        <v>1.0</v>
      </c>
      <c r="N1110" s="196">
        <v>17.49</v>
      </c>
    </row>
    <row r="1111">
      <c r="A1111" s="40" t="s">
        <v>56</v>
      </c>
      <c r="B1111" s="40"/>
      <c r="C1111" s="40">
        <v>594.0</v>
      </c>
      <c r="D1111" s="40" t="s">
        <v>1656</v>
      </c>
      <c r="E1111" s="40" t="s">
        <v>26</v>
      </c>
      <c r="F1111" s="197">
        <v>43910.0</v>
      </c>
      <c r="G1111" s="197">
        <v>44708.0</v>
      </c>
      <c r="H1111" s="197">
        <v>44708.0</v>
      </c>
      <c r="I1111" s="197">
        <v>44708.0</v>
      </c>
      <c r="J1111" s="196">
        <v>4.99</v>
      </c>
      <c r="K1111" s="196">
        <v>2.49</v>
      </c>
      <c r="L1111" s="196">
        <v>2.5</v>
      </c>
      <c r="M1111" s="40">
        <v>1.0</v>
      </c>
      <c r="N1111" s="196">
        <v>2.49</v>
      </c>
    </row>
    <row r="1112">
      <c r="A1112" s="40" t="s">
        <v>56</v>
      </c>
      <c r="B1112" s="40" t="s">
        <v>697</v>
      </c>
      <c r="C1112" s="40">
        <v>722.0</v>
      </c>
      <c r="D1112" s="40" t="s">
        <v>1657</v>
      </c>
      <c r="E1112" s="40" t="s">
        <v>26</v>
      </c>
      <c r="F1112" s="197">
        <v>43973.0</v>
      </c>
      <c r="G1112" s="197">
        <v>44343.0</v>
      </c>
      <c r="H1112" s="197">
        <v>44346.0</v>
      </c>
      <c r="I1112" s="197">
        <v>44347.0</v>
      </c>
      <c r="J1112" s="196">
        <v>39.99</v>
      </c>
      <c r="K1112" s="196">
        <v>19.99</v>
      </c>
      <c r="L1112" s="196">
        <v>20.0</v>
      </c>
      <c r="M1112" s="40">
        <v>14.0</v>
      </c>
      <c r="N1112" s="196">
        <v>1.43</v>
      </c>
    </row>
    <row r="1113">
      <c r="A1113" s="40" t="s">
        <v>56</v>
      </c>
      <c r="B1113" s="40"/>
      <c r="C1113" s="40">
        <v>916.0</v>
      </c>
      <c r="D1113" s="40" t="s">
        <v>1658</v>
      </c>
      <c r="E1113" s="40" t="s">
        <v>26</v>
      </c>
      <c r="F1113" s="197">
        <v>44001.0</v>
      </c>
      <c r="G1113" s="197">
        <v>43733.0</v>
      </c>
      <c r="H1113" s="197">
        <v>44085.0</v>
      </c>
      <c r="I1113" s="197">
        <v>44363.0</v>
      </c>
      <c r="J1113" s="196">
        <v>69.99</v>
      </c>
      <c r="K1113" s="196">
        <v>0.0</v>
      </c>
      <c r="L1113" s="196">
        <v>69.99</v>
      </c>
      <c r="M1113" s="40">
        <v>75.0</v>
      </c>
      <c r="N1113" s="196">
        <v>0.0</v>
      </c>
    </row>
    <row r="1114">
      <c r="A1114" s="40" t="s">
        <v>56</v>
      </c>
      <c r="B1114" s="40"/>
      <c r="C1114" s="40">
        <v>856.0</v>
      </c>
      <c r="D1114" s="40" t="s">
        <v>1659</v>
      </c>
      <c r="E1114" s="40" t="s">
        <v>26</v>
      </c>
      <c r="F1114" s="197">
        <v>44005.0</v>
      </c>
      <c r="G1114" s="197">
        <v>44071.0</v>
      </c>
      <c r="H1114" s="197">
        <v>44188.0</v>
      </c>
      <c r="I1114" s="197">
        <v>44189.0</v>
      </c>
      <c r="J1114" s="196">
        <v>14.99</v>
      </c>
      <c r="K1114" s="196">
        <v>9.74</v>
      </c>
      <c r="L1114" s="196">
        <v>5.25</v>
      </c>
      <c r="M1114" s="40">
        <v>7.0</v>
      </c>
      <c r="N1114" s="196">
        <v>1.39</v>
      </c>
    </row>
    <row r="1115">
      <c r="A1115" s="40" t="s">
        <v>56</v>
      </c>
      <c r="B1115" s="40"/>
      <c r="C1115" s="40">
        <v>641.0</v>
      </c>
      <c r="D1115" s="40" t="s">
        <v>1660</v>
      </c>
      <c r="E1115" s="40" t="s">
        <v>26</v>
      </c>
      <c r="F1115" s="197">
        <v>44029.0</v>
      </c>
      <c r="G1115" s="197">
        <v>44157.0</v>
      </c>
      <c r="H1115" s="197">
        <v>44163.0</v>
      </c>
      <c r="I1115" s="197">
        <v>44175.0</v>
      </c>
      <c r="J1115" s="196">
        <v>69.99</v>
      </c>
      <c r="K1115" s="196">
        <v>49.69</v>
      </c>
      <c r="L1115" s="196">
        <v>20.3</v>
      </c>
      <c r="M1115" s="40">
        <v>74.0</v>
      </c>
      <c r="N1115" s="196">
        <v>0.67</v>
      </c>
    </row>
    <row r="1116">
      <c r="A1116" s="40" t="s">
        <v>56</v>
      </c>
      <c r="B1116" s="40" t="s">
        <v>577</v>
      </c>
      <c r="C1116" s="40">
        <v>758.0</v>
      </c>
      <c r="D1116" s="40" t="s">
        <v>1661</v>
      </c>
      <c r="E1116" s="40" t="s">
        <v>26</v>
      </c>
      <c r="F1116" s="197">
        <v>44061.0</v>
      </c>
      <c r="G1116" s="197">
        <v>44539.0</v>
      </c>
      <c r="H1116" s="197">
        <v>44539.0</v>
      </c>
      <c r="I1116" s="197">
        <v>44539.0</v>
      </c>
      <c r="J1116" s="196">
        <v>29.99</v>
      </c>
      <c r="K1116" s="196">
        <v>0.0</v>
      </c>
      <c r="L1116" s="196">
        <v>29.99</v>
      </c>
      <c r="M1116" s="40">
        <v>1.0</v>
      </c>
      <c r="N1116" s="196">
        <v>0.0</v>
      </c>
    </row>
    <row r="1117">
      <c r="A1117" s="40" t="s">
        <v>56</v>
      </c>
      <c r="B1117" s="40"/>
      <c r="C1117" s="40">
        <v>935.0</v>
      </c>
      <c r="D1117" s="40" t="s">
        <v>1662</v>
      </c>
      <c r="E1117" s="40" t="s">
        <v>26</v>
      </c>
      <c r="F1117" s="197">
        <v>44078.0</v>
      </c>
      <c r="G1117" s="197">
        <v>44157.0</v>
      </c>
      <c r="H1117" s="197">
        <v>44158.0</v>
      </c>
      <c r="I1117" s="197">
        <v>44340.0</v>
      </c>
      <c r="J1117" s="196">
        <v>27.5</v>
      </c>
      <c r="K1117" s="196">
        <v>19.25</v>
      </c>
      <c r="L1117" s="196">
        <v>8.25</v>
      </c>
      <c r="M1117" s="40">
        <v>9.0</v>
      </c>
      <c r="N1117" s="196">
        <v>2.14</v>
      </c>
    </row>
    <row r="1118">
      <c r="A1118" s="40" t="s">
        <v>56</v>
      </c>
      <c r="B1118" s="40"/>
      <c r="C1118" s="40">
        <v>936.0</v>
      </c>
      <c r="D1118" s="40" t="s">
        <v>1663</v>
      </c>
      <c r="E1118" s="40" t="s">
        <v>26</v>
      </c>
      <c r="F1118" s="197">
        <v>44078.0</v>
      </c>
      <c r="G1118" s="197">
        <v>44157.0</v>
      </c>
      <c r="H1118" s="197">
        <v>44158.0</v>
      </c>
      <c r="I1118" s="197">
        <v>44342.0</v>
      </c>
      <c r="J1118" s="43">
        <v>27.49</v>
      </c>
      <c r="K1118" s="43">
        <v>19.24</v>
      </c>
      <c r="L1118" s="196">
        <v>8.25</v>
      </c>
      <c r="M1118" s="40">
        <v>9.0</v>
      </c>
      <c r="N1118" s="196">
        <v>2.14</v>
      </c>
    </row>
    <row r="1119">
      <c r="A1119" s="40" t="s">
        <v>56</v>
      </c>
      <c r="B1119" s="40" t="s">
        <v>582</v>
      </c>
      <c r="C1119" s="40">
        <v>780.0</v>
      </c>
      <c r="D1119" s="40" t="s">
        <v>1664</v>
      </c>
      <c r="E1119" s="40" t="s">
        <v>26</v>
      </c>
      <c r="F1119" s="197">
        <v>44084.0</v>
      </c>
      <c r="G1119" s="197">
        <v>44335.0</v>
      </c>
      <c r="H1119" s="197">
        <v>44473.0</v>
      </c>
      <c r="I1119" s="197">
        <v>44474.0</v>
      </c>
      <c r="J1119" s="196">
        <v>14.99</v>
      </c>
      <c r="K1119" s="196">
        <v>8.24</v>
      </c>
      <c r="L1119" s="196">
        <v>6.75</v>
      </c>
      <c r="M1119" s="40">
        <v>5.0</v>
      </c>
      <c r="N1119" s="196">
        <v>1.65</v>
      </c>
    </row>
    <row r="1120">
      <c r="A1120" s="40" t="s">
        <v>56</v>
      </c>
      <c r="B1120" s="40" t="s">
        <v>664</v>
      </c>
      <c r="C1120" s="40">
        <v>974.0</v>
      </c>
      <c r="D1120" s="40" t="s">
        <v>1665</v>
      </c>
      <c r="E1120" s="40" t="s">
        <v>26</v>
      </c>
      <c r="F1120" s="197">
        <v>44092.0</v>
      </c>
      <c r="G1120" s="197">
        <v>44383.0</v>
      </c>
      <c r="H1120" s="197">
        <v>44450.0</v>
      </c>
      <c r="I1120" s="197">
        <v>44451.0</v>
      </c>
      <c r="J1120" s="196">
        <v>39.99</v>
      </c>
      <c r="K1120" s="196">
        <v>0.0</v>
      </c>
      <c r="L1120" s="196">
        <v>39.99</v>
      </c>
      <c r="M1120" s="40">
        <v>3.0</v>
      </c>
      <c r="N1120" s="196">
        <v>0.0</v>
      </c>
    </row>
    <row r="1121">
      <c r="A1121" s="40" t="s">
        <v>56</v>
      </c>
      <c r="B1121" s="40" t="s">
        <v>565</v>
      </c>
      <c r="C1121" s="40">
        <v>647.0</v>
      </c>
      <c r="D1121" s="40" t="s">
        <v>1666</v>
      </c>
      <c r="E1121" s="40" t="s">
        <v>26</v>
      </c>
      <c r="F1121" s="197">
        <v>44098.0</v>
      </c>
      <c r="G1121" s="197">
        <v>45177.0</v>
      </c>
      <c r="H1121" s="197">
        <v>45395.0</v>
      </c>
      <c r="I1121" s="197">
        <v>45401.0</v>
      </c>
      <c r="J1121" s="196">
        <v>19.99</v>
      </c>
      <c r="K1121" s="196">
        <v>0.0</v>
      </c>
      <c r="L1121" s="196">
        <v>19.99</v>
      </c>
      <c r="M1121" s="40">
        <v>25.0</v>
      </c>
      <c r="N1121" s="196">
        <v>0.0</v>
      </c>
    </row>
    <row r="1122">
      <c r="A1122" s="40" t="s">
        <v>56</v>
      </c>
      <c r="B1122" s="40"/>
      <c r="C1122" s="40">
        <v>721.0</v>
      </c>
      <c r="D1122" s="40" t="s">
        <v>1667</v>
      </c>
      <c r="E1122" s="40" t="s">
        <v>26</v>
      </c>
      <c r="F1122" s="197">
        <v>44099.0</v>
      </c>
      <c r="G1122" s="197">
        <v>44176.0</v>
      </c>
      <c r="H1122" s="197">
        <v>44179.0</v>
      </c>
      <c r="I1122" s="197">
        <v>44180.0</v>
      </c>
      <c r="J1122" s="196">
        <v>39.99</v>
      </c>
      <c r="K1122" s="196">
        <v>29.99</v>
      </c>
      <c r="L1122" s="196">
        <v>10.0</v>
      </c>
      <c r="M1122" s="40">
        <v>13.0</v>
      </c>
      <c r="N1122" s="196">
        <v>2.31</v>
      </c>
    </row>
    <row r="1123">
      <c r="A1123" s="40" t="s">
        <v>56</v>
      </c>
      <c r="B1123" s="40" t="s">
        <v>600</v>
      </c>
      <c r="C1123" s="40">
        <v>819.0</v>
      </c>
      <c r="D1123" s="40" t="s">
        <v>1668</v>
      </c>
      <c r="E1123" s="40" t="s">
        <v>26</v>
      </c>
      <c r="F1123" s="197">
        <v>44105.0</v>
      </c>
      <c r="G1123" s="197">
        <v>44335.0</v>
      </c>
      <c r="H1123" s="197">
        <v>44335.0</v>
      </c>
      <c r="I1123" s="197">
        <v>44335.0</v>
      </c>
      <c r="J1123" s="43">
        <v>0.0</v>
      </c>
      <c r="K1123" s="43">
        <v>0.0</v>
      </c>
      <c r="L1123" s="196">
        <v>0.0</v>
      </c>
      <c r="M1123" s="40">
        <v>1.0</v>
      </c>
      <c r="N1123" s="196">
        <v>0.0</v>
      </c>
    </row>
    <row r="1124">
      <c r="A1124" s="40" t="s">
        <v>56</v>
      </c>
      <c r="B1124" s="40"/>
      <c r="C1124" s="40">
        <v>561.0</v>
      </c>
      <c r="D1124" s="40" t="s">
        <v>1669</v>
      </c>
      <c r="E1124" s="40" t="s">
        <v>26</v>
      </c>
      <c r="F1124" s="197">
        <v>44106.0</v>
      </c>
      <c r="G1124" s="197">
        <v>44083.0</v>
      </c>
      <c r="H1124" s="197">
        <v>44106.0</v>
      </c>
      <c r="I1124" s="197">
        <v>44338.0</v>
      </c>
      <c r="J1124" s="196">
        <v>69.99</v>
      </c>
      <c r="K1124" s="196">
        <v>0.0</v>
      </c>
      <c r="L1124" s="196">
        <v>69.99</v>
      </c>
      <c r="M1124" s="40">
        <v>46.0</v>
      </c>
      <c r="N1124" s="196">
        <v>0.0</v>
      </c>
    </row>
    <row r="1125">
      <c r="A1125" s="40" t="s">
        <v>56</v>
      </c>
      <c r="B1125" s="40" t="s">
        <v>651</v>
      </c>
      <c r="C1125" s="40">
        <v>648.0</v>
      </c>
      <c r="D1125" s="40" t="s">
        <v>1670</v>
      </c>
      <c r="E1125" s="40" t="s">
        <v>26</v>
      </c>
      <c r="F1125" s="197">
        <v>44118.0</v>
      </c>
      <c r="G1125" s="197">
        <v>44923.0</v>
      </c>
      <c r="H1125" s="197">
        <v>44945.0</v>
      </c>
      <c r="I1125" s="197">
        <v>44949.0</v>
      </c>
      <c r="J1125" s="196">
        <v>16.99</v>
      </c>
      <c r="K1125" s="196">
        <v>0.0</v>
      </c>
      <c r="L1125" s="196">
        <v>16.99</v>
      </c>
      <c r="M1125" s="40">
        <v>6.0</v>
      </c>
      <c r="N1125" s="196">
        <v>0.0</v>
      </c>
    </row>
    <row r="1126">
      <c r="A1126" s="40" t="s">
        <v>56</v>
      </c>
      <c r="B1126" s="40"/>
      <c r="C1126" s="40">
        <v>727.0</v>
      </c>
      <c r="D1126" s="40" t="s">
        <v>1671</v>
      </c>
      <c r="E1126" s="40" t="s">
        <v>26</v>
      </c>
      <c r="F1126" s="197">
        <v>44147.0</v>
      </c>
      <c r="G1126" s="197">
        <v>44883.0</v>
      </c>
      <c r="H1126" s="197">
        <v>44889.0</v>
      </c>
      <c r="I1126" s="197">
        <v>44892.0</v>
      </c>
      <c r="J1126" s="196">
        <v>59.99</v>
      </c>
      <c r="K1126" s="196">
        <v>29.99</v>
      </c>
      <c r="L1126" s="196">
        <v>30.0</v>
      </c>
      <c r="M1126" s="40">
        <v>29.0</v>
      </c>
      <c r="N1126" s="196">
        <v>1.03</v>
      </c>
    </row>
    <row r="1127">
      <c r="A1127" s="40" t="s">
        <v>56</v>
      </c>
      <c r="B1127" s="40"/>
      <c r="C1127" s="40">
        <v>538.0</v>
      </c>
      <c r="D1127" s="40" t="s">
        <v>1672</v>
      </c>
      <c r="E1127" s="40" t="s">
        <v>26</v>
      </c>
      <c r="F1127" s="197">
        <v>44147.0</v>
      </c>
      <c r="G1127" s="197">
        <v>44343.0</v>
      </c>
      <c r="H1127" s="197">
        <v>44348.0</v>
      </c>
      <c r="I1127" s="197">
        <v>44680.0</v>
      </c>
      <c r="J1127" s="196">
        <v>21.99</v>
      </c>
      <c r="K1127" s="196">
        <v>16.49</v>
      </c>
      <c r="L1127" s="196">
        <v>5.5</v>
      </c>
      <c r="M1127" s="40">
        <v>24.0</v>
      </c>
      <c r="N1127" s="196">
        <v>0.69</v>
      </c>
    </row>
    <row r="1128">
      <c r="A1128" s="40" t="s">
        <v>56</v>
      </c>
      <c r="B1128" s="40"/>
      <c r="C1128" s="40">
        <v>540.0</v>
      </c>
      <c r="D1128" s="40" t="s">
        <v>1673</v>
      </c>
      <c r="E1128" s="40" t="s">
        <v>26</v>
      </c>
      <c r="F1128" s="197">
        <v>44148.0</v>
      </c>
      <c r="G1128" s="197">
        <v>45111.0</v>
      </c>
      <c r="H1128" s="197">
        <v>45111.0</v>
      </c>
      <c r="I1128" s="197">
        <v>45111.0</v>
      </c>
      <c r="J1128" s="43">
        <v>74.99</v>
      </c>
      <c r="K1128" s="43">
        <v>0.0</v>
      </c>
      <c r="L1128" s="196">
        <v>74.99</v>
      </c>
      <c r="M1128" s="40">
        <v>1.0</v>
      </c>
      <c r="N1128" s="196">
        <v>0.0</v>
      </c>
    </row>
    <row r="1129">
      <c r="A1129" s="40" t="s">
        <v>56</v>
      </c>
      <c r="B1129" s="40"/>
      <c r="C1129" s="40">
        <v>612.0</v>
      </c>
      <c r="D1129" s="40" t="s">
        <v>1674</v>
      </c>
      <c r="E1129" s="40" t="s">
        <v>26</v>
      </c>
      <c r="F1129" s="197">
        <v>44148.0</v>
      </c>
      <c r="G1129" s="197">
        <v>44426.0</v>
      </c>
      <c r="H1129" s="197">
        <v>44427.0</v>
      </c>
      <c r="I1129" s="197">
        <v>44427.0</v>
      </c>
      <c r="J1129" s="196">
        <v>9.99</v>
      </c>
      <c r="K1129" s="196">
        <v>6.99</v>
      </c>
      <c r="L1129" s="196">
        <v>3.0</v>
      </c>
      <c r="M1129" s="40">
        <v>2.0</v>
      </c>
      <c r="N1129" s="196">
        <v>3.5</v>
      </c>
    </row>
    <row r="1130">
      <c r="A1130" s="40" t="s">
        <v>56</v>
      </c>
      <c r="B1130" s="40" t="s">
        <v>671</v>
      </c>
      <c r="C1130" s="40">
        <v>919.0</v>
      </c>
      <c r="D1130" s="40" t="s">
        <v>1675</v>
      </c>
      <c r="E1130" s="40" t="s">
        <v>26</v>
      </c>
      <c r="F1130" s="197">
        <v>44225.0</v>
      </c>
      <c r="G1130" s="197">
        <v>44349.0</v>
      </c>
      <c r="H1130" s="197">
        <v>44350.0</v>
      </c>
      <c r="I1130" s="197">
        <v>44704.0</v>
      </c>
      <c r="J1130" s="196">
        <v>15.99</v>
      </c>
      <c r="K1130" s="196">
        <v>10.39</v>
      </c>
      <c r="L1130" s="196">
        <v>5.6</v>
      </c>
      <c r="M1130" s="40">
        <v>4.0</v>
      </c>
      <c r="N1130" s="196">
        <v>2.6</v>
      </c>
    </row>
    <row r="1131">
      <c r="A1131" s="40" t="s">
        <v>56</v>
      </c>
      <c r="B1131" s="40" t="s">
        <v>608</v>
      </c>
      <c r="C1131" s="40">
        <v>724.0</v>
      </c>
      <c r="D1131" s="40" t="s">
        <v>1676</v>
      </c>
      <c r="E1131" s="40" t="s">
        <v>26</v>
      </c>
      <c r="F1131" s="197">
        <v>44257.0</v>
      </c>
      <c r="G1131" s="197">
        <v>44351.0</v>
      </c>
      <c r="H1131" s="197">
        <v>44462.0</v>
      </c>
      <c r="I1131" s="197">
        <v>44463.0</v>
      </c>
      <c r="J1131" s="196">
        <v>17.99</v>
      </c>
      <c r="K1131" s="196">
        <v>14.39</v>
      </c>
      <c r="L1131" s="196">
        <v>3.6</v>
      </c>
      <c r="M1131" s="40">
        <v>5.0</v>
      </c>
      <c r="N1131" s="196">
        <v>2.88</v>
      </c>
    </row>
    <row r="1132">
      <c r="A1132" s="40" t="s">
        <v>56</v>
      </c>
      <c r="B1132" s="40" t="s">
        <v>663</v>
      </c>
      <c r="C1132" s="40">
        <v>798.0</v>
      </c>
      <c r="D1132" s="40" t="s">
        <v>1677</v>
      </c>
      <c r="E1132" s="40" t="s">
        <v>26</v>
      </c>
      <c r="F1132" s="197">
        <v>44260.0</v>
      </c>
      <c r="G1132" s="197">
        <v>44708.0</v>
      </c>
      <c r="H1132" s="197">
        <v>44858.0</v>
      </c>
      <c r="I1132" s="197">
        <v>44860.0</v>
      </c>
      <c r="J1132" s="196">
        <v>9.99</v>
      </c>
      <c r="K1132" s="196">
        <v>3.49</v>
      </c>
      <c r="L1132" s="196">
        <v>6.5</v>
      </c>
      <c r="M1132" s="40">
        <v>8.0</v>
      </c>
      <c r="N1132" s="196">
        <v>0.44</v>
      </c>
    </row>
    <row r="1133">
      <c r="A1133" s="40" t="s">
        <v>56</v>
      </c>
      <c r="B1133" s="40"/>
      <c r="C1133" s="41">
        <v>777.0</v>
      </c>
      <c r="D1133" s="41" t="s">
        <v>1678</v>
      </c>
      <c r="E1133" s="41" t="s">
        <v>26</v>
      </c>
      <c r="F1133" s="46">
        <v>44292.0</v>
      </c>
      <c r="G1133" s="46">
        <v>44292.0</v>
      </c>
      <c r="H1133" s="46">
        <v>44307.0</v>
      </c>
      <c r="I1133" s="46">
        <v>45954.0</v>
      </c>
      <c r="J1133" s="47">
        <v>49.99</v>
      </c>
      <c r="K1133" s="47">
        <v>49.99</v>
      </c>
      <c r="L1133" s="47">
        <v>0.0</v>
      </c>
      <c r="M1133" s="41">
        <v>8.0</v>
      </c>
      <c r="N1133" s="47">
        <v>6.24875</v>
      </c>
    </row>
    <row r="1134">
      <c r="A1134" s="40" t="s">
        <v>56</v>
      </c>
      <c r="B1134" s="40"/>
      <c r="C1134" s="40">
        <v>872.0</v>
      </c>
      <c r="D1134" s="40" t="s">
        <v>1679</v>
      </c>
      <c r="E1134" s="40" t="s">
        <v>26</v>
      </c>
      <c r="F1134" s="197">
        <v>44330.0</v>
      </c>
      <c r="G1134" s="197">
        <v>44469.0</v>
      </c>
      <c r="H1134" s="197">
        <v>44521.0</v>
      </c>
      <c r="I1134" s="197">
        <v>44529.0</v>
      </c>
      <c r="J1134" s="196">
        <v>29.99</v>
      </c>
      <c r="K1134" s="196">
        <v>19.49</v>
      </c>
      <c r="L1134" s="196">
        <v>10.5</v>
      </c>
      <c r="M1134" s="40">
        <v>18.0</v>
      </c>
      <c r="N1134" s="196">
        <v>1.08</v>
      </c>
    </row>
    <row r="1135">
      <c r="A1135" s="40" t="s">
        <v>56</v>
      </c>
      <c r="B1135" s="40" t="s">
        <v>704</v>
      </c>
      <c r="C1135" s="40">
        <v>695.0</v>
      </c>
      <c r="D1135" s="40" t="s">
        <v>1680</v>
      </c>
      <c r="E1135" s="40" t="s">
        <v>26</v>
      </c>
      <c r="F1135" s="197">
        <v>44337.0</v>
      </c>
      <c r="G1135" s="197">
        <v>44502.0</v>
      </c>
      <c r="H1135" s="197">
        <v>44502.0</v>
      </c>
      <c r="I1135" s="197">
        <v>44502.0</v>
      </c>
      <c r="J1135" s="196">
        <v>19.99</v>
      </c>
      <c r="K1135" s="196">
        <v>0.0</v>
      </c>
      <c r="L1135" s="196">
        <v>19.99</v>
      </c>
      <c r="M1135" s="40">
        <v>1.0</v>
      </c>
      <c r="N1135" s="196">
        <v>0.0</v>
      </c>
    </row>
    <row r="1136">
      <c r="A1136" s="40" t="s">
        <v>56</v>
      </c>
      <c r="B1136" s="40" t="s">
        <v>710</v>
      </c>
      <c r="C1136" s="40">
        <v>545.0</v>
      </c>
      <c r="D1136" s="40" t="s">
        <v>1681</v>
      </c>
      <c r="E1136" s="40" t="s">
        <v>26</v>
      </c>
      <c r="F1136" s="197">
        <v>44357.0</v>
      </c>
      <c r="G1136" s="197">
        <v>44745.0</v>
      </c>
      <c r="H1136" s="197">
        <v>44815.0</v>
      </c>
      <c r="I1136" s="197">
        <v>44817.0</v>
      </c>
      <c r="J1136" s="196">
        <v>19.99</v>
      </c>
      <c r="K1136" s="196">
        <v>13.99</v>
      </c>
      <c r="L1136" s="196">
        <v>6.0</v>
      </c>
      <c r="M1136" s="40">
        <v>24.0</v>
      </c>
      <c r="N1136" s="196">
        <v>0.58</v>
      </c>
    </row>
    <row r="1137">
      <c r="A1137" s="40" t="s">
        <v>56</v>
      </c>
      <c r="B1137" s="40" t="s">
        <v>683</v>
      </c>
      <c r="C1137" s="40">
        <v>591.0</v>
      </c>
      <c r="D1137" s="40" t="s">
        <v>1682</v>
      </c>
      <c r="E1137" s="40" t="s">
        <v>26</v>
      </c>
      <c r="F1137" s="197">
        <v>44377.0</v>
      </c>
      <c r="G1137" s="197">
        <v>45595.0</v>
      </c>
      <c r="H1137" s="197">
        <v>45644.0</v>
      </c>
      <c r="I1137" s="197">
        <v>45644.0</v>
      </c>
      <c r="J1137" s="43">
        <v>12.49</v>
      </c>
      <c r="K1137" s="43">
        <v>0.0</v>
      </c>
      <c r="L1137" s="196">
        <v>12.49</v>
      </c>
      <c r="M1137" s="40">
        <v>2.0</v>
      </c>
      <c r="N1137" s="196">
        <v>0.0</v>
      </c>
    </row>
    <row r="1138">
      <c r="A1138" s="40" t="s">
        <v>56</v>
      </c>
      <c r="B1138" s="40" t="s">
        <v>692</v>
      </c>
      <c r="C1138" s="40">
        <v>520.0</v>
      </c>
      <c r="D1138" s="40" t="s">
        <v>1683</v>
      </c>
      <c r="E1138" s="40" t="s">
        <v>26</v>
      </c>
      <c r="F1138" s="197">
        <v>44419.0</v>
      </c>
      <c r="G1138" s="197">
        <v>44929.0</v>
      </c>
      <c r="H1138" s="197">
        <v>44929.0</v>
      </c>
      <c r="I1138" s="197">
        <v>44929.0</v>
      </c>
      <c r="J1138" s="196">
        <v>17.99</v>
      </c>
      <c r="K1138" s="196">
        <v>0.0</v>
      </c>
      <c r="L1138" s="196">
        <v>17.99</v>
      </c>
      <c r="M1138" s="40">
        <v>1.0</v>
      </c>
      <c r="N1138" s="196">
        <v>0.0</v>
      </c>
    </row>
    <row r="1139">
      <c r="A1139" s="40" t="s">
        <v>56</v>
      </c>
      <c r="B1139" s="40"/>
      <c r="C1139" s="40">
        <v>803.0</v>
      </c>
      <c r="D1139" s="40" t="s">
        <v>1684</v>
      </c>
      <c r="E1139" s="40" t="s">
        <v>26</v>
      </c>
      <c r="F1139" s="197">
        <v>44427.0</v>
      </c>
      <c r="G1139" s="197">
        <v>44708.0</v>
      </c>
      <c r="H1139" s="197">
        <v>44708.0</v>
      </c>
      <c r="I1139" s="197">
        <v>44708.0</v>
      </c>
      <c r="J1139" s="196">
        <v>9.99</v>
      </c>
      <c r="K1139" s="196">
        <v>4.99</v>
      </c>
      <c r="L1139" s="196">
        <v>5.0</v>
      </c>
      <c r="M1139" s="40">
        <v>1.0</v>
      </c>
      <c r="N1139" s="196">
        <v>4.99</v>
      </c>
    </row>
    <row r="1140">
      <c r="A1140" s="40" t="s">
        <v>56</v>
      </c>
      <c r="B1140" s="40" t="s">
        <v>576</v>
      </c>
      <c r="C1140" s="40">
        <v>506.0</v>
      </c>
      <c r="D1140" s="40" t="s">
        <v>1685</v>
      </c>
      <c r="E1140" s="40" t="s">
        <v>26</v>
      </c>
      <c r="F1140" s="197">
        <v>44432.0</v>
      </c>
      <c r="G1140" s="197">
        <v>45237.0</v>
      </c>
      <c r="H1140" s="197">
        <v>45237.0</v>
      </c>
      <c r="I1140" s="197">
        <v>45237.0</v>
      </c>
      <c r="J1140" s="196">
        <v>29.99</v>
      </c>
      <c r="K1140" s="196">
        <v>0.0</v>
      </c>
      <c r="L1140" s="196">
        <v>29.99</v>
      </c>
      <c r="M1140" s="40">
        <v>1.0</v>
      </c>
      <c r="N1140" s="196">
        <v>0.0</v>
      </c>
    </row>
    <row r="1141">
      <c r="A1141" s="40" t="s">
        <v>56</v>
      </c>
      <c r="B1141" s="40"/>
      <c r="C1141" s="40">
        <v>802.0</v>
      </c>
      <c r="D1141" s="40" t="s">
        <v>1686</v>
      </c>
      <c r="E1141" s="40" t="s">
        <v>26</v>
      </c>
      <c r="F1141" s="197">
        <v>44433.0</v>
      </c>
      <c r="G1141" s="197">
        <v>44521.0</v>
      </c>
      <c r="H1141" s="197">
        <v>44522.0</v>
      </c>
      <c r="I1141" s="197">
        <v>44526.0</v>
      </c>
      <c r="J1141" s="196">
        <v>59.99</v>
      </c>
      <c r="K1141" s="196">
        <v>41.99</v>
      </c>
      <c r="L1141" s="196">
        <v>18.0</v>
      </c>
      <c r="M1141" s="40">
        <v>22.0</v>
      </c>
      <c r="N1141" s="196">
        <v>1.91</v>
      </c>
    </row>
    <row r="1142">
      <c r="A1142" s="40" t="s">
        <v>56</v>
      </c>
      <c r="B1142" s="40" t="s">
        <v>593</v>
      </c>
      <c r="C1142" s="40">
        <v>686.0</v>
      </c>
      <c r="D1142" s="40" t="s">
        <v>1687</v>
      </c>
      <c r="E1142" s="40" t="s">
        <v>26</v>
      </c>
      <c r="F1142" s="197">
        <v>44460.0</v>
      </c>
      <c r="G1142" s="197">
        <v>44555.0</v>
      </c>
      <c r="H1142" s="197">
        <v>44562.0</v>
      </c>
      <c r="I1142" s="197">
        <v>44566.0</v>
      </c>
      <c r="J1142" s="196">
        <v>39.99</v>
      </c>
      <c r="K1142" s="196">
        <v>0.0</v>
      </c>
      <c r="L1142" s="196">
        <v>39.99</v>
      </c>
      <c r="M1142" s="40">
        <v>19.0</v>
      </c>
      <c r="N1142" s="196">
        <v>0.0</v>
      </c>
    </row>
    <row r="1143">
      <c r="A1143" s="40" t="s">
        <v>56</v>
      </c>
      <c r="B1143" s="40"/>
      <c r="C1143" s="40">
        <v>836.0</v>
      </c>
      <c r="D1143" s="40" t="s">
        <v>1688</v>
      </c>
      <c r="E1143" s="40" t="s">
        <v>26</v>
      </c>
      <c r="F1143" s="197">
        <v>44543.0</v>
      </c>
      <c r="G1143" s="197">
        <v>44915.0</v>
      </c>
      <c r="H1143" s="197">
        <v>44934.0</v>
      </c>
      <c r="I1143" s="197">
        <v>44937.0</v>
      </c>
      <c r="J1143" s="196">
        <v>19.99</v>
      </c>
      <c r="K1143" s="196">
        <v>14.99</v>
      </c>
      <c r="L1143" s="196">
        <v>5.0</v>
      </c>
      <c r="M1143" s="40">
        <v>12.0</v>
      </c>
      <c r="N1143" s="196">
        <v>1.25</v>
      </c>
    </row>
    <row r="1144">
      <c r="A1144" s="40" t="s">
        <v>56</v>
      </c>
      <c r="B1144" s="40"/>
      <c r="C1144" s="40">
        <v>933.0</v>
      </c>
      <c r="D1144" s="40" t="s">
        <v>1689</v>
      </c>
      <c r="E1144" s="40" t="s">
        <v>26</v>
      </c>
      <c r="F1144" s="197">
        <v>44645.0</v>
      </c>
      <c r="G1144" s="197">
        <v>44960.0</v>
      </c>
      <c r="H1144" s="197">
        <v>44985.0</v>
      </c>
      <c r="I1144" s="197">
        <v>45708.0</v>
      </c>
      <c r="J1144" s="196">
        <v>89.99</v>
      </c>
      <c r="K1144" s="196">
        <v>44.99</v>
      </c>
      <c r="L1144" s="196">
        <v>45.0</v>
      </c>
      <c r="M1144" s="40">
        <v>48.0</v>
      </c>
      <c r="N1144" s="196">
        <v>0.94</v>
      </c>
    </row>
    <row r="1145">
      <c r="A1145" s="40" t="s">
        <v>56</v>
      </c>
      <c r="B1145" s="40"/>
      <c r="C1145" s="40">
        <v>826.0</v>
      </c>
      <c r="D1145" s="40" t="s">
        <v>1690</v>
      </c>
      <c r="E1145" s="40" t="s">
        <v>26</v>
      </c>
      <c r="F1145" s="197">
        <v>44796.0</v>
      </c>
      <c r="G1145" s="197">
        <v>45174.0</v>
      </c>
      <c r="H1145" s="197">
        <v>45246.0</v>
      </c>
      <c r="I1145" s="197">
        <v>45254.0</v>
      </c>
      <c r="J1145" s="196">
        <v>69.99</v>
      </c>
      <c r="K1145" s="196">
        <v>0.0</v>
      </c>
      <c r="L1145" s="196">
        <v>69.99</v>
      </c>
      <c r="M1145" s="40">
        <v>62.0</v>
      </c>
      <c r="N1145" s="196">
        <v>0.0</v>
      </c>
    </row>
    <row r="1146">
      <c r="A1146" s="40" t="s">
        <v>56</v>
      </c>
      <c r="B1146" s="40" t="s">
        <v>707</v>
      </c>
      <c r="C1146" s="40">
        <v>762.0</v>
      </c>
      <c r="D1146" s="40" t="s">
        <v>1691</v>
      </c>
      <c r="E1146" s="40" t="s">
        <v>26</v>
      </c>
      <c r="F1146" s="197">
        <v>44813.0</v>
      </c>
      <c r="G1146" s="197">
        <v>45083.0</v>
      </c>
      <c r="H1146" s="197">
        <v>45083.0</v>
      </c>
      <c r="I1146" s="197">
        <v>45083.0</v>
      </c>
      <c r="J1146" s="196">
        <v>39.99</v>
      </c>
      <c r="K1146" s="196">
        <v>0.0</v>
      </c>
      <c r="L1146" s="196">
        <v>39.99</v>
      </c>
      <c r="M1146" s="40">
        <v>1.0</v>
      </c>
      <c r="N1146" s="196">
        <v>0.0</v>
      </c>
    </row>
    <row r="1147">
      <c r="A1147" s="40" t="s">
        <v>56</v>
      </c>
      <c r="B1147" s="40"/>
      <c r="C1147" s="40">
        <v>827.0</v>
      </c>
      <c r="D1147" s="40" t="s">
        <v>1692</v>
      </c>
      <c r="E1147" s="40" t="s">
        <v>26</v>
      </c>
      <c r="F1147" s="197">
        <v>44833.0</v>
      </c>
      <c r="G1147" s="197">
        <v>44836.0</v>
      </c>
      <c r="H1147" s="197">
        <v>44836.0</v>
      </c>
      <c r="I1147" s="197">
        <v>44836.0</v>
      </c>
      <c r="J1147" s="196">
        <v>19.99</v>
      </c>
      <c r="K1147" s="196">
        <v>14.99</v>
      </c>
      <c r="L1147" s="196">
        <v>5.0</v>
      </c>
      <c r="M1147" s="40">
        <v>1.0</v>
      </c>
      <c r="N1147" s="196">
        <v>14.99</v>
      </c>
    </row>
    <row r="1148">
      <c r="A1148" s="40" t="s">
        <v>56</v>
      </c>
      <c r="B1148" s="40"/>
      <c r="C1148" s="40">
        <v>645.0</v>
      </c>
      <c r="D1148" s="40" t="s">
        <v>1693</v>
      </c>
      <c r="E1148" s="40" t="s">
        <v>26</v>
      </c>
      <c r="F1148" s="197">
        <v>44874.0</v>
      </c>
      <c r="G1148" s="197">
        <v>45651.0</v>
      </c>
      <c r="H1148" s="197">
        <v>45651.0</v>
      </c>
      <c r="I1148" s="197">
        <v>45651.0</v>
      </c>
      <c r="J1148" s="196">
        <v>79.99</v>
      </c>
      <c r="K1148" s="196">
        <v>0.0</v>
      </c>
      <c r="L1148" s="196">
        <v>79.99</v>
      </c>
      <c r="M1148" s="40">
        <v>1.0</v>
      </c>
      <c r="N1148" s="196">
        <v>0.0</v>
      </c>
    </row>
    <row r="1149">
      <c r="A1149" s="40" t="s">
        <v>56</v>
      </c>
      <c r="B1149" s="40" t="s">
        <v>677</v>
      </c>
      <c r="C1149" s="40">
        <v>907.0</v>
      </c>
      <c r="D1149" s="40" t="s">
        <v>1694</v>
      </c>
      <c r="E1149" s="40" t="s">
        <v>26</v>
      </c>
      <c r="F1149" s="197">
        <v>44897.0</v>
      </c>
      <c r="G1149" s="197">
        <v>45202.0</v>
      </c>
      <c r="H1149" s="197">
        <v>45202.0</v>
      </c>
      <c r="I1149" s="197">
        <v>45202.0</v>
      </c>
      <c r="J1149" s="196">
        <v>69.99</v>
      </c>
      <c r="K1149" s="196">
        <v>0.0</v>
      </c>
      <c r="L1149" s="196">
        <v>69.99</v>
      </c>
      <c r="M1149" s="40">
        <v>1.0</v>
      </c>
      <c r="N1149" s="196">
        <v>0.0</v>
      </c>
    </row>
    <row r="1150">
      <c r="A1150" s="40" t="s">
        <v>56</v>
      </c>
      <c r="B1150" s="40" t="s">
        <v>673</v>
      </c>
      <c r="C1150" s="40">
        <v>947.0</v>
      </c>
      <c r="D1150" s="40" t="s">
        <v>1695</v>
      </c>
      <c r="E1150" s="40" t="s">
        <v>26</v>
      </c>
      <c r="F1150" s="197">
        <v>44915.0</v>
      </c>
      <c r="G1150" s="197">
        <v>45058.0</v>
      </c>
      <c r="H1150" s="197">
        <v>45229.0</v>
      </c>
      <c r="I1150" s="197">
        <v>45230.0</v>
      </c>
      <c r="J1150" s="196">
        <v>14.99</v>
      </c>
      <c r="K1150" s="196">
        <v>11.24</v>
      </c>
      <c r="L1150" s="196">
        <v>3.75</v>
      </c>
      <c r="M1150" s="40">
        <v>4.0</v>
      </c>
      <c r="N1150" s="196">
        <v>2.81</v>
      </c>
    </row>
    <row r="1151">
      <c r="A1151" s="40" t="s">
        <v>56</v>
      </c>
      <c r="B1151" s="40"/>
      <c r="C1151" s="40">
        <v>799.0</v>
      </c>
      <c r="D1151" s="40" t="s">
        <v>1696</v>
      </c>
      <c r="E1151" s="40" t="s">
        <v>26</v>
      </c>
      <c r="F1151" s="197">
        <v>45006.0</v>
      </c>
      <c r="G1151" s="197">
        <v>45014.0</v>
      </c>
      <c r="H1151" s="197">
        <v>45015.0</v>
      </c>
      <c r="I1151" s="197">
        <v>45015.0</v>
      </c>
      <c r="J1151" s="196">
        <v>44.99</v>
      </c>
      <c r="K1151" s="196">
        <v>0.0</v>
      </c>
      <c r="L1151" s="196">
        <v>44.99</v>
      </c>
      <c r="M1151" s="40">
        <v>2.0</v>
      </c>
      <c r="N1151" s="196">
        <v>0.0</v>
      </c>
    </row>
    <row r="1152">
      <c r="A1152" s="40" t="s">
        <v>56</v>
      </c>
      <c r="B1152" s="40"/>
      <c r="C1152" s="40">
        <v>700.0</v>
      </c>
      <c r="D1152" s="40" t="s">
        <v>1697</v>
      </c>
      <c r="E1152" s="40" t="s">
        <v>26</v>
      </c>
      <c r="F1152" s="197">
        <v>45065.0</v>
      </c>
      <c r="G1152" s="197">
        <v>45265.0</v>
      </c>
      <c r="H1152" s="197">
        <v>45265.0</v>
      </c>
      <c r="I1152" s="197">
        <v>45265.0</v>
      </c>
      <c r="J1152" s="196">
        <v>69.99</v>
      </c>
      <c r="K1152" s="196">
        <v>0.0</v>
      </c>
      <c r="L1152" s="196">
        <v>69.99</v>
      </c>
      <c r="M1152" s="40">
        <v>1.0</v>
      </c>
      <c r="N1152" s="196">
        <v>0.0</v>
      </c>
    </row>
    <row r="1153">
      <c r="A1153" s="40" t="s">
        <v>56</v>
      </c>
      <c r="B1153" s="40"/>
      <c r="C1153" s="40">
        <v>596.0</v>
      </c>
      <c r="D1153" s="40" t="s">
        <v>1698</v>
      </c>
      <c r="E1153" s="40" t="s">
        <v>26</v>
      </c>
      <c r="F1153" s="197">
        <v>45099.0</v>
      </c>
      <c r="G1153" s="197">
        <v>45693.0</v>
      </c>
      <c r="H1153" s="197">
        <v>45693.0</v>
      </c>
      <c r="I1153" s="197">
        <v>45693.0</v>
      </c>
      <c r="J1153" s="43">
        <v>9.99</v>
      </c>
      <c r="K1153" s="43">
        <v>1.99</v>
      </c>
      <c r="L1153" s="196">
        <v>8.0</v>
      </c>
      <c r="M1153" s="40">
        <v>1.0</v>
      </c>
      <c r="N1153" s="196">
        <v>1.99</v>
      </c>
    </row>
    <row r="1154">
      <c r="A1154" s="40" t="s">
        <v>56</v>
      </c>
      <c r="B1154" s="40"/>
      <c r="C1154" s="40">
        <v>786.0</v>
      </c>
      <c r="D1154" s="40" t="s">
        <v>1699</v>
      </c>
      <c r="E1154" s="40" t="s">
        <v>26</v>
      </c>
      <c r="F1154" s="197">
        <v>45119.0</v>
      </c>
      <c r="G1154" s="197">
        <v>45495.0</v>
      </c>
      <c r="H1154" s="197">
        <v>45495.0</v>
      </c>
      <c r="I1154" s="197">
        <v>45495.0</v>
      </c>
      <c r="J1154" s="43">
        <v>23.99</v>
      </c>
      <c r="K1154" s="43">
        <v>4.59</v>
      </c>
      <c r="L1154" s="196">
        <v>19.4</v>
      </c>
      <c r="M1154" s="40">
        <v>1.0</v>
      </c>
      <c r="N1154" s="196">
        <v>4.59</v>
      </c>
    </row>
    <row r="1155">
      <c r="A1155" s="286" t="s">
        <v>56</v>
      </c>
      <c r="B1155" s="287" t="s">
        <v>587</v>
      </c>
      <c r="C1155" s="225">
        <v>712.0</v>
      </c>
      <c r="D1155" s="40" t="s">
        <v>1700</v>
      </c>
      <c r="E1155" s="225" t="s">
        <v>26</v>
      </c>
      <c r="F1155" s="226">
        <v>45125.0</v>
      </c>
      <c r="G1155" s="226">
        <v>45812.0</v>
      </c>
      <c r="H1155" s="226">
        <v>45812.0</v>
      </c>
      <c r="I1155" s="226">
        <v>45812.0</v>
      </c>
      <c r="J1155" s="227">
        <v>12.5</v>
      </c>
      <c r="K1155" s="227">
        <v>6.25</v>
      </c>
      <c r="L1155" s="43">
        <v>6.25</v>
      </c>
      <c r="M1155" s="40">
        <v>1.0</v>
      </c>
      <c r="N1155" s="227">
        <v>6.25</v>
      </c>
    </row>
    <row r="1156">
      <c r="A1156" s="286" t="s">
        <v>56</v>
      </c>
      <c r="B1156" s="287"/>
      <c r="C1156" s="225">
        <v>713.0</v>
      </c>
      <c r="D1156" s="40" t="s">
        <v>1701</v>
      </c>
      <c r="E1156" s="225" t="s">
        <v>26</v>
      </c>
      <c r="F1156" s="226">
        <v>45125.0</v>
      </c>
      <c r="G1156" s="226">
        <v>45812.0</v>
      </c>
      <c r="H1156" s="226">
        <v>45812.0</v>
      </c>
      <c r="I1156" s="226">
        <v>45812.0</v>
      </c>
      <c r="J1156" s="227">
        <v>12.49</v>
      </c>
      <c r="K1156" s="227">
        <v>6.24</v>
      </c>
      <c r="L1156" s="43">
        <v>6.25</v>
      </c>
      <c r="M1156" s="40">
        <v>1.0</v>
      </c>
      <c r="N1156" s="227">
        <v>6.24</v>
      </c>
    </row>
    <row r="1157">
      <c r="A1157" s="41" t="s">
        <v>56</v>
      </c>
      <c r="B1157" s="41"/>
      <c r="C1157" s="41">
        <v>658.0</v>
      </c>
      <c r="D1157" s="41" t="s">
        <v>1702</v>
      </c>
      <c r="E1157" s="41" t="s">
        <v>26</v>
      </c>
      <c r="F1157" s="46">
        <v>45129.0</v>
      </c>
      <c r="G1157" s="46">
        <v>45692.0</v>
      </c>
      <c r="H1157" s="46">
        <v>45700.0</v>
      </c>
      <c r="I1157" s="46">
        <v>45991.0</v>
      </c>
      <c r="J1157" s="44">
        <v>39.99</v>
      </c>
      <c r="K1157" s="44">
        <v>0.0</v>
      </c>
      <c r="L1157" s="47">
        <v>39.99</v>
      </c>
      <c r="M1157" s="41">
        <v>37.0</v>
      </c>
      <c r="N1157" s="47">
        <v>0.0</v>
      </c>
    </row>
    <row r="1158">
      <c r="A1158" s="40" t="s">
        <v>56</v>
      </c>
      <c r="B1158" s="40" t="s">
        <v>686</v>
      </c>
      <c r="C1158" s="40">
        <v>774.0</v>
      </c>
      <c r="D1158" s="40" t="s">
        <v>1703</v>
      </c>
      <c r="E1158" s="40" t="s">
        <v>26</v>
      </c>
      <c r="F1158" s="197">
        <v>45181.0</v>
      </c>
      <c r="G1158" s="197">
        <v>45181.0</v>
      </c>
      <c r="H1158" s="197">
        <v>45181.0</v>
      </c>
      <c r="I1158" s="197">
        <v>45182.0</v>
      </c>
      <c r="J1158" s="196">
        <v>14.99</v>
      </c>
      <c r="K1158" s="196">
        <v>0.0</v>
      </c>
      <c r="L1158" s="196">
        <v>14.99</v>
      </c>
      <c r="M1158" s="40">
        <v>2.0</v>
      </c>
      <c r="N1158" s="196">
        <v>0.0</v>
      </c>
    </row>
    <row r="1159">
      <c r="A1159" s="40" t="s">
        <v>56</v>
      </c>
      <c r="B1159" s="40"/>
      <c r="C1159" s="40">
        <v>975.0</v>
      </c>
      <c r="D1159" s="40" t="s">
        <v>1704</v>
      </c>
      <c r="E1159" s="40" t="s">
        <v>26</v>
      </c>
      <c r="F1159" s="197">
        <v>45359.0</v>
      </c>
      <c r="G1159" s="197">
        <v>45567.0</v>
      </c>
      <c r="H1159" s="197">
        <v>45567.0</v>
      </c>
      <c r="I1159" s="197">
        <v>45567.0</v>
      </c>
      <c r="J1159" s="196">
        <v>74.99</v>
      </c>
      <c r="K1159" s="196">
        <v>0.0</v>
      </c>
      <c r="L1159" s="196">
        <v>74.99</v>
      </c>
      <c r="M1159" s="40">
        <v>1.0</v>
      </c>
      <c r="N1159" s="196">
        <v>0.0</v>
      </c>
    </row>
    <row r="1160">
      <c r="A1160" s="40" t="s">
        <v>56</v>
      </c>
      <c r="B1160" s="40"/>
      <c r="C1160" s="40">
        <v>753.0</v>
      </c>
      <c r="D1160" s="40" t="s">
        <v>1705</v>
      </c>
      <c r="E1160" s="40" t="s">
        <v>26</v>
      </c>
      <c r="F1160" s="197">
        <v>45370.0</v>
      </c>
      <c r="G1160" s="197">
        <v>45538.0</v>
      </c>
      <c r="H1160" s="197">
        <v>45538.0</v>
      </c>
      <c r="I1160" s="197">
        <v>45538.0</v>
      </c>
      <c r="J1160" s="196">
        <v>69.99</v>
      </c>
      <c r="K1160" s="196">
        <v>0.0</v>
      </c>
      <c r="L1160" s="196">
        <v>69.99</v>
      </c>
      <c r="M1160" s="40">
        <v>1.0</v>
      </c>
      <c r="N1160" s="196">
        <v>0.0</v>
      </c>
    </row>
    <row r="1161">
      <c r="A1161" s="40" t="s">
        <v>56</v>
      </c>
      <c r="B1161" s="40" t="s">
        <v>701</v>
      </c>
      <c r="C1161" s="40">
        <v>653.0</v>
      </c>
      <c r="D1161" s="40" t="s">
        <v>1706</v>
      </c>
      <c r="E1161" s="40" t="s">
        <v>26</v>
      </c>
      <c r="F1161" s="197">
        <v>45538.0</v>
      </c>
      <c r="G1161" s="197">
        <v>45538.0</v>
      </c>
      <c r="H1161" s="197">
        <v>45538.0</v>
      </c>
      <c r="I1161" s="197">
        <v>45539.0</v>
      </c>
      <c r="J1161" s="196">
        <v>39.99</v>
      </c>
      <c r="K1161" s="196">
        <v>0.0</v>
      </c>
      <c r="L1161" s="196">
        <v>39.99</v>
      </c>
      <c r="M1161" s="40">
        <v>2.0</v>
      </c>
      <c r="N1161" s="196">
        <v>0.0</v>
      </c>
    </row>
    <row r="1162">
      <c r="A1162" s="47" t="s">
        <v>56</v>
      </c>
      <c r="B1162" s="45"/>
      <c r="C1162" s="40">
        <v>682.0</v>
      </c>
      <c r="D1162" s="40" t="s">
        <v>1707</v>
      </c>
      <c r="E1162" s="40" t="s">
        <v>26</v>
      </c>
      <c r="F1162" s="197">
        <v>45735.0</v>
      </c>
      <c r="G1162" s="197">
        <v>45800.0</v>
      </c>
      <c r="H1162" s="197">
        <v>45803.0</v>
      </c>
      <c r="I1162" s="197">
        <v>45805.0</v>
      </c>
      <c r="J1162" s="227">
        <v>21.99</v>
      </c>
      <c r="K1162" s="227">
        <v>17.59</v>
      </c>
      <c r="L1162" s="43">
        <v>4.4</v>
      </c>
      <c r="M1162" s="225">
        <v>9.0</v>
      </c>
      <c r="N1162" s="227">
        <v>1.95</v>
      </c>
    </row>
    <row r="1163">
      <c r="A1163" s="41" t="s">
        <v>56</v>
      </c>
      <c r="B1163" s="41" t="s">
        <v>624</v>
      </c>
      <c r="C1163" s="41">
        <v>1086.0</v>
      </c>
      <c r="D1163" s="41" t="s">
        <v>1708</v>
      </c>
      <c r="E1163" s="41" t="s">
        <v>26</v>
      </c>
      <c r="F1163" s="197">
        <v>45849.0</v>
      </c>
      <c r="G1163" s="197">
        <v>45907.0</v>
      </c>
      <c r="H1163" s="197">
        <v>45907.0</v>
      </c>
      <c r="I1163" s="197">
        <v>45907.0</v>
      </c>
      <c r="J1163" s="47">
        <v>25.0</v>
      </c>
      <c r="K1163" s="47">
        <v>0.0</v>
      </c>
      <c r="L1163" s="47">
        <f t="shared" ref="L1163:L1164" si="106">J1163-K1163</f>
        <v>25</v>
      </c>
      <c r="M1163" s="41">
        <v>2.0</v>
      </c>
      <c r="N1163" s="47">
        <f t="shared" ref="N1163:N1164" si="107">K1163/M1163</f>
        <v>0</v>
      </c>
    </row>
    <row r="1164">
      <c r="A1164" s="41" t="s">
        <v>56</v>
      </c>
      <c r="B1164" s="41"/>
      <c r="C1164" s="41">
        <v>1087.0</v>
      </c>
      <c r="D1164" s="41" t="s">
        <v>1709</v>
      </c>
      <c r="E1164" s="41" t="s">
        <v>26</v>
      </c>
      <c r="F1164" s="197">
        <v>45849.0</v>
      </c>
      <c r="G1164" s="197">
        <v>45907.0</v>
      </c>
      <c r="H1164" s="197">
        <v>45907.0</v>
      </c>
      <c r="I1164" s="197">
        <v>45907.0</v>
      </c>
      <c r="J1164" s="47">
        <v>24.99</v>
      </c>
      <c r="K1164" s="47">
        <v>0.0</v>
      </c>
      <c r="L1164" s="47">
        <f t="shared" si="106"/>
        <v>24.99</v>
      </c>
      <c r="M1164" s="41">
        <v>2.0</v>
      </c>
      <c r="N1164" s="47">
        <f t="shared" si="107"/>
        <v>0</v>
      </c>
    </row>
    <row r="1165">
      <c r="A1165" s="40" t="s">
        <v>56</v>
      </c>
      <c r="B1165" s="40" t="s">
        <v>595</v>
      </c>
      <c r="C1165" s="40">
        <v>1025.0</v>
      </c>
      <c r="D1165" s="40" t="s">
        <v>1710</v>
      </c>
      <c r="E1165" s="40" t="s">
        <v>27</v>
      </c>
      <c r="F1165" s="197">
        <v>42656.0</v>
      </c>
      <c r="G1165" s="197">
        <v>43543.0</v>
      </c>
      <c r="H1165" s="197">
        <v>43543.0</v>
      </c>
      <c r="I1165" s="197">
        <v>43543.0</v>
      </c>
      <c r="J1165" s="43">
        <v>29.99</v>
      </c>
      <c r="K1165" s="43">
        <v>14.99</v>
      </c>
      <c r="L1165" s="196">
        <v>15.0</v>
      </c>
      <c r="M1165" s="40">
        <v>2.0</v>
      </c>
      <c r="N1165" s="196">
        <v>7.5</v>
      </c>
    </row>
    <row r="1166">
      <c r="A1166" s="40" t="s">
        <v>56</v>
      </c>
      <c r="B1166" s="40" t="s">
        <v>602</v>
      </c>
      <c r="C1166" s="40">
        <v>1007.0</v>
      </c>
      <c r="D1166" s="40" t="s">
        <v>1711</v>
      </c>
      <c r="E1166" s="40" t="s">
        <v>27</v>
      </c>
      <c r="F1166" s="197">
        <v>42656.0</v>
      </c>
      <c r="G1166" s="197">
        <v>43466.0</v>
      </c>
      <c r="H1166" s="197">
        <v>43467.0</v>
      </c>
      <c r="I1166" s="197">
        <v>44023.0</v>
      </c>
      <c r="J1166" s="196">
        <v>28.98</v>
      </c>
      <c r="K1166" s="196">
        <v>14.98</v>
      </c>
      <c r="L1166" s="196">
        <v>14.0</v>
      </c>
      <c r="M1166" s="40">
        <v>8.0</v>
      </c>
      <c r="N1166" s="196">
        <v>1.87</v>
      </c>
    </row>
    <row r="1167">
      <c r="A1167" s="40" t="s">
        <v>56</v>
      </c>
      <c r="B1167" s="40" t="s">
        <v>646</v>
      </c>
      <c r="C1167" s="40">
        <v>1013.0</v>
      </c>
      <c r="D1167" s="40" t="s">
        <v>1712</v>
      </c>
      <c r="E1167" s="40" t="s">
        <v>27</v>
      </c>
      <c r="F1167" s="197">
        <v>42656.0</v>
      </c>
      <c r="G1167" s="197">
        <v>43475.0</v>
      </c>
      <c r="H1167" s="197">
        <v>43475.0</v>
      </c>
      <c r="I1167" s="197">
        <v>43475.0</v>
      </c>
      <c r="J1167" s="196">
        <v>19.99</v>
      </c>
      <c r="K1167" s="196">
        <v>19.99</v>
      </c>
      <c r="L1167" s="196">
        <v>0.0</v>
      </c>
      <c r="M1167" s="40">
        <v>4.0</v>
      </c>
      <c r="N1167" s="196">
        <v>5.0</v>
      </c>
    </row>
    <row r="1168">
      <c r="A1168" s="40" t="s">
        <v>56</v>
      </c>
      <c r="B1168" s="40" t="s">
        <v>575</v>
      </c>
      <c r="C1168" s="40">
        <v>992.0</v>
      </c>
      <c r="D1168" s="40" t="s">
        <v>1713</v>
      </c>
      <c r="E1168" s="40" t="s">
        <v>27</v>
      </c>
      <c r="F1168" s="197">
        <v>42671.0</v>
      </c>
      <c r="G1168" s="197">
        <v>43468.0</v>
      </c>
      <c r="H1168" s="197">
        <v>43475.0</v>
      </c>
      <c r="I1168" s="197">
        <v>43475.0</v>
      </c>
      <c r="J1168" s="196">
        <v>19.99</v>
      </c>
      <c r="K1168" s="196">
        <v>4.99</v>
      </c>
      <c r="L1168" s="196">
        <v>15.0</v>
      </c>
      <c r="M1168" s="40">
        <v>1.0</v>
      </c>
      <c r="N1168" s="196">
        <v>4.99</v>
      </c>
    </row>
    <row r="1169">
      <c r="A1169" s="40" t="s">
        <v>56</v>
      </c>
      <c r="B1169" s="40" t="s">
        <v>668</v>
      </c>
      <c r="C1169" s="40">
        <v>1011.0</v>
      </c>
      <c r="D1169" s="40" t="s">
        <v>1714</v>
      </c>
      <c r="E1169" s="40" t="s">
        <v>27</v>
      </c>
      <c r="F1169" s="197">
        <v>42717.0</v>
      </c>
      <c r="G1169" s="197">
        <v>43468.0</v>
      </c>
      <c r="H1169" s="197">
        <v>43542.0</v>
      </c>
      <c r="I1169" s="197">
        <v>43542.0</v>
      </c>
      <c r="J1169" s="196">
        <v>24.99</v>
      </c>
      <c r="K1169" s="196">
        <v>12.49</v>
      </c>
      <c r="L1169" s="196">
        <v>12.5</v>
      </c>
      <c r="M1169" s="40">
        <v>1.0</v>
      </c>
      <c r="N1169" s="196">
        <v>12.49</v>
      </c>
    </row>
    <row r="1170">
      <c r="A1170" s="40" t="s">
        <v>56</v>
      </c>
      <c r="B1170" s="40"/>
      <c r="C1170" s="40">
        <v>1024.0</v>
      </c>
      <c r="D1170" s="43" t="s">
        <v>1715</v>
      </c>
      <c r="E1170" s="43" t="s">
        <v>27</v>
      </c>
      <c r="F1170" s="197">
        <v>42787.0</v>
      </c>
      <c r="G1170" s="197">
        <v>43472.0</v>
      </c>
      <c r="H1170" s="197">
        <v>44521.0</v>
      </c>
      <c r="I1170" s="197">
        <v>44522.0</v>
      </c>
      <c r="J1170" s="196">
        <v>18.99</v>
      </c>
      <c r="K1170" s="196">
        <v>6.49</v>
      </c>
      <c r="L1170" s="196">
        <v>12.5</v>
      </c>
      <c r="M1170" s="40">
        <v>3.0</v>
      </c>
      <c r="N1170" s="196">
        <v>2.16</v>
      </c>
    </row>
    <row r="1171">
      <c r="A1171" s="40" t="s">
        <v>56</v>
      </c>
      <c r="B1171" s="40" t="s">
        <v>659</v>
      </c>
      <c r="C1171" s="40">
        <v>1033.0</v>
      </c>
      <c r="D1171" s="43" t="s">
        <v>1716</v>
      </c>
      <c r="E1171" s="43" t="s">
        <v>27</v>
      </c>
      <c r="F1171" s="197">
        <v>42885.0</v>
      </c>
      <c r="G1171" s="197">
        <v>43472.0</v>
      </c>
      <c r="H1171" s="197">
        <v>43543.0</v>
      </c>
      <c r="I1171" s="197">
        <v>43543.0</v>
      </c>
      <c r="J1171" s="196">
        <v>24.99</v>
      </c>
      <c r="K1171" s="196">
        <v>19.99</v>
      </c>
      <c r="L1171" s="196">
        <v>5.0</v>
      </c>
      <c r="M1171" s="40">
        <v>1.0</v>
      </c>
      <c r="N1171" s="196">
        <v>19.99</v>
      </c>
    </row>
    <row r="1172">
      <c r="A1172" s="40" t="s">
        <v>56</v>
      </c>
      <c r="B1172" s="40"/>
      <c r="C1172" s="40">
        <v>1036.0</v>
      </c>
      <c r="D1172" s="43" t="s">
        <v>1717</v>
      </c>
      <c r="E1172" s="43" t="s">
        <v>27</v>
      </c>
      <c r="F1172" s="197">
        <v>43056.0</v>
      </c>
      <c r="G1172" s="197">
        <v>43469.0</v>
      </c>
      <c r="H1172" s="197">
        <v>43469.0</v>
      </c>
      <c r="I1172" s="197">
        <v>43469.0</v>
      </c>
      <c r="J1172" s="196">
        <v>69.99</v>
      </c>
      <c r="K1172" s="196">
        <v>0.0</v>
      </c>
      <c r="L1172" s="196">
        <v>69.99</v>
      </c>
      <c r="M1172" s="40">
        <v>1.0</v>
      </c>
      <c r="N1172" s="196">
        <v>0.0</v>
      </c>
    </row>
    <row r="1173">
      <c r="A1173" s="40" t="s">
        <v>56</v>
      </c>
      <c r="B1173" s="40"/>
      <c r="C1173" s="40">
        <v>996.0</v>
      </c>
      <c r="D1173" s="40" t="s">
        <v>1718</v>
      </c>
      <c r="E1173" s="40" t="s">
        <v>27</v>
      </c>
      <c r="F1173" s="197">
        <v>43070.0</v>
      </c>
      <c r="G1173" s="197">
        <v>43468.0</v>
      </c>
      <c r="H1173" s="197">
        <v>43468.0</v>
      </c>
      <c r="I1173" s="197">
        <v>45151.0</v>
      </c>
      <c r="J1173" s="196">
        <v>29.99</v>
      </c>
      <c r="K1173" s="196">
        <v>0.0</v>
      </c>
      <c r="L1173" s="196">
        <v>29.99</v>
      </c>
      <c r="M1173" s="40">
        <v>2.0</v>
      </c>
      <c r="N1173" s="196">
        <v>0.0</v>
      </c>
    </row>
    <row r="1174">
      <c r="A1174" s="40" t="s">
        <v>56</v>
      </c>
      <c r="B1174" s="40" t="s">
        <v>572</v>
      </c>
      <c r="C1174" s="40">
        <v>1044.0</v>
      </c>
      <c r="D1174" s="40" t="s">
        <v>1719</v>
      </c>
      <c r="E1174" s="40" t="s">
        <v>27</v>
      </c>
      <c r="F1174" s="197">
        <v>43088.0</v>
      </c>
      <c r="G1174" s="197">
        <v>43912.0</v>
      </c>
      <c r="H1174" s="197">
        <v>43912.0</v>
      </c>
      <c r="I1174" s="197">
        <v>43912.0</v>
      </c>
      <c r="J1174" s="196">
        <v>21.99</v>
      </c>
      <c r="K1174" s="196">
        <v>6.99</v>
      </c>
      <c r="L1174" s="196">
        <v>15.0</v>
      </c>
      <c r="M1174" s="40">
        <v>2.0</v>
      </c>
      <c r="N1174" s="196">
        <v>3.5</v>
      </c>
    </row>
    <row r="1175">
      <c r="A1175" s="40" t="s">
        <v>56</v>
      </c>
      <c r="B1175" s="7"/>
      <c r="C1175" s="40">
        <v>982.0</v>
      </c>
      <c r="D1175" s="40" t="s">
        <v>1720</v>
      </c>
      <c r="E1175" s="40" t="s">
        <v>27</v>
      </c>
      <c r="F1175" s="197">
        <v>43088.0</v>
      </c>
      <c r="G1175" s="197">
        <v>44433.0</v>
      </c>
      <c r="H1175" s="197">
        <v>44436.0</v>
      </c>
      <c r="I1175" s="197">
        <v>44437.0</v>
      </c>
      <c r="J1175" s="196">
        <v>11.99</v>
      </c>
      <c r="K1175" s="196">
        <v>4.79</v>
      </c>
      <c r="L1175" s="196">
        <v>7.2</v>
      </c>
      <c r="M1175" s="40">
        <v>3.0</v>
      </c>
      <c r="N1175" s="196">
        <v>1.6</v>
      </c>
    </row>
    <row r="1176">
      <c r="A1176" s="40" t="s">
        <v>56</v>
      </c>
      <c r="B1176" s="40" t="s">
        <v>681</v>
      </c>
      <c r="C1176" s="40">
        <v>1032.0</v>
      </c>
      <c r="D1176" s="40" t="s">
        <v>1721</v>
      </c>
      <c r="E1176" s="40" t="s">
        <v>27</v>
      </c>
      <c r="F1176" s="197">
        <v>43144.0</v>
      </c>
      <c r="G1176" s="197">
        <v>43468.0</v>
      </c>
      <c r="H1176" s="197">
        <v>43468.0</v>
      </c>
      <c r="I1176" s="197">
        <v>43468.0</v>
      </c>
      <c r="J1176" s="196">
        <v>24.99</v>
      </c>
      <c r="K1176" s="196">
        <v>7.99</v>
      </c>
      <c r="L1176" s="196">
        <v>17.0</v>
      </c>
      <c r="M1176" s="40">
        <v>1.0</v>
      </c>
      <c r="N1176" s="196">
        <v>7.99</v>
      </c>
    </row>
    <row r="1177">
      <c r="A1177" s="40" t="s">
        <v>56</v>
      </c>
      <c r="B1177" s="40" t="s">
        <v>652</v>
      </c>
      <c r="C1177" s="40">
        <v>1021.0</v>
      </c>
      <c r="D1177" s="40" t="s">
        <v>1722</v>
      </c>
      <c r="E1177" s="40" t="s">
        <v>27</v>
      </c>
      <c r="F1177" s="197">
        <v>43158.0</v>
      </c>
      <c r="G1177" s="197">
        <v>43468.0</v>
      </c>
      <c r="H1177" s="197">
        <v>43543.0</v>
      </c>
      <c r="I1177" s="197">
        <v>43543.0</v>
      </c>
      <c r="J1177" s="196">
        <v>29.99</v>
      </c>
      <c r="K1177" s="196">
        <v>17.99</v>
      </c>
      <c r="L1177" s="196">
        <v>12.0</v>
      </c>
      <c r="M1177" s="40">
        <v>2.0</v>
      </c>
      <c r="N1177" s="196">
        <v>9.0</v>
      </c>
    </row>
    <row r="1178">
      <c r="A1178" s="40" t="s">
        <v>56</v>
      </c>
      <c r="B1178" s="40" t="s">
        <v>690</v>
      </c>
      <c r="C1178" s="40">
        <v>999.0</v>
      </c>
      <c r="D1178" s="40" t="s">
        <v>1723</v>
      </c>
      <c r="E1178" s="40" t="s">
        <v>27</v>
      </c>
      <c r="F1178" s="197">
        <v>43165.0</v>
      </c>
      <c r="G1178" s="197">
        <v>43564.0</v>
      </c>
      <c r="H1178" s="197">
        <v>43565.0</v>
      </c>
      <c r="I1178" s="197">
        <v>44041.0</v>
      </c>
      <c r="J1178" s="196">
        <v>17.99</v>
      </c>
      <c r="K1178" s="196">
        <v>7.99</v>
      </c>
      <c r="L1178" s="196">
        <v>10.0</v>
      </c>
      <c r="M1178" s="40">
        <v>1.0</v>
      </c>
      <c r="N1178" s="196">
        <v>7.99</v>
      </c>
    </row>
    <row r="1179">
      <c r="A1179" s="40" t="s">
        <v>56</v>
      </c>
      <c r="B1179" s="40" t="s">
        <v>607</v>
      </c>
      <c r="C1179" s="40">
        <v>1016.0</v>
      </c>
      <c r="D1179" s="40" t="s">
        <v>1724</v>
      </c>
      <c r="E1179" s="40" t="s">
        <v>27</v>
      </c>
      <c r="F1179" s="197">
        <v>43167.0</v>
      </c>
      <c r="G1179" s="197">
        <v>43468.0</v>
      </c>
      <c r="H1179" s="197">
        <v>43469.0</v>
      </c>
      <c r="I1179" s="197">
        <v>43469.0</v>
      </c>
      <c r="J1179" s="43">
        <v>19.99</v>
      </c>
      <c r="K1179" s="43">
        <v>14.99</v>
      </c>
      <c r="L1179" s="196">
        <v>5.0</v>
      </c>
      <c r="M1179" s="40">
        <v>1.0</v>
      </c>
      <c r="N1179" s="196">
        <v>14.99</v>
      </c>
    </row>
    <row r="1180">
      <c r="A1180" s="40" t="s">
        <v>56</v>
      </c>
      <c r="B1180" s="40"/>
      <c r="C1180" s="40">
        <v>1026.0</v>
      </c>
      <c r="D1180" s="40" t="s">
        <v>1725</v>
      </c>
      <c r="E1180" s="40" t="s">
        <v>27</v>
      </c>
      <c r="F1180" s="197">
        <v>43200.0</v>
      </c>
      <c r="G1180" s="197">
        <v>43475.0</v>
      </c>
      <c r="H1180" s="197">
        <v>43475.0</v>
      </c>
      <c r="I1180" s="197">
        <v>43475.0</v>
      </c>
      <c r="J1180" s="196">
        <v>29.99</v>
      </c>
      <c r="K1180" s="196">
        <v>29.99</v>
      </c>
      <c r="L1180" s="196">
        <v>0.0</v>
      </c>
      <c r="M1180" s="40">
        <v>1.0</v>
      </c>
      <c r="N1180" s="196">
        <v>29.99</v>
      </c>
    </row>
    <row r="1181">
      <c r="A1181" s="40" t="s">
        <v>56</v>
      </c>
      <c r="B1181" s="40" t="s">
        <v>698</v>
      </c>
      <c r="C1181" s="40">
        <v>1003.0</v>
      </c>
      <c r="D1181" s="40" t="s">
        <v>1726</v>
      </c>
      <c r="E1181" s="40" t="s">
        <v>27</v>
      </c>
      <c r="F1181" s="197">
        <v>43242.0</v>
      </c>
      <c r="G1181" s="197">
        <v>44446.0</v>
      </c>
      <c r="H1181" s="197">
        <v>44677.0</v>
      </c>
      <c r="I1181" s="197">
        <v>44677.0</v>
      </c>
      <c r="J1181" s="196">
        <v>5.99</v>
      </c>
      <c r="K1181" s="196">
        <v>0.0</v>
      </c>
      <c r="L1181" s="196">
        <v>5.99</v>
      </c>
      <c r="M1181" s="40">
        <v>1.0</v>
      </c>
      <c r="N1181" s="196">
        <v>0.0</v>
      </c>
    </row>
    <row r="1182">
      <c r="A1182" s="40" t="s">
        <v>56</v>
      </c>
      <c r="B1182" s="40"/>
      <c r="C1182" s="40">
        <v>995.0</v>
      </c>
      <c r="D1182" s="40" t="s">
        <v>1727</v>
      </c>
      <c r="E1182" s="40" t="s">
        <v>27</v>
      </c>
      <c r="F1182" s="197">
        <v>43368.0</v>
      </c>
      <c r="G1182" s="197">
        <v>43548.0</v>
      </c>
      <c r="H1182" s="197">
        <v>43709.0</v>
      </c>
      <c r="I1182" s="197">
        <v>43711.0</v>
      </c>
      <c r="J1182" s="196">
        <v>24.99</v>
      </c>
      <c r="K1182" s="196">
        <v>11.99</v>
      </c>
      <c r="L1182" s="196">
        <v>13.0</v>
      </c>
      <c r="M1182" s="40">
        <v>3.0</v>
      </c>
      <c r="N1182" s="196">
        <v>4.0</v>
      </c>
    </row>
    <row r="1183">
      <c r="A1183" s="40" t="s">
        <v>56</v>
      </c>
      <c r="B1183" s="40" t="s">
        <v>601</v>
      </c>
      <c r="C1183" s="40">
        <v>990.0</v>
      </c>
      <c r="D1183" s="40" t="s">
        <v>1728</v>
      </c>
      <c r="E1183" s="40" t="s">
        <v>27</v>
      </c>
      <c r="F1183" s="197">
        <v>43585.0</v>
      </c>
      <c r="G1183" s="197">
        <v>43824.0</v>
      </c>
      <c r="H1183" s="197">
        <v>43843.0</v>
      </c>
      <c r="I1183" s="197">
        <v>44679.0</v>
      </c>
      <c r="J1183" s="196">
        <v>29.99</v>
      </c>
      <c r="K1183" s="196">
        <v>17.99</v>
      </c>
      <c r="L1183" s="196">
        <v>12.0</v>
      </c>
      <c r="M1183" s="40">
        <v>2.0</v>
      </c>
      <c r="N1183" s="196">
        <v>9.0</v>
      </c>
    </row>
    <row r="1184">
      <c r="A1184" s="40" t="s">
        <v>56</v>
      </c>
      <c r="B1184" s="40"/>
      <c r="C1184" s="40">
        <v>1022.0</v>
      </c>
      <c r="D1184" s="40" t="s">
        <v>1729</v>
      </c>
      <c r="E1184" s="40" t="s">
        <v>27</v>
      </c>
      <c r="F1184" s="197">
        <v>43655.0</v>
      </c>
      <c r="G1184" s="197">
        <v>43699.0</v>
      </c>
      <c r="H1184" s="197">
        <v>44041.0</v>
      </c>
      <c r="I1184" s="197">
        <v>44041.0</v>
      </c>
      <c r="J1184" s="196">
        <v>19.99</v>
      </c>
      <c r="K1184" s="196">
        <v>19.99</v>
      </c>
      <c r="L1184" s="196">
        <v>0.0</v>
      </c>
      <c r="M1184" s="40">
        <v>2.0</v>
      </c>
      <c r="N1184" s="196">
        <v>10.0</v>
      </c>
    </row>
    <row r="1185">
      <c r="A1185" s="40" t="s">
        <v>56</v>
      </c>
      <c r="B1185" s="40" t="s">
        <v>672</v>
      </c>
      <c r="C1185" s="40">
        <v>1039.0</v>
      </c>
      <c r="D1185" s="40" t="s">
        <v>1730</v>
      </c>
      <c r="E1185" s="40" t="s">
        <v>27</v>
      </c>
      <c r="F1185" s="197">
        <v>43956.0</v>
      </c>
      <c r="G1185" s="197">
        <v>44502.0</v>
      </c>
      <c r="H1185" s="197">
        <v>44502.0</v>
      </c>
      <c r="I1185" s="197">
        <v>44502.0</v>
      </c>
      <c r="J1185" s="196">
        <v>39.99</v>
      </c>
      <c r="K1185" s="196">
        <v>0.0</v>
      </c>
      <c r="L1185" s="196">
        <v>39.99</v>
      </c>
      <c r="M1185" s="40">
        <v>1.0</v>
      </c>
      <c r="N1185" s="196">
        <v>0.0</v>
      </c>
    </row>
    <row r="1186">
      <c r="A1186" s="40" t="s">
        <v>56</v>
      </c>
      <c r="B1186" s="40" t="s">
        <v>574</v>
      </c>
      <c r="C1186" s="40">
        <v>1019.0</v>
      </c>
      <c r="D1186" s="40" t="s">
        <v>1731</v>
      </c>
      <c r="E1186" s="40" t="s">
        <v>27</v>
      </c>
      <c r="F1186" s="197">
        <v>44015.0</v>
      </c>
      <c r="G1186" s="197">
        <v>44091.0</v>
      </c>
      <c r="H1186" s="197">
        <v>44257.0</v>
      </c>
      <c r="I1186" s="197">
        <v>44257.0</v>
      </c>
      <c r="J1186" s="196">
        <v>39.99</v>
      </c>
      <c r="K1186" s="196">
        <v>0.0</v>
      </c>
      <c r="L1186" s="196">
        <v>39.99</v>
      </c>
      <c r="M1186" s="40">
        <v>3.0</v>
      </c>
      <c r="N1186" s="196">
        <v>0.0</v>
      </c>
    </row>
    <row r="1187">
      <c r="A1187" s="40" t="s">
        <v>56</v>
      </c>
      <c r="B1187" s="40" t="s">
        <v>709</v>
      </c>
      <c r="C1187" s="40">
        <v>1046.0</v>
      </c>
      <c r="D1187" s="40" t="s">
        <v>1732</v>
      </c>
      <c r="E1187" s="40" t="s">
        <v>27</v>
      </c>
      <c r="F1187" s="197">
        <v>44103.0</v>
      </c>
      <c r="G1187" s="197">
        <v>44502.0</v>
      </c>
      <c r="H1187" s="197">
        <v>44502.0</v>
      </c>
      <c r="I1187" s="197">
        <v>44502.0</v>
      </c>
      <c r="J1187" s="196">
        <v>24.99</v>
      </c>
      <c r="K1187" s="196">
        <v>0.0</v>
      </c>
      <c r="L1187" s="196">
        <v>24.99</v>
      </c>
      <c r="M1187" s="40">
        <v>1.0</v>
      </c>
      <c r="N1187" s="196">
        <v>0.0</v>
      </c>
    </row>
    <row r="1188">
      <c r="A1188" s="40" t="s">
        <v>56</v>
      </c>
      <c r="B1188" s="40"/>
      <c r="C1188" s="40">
        <v>1012.0</v>
      </c>
      <c r="D1188" s="40" t="s">
        <v>1733</v>
      </c>
      <c r="E1188" s="40" t="s">
        <v>27</v>
      </c>
      <c r="F1188" s="197">
        <v>44432.0</v>
      </c>
      <c r="G1188" s="197">
        <v>44555.0</v>
      </c>
      <c r="H1188" s="197">
        <v>44555.0</v>
      </c>
      <c r="I1188" s="197">
        <v>44555.0</v>
      </c>
      <c r="J1188" s="196">
        <v>24.99</v>
      </c>
      <c r="K1188" s="196">
        <v>0.0</v>
      </c>
      <c r="L1188" s="196">
        <v>24.99</v>
      </c>
      <c r="M1188" s="40">
        <v>1.0</v>
      </c>
      <c r="N1188" s="196">
        <v>0.0</v>
      </c>
    </row>
    <row r="1189">
      <c r="A1189" s="40" t="s">
        <v>56</v>
      </c>
      <c r="B1189" s="40" t="s">
        <v>611</v>
      </c>
      <c r="C1189" s="40">
        <v>1028.0</v>
      </c>
      <c r="D1189" s="40" t="s">
        <v>1734</v>
      </c>
      <c r="E1189" s="40" t="s">
        <v>27</v>
      </c>
      <c r="F1189" s="197">
        <v>44615.0</v>
      </c>
      <c r="G1189" s="197">
        <v>44708.0</v>
      </c>
      <c r="H1189" s="197">
        <v>44708.0</v>
      </c>
      <c r="I1189" s="197">
        <v>44708.0</v>
      </c>
      <c r="J1189" s="196">
        <v>19.99</v>
      </c>
      <c r="K1189" s="196">
        <v>13.99</v>
      </c>
      <c r="L1189" s="196">
        <v>6.0</v>
      </c>
      <c r="M1189" s="40">
        <v>1.0</v>
      </c>
      <c r="N1189" s="196">
        <v>13.99</v>
      </c>
    </row>
    <row r="1190">
      <c r="A1190" s="40" t="s">
        <v>56</v>
      </c>
      <c r="B1190" s="40" t="s">
        <v>579</v>
      </c>
      <c r="C1190" s="40">
        <v>1063.0</v>
      </c>
      <c r="D1190" s="40" t="s">
        <v>1735</v>
      </c>
      <c r="E1190" s="40" t="s">
        <v>28</v>
      </c>
      <c r="F1190" s="197">
        <v>44154.0</v>
      </c>
      <c r="G1190" s="197">
        <v>44539.0</v>
      </c>
      <c r="H1190" s="197">
        <v>44539.0</v>
      </c>
      <c r="I1190" s="197">
        <v>44539.0</v>
      </c>
      <c r="J1190" s="196">
        <v>14.99</v>
      </c>
      <c r="K1190" s="196">
        <v>0.0</v>
      </c>
      <c r="L1190" s="196">
        <v>14.99</v>
      </c>
      <c r="M1190" s="40">
        <v>1.0</v>
      </c>
      <c r="N1190" s="196">
        <v>0.0</v>
      </c>
    </row>
    <row r="1191">
      <c r="A1191" s="40" t="s">
        <v>56</v>
      </c>
      <c r="B1191" s="40"/>
      <c r="C1191" s="40">
        <v>1073.0</v>
      </c>
      <c r="D1191" s="40" t="s">
        <v>1736</v>
      </c>
      <c r="E1191" s="40" t="s">
        <v>28</v>
      </c>
      <c r="F1191" s="197">
        <v>44358.0</v>
      </c>
      <c r="G1191" s="197">
        <v>44555.0</v>
      </c>
      <c r="H1191" s="197">
        <v>44557.0</v>
      </c>
      <c r="I1191" s="197">
        <v>44559.0</v>
      </c>
      <c r="J1191" s="196">
        <v>79.99</v>
      </c>
      <c r="K1191" s="196">
        <v>0.0</v>
      </c>
      <c r="L1191" s="196">
        <v>79.99</v>
      </c>
      <c r="M1191" s="40">
        <v>19.0</v>
      </c>
      <c r="N1191" s="196">
        <v>0.0</v>
      </c>
    </row>
    <row r="1192">
      <c r="A1192" s="40" t="s">
        <v>56</v>
      </c>
      <c r="B1192" s="40" t="s">
        <v>567</v>
      </c>
      <c r="C1192" s="40">
        <v>1065.0</v>
      </c>
      <c r="D1192" s="40" t="s">
        <v>1737</v>
      </c>
      <c r="E1192" s="40" t="s">
        <v>28</v>
      </c>
      <c r="F1192" s="197">
        <v>44964.0</v>
      </c>
      <c r="G1192" s="197">
        <v>44811.0</v>
      </c>
      <c r="H1192" s="197">
        <v>44964.0</v>
      </c>
      <c r="I1192" s="197">
        <v>44979.0</v>
      </c>
      <c r="J1192" s="196">
        <v>84.99</v>
      </c>
      <c r="K1192" s="196">
        <v>0.0</v>
      </c>
      <c r="L1192" s="196">
        <v>84.99</v>
      </c>
      <c r="M1192" s="40">
        <v>93.0</v>
      </c>
      <c r="N1192" s="196">
        <v>0.0</v>
      </c>
    </row>
    <row r="1193">
      <c r="A1193" s="40" t="s">
        <v>56</v>
      </c>
      <c r="B1193" s="40"/>
      <c r="C1193" s="40">
        <v>1068.0</v>
      </c>
      <c r="D1193" s="40" t="s">
        <v>1738</v>
      </c>
      <c r="E1193" s="40" t="s">
        <v>28</v>
      </c>
      <c r="F1193" s="197">
        <v>45219.0</v>
      </c>
      <c r="G1193" s="197">
        <v>45176.0</v>
      </c>
      <c r="H1193" s="197">
        <v>45219.0</v>
      </c>
      <c r="I1193" s="197">
        <v>45384.0</v>
      </c>
      <c r="J1193" s="196">
        <v>89.99</v>
      </c>
      <c r="K1193" s="196">
        <v>0.0</v>
      </c>
      <c r="L1193" s="196">
        <v>89.99</v>
      </c>
      <c r="M1193" s="40">
        <v>44.0</v>
      </c>
      <c r="N1193" s="196">
        <v>0.0</v>
      </c>
    </row>
    <row r="1194">
      <c r="A1194" s="40" t="s">
        <v>56</v>
      </c>
      <c r="B1194" s="40" t="s">
        <v>625</v>
      </c>
      <c r="C1194" s="40">
        <v>1069.0</v>
      </c>
      <c r="D1194" s="40" t="s">
        <v>1739</v>
      </c>
      <c r="E1194" s="40" t="s">
        <v>28</v>
      </c>
      <c r="F1194" s="197">
        <v>45344.0</v>
      </c>
      <c r="G1194" s="197">
        <v>45491.0</v>
      </c>
      <c r="H1194" s="197">
        <v>45501.0</v>
      </c>
      <c r="I1194" s="197">
        <v>45501.0</v>
      </c>
      <c r="J1194" s="196">
        <v>29.99</v>
      </c>
      <c r="K1194" s="196">
        <v>17.99</v>
      </c>
      <c r="L1194" s="196">
        <v>12.0</v>
      </c>
      <c r="M1194" s="40">
        <v>1.0</v>
      </c>
      <c r="N1194" s="196">
        <v>17.99</v>
      </c>
    </row>
    <row r="1195">
      <c r="A1195" s="40" t="s">
        <v>56</v>
      </c>
      <c r="B1195" s="40" t="s">
        <v>655</v>
      </c>
      <c r="C1195" s="40">
        <v>1077.0</v>
      </c>
      <c r="D1195" s="40" t="s">
        <v>1740</v>
      </c>
      <c r="E1195" s="40" t="s">
        <v>28</v>
      </c>
      <c r="F1195" s="197">
        <v>45377.0</v>
      </c>
      <c r="G1195" s="197">
        <v>45602.0</v>
      </c>
      <c r="H1195" s="197">
        <v>45651.0</v>
      </c>
      <c r="I1195" s="197">
        <v>45653.0</v>
      </c>
      <c r="J1195" s="196">
        <v>29.99</v>
      </c>
      <c r="K1195" s="196">
        <v>19.49</v>
      </c>
      <c r="L1195" s="196">
        <v>10.5</v>
      </c>
      <c r="M1195" s="40">
        <v>9.0</v>
      </c>
      <c r="N1195" s="196">
        <v>2.17</v>
      </c>
    </row>
    <row r="1196">
      <c r="A1196" s="40" t="s">
        <v>56</v>
      </c>
      <c r="B1196" s="40" t="s">
        <v>669</v>
      </c>
      <c r="C1196" s="40">
        <v>1053.0</v>
      </c>
      <c r="D1196" s="40" t="s">
        <v>1741</v>
      </c>
      <c r="E1196" s="40" t="s">
        <v>28</v>
      </c>
      <c r="F1196" s="197">
        <v>45421.0</v>
      </c>
      <c r="G1196" s="197">
        <v>45542.0</v>
      </c>
      <c r="H1196" s="197">
        <v>45563.0</v>
      </c>
      <c r="I1196" s="197">
        <v>45563.0</v>
      </c>
      <c r="J1196" s="196">
        <v>24.99</v>
      </c>
      <c r="K1196" s="196">
        <v>0.0</v>
      </c>
      <c r="L1196" s="196">
        <v>24.99</v>
      </c>
      <c r="M1196" s="40">
        <v>1.0</v>
      </c>
      <c r="N1196" s="196">
        <v>0.0</v>
      </c>
    </row>
    <row r="1197">
      <c r="A1197" s="40" t="s">
        <v>56</v>
      </c>
      <c r="B1197" s="40" t="s">
        <v>583</v>
      </c>
      <c r="C1197" s="40">
        <v>1078.0</v>
      </c>
      <c r="D1197" s="40" t="s">
        <v>1742</v>
      </c>
      <c r="E1197" s="40" t="s">
        <v>28</v>
      </c>
      <c r="F1197" s="197">
        <v>45580.0</v>
      </c>
      <c r="G1197" s="197">
        <v>45602.0</v>
      </c>
      <c r="H1197" s="197">
        <v>45603.0</v>
      </c>
      <c r="I1197" s="197">
        <v>45604.0</v>
      </c>
      <c r="J1197" s="196">
        <v>19.99</v>
      </c>
      <c r="K1197" s="196">
        <v>13.99</v>
      </c>
      <c r="L1197" s="196">
        <v>6.0</v>
      </c>
      <c r="M1197" s="40">
        <v>8.0</v>
      </c>
      <c r="N1197" s="196">
        <v>1.75</v>
      </c>
    </row>
    <row r="1198">
      <c r="A1198" s="44" t="s">
        <v>56</v>
      </c>
      <c r="B1198" s="45" t="s">
        <v>57</v>
      </c>
      <c r="C1198" s="45">
        <v>1102.0</v>
      </c>
      <c r="D1198" s="41" t="s">
        <v>58</v>
      </c>
      <c r="E1198" s="41" t="s">
        <v>28</v>
      </c>
      <c r="F1198" s="46">
        <v>45727.0</v>
      </c>
      <c r="G1198" s="46">
        <v>46016.0</v>
      </c>
      <c r="H1198" s="46">
        <v>46024.0</v>
      </c>
      <c r="I1198" s="46">
        <v>46047.0</v>
      </c>
      <c r="J1198" s="44">
        <v>24.99</v>
      </c>
      <c r="K1198" s="44">
        <v>0.0</v>
      </c>
      <c r="L1198" s="44">
        <v>24.99</v>
      </c>
      <c r="M1198" s="45">
        <v>11.0</v>
      </c>
      <c r="N1198" s="44">
        <v>0.0</v>
      </c>
    </row>
    <row r="1199">
      <c r="A1199" s="58">
        <f t="shared" ref="A1199:B1199" si="108">COUNTA(A895:A1198)</f>
        <v>304</v>
      </c>
      <c r="B1199" s="58">
        <f t="shared" si="108"/>
        <v>153</v>
      </c>
      <c r="C1199" s="37">
        <v>304.0</v>
      </c>
      <c r="D1199" s="37">
        <v>153.0</v>
      </c>
      <c r="E1199" s="39">
        <v>8111.07</v>
      </c>
      <c r="F1199" s="39">
        <v>3708.55</v>
      </c>
      <c r="G1199" s="39">
        <v>4402.52</v>
      </c>
      <c r="H1199" s="37">
        <v>6080.0</v>
      </c>
      <c r="I1199" s="49">
        <v>0.6139595423644504</v>
      </c>
      <c r="J1199" s="173">
        <f t="shared" ref="J1199:M1199" si="109">SUM(J895:J1198)</f>
        <v>8111.07</v>
      </c>
      <c r="K1199" s="173">
        <f t="shared" si="109"/>
        <v>3708.55</v>
      </c>
      <c r="L1199" s="173">
        <f t="shared" si="109"/>
        <v>4402.52</v>
      </c>
      <c r="M1199" s="58">
        <f t="shared" si="109"/>
        <v>6080</v>
      </c>
      <c r="N1199" s="173">
        <f>K1199/M1199</f>
        <v>0.6099588816</v>
      </c>
    </row>
    <row r="1200">
      <c r="A1200" s="109"/>
      <c r="B1200" s="109"/>
      <c r="C1200" s="109"/>
      <c r="D1200" s="144"/>
      <c r="E1200" s="144"/>
      <c r="F1200" s="144"/>
      <c r="G1200" s="144"/>
      <c r="H1200" s="144"/>
      <c r="I1200" s="144"/>
      <c r="J1200" s="7"/>
      <c r="K1200" s="7"/>
      <c r="L1200" s="7"/>
      <c r="M1200" s="7"/>
      <c r="N1200" s="7"/>
    </row>
    <row r="1201">
      <c r="A1201" s="37" t="s">
        <v>715</v>
      </c>
      <c r="B1201" s="37" t="s">
        <v>714</v>
      </c>
      <c r="C1201" s="37">
        <v>719.0</v>
      </c>
      <c r="D1201" s="37" t="s">
        <v>1743</v>
      </c>
      <c r="E1201" s="37" t="s">
        <v>26</v>
      </c>
      <c r="F1201" s="143">
        <v>42514.0</v>
      </c>
      <c r="G1201" s="143">
        <v>42754.0</v>
      </c>
      <c r="H1201" s="143">
        <v>42764.0</v>
      </c>
      <c r="I1201" s="143">
        <v>45058.0</v>
      </c>
      <c r="J1201" s="39">
        <v>17.99</v>
      </c>
      <c r="K1201" s="39">
        <v>9.99</v>
      </c>
      <c r="L1201" s="39">
        <v>8.0</v>
      </c>
      <c r="M1201" s="37">
        <v>3.0</v>
      </c>
      <c r="N1201" s="39">
        <v>3.33</v>
      </c>
    </row>
    <row r="1202">
      <c r="A1202" s="37" t="s">
        <v>715</v>
      </c>
      <c r="B1202" s="37" t="s">
        <v>716</v>
      </c>
      <c r="C1202" s="37">
        <v>908.0</v>
      </c>
      <c r="D1202" s="37" t="s">
        <v>1744</v>
      </c>
      <c r="E1202" s="37" t="s">
        <v>26</v>
      </c>
      <c r="F1202" s="143">
        <v>43921.0</v>
      </c>
      <c r="G1202" s="143">
        <v>44640.0</v>
      </c>
      <c r="H1202" s="143">
        <v>44640.0</v>
      </c>
      <c r="I1202" s="143">
        <v>44640.0</v>
      </c>
      <c r="J1202" s="39">
        <v>11.66</v>
      </c>
      <c r="K1202" s="39">
        <v>5.83</v>
      </c>
      <c r="L1202" s="39">
        <v>5.83</v>
      </c>
      <c r="M1202" s="37">
        <v>1.0</v>
      </c>
      <c r="N1202" s="39">
        <v>5.83</v>
      </c>
    </row>
    <row r="1203">
      <c r="A1203" s="37" t="s">
        <v>715</v>
      </c>
      <c r="B1203" s="37"/>
      <c r="C1203" s="37">
        <v>632.0</v>
      </c>
      <c r="D1203" s="37" t="s">
        <v>1745</v>
      </c>
      <c r="E1203" s="37" t="s">
        <v>26</v>
      </c>
      <c r="F1203" s="143">
        <v>44152.0</v>
      </c>
      <c r="G1203" s="143">
        <v>44640.0</v>
      </c>
      <c r="H1203" s="143">
        <v>44640.0</v>
      </c>
      <c r="I1203" s="143">
        <v>44640.0</v>
      </c>
      <c r="J1203" s="39">
        <v>11.66</v>
      </c>
      <c r="K1203" s="39">
        <v>5.83</v>
      </c>
      <c r="L1203" s="39">
        <v>5.83</v>
      </c>
      <c r="M1203" s="37">
        <v>1.0</v>
      </c>
      <c r="N1203" s="39">
        <v>5.83</v>
      </c>
    </row>
    <row r="1204">
      <c r="A1204" s="37" t="s">
        <v>715</v>
      </c>
      <c r="B1204" s="37"/>
      <c r="C1204" s="37">
        <v>770.0</v>
      </c>
      <c r="D1204" s="37" t="s">
        <v>1746</v>
      </c>
      <c r="E1204" s="37" t="s">
        <v>26</v>
      </c>
      <c r="F1204" s="143">
        <v>44404.0</v>
      </c>
      <c r="G1204" s="143">
        <v>44640.0</v>
      </c>
      <c r="H1204" s="143">
        <v>44838.0</v>
      </c>
      <c r="I1204" s="143">
        <v>44839.0</v>
      </c>
      <c r="J1204" s="39">
        <v>11.67</v>
      </c>
      <c r="K1204" s="39">
        <v>5.83</v>
      </c>
      <c r="L1204" s="39">
        <v>5.84</v>
      </c>
      <c r="M1204" s="37">
        <v>4.0</v>
      </c>
      <c r="N1204" s="39">
        <v>1.46</v>
      </c>
    </row>
    <row r="1205">
      <c r="A1205" s="253">
        <f t="shared" ref="A1205:B1205" si="110">COUNTA(A1201:A1204)</f>
        <v>4</v>
      </c>
      <c r="B1205" s="253">
        <f t="shared" si="110"/>
        <v>2</v>
      </c>
      <c r="C1205" s="253"/>
      <c r="D1205" s="250"/>
      <c r="E1205" s="288">
        <v>52.98</v>
      </c>
      <c r="F1205" s="288">
        <v>27.48</v>
      </c>
      <c r="G1205" s="288">
        <v>25.5</v>
      </c>
      <c r="H1205" s="253">
        <v>9.0</v>
      </c>
      <c r="I1205" s="289">
        <v>3.0533333333333332</v>
      </c>
      <c r="J1205" s="252">
        <f t="shared" ref="J1205:M1205" si="111">SUM(J1201:J1204)</f>
        <v>52.98</v>
      </c>
      <c r="K1205" s="252">
        <f t="shared" si="111"/>
        <v>27.48</v>
      </c>
      <c r="L1205" s="252">
        <f t="shared" si="111"/>
        <v>25.5</v>
      </c>
      <c r="M1205" s="250">
        <f t="shared" si="111"/>
        <v>9</v>
      </c>
      <c r="N1205" s="252">
        <f>K1205/M1205</f>
        <v>3.053333333</v>
      </c>
    </row>
  </sheetData>
  <autoFilter ref="$D$1:$N$1205"/>
  <hyperlinks>
    <hyperlink r:id="rId1" ref="B726"/>
    <hyperlink r:id="rId2" ref="B79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8.5"/>
    <col customWidth="1" min="3" max="3" width="13.38"/>
    <col customWidth="1" min="4" max="4" width="9.13"/>
    <col customWidth="1" min="5" max="5" width="13.5"/>
    <col customWidth="1" min="6" max="6" width="13.38"/>
    <col customWidth="1" min="7" max="7" width="11.0"/>
    <col customWidth="1" min="8" max="20" width="8.5"/>
  </cols>
  <sheetData>
    <row r="1">
      <c r="A1" s="290" t="s">
        <v>4</v>
      </c>
      <c r="B1" s="131" t="s">
        <v>20</v>
      </c>
      <c r="C1" s="131" t="s">
        <v>61</v>
      </c>
      <c r="D1" s="131" t="s">
        <v>16</v>
      </c>
      <c r="E1" s="290" t="s">
        <v>13</v>
      </c>
      <c r="F1" s="290" t="s">
        <v>14</v>
      </c>
      <c r="G1" s="131" t="s">
        <v>15</v>
      </c>
      <c r="H1" s="131" t="s">
        <v>17</v>
      </c>
      <c r="I1" s="291"/>
      <c r="J1" s="291"/>
      <c r="K1" s="291"/>
      <c r="L1" s="291"/>
      <c r="M1" s="291"/>
      <c r="N1" s="291"/>
      <c r="O1" s="291"/>
      <c r="P1" s="291"/>
      <c r="Q1" s="291"/>
      <c r="R1" s="291"/>
      <c r="S1" s="291"/>
      <c r="T1" s="291"/>
    </row>
    <row r="2">
      <c r="A2" s="67" t="s">
        <v>56</v>
      </c>
      <c r="B2" s="68">
        <v>304.0</v>
      </c>
      <c r="C2" s="68">
        <v>153.0</v>
      </c>
      <c r="D2" s="68">
        <v>6080.0</v>
      </c>
      <c r="E2" s="69">
        <v>8111.07</v>
      </c>
      <c r="F2" s="69">
        <v>3708.55</v>
      </c>
      <c r="G2" s="69">
        <v>4402.52</v>
      </c>
      <c r="H2" s="67">
        <v>0.6139595423644504</v>
      </c>
      <c r="I2" s="292"/>
      <c r="J2" s="292"/>
      <c r="K2" s="292"/>
      <c r="L2" s="292"/>
      <c r="M2" s="292"/>
      <c r="N2" s="292"/>
      <c r="O2" s="292"/>
      <c r="P2" s="292"/>
      <c r="Q2" s="292"/>
      <c r="R2" s="292"/>
      <c r="S2" s="292"/>
      <c r="T2" s="292"/>
    </row>
    <row r="3">
      <c r="A3" s="70" t="s">
        <v>50</v>
      </c>
      <c r="B3" s="71">
        <v>250.0</v>
      </c>
      <c r="C3" s="71">
        <v>49.0</v>
      </c>
      <c r="D3" s="71">
        <v>3771.0</v>
      </c>
      <c r="E3" s="72">
        <v>5122.12</v>
      </c>
      <c r="F3" s="72">
        <v>2269.68</v>
      </c>
      <c r="G3" s="72">
        <v>2852.44</v>
      </c>
      <c r="H3" s="70">
        <v>0.6</v>
      </c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</row>
    <row r="4">
      <c r="A4" s="73" t="s">
        <v>39</v>
      </c>
      <c r="B4" s="74">
        <v>88.0</v>
      </c>
      <c r="C4" s="74">
        <v>48.0</v>
      </c>
      <c r="D4" s="74">
        <v>1949.0</v>
      </c>
      <c r="E4" s="75">
        <v>2805.86</v>
      </c>
      <c r="F4" s="75">
        <v>1168.91</v>
      </c>
      <c r="G4" s="75">
        <v>1636.95</v>
      </c>
      <c r="H4" s="76">
        <v>0.6</v>
      </c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</row>
    <row r="5">
      <c r="A5" s="77" t="s">
        <v>36</v>
      </c>
      <c r="B5" s="27">
        <v>180.0</v>
      </c>
      <c r="C5" s="27">
        <v>87.0</v>
      </c>
      <c r="D5" s="27">
        <v>1923.0</v>
      </c>
      <c r="E5" s="77">
        <v>3875.58</v>
      </c>
      <c r="F5" s="77">
        <v>1437.55</v>
      </c>
      <c r="G5" s="77">
        <v>2438.03</v>
      </c>
      <c r="H5" s="78">
        <v>0.75</v>
      </c>
      <c r="I5" s="292"/>
      <c r="J5" s="292"/>
      <c r="K5" s="292"/>
      <c r="L5" s="292"/>
      <c r="M5" s="292"/>
      <c r="N5" s="292"/>
      <c r="O5" s="292"/>
      <c r="P5" s="292"/>
      <c r="Q5" s="292"/>
      <c r="R5" s="292"/>
      <c r="S5" s="292"/>
      <c r="T5" s="292"/>
    </row>
    <row r="6">
      <c r="A6" s="79" t="s">
        <v>502</v>
      </c>
      <c r="B6" s="27">
        <v>10.0</v>
      </c>
      <c r="C6" s="27">
        <v>5.0</v>
      </c>
      <c r="D6" s="294">
        <v>549.0</v>
      </c>
      <c r="E6" s="295">
        <v>267.92</v>
      </c>
      <c r="F6" s="295">
        <v>129.43</v>
      </c>
      <c r="G6" s="295">
        <v>138.49</v>
      </c>
      <c r="H6" s="82">
        <f>F6/D6</f>
        <v>0.2357559199</v>
      </c>
      <c r="I6" s="296"/>
      <c r="J6" s="296"/>
      <c r="K6" s="296"/>
      <c r="L6" s="296"/>
      <c r="M6" s="296"/>
      <c r="N6" s="296"/>
      <c r="O6" s="296"/>
      <c r="P6" s="296"/>
      <c r="Q6" s="296"/>
      <c r="R6" s="296"/>
      <c r="S6" s="296"/>
      <c r="T6" s="296"/>
    </row>
    <row r="7">
      <c r="A7" s="79" t="s">
        <v>47</v>
      </c>
      <c r="B7" s="80">
        <v>38.0</v>
      </c>
      <c r="C7" s="80">
        <v>25.0</v>
      </c>
      <c r="D7" s="27">
        <v>450.0</v>
      </c>
      <c r="E7" s="81">
        <v>834.1</v>
      </c>
      <c r="F7" s="81">
        <v>309.6</v>
      </c>
      <c r="G7" s="81">
        <v>524.5</v>
      </c>
      <c r="H7" s="82">
        <v>0.6895322939866371</v>
      </c>
      <c r="I7" s="296"/>
      <c r="J7" s="296"/>
      <c r="K7" s="296"/>
      <c r="L7" s="296"/>
      <c r="M7" s="296"/>
      <c r="N7" s="296"/>
      <c r="O7" s="296"/>
      <c r="P7" s="296"/>
      <c r="Q7" s="296"/>
      <c r="R7" s="296"/>
      <c r="S7" s="296"/>
      <c r="T7" s="296"/>
    </row>
    <row r="8">
      <c r="A8" s="27" t="s">
        <v>137</v>
      </c>
      <c r="B8" s="27">
        <v>23.0</v>
      </c>
      <c r="C8" s="27">
        <v>21.0</v>
      </c>
      <c r="D8" s="27">
        <v>285.0</v>
      </c>
      <c r="E8" s="78">
        <v>531.35</v>
      </c>
      <c r="F8" s="78">
        <v>209.27</v>
      </c>
      <c r="G8" s="78">
        <v>322.08</v>
      </c>
      <c r="H8" s="82">
        <f t="shared" ref="H8:H11" si="1">F8/D8</f>
        <v>0.7342807018</v>
      </c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</row>
    <row r="9">
      <c r="A9" s="79" t="s">
        <v>527</v>
      </c>
      <c r="B9" s="27">
        <v>40.0</v>
      </c>
      <c r="C9" s="11">
        <v>25.0</v>
      </c>
      <c r="D9" s="27">
        <v>222.0</v>
      </c>
      <c r="E9" s="78">
        <v>1034.82</v>
      </c>
      <c r="F9" s="78">
        <v>250.54</v>
      </c>
      <c r="G9" s="78">
        <v>784.28</v>
      </c>
      <c r="H9" s="82">
        <f t="shared" si="1"/>
        <v>1.128558559</v>
      </c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</row>
    <row r="10">
      <c r="A10" s="79" t="s">
        <v>367</v>
      </c>
      <c r="B10" s="27">
        <v>18.0</v>
      </c>
      <c r="C10" s="27">
        <v>16.0</v>
      </c>
      <c r="D10" s="27">
        <v>213.0</v>
      </c>
      <c r="E10" s="78">
        <v>436.82</v>
      </c>
      <c r="F10" s="78">
        <v>222.32</v>
      </c>
      <c r="G10" s="78">
        <v>214.5</v>
      </c>
      <c r="H10" s="82">
        <f t="shared" si="1"/>
        <v>1.043755869</v>
      </c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</row>
    <row r="11">
      <c r="A11" s="79" t="s">
        <v>472</v>
      </c>
      <c r="B11" s="27">
        <v>17.0</v>
      </c>
      <c r="C11" s="27">
        <v>15.0</v>
      </c>
      <c r="D11" s="27">
        <v>206.0</v>
      </c>
      <c r="E11" s="78">
        <v>464.83</v>
      </c>
      <c r="F11" s="78">
        <v>169.78</v>
      </c>
      <c r="G11" s="78">
        <v>295.05</v>
      </c>
      <c r="H11" s="82">
        <f t="shared" si="1"/>
        <v>0.8241747573</v>
      </c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</row>
    <row r="12">
      <c r="A12" s="83" t="s">
        <v>53</v>
      </c>
      <c r="B12" s="84">
        <v>11.0</v>
      </c>
      <c r="C12" s="59">
        <v>7.0</v>
      </c>
      <c r="D12" s="59">
        <v>201.0</v>
      </c>
      <c r="E12" s="61">
        <v>280.38</v>
      </c>
      <c r="F12" s="61">
        <v>137.74</v>
      </c>
      <c r="G12" s="61">
        <v>142.64</v>
      </c>
      <c r="H12" s="85">
        <v>0.6887000000000001</v>
      </c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</row>
    <row r="13">
      <c r="A13" s="297" t="s">
        <v>491</v>
      </c>
      <c r="B13" s="298">
        <v>3.0</v>
      </c>
      <c r="C13" s="298">
        <v>2.0</v>
      </c>
      <c r="D13" s="299">
        <v>153.0</v>
      </c>
      <c r="E13" s="300">
        <v>90.96</v>
      </c>
      <c r="F13" s="300">
        <v>41.96</v>
      </c>
      <c r="G13" s="300">
        <v>49.0</v>
      </c>
      <c r="H13" s="85">
        <v>0.27</v>
      </c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</row>
    <row r="14">
      <c r="A14" s="301" t="s">
        <v>333</v>
      </c>
      <c r="B14" s="297">
        <v>18.0</v>
      </c>
      <c r="C14" s="297">
        <v>9.0</v>
      </c>
      <c r="D14" s="298">
        <v>115.0</v>
      </c>
      <c r="E14" s="302">
        <v>461.81</v>
      </c>
      <c r="F14" s="302">
        <v>218.33</v>
      </c>
      <c r="G14" s="302">
        <v>243.48</v>
      </c>
      <c r="H14" s="85">
        <f t="shared" ref="H14:H37" si="2">F14/D14</f>
        <v>1.898521739</v>
      </c>
      <c r="I14" s="296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</row>
    <row r="15">
      <c r="A15" s="301" t="s">
        <v>394</v>
      </c>
      <c r="B15" s="298">
        <v>8.0</v>
      </c>
      <c r="C15" s="297">
        <v>6.0</v>
      </c>
      <c r="D15" s="298">
        <v>75.0</v>
      </c>
      <c r="E15" s="85">
        <v>174.92</v>
      </c>
      <c r="F15" s="85">
        <v>26.94</v>
      </c>
      <c r="G15" s="85">
        <v>147.98</v>
      </c>
      <c r="H15" s="85">
        <f t="shared" si="2"/>
        <v>0.3592</v>
      </c>
      <c r="I15" s="296"/>
      <c r="J15" s="296"/>
      <c r="K15" s="296"/>
      <c r="L15" s="296"/>
      <c r="M15" s="296"/>
      <c r="N15" s="296"/>
      <c r="O15" s="296"/>
      <c r="P15" s="296"/>
      <c r="Q15" s="296"/>
      <c r="R15" s="296"/>
      <c r="S15" s="296"/>
      <c r="T15" s="296"/>
    </row>
    <row r="16">
      <c r="A16" s="301" t="s">
        <v>219</v>
      </c>
      <c r="B16" s="298">
        <v>6.0</v>
      </c>
      <c r="C16" s="298">
        <v>6.0</v>
      </c>
      <c r="D16" s="298">
        <v>70.0</v>
      </c>
      <c r="E16" s="85">
        <v>76.95</v>
      </c>
      <c r="F16" s="85">
        <v>49.0</v>
      </c>
      <c r="G16" s="85">
        <v>27.95</v>
      </c>
      <c r="H16" s="85">
        <f t="shared" si="2"/>
        <v>0.7</v>
      </c>
      <c r="I16" s="296"/>
      <c r="J16" s="296"/>
      <c r="K16" s="296"/>
      <c r="L16" s="296"/>
      <c r="M16" s="296"/>
      <c r="N16" s="296"/>
      <c r="O16" s="296"/>
      <c r="P16" s="296"/>
      <c r="Q16" s="296"/>
      <c r="R16" s="296"/>
      <c r="S16" s="296"/>
      <c r="T16" s="296"/>
    </row>
    <row r="17">
      <c r="A17" s="298" t="s">
        <v>231</v>
      </c>
      <c r="B17" s="298">
        <v>5.0</v>
      </c>
      <c r="C17" s="298">
        <v>5.0</v>
      </c>
      <c r="D17" s="298">
        <v>67.0</v>
      </c>
      <c r="E17" s="85">
        <v>106.95</v>
      </c>
      <c r="F17" s="85">
        <v>61.96</v>
      </c>
      <c r="G17" s="85">
        <v>44.99</v>
      </c>
      <c r="H17" s="85">
        <f t="shared" si="2"/>
        <v>0.9247761194</v>
      </c>
      <c r="I17" s="296"/>
      <c r="J17" s="296"/>
      <c r="K17" s="296"/>
      <c r="L17" s="296"/>
      <c r="M17" s="296"/>
      <c r="N17" s="296"/>
      <c r="O17" s="296"/>
      <c r="P17" s="296"/>
      <c r="Q17" s="296"/>
      <c r="R17" s="296"/>
      <c r="S17" s="296"/>
      <c r="T17" s="296"/>
    </row>
    <row r="18">
      <c r="A18" s="301" t="s">
        <v>389</v>
      </c>
      <c r="B18" s="297">
        <v>3.0</v>
      </c>
      <c r="C18" s="297">
        <v>2.0</v>
      </c>
      <c r="D18" s="297">
        <v>51.0</v>
      </c>
      <c r="E18" s="302">
        <v>53.97</v>
      </c>
      <c r="F18" s="302">
        <v>24.48</v>
      </c>
      <c r="G18" s="302">
        <v>29.49</v>
      </c>
      <c r="H18" s="85">
        <f t="shared" si="2"/>
        <v>0.48</v>
      </c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</row>
    <row r="19">
      <c r="A19" s="301" t="s">
        <v>466</v>
      </c>
      <c r="B19" s="298">
        <v>2.0</v>
      </c>
      <c r="C19" s="297">
        <v>1.0</v>
      </c>
      <c r="D19" s="298">
        <v>42.0</v>
      </c>
      <c r="E19" s="85">
        <v>54.98</v>
      </c>
      <c r="F19" s="85">
        <v>35.43</v>
      </c>
      <c r="G19" s="85">
        <v>19.55</v>
      </c>
      <c r="H19" s="85">
        <f t="shared" si="2"/>
        <v>0.8435714286</v>
      </c>
      <c r="I19" s="296"/>
      <c r="J19" s="296"/>
      <c r="K19" s="296"/>
      <c r="L19" s="296"/>
      <c r="M19" s="296"/>
      <c r="N19" s="296"/>
      <c r="O19" s="296"/>
      <c r="P19" s="296"/>
      <c r="Q19" s="296"/>
      <c r="R19" s="296"/>
      <c r="S19" s="296"/>
      <c r="T19" s="296"/>
    </row>
    <row r="20">
      <c r="A20" s="301" t="s">
        <v>159</v>
      </c>
      <c r="B20" s="298">
        <v>5.0</v>
      </c>
      <c r="C20" s="301">
        <v>3.0</v>
      </c>
      <c r="D20" s="298">
        <v>40.0</v>
      </c>
      <c r="E20" s="303">
        <v>149.95</v>
      </c>
      <c r="F20" s="303">
        <v>79.95</v>
      </c>
      <c r="G20" s="303">
        <v>70.0</v>
      </c>
      <c r="H20" s="85">
        <f t="shared" si="2"/>
        <v>1.99875</v>
      </c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</row>
    <row r="21">
      <c r="A21" s="301" t="s">
        <v>515</v>
      </c>
      <c r="B21" s="297">
        <v>12.0</v>
      </c>
      <c r="C21" s="297">
        <v>11.0</v>
      </c>
      <c r="D21" s="297">
        <v>39.0</v>
      </c>
      <c r="E21" s="302">
        <v>202.88</v>
      </c>
      <c r="F21" s="302">
        <v>71.25</v>
      </c>
      <c r="G21" s="302">
        <v>131.63</v>
      </c>
      <c r="H21" s="85">
        <f t="shared" si="2"/>
        <v>1.826923077</v>
      </c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</row>
    <row r="22">
      <c r="A22" s="15" t="s">
        <v>508</v>
      </c>
      <c r="B22" s="15">
        <v>4.0</v>
      </c>
      <c r="C22" s="16">
        <v>2.0</v>
      </c>
      <c r="D22" s="26">
        <v>38.0</v>
      </c>
      <c r="E22" s="115">
        <v>57.96</v>
      </c>
      <c r="F22" s="115">
        <v>17.46</v>
      </c>
      <c r="G22" s="115">
        <v>40.5</v>
      </c>
      <c r="H22" s="141">
        <f t="shared" si="2"/>
        <v>0.4594736842</v>
      </c>
      <c r="I22" s="292"/>
      <c r="J22" s="292"/>
      <c r="K22" s="292"/>
      <c r="L22" s="292"/>
      <c r="M22" s="292"/>
      <c r="N22" s="292"/>
      <c r="O22" s="292"/>
      <c r="P22" s="292"/>
      <c r="Q22" s="292"/>
      <c r="R22" s="292"/>
      <c r="S22" s="292"/>
      <c r="T22" s="292"/>
    </row>
    <row r="23">
      <c r="A23" s="304" t="s">
        <v>170</v>
      </c>
      <c r="B23" s="305">
        <v>1.0</v>
      </c>
      <c r="C23" s="305">
        <v>1.0</v>
      </c>
      <c r="D23" s="146">
        <v>28.0</v>
      </c>
      <c r="E23" s="306">
        <v>24.99</v>
      </c>
      <c r="F23" s="306">
        <v>9.99</v>
      </c>
      <c r="G23" s="306">
        <v>15.0</v>
      </c>
      <c r="H23" s="142">
        <f t="shared" si="2"/>
        <v>0.3567857143</v>
      </c>
      <c r="I23" s="296"/>
      <c r="J23" s="296"/>
      <c r="K23" s="296"/>
      <c r="L23" s="296"/>
      <c r="M23" s="296"/>
      <c r="N23" s="296"/>
      <c r="O23" s="296"/>
      <c r="P23" s="296"/>
      <c r="Q23" s="296"/>
      <c r="R23" s="296"/>
      <c r="S23" s="296"/>
      <c r="T23" s="296"/>
    </row>
    <row r="24">
      <c r="A24" s="146" t="s">
        <v>468</v>
      </c>
      <c r="B24" s="146">
        <v>2.0</v>
      </c>
      <c r="C24" s="146">
        <v>1.0</v>
      </c>
      <c r="D24" s="146">
        <v>23.0</v>
      </c>
      <c r="E24" s="145">
        <v>29.98</v>
      </c>
      <c r="F24" s="145">
        <v>4.99</v>
      </c>
      <c r="G24" s="145">
        <v>24.99</v>
      </c>
      <c r="H24" s="142">
        <f t="shared" si="2"/>
        <v>0.2169565217</v>
      </c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</row>
    <row r="25">
      <c r="A25" s="304" t="s">
        <v>555</v>
      </c>
      <c r="B25" s="305">
        <v>1.0</v>
      </c>
      <c r="C25" s="305">
        <v>1.0</v>
      </c>
      <c r="D25" s="146">
        <v>21.0</v>
      </c>
      <c r="E25" s="306">
        <v>14.99</v>
      </c>
      <c r="F25" s="306">
        <v>0.0</v>
      </c>
      <c r="G25" s="306">
        <v>14.99</v>
      </c>
      <c r="H25" s="142">
        <f t="shared" si="2"/>
        <v>0</v>
      </c>
      <c r="I25" s="296"/>
      <c r="J25" s="296"/>
      <c r="K25" s="296"/>
      <c r="L25" s="296"/>
      <c r="M25" s="296"/>
      <c r="N25" s="296"/>
      <c r="O25" s="296"/>
      <c r="P25" s="296"/>
      <c r="Q25" s="296"/>
      <c r="R25" s="296"/>
      <c r="S25" s="296"/>
      <c r="T25" s="296"/>
    </row>
    <row r="26">
      <c r="A26" s="304" t="s">
        <v>449</v>
      </c>
      <c r="B26" s="305">
        <v>2.0</v>
      </c>
      <c r="C26" s="305">
        <v>2.0</v>
      </c>
      <c r="D26" s="146">
        <v>21.0</v>
      </c>
      <c r="E26" s="306">
        <v>66.97</v>
      </c>
      <c r="F26" s="306">
        <v>12.98</v>
      </c>
      <c r="G26" s="306">
        <v>53.99</v>
      </c>
      <c r="H26" s="142">
        <f t="shared" si="2"/>
        <v>0.6180952381</v>
      </c>
      <c r="I26" s="296"/>
      <c r="J26" s="296"/>
      <c r="K26" s="296"/>
      <c r="L26" s="296"/>
      <c r="M26" s="296"/>
      <c r="N26" s="296"/>
      <c r="O26" s="296"/>
      <c r="P26" s="296"/>
      <c r="Q26" s="296"/>
      <c r="R26" s="296"/>
      <c r="S26" s="296"/>
      <c r="T26" s="296"/>
    </row>
    <row r="27">
      <c r="A27" s="15" t="s">
        <v>513</v>
      </c>
      <c r="B27" s="26">
        <v>2.0</v>
      </c>
      <c r="C27" s="16">
        <v>1.0</v>
      </c>
      <c r="D27" s="307">
        <v>20.0</v>
      </c>
      <c r="E27" s="308">
        <v>34.98</v>
      </c>
      <c r="F27" s="308">
        <v>4.99</v>
      </c>
      <c r="G27" s="308">
        <v>29.99</v>
      </c>
      <c r="H27" s="142">
        <f t="shared" si="2"/>
        <v>0.2495</v>
      </c>
      <c r="I27" s="296"/>
      <c r="J27" s="296"/>
      <c r="K27" s="296"/>
      <c r="L27" s="296"/>
      <c r="M27" s="296"/>
      <c r="N27" s="296"/>
      <c r="O27" s="296"/>
      <c r="P27" s="296"/>
      <c r="Q27" s="296"/>
      <c r="R27" s="296"/>
      <c r="S27" s="296"/>
      <c r="T27" s="296"/>
    </row>
    <row r="28">
      <c r="A28" s="15" t="s">
        <v>470</v>
      </c>
      <c r="B28" s="26">
        <v>2.0</v>
      </c>
      <c r="C28" s="16">
        <v>1.0</v>
      </c>
      <c r="D28" s="26">
        <v>17.0</v>
      </c>
      <c r="E28" s="115">
        <v>69.98</v>
      </c>
      <c r="F28" s="115">
        <v>21.48</v>
      </c>
      <c r="G28" s="115">
        <v>48.5</v>
      </c>
      <c r="H28" s="142">
        <f t="shared" si="2"/>
        <v>1.263529412</v>
      </c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</row>
    <row r="29">
      <c r="A29" s="15" t="s">
        <v>237</v>
      </c>
      <c r="B29" s="26">
        <v>10.0</v>
      </c>
      <c r="C29" s="26">
        <v>7.0</v>
      </c>
      <c r="D29" s="307">
        <v>17.0</v>
      </c>
      <c r="E29" s="308">
        <v>269.89</v>
      </c>
      <c r="F29" s="308">
        <v>22.47</v>
      </c>
      <c r="G29" s="308">
        <v>247.42</v>
      </c>
      <c r="H29" s="141">
        <f t="shared" si="2"/>
        <v>1.321764706</v>
      </c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</row>
    <row r="30">
      <c r="A30" s="304" t="s">
        <v>559</v>
      </c>
      <c r="B30" s="304">
        <v>6.0</v>
      </c>
      <c r="C30" s="305">
        <v>3.0</v>
      </c>
      <c r="D30" s="146">
        <v>17.0</v>
      </c>
      <c r="E30" s="306">
        <v>167.95</v>
      </c>
      <c r="F30" s="306">
        <v>69.95</v>
      </c>
      <c r="G30" s="306">
        <v>98.0</v>
      </c>
      <c r="H30" s="142">
        <f t="shared" si="2"/>
        <v>4.114705882</v>
      </c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</row>
    <row r="31">
      <c r="A31" s="304" t="s">
        <v>494</v>
      </c>
      <c r="B31" s="146">
        <v>7.0</v>
      </c>
      <c r="C31" s="146">
        <v>7.0</v>
      </c>
      <c r="D31" s="26">
        <v>14.0</v>
      </c>
      <c r="E31" s="141">
        <v>61.93</v>
      </c>
      <c r="F31" s="141">
        <v>30.59</v>
      </c>
      <c r="G31" s="141">
        <v>31.34</v>
      </c>
      <c r="H31" s="142">
        <f t="shared" si="2"/>
        <v>2.185</v>
      </c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</row>
    <row r="32">
      <c r="A32" s="304" t="s">
        <v>715</v>
      </c>
      <c r="B32" s="305">
        <v>4.0</v>
      </c>
      <c r="C32" s="305">
        <v>2.0</v>
      </c>
      <c r="D32" s="146">
        <v>9.0</v>
      </c>
      <c r="E32" s="306">
        <v>52.98</v>
      </c>
      <c r="F32" s="306">
        <v>27.48</v>
      </c>
      <c r="G32" s="306">
        <v>25.5</v>
      </c>
      <c r="H32" s="142">
        <f t="shared" si="2"/>
        <v>3.053333333</v>
      </c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</row>
    <row r="33">
      <c r="A33" s="304" t="s">
        <v>452</v>
      </c>
      <c r="B33" s="146">
        <v>1.0</v>
      </c>
      <c r="C33" s="146">
        <v>1.0</v>
      </c>
      <c r="D33" s="146">
        <v>8.0</v>
      </c>
      <c r="E33" s="142">
        <v>14.99</v>
      </c>
      <c r="F33" s="142">
        <v>9.99</v>
      </c>
      <c r="G33" s="142">
        <v>5.0</v>
      </c>
      <c r="H33" s="142">
        <f t="shared" si="2"/>
        <v>1.24875</v>
      </c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</row>
    <row r="34">
      <c r="A34" s="15" t="s">
        <v>228</v>
      </c>
      <c r="B34" s="26">
        <v>5.0</v>
      </c>
      <c r="C34" s="26">
        <v>2.0</v>
      </c>
      <c r="D34" s="307">
        <v>7.0</v>
      </c>
      <c r="E34" s="308">
        <v>74.97</v>
      </c>
      <c r="F34" s="308">
        <v>16.47</v>
      </c>
      <c r="G34" s="308">
        <v>58.5</v>
      </c>
      <c r="H34" s="142">
        <f t="shared" si="2"/>
        <v>2.352857143</v>
      </c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</row>
    <row r="35">
      <c r="A35" s="304" t="s">
        <v>226</v>
      </c>
      <c r="B35" s="305">
        <v>1.0</v>
      </c>
      <c r="C35" s="305">
        <v>1.0</v>
      </c>
      <c r="D35" s="146">
        <v>6.0</v>
      </c>
      <c r="E35" s="306">
        <v>7.99</v>
      </c>
      <c r="F35" s="306">
        <v>2.99</v>
      </c>
      <c r="G35" s="306">
        <v>5.0</v>
      </c>
      <c r="H35" s="142">
        <f t="shared" si="2"/>
        <v>0.4983333333</v>
      </c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</row>
    <row r="36">
      <c r="A36" s="304" t="s">
        <v>384</v>
      </c>
      <c r="B36" s="305">
        <v>2.0</v>
      </c>
      <c r="C36" s="305">
        <v>2.0</v>
      </c>
      <c r="D36" s="146">
        <v>6.0</v>
      </c>
      <c r="E36" s="306">
        <v>29.98</v>
      </c>
      <c r="F36" s="306">
        <v>23.98</v>
      </c>
      <c r="G36" s="306">
        <v>6.0</v>
      </c>
      <c r="H36" s="142">
        <f t="shared" si="2"/>
        <v>3.996666667</v>
      </c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</row>
    <row r="37">
      <c r="A37" s="304" t="s">
        <v>488</v>
      </c>
      <c r="B37" s="146">
        <v>2.0</v>
      </c>
      <c r="C37" s="146">
        <v>2.0</v>
      </c>
      <c r="D37" s="309">
        <v>5.0</v>
      </c>
      <c r="E37" s="310">
        <v>28.98</v>
      </c>
      <c r="F37" s="310">
        <v>15.98</v>
      </c>
      <c r="G37" s="310">
        <v>13.0</v>
      </c>
      <c r="H37" s="310">
        <f t="shared" si="2"/>
        <v>3.196</v>
      </c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</row>
    <row r="38">
      <c r="A38" s="305" t="s">
        <v>557</v>
      </c>
      <c r="B38" s="146">
        <v>1.0</v>
      </c>
      <c r="C38" s="146">
        <v>1.0</v>
      </c>
      <c r="D38" s="146">
        <v>4.0</v>
      </c>
      <c r="E38" s="142">
        <v>19.99</v>
      </c>
      <c r="F38" s="306">
        <v>0.0</v>
      </c>
      <c r="G38" s="142">
        <v>19.99</v>
      </c>
      <c r="H38" s="142">
        <v>0.0</v>
      </c>
      <c r="I38" s="296"/>
      <c r="J38" s="296"/>
      <c r="K38" s="296"/>
      <c r="L38" s="296"/>
      <c r="M38" s="296"/>
      <c r="N38" s="296"/>
      <c r="O38" s="296"/>
      <c r="P38" s="296"/>
      <c r="Q38" s="296"/>
      <c r="R38" s="296"/>
      <c r="S38" s="296"/>
      <c r="T38" s="296"/>
    </row>
    <row r="39">
      <c r="A39" s="304" t="s">
        <v>392</v>
      </c>
      <c r="B39" s="305">
        <v>1.0</v>
      </c>
      <c r="C39" s="305">
        <v>1.0</v>
      </c>
      <c r="D39" s="146">
        <v>3.0</v>
      </c>
      <c r="E39" s="306">
        <v>4.99</v>
      </c>
      <c r="F39" s="306">
        <v>0.0</v>
      </c>
      <c r="G39" s="306">
        <v>4.99</v>
      </c>
      <c r="H39" s="142">
        <f t="shared" ref="H39:H45" si="3">F39/D39</f>
        <v>0</v>
      </c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</row>
    <row r="40">
      <c r="A40" s="304" t="s">
        <v>168</v>
      </c>
      <c r="B40" s="305">
        <v>1.0</v>
      </c>
      <c r="C40" s="305">
        <v>1.0</v>
      </c>
      <c r="D40" s="146">
        <v>3.0</v>
      </c>
      <c r="E40" s="306">
        <v>5.99</v>
      </c>
      <c r="F40" s="306">
        <v>5.99</v>
      </c>
      <c r="G40" s="306">
        <v>0.0</v>
      </c>
      <c r="H40" s="142">
        <f t="shared" si="3"/>
        <v>1.996666667</v>
      </c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</row>
    <row r="41">
      <c r="A41" s="304" t="s">
        <v>454</v>
      </c>
      <c r="B41" s="304">
        <v>1.0</v>
      </c>
      <c r="C41" s="304">
        <v>1.0</v>
      </c>
      <c r="D41" s="146">
        <v>3.0</v>
      </c>
      <c r="E41" s="306">
        <v>9.99</v>
      </c>
      <c r="F41" s="306">
        <v>6.99</v>
      </c>
      <c r="G41" s="306">
        <v>3.0</v>
      </c>
      <c r="H41" s="142">
        <f t="shared" si="3"/>
        <v>2.33</v>
      </c>
      <c r="I41" s="296"/>
      <c r="J41" s="296"/>
      <c r="K41" s="296"/>
      <c r="L41" s="296"/>
      <c r="M41" s="296"/>
      <c r="N41" s="296"/>
      <c r="O41" s="296"/>
      <c r="P41" s="296"/>
      <c r="Q41" s="296"/>
      <c r="R41" s="296"/>
      <c r="S41" s="296"/>
      <c r="T41" s="296"/>
    </row>
    <row r="42">
      <c r="A42" s="304" t="s">
        <v>245</v>
      </c>
      <c r="B42" s="305">
        <v>1.0</v>
      </c>
      <c r="C42" s="305">
        <v>1.0</v>
      </c>
      <c r="D42" s="146">
        <v>2.0</v>
      </c>
      <c r="E42" s="306">
        <v>1.99</v>
      </c>
      <c r="F42" s="306">
        <v>1.99</v>
      </c>
      <c r="G42" s="306">
        <v>0.0</v>
      </c>
      <c r="H42" s="142">
        <f t="shared" si="3"/>
        <v>0.995</v>
      </c>
      <c r="I42" s="296"/>
      <c r="J42" s="296"/>
      <c r="K42" s="296"/>
      <c r="L42" s="296"/>
      <c r="M42" s="296"/>
      <c r="N42" s="296"/>
      <c r="O42" s="296"/>
      <c r="P42" s="296"/>
      <c r="Q42" s="296"/>
      <c r="R42" s="296"/>
      <c r="S42" s="296"/>
      <c r="T42" s="296"/>
    </row>
    <row r="43">
      <c r="A43" s="304" t="s">
        <v>163</v>
      </c>
      <c r="B43" s="305">
        <v>2.0</v>
      </c>
      <c r="C43" s="305">
        <v>2.0</v>
      </c>
      <c r="D43" s="305">
        <v>2.0</v>
      </c>
      <c r="E43" s="306">
        <v>39.98</v>
      </c>
      <c r="F43" s="306">
        <v>10.98</v>
      </c>
      <c r="G43" s="306">
        <v>29.0</v>
      </c>
      <c r="H43" s="142">
        <f t="shared" si="3"/>
        <v>5.49</v>
      </c>
      <c r="I43" s="296"/>
      <c r="J43" s="296"/>
      <c r="K43" s="296"/>
      <c r="L43" s="296"/>
      <c r="M43" s="296"/>
      <c r="N43" s="296"/>
      <c r="O43" s="296"/>
      <c r="P43" s="296"/>
      <c r="Q43" s="296"/>
      <c r="R43" s="296"/>
      <c r="S43" s="296"/>
      <c r="T43" s="296"/>
    </row>
    <row r="44">
      <c r="A44" s="304" t="s">
        <v>456</v>
      </c>
      <c r="B44" s="305">
        <v>1.0</v>
      </c>
      <c r="C44" s="304">
        <v>1.0</v>
      </c>
      <c r="D44" s="146">
        <v>2.0</v>
      </c>
      <c r="E44" s="306">
        <v>39.99</v>
      </c>
      <c r="F44" s="306">
        <v>19.99</v>
      </c>
      <c r="G44" s="306">
        <v>20.0</v>
      </c>
      <c r="H44" s="142">
        <f t="shared" si="3"/>
        <v>9.995</v>
      </c>
      <c r="I44" s="296"/>
      <c r="J44" s="296"/>
      <c r="K44" s="296"/>
      <c r="L44" s="296"/>
      <c r="M44" s="296"/>
      <c r="N44" s="296"/>
      <c r="O44" s="296"/>
      <c r="P44" s="296"/>
      <c r="Q44" s="296"/>
      <c r="R44" s="296"/>
      <c r="S44" s="296"/>
      <c r="T44" s="296"/>
    </row>
    <row r="45">
      <c r="A45" s="304" t="s">
        <v>553</v>
      </c>
      <c r="B45" s="305">
        <v>1.0</v>
      </c>
      <c r="C45" s="305">
        <v>1.0</v>
      </c>
      <c r="D45" s="146">
        <v>1.0</v>
      </c>
      <c r="E45" s="306">
        <v>39.99</v>
      </c>
      <c r="F45" s="306">
        <v>0.0</v>
      </c>
      <c r="G45" s="306">
        <v>39.99</v>
      </c>
      <c r="H45" s="142">
        <f t="shared" si="3"/>
        <v>0</v>
      </c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</row>
    <row r="46">
      <c r="A46" s="115" t="s">
        <v>331</v>
      </c>
      <c r="B46" s="26">
        <v>1.0</v>
      </c>
      <c r="C46" s="26">
        <v>1.0</v>
      </c>
      <c r="D46" s="26">
        <v>1.0</v>
      </c>
      <c r="E46" s="115">
        <v>39.99</v>
      </c>
      <c r="F46" s="115">
        <v>0.0</v>
      </c>
      <c r="G46" s="115">
        <v>39.99</v>
      </c>
      <c r="H46" s="141">
        <v>0.0</v>
      </c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</row>
    <row r="47">
      <c r="A47" s="304" t="s">
        <v>511</v>
      </c>
      <c r="B47" s="304">
        <v>1.0</v>
      </c>
      <c r="C47" s="305">
        <v>1.0</v>
      </c>
      <c r="D47" s="146">
        <v>1.0</v>
      </c>
      <c r="E47" s="306">
        <v>9.99</v>
      </c>
      <c r="F47" s="306">
        <v>4.99</v>
      </c>
      <c r="G47" s="306">
        <v>5.0</v>
      </c>
      <c r="H47" s="142">
        <f t="shared" ref="H47:H50" si="4">F47/D47</f>
        <v>4.99</v>
      </c>
      <c r="I47" s="296"/>
      <c r="J47" s="296"/>
      <c r="K47" s="296"/>
      <c r="L47" s="296"/>
      <c r="M47" s="296"/>
      <c r="N47" s="296"/>
      <c r="O47" s="296"/>
      <c r="P47" s="296"/>
      <c r="Q47" s="296"/>
      <c r="R47" s="296"/>
      <c r="S47" s="296"/>
      <c r="T47" s="296"/>
    </row>
    <row r="48">
      <c r="A48" s="304" t="s">
        <v>387</v>
      </c>
      <c r="B48" s="305">
        <v>1.0</v>
      </c>
      <c r="C48" s="305">
        <v>1.0</v>
      </c>
      <c r="D48" s="146">
        <v>1.0</v>
      </c>
      <c r="E48" s="306">
        <v>29.99</v>
      </c>
      <c r="F48" s="306">
        <v>10.99</v>
      </c>
      <c r="G48" s="306">
        <v>19.0</v>
      </c>
      <c r="H48" s="142">
        <f t="shared" si="4"/>
        <v>10.99</v>
      </c>
      <c r="I48" s="296"/>
      <c r="J48" s="296"/>
      <c r="K48" s="296"/>
      <c r="L48" s="296"/>
      <c r="M48" s="296"/>
      <c r="N48" s="296"/>
      <c r="O48" s="296"/>
      <c r="P48" s="296"/>
      <c r="Q48" s="296"/>
      <c r="R48" s="296"/>
      <c r="S48" s="296"/>
      <c r="T48" s="296"/>
    </row>
    <row r="49">
      <c r="A49" s="304" t="s">
        <v>166</v>
      </c>
      <c r="B49" s="305">
        <v>1.0</v>
      </c>
      <c r="C49" s="305">
        <v>1.0</v>
      </c>
      <c r="D49" s="146">
        <v>1.0</v>
      </c>
      <c r="E49" s="306">
        <v>14.49</v>
      </c>
      <c r="F49" s="306">
        <v>11.59</v>
      </c>
      <c r="G49" s="306">
        <v>2.9</v>
      </c>
      <c r="H49" s="142">
        <f t="shared" si="4"/>
        <v>11.59</v>
      </c>
      <c r="I49" s="296"/>
      <c r="J49" s="296"/>
      <c r="K49" s="296"/>
      <c r="L49" s="296"/>
      <c r="M49" s="296"/>
      <c r="N49" s="296"/>
      <c r="O49" s="296"/>
      <c r="P49" s="296"/>
      <c r="Q49" s="296"/>
      <c r="R49" s="296"/>
      <c r="S49" s="296"/>
      <c r="T49" s="296"/>
    </row>
    <row r="50">
      <c r="A50" s="304" t="s">
        <v>464</v>
      </c>
      <c r="B50" s="305">
        <v>1.0</v>
      </c>
      <c r="C50" s="304">
        <v>1.0</v>
      </c>
      <c r="D50" s="146">
        <v>1.0</v>
      </c>
      <c r="E50" s="306">
        <v>39.99</v>
      </c>
      <c r="F50" s="306">
        <v>19.99</v>
      </c>
      <c r="G50" s="306">
        <v>20.0</v>
      </c>
      <c r="H50" s="142">
        <f t="shared" si="4"/>
        <v>19.99</v>
      </c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</row>
  </sheetData>
  <autoFilter ref="$A$1:$H$50">
    <sortState ref="A1:H50">
      <sortCondition descending="1" ref="D1:D50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61.75"/>
    <col customWidth="1" min="3" max="3" width="7.38"/>
    <col customWidth="1" min="4" max="4" width="91.5"/>
    <col customWidth="1" min="5" max="5" width="9.75"/>
    <col customWidth="1" min="6" max="6" width="14.88"/>
    <col customWidth="1" min="7" max="7" width="17.38"/>
    <col customWidth="1" min="8" max="8" width="13.88"/>
    <col customWidth="1" min="9" max="9" width="15.25"/>
    <col customWidth="1" min="10" max="10" width="13.88"/>
    <col customWidth="1" min="11" max="11" width="14.25"/>
    <col customWidth="1" min="12" max="12" width="10.75"/>
    <col customWidth="1" min="13" max="13" width="8.75"/>
    <col customWidth="1" min="14" max="14" width="10.25"/>
  </cols>
  <sheetData>
    <row r="1">
      <c r="A1" s="12" t="s">
        <v>4</v>
      </c>
      <c r="B1" s="12" t="s">
        <v>5</v>
      </c>
      <c r="C1" s="12" t="s">
        <v>6</v>
      </c>
      <c r="D1" s="13" t="s">
        <v>7</v>
      </c>
      <c r="E1" s="13" t="s">
        <v>8</v>
      </c>
      <c r="F1" s="12" t="s">
        <v>9</v>
      </c>
      <c r="G1" s="12" t="s">
        <v>10</v>
      </c>
      <c r="H1" s="12" t="s">
        <v>11</v>
      </c>
      <c r="I1" s="12" t="s">
        <v>12</v>
      </c>
      <c r="J1" s="13" t="s">
        <v>13</v>
      </c>
      <c r="K1" s="13" t="s">
        <v>14</v>
      </c>
      <c r="L1" s="13" t="s">
        <v>15</v>
      </c>
      <c r="M1" s="13" t="s">
        <v>16</v>
      </c>
      <c r="N1" s="13" t="s">
        <v>17</v>
      </c>
    </row>
    <row r="2">
      <c r="A2" s="311" t="s">
        <v>137</v>
      </c>
      <c r="B2" s="312" t="s">
        <v>136</v>
      </c>
      <c r="C2" s="312">
        <v>202.0</v>
      </c>
      <c r="D2" s="312" t="s">
        <v>721</v>
      </c>
      <c r="E2" s="312" t="s">
        <v>24</v>
      </c>
      <c r="F2" s="313">
        <v>41929.0</v>
      </c>
      <c r="G2" s="313">
        <v>42072.0</v>
      </c>
      <c r="H2" s="313">
        <v>42072.0</v>
      </c>
      <c r="I2" s="313">
        <v>45446.0</v>
      </c>
      <c r="J2" s="314">
        <v>54.99</v>
      </c>
      <c r="K2" s="314">
        <v>31.49</v>
      </c>
      <c r="L2" s="314">
        <v>23.5</v>
      </c>
      <c r="M2" s="312">
        <v>65.0</v>
      </c>
      <c r="N2" s="314">
        <v>0.48</v>
      </c>
    </row>
    <row r="3">
      <c r="A3" s="312" t="s">
        <v>137</v>
      </c>
      <c r="B3" s="312" t="s">
        <v>138</v>
      </c>
      <c r="C3" s="312">
        <v>656.0</v>
      </c>
      <c r="D3" s="312" t="s">
        <v>734</v>
      </c>
      <c r="E3" s="312" t="s">
        <v>26</v>
      </c>
      <c r="F3" s="313">
        <v>44537.0</v>
      </c>
      <c r="G3" s="313">
        <v>44867.0</v>
      </c>
      <c r="H3" s="313">
        <v>44867.0</v>
      </c>
      <c r="I3" s="313">
        <v>44867.0</v>
      </c>
      <c r="J3" s="314">
        <v>20.99</v>
      </c>
      <c r="K3" s="314">
        <v>0.0</v>
      </c>
      <c r="L3" s="314">
        <v>20.99</v>
      </c>
      <c r="M3" s="312">
        <v>1.0</v>
      </c>
      <c r="N3" s="314">
        <v>0.0</v>
      </c>
    </row>
    <row r="4">
      <c r="A4" s="312" t="s">
        <v>137</v>
      </c>
      <c r="B4" s="312" t="s">
        <v>139</v>
      </c>
      <c r="C4" s="312">
        <v>861.0</v>
      </c>
      <c r="D4" s="312" t="s">
        <v>732</v>
      </c>
      <c r="E4" s="312" t="s">
        <v>26</v>
      </c>
      <c r="F4" s="313">
        <v>43942.0</v>
      </c>
      <c r="G4" s="313">
        <v>44335.0</v>
      </c>
      <c r="H4" s="313">
        <v>44336.0</v>
      </c>
      <c r="I4" s="313">
        <v>44336.0</v>
      </c>
      <c r="J4" s="314">
        <v>19.99</v>
      </c>
      <c r="K4" s="314">
        <v>0.0</v>
      </c>
      <c r="L4" s="314">
        <v>19.99</v>
      </c>
      <c r="M4" s="312">
        <v>2.0</v>
      </c>
      <c r="N4" s="314">
        <v>0.0</v>
      </c>
    </row>
    <row r="5">
      <c r="A5" s="312" t="s">
        <v>137</v>
      </c>
      <c r="B5" s="312" t="s">
        <v>140</v>
      </c>
      <c r="C5" s="312">
        <v>899.0</v>
      </c>
      <c r="D5" s="312" t="s">
        <v>733</v>
      </c>
      <c r="E5" s="312" t="s">
        <v>26</v>
      </c>
      <c r="F5" s="313">
        <v>44096.0</v>
      </c>
      <c r="G5" s="313">
        <v>44411.0</v>
      </c>
      <c r="H5" s="313">
        <v>44411.0</v>
      </c>
      <c r="I5" s="313">
        <v>44411.0</v>
      </c>
      <c r="J5" s="314">
        <v>49.99</v>
      </c>
      <c r="K5" s="314">
        <v>0.0</v>
      </c>
      <c r="L5" s="314">
        <v>49.99</v>
      </c>
      <c r="M5" s="312">
        <v>1.0</v>
      </c>
      <c r="N5" s="314">
        <v>0.0</v>
      </c>
    </row>
    <row r="6">
      <c r="A6" s="311" t="s">
        <v>137</v>
      </c>
      <c r="B6" s="312" t="s">
        <v>141</v>
      </c>
      <c r="C6" s="312">
        <v>1064.0</v>
      </c>
      <c r="D6" s="312" t="s">
        <v>739</v>
      </c>
      <c r="E6" s="312" t="s">
        <v>28</v>
      </c>
      <c r="F6" s="313">
        <v>44474.0</v>
      </c>
      <c r="G6" s="313">
        <v>44474.0</v>
      </c>
      <c r="H6" s="313">
        <v>45412.0</v>
      </c>
      <c r="I6" s="313">
        <v>45412.0</v>
      </c>
      <c r="J6" s="315">
        <v>39.99</v>
      </c>
      <c r="K6" s="315">
        <v>0.0</v>
      </c>
      <c r="L6" s="315">
        <v>39.99</v>
      </c>
      <c r="M6" s="312">
        <v>1.0</v>
      </c>
      <c r="N6" s="314">
        <v>0.0</v>
      </c>
    </row>
    <row r="7">
      <c r="A7" s="316" t="s">
        <v>137</v>
      </c>
      <c r="B7" s="312" t="s">
        <v>142</v>
      </c>
      <c r="C7" s="312">
        <v>572.0</v>
      </c>
      <c r="D7" s="312" t="s">
        <v>727</v>
      </c>
      <c r="E7" s="312" t="s">
        <v>26</v>
      </c>
      <c r="F7" s="313">
        <v>43053.0</v>
      </c>
      <c r="G7" s="313">
        <v>45256.0</v>
      </c>
      <c r="H7" s="313">
        <v>45256.0</v>
      </c>
      <c r="I7" s="313">
        <v>45256.0</v>
      </c>
      <c r="J7" s="314">
        <v>19.99</v>
      </c>
      <c r="K7" s="314">
        <v>3.99</v>
      </c>
      <c r="L7" s="314">
        <v>16.0</v>
      </c>
      <c r="M7" s="312">
        <v>1.0</v>
      </c>
      <c r="N7" s="314">
        <v>3.99</v>
      </c>
    </row>
    <row r="8">
      <c r="A8" s="312" t="s">
        <v>137</v>
      </c>
      <c r="B8" s="312" t="s">
        <v>143</v>
      </c>
      <c r="C8" s="312">
        <v>675.0</v>
      </c>
      <c r="D8" s="312" t="s">
        <v>730</v>
      </c>
      <c r="E8" s="312" t="s">
        <v>26</v>
      </c>
      <c r="F8" s="313">
        <v>43391.0</v>
      </c>
      <c r="G8" s="313">
        <v>44351.0</v>
      </c>
      <c r="H8" s="313">
        <v>44472.0</v>
      </c>
      <c r="I8" s="313">
        <v>44473.0</v>
      </c>
      <c r="J8" s="314">
        <v>17.99</v>
      </c>
      <c r="K8" s="314">
        <v>8.99</v>
      </c>
      <c r="L8" s="314">
        <v>9.0</v>
      </c>
      <c r="M8" s="312">
        <v>5.0</v>
      </c>
      <c r="N8" s="314">
        <v>1.8</v>
      </c>
    </row>
    <row r="9">
      <c r="A9" s="312" t="s">
        <v>137</v>
      </c>
      <c r="B9" s="312" t="s">
        <v>144</v>
      </c>
      <c r="C9" s="312">
        <v>845.0</v>
      </c>
      <c r="D9" s="315" t="s">
        <v>726</v>
      </c>
      <c r="E9" s="315" t="s">
        <v>26</v>
      </c>
      <c r="F9" s="313">
        <v>42962.0</v>
      </c>
      <c r="G9" s="313">
        <v>42939.0</v>
      </c>
      <c r="H9" s="313">
        <v>42962.0</v>
      </c>
      <c r="I9" s="313">
        <v>43008.0</v>
      </c>
      <c r="J9" s="314">
        <v>24.98</v>
      </c>
      <c r="K9" s="314">
        <v>24.98</v>
      </c>
      <c r="L9" s="314">
        <v>0.0</v>
      </c>
      <c r="M9" s="312">
        <v>20.0</v>
      </c>
      <c r="N9" s="314">
        <v>1.25</v>
      </c>
    </row>
    <row r="10">
      <c r="A10" s="312" t="s">
        <v>137</v>
      </c>
      <c r="B10" s="312" t="s">
        <v>145</v>
      </c>
      <c r="C10" s="312">
        <v>168.0</v>
      </c>
      <c r="D10" s="312" t="s">
        <v>719</v>
      </c>
      <c r="E10" s="312" t="s">
        <v>23</v>
      </c>
      <c r="F10" s="313">
        <v>41234.0</v>
      </c>
      <c r="G10" s="313">
        <v>42766.0</v>
      </c>
      <c r="H10" s="313">
        <v>43059.0</v>
      </c>
      <c r="I10" s="313">
        <v>44872.0</v>
      </c>
      <c r="J10" s="314">
        <v>5.58</v>
      </c>
      <c r="K10" s="314">
        <v>3.98</v>
      </c>
      <c r="L10" s="314">
        <v>1.6</v>
      </c>
      <c r="M10" s="312">
        <v>10.0</v>
      </c>
      <c r="N10" s="314">
        <v>0.4</v>
      </c>
    </row>
    <row r="11">
      <c r="A11" s="312"/>
      <c r="B11" s="312"/>
      <c r="C11" s="312">
        <v>1004.0</v>
      </c>
      <c r="D11" s="312" t="s">
        <v>736</v>
      </c>
      <c r="E11" s="312" t="s">
        <v>27</v>
      </c>
      <c r="F11" s="313">
        <v>42724.0</v>
      </c>
      <c r="G11" s="313">
        <v>43475.0</v>
      </c>
      <c r="H11" s="313">
        <v>43476.0</v>
      </c>
      <c r="I11" s="313">
        <v>44014.0</v>
      </c>
      <c r="J11" s="314">
        <v>16.99</v>
      </c>
      <c r="K11" s="314">
        <v>16.99</v>
      </c>
      <c r="L11" s="314">
        <v>0.0</v>
      </c>
      <c r="M11" s="312">
        <v>3.0</v>
      </c>
      <c r="N11" s="314">
        <v>5.66</v>
      </c>
    </row>
    <row r="12">
      <c r="A12" s="317"/>
      <c r="B12" s="317"/>
      <c r="C12" s="318"/>
      <c r="D12" s="319"/>
      <c r="E12" s="319"/>
      <c r="F12" s="319"/>
      <c r="G12" s="319"/>
      <c r="H12" s="319"/>
      <c r="I12" s="319"/>
      <c r="J12" s="320">
        <f t="shared" ref="J12:M12" si="1">SUM(J10:J11)</f>
        <v>22.57</v>
      </c>
      <c r="K12" s="320">
        <f t="shared" si="1"/>
        <v>20.97</v>
      </c>
      <c r="L12" s="320">
        <f t="shared" si="1"/>
        <v>1.6</v>
      </c>
      <c r="M12" s="319">
        <f t="shared" si="1"/>
        <v>13</v>
      </c>
      <c r="N12" s="320">
        <f>K12/M12</f>
        <v>1.613076923</v>
      </c>
    </row>
    <row r="13">
      <c r="A13" s="312" t="s">
        <v>137</v>
      </c>
      <c r="B13" s="312" t="s">
        <v>146</v>
      </c>
      <c r="C13" s="312">
        <v>787.0</v>
      </c>
      <c r="D13" s="312" t="s">
        <v>724</v>
      </c>
      <c r="E13" s="312" t="s">
        <v>26</v>
      </c>
      <c r="F13" s="313">
        <v>42542.0</v>
      </c>
      <c r="G13" s="313">
        <v>42650.0</v>
      </c>
      <c r="H13" s="313">
        <v>42650.0</v>
      </c>
      <c r="I13" s="313">
        <v>44388.0</v>
      </c>
      <c r="J13" s="314">
        <v>4.99</v>
      </c>
      <c r="K13" s="314">
        <v>4.99</v>
      </c>
      <c r="L13" s="314">
        <v>0.0</v>
      </c>
      <c r="M13" s="312">
        <v>24.0</v>
      </c>
      <c r="N13" s="314">
        <v>0.21</v>
      </c>
    </row>
    <row r="14">
      <c r="A14" s="312" t="s">
        <v>137</v>
      </c>
      <c r="B14" s="312" t="s">
        <v>147</v>
      </c>
      <c r="C14" s="312">
        <v>956.0</v>
      </c>
      <c r="D14" s="312" t="s">
        <v>731</v>
      </c>
      <c r="E14" s="312" t="s">
        <v>26</v>
      </c>
      <c r="F14" s="313">
        <v>43816.0</v>
      </c>
      <c r="G14" s="313">
        <v>43816.0</v>
      </c>
      <c r="H14" s="313">
        <v>43816.0</v>
      </c>
      <c r="I14" s="313">
        <v>43824.0</v>
      </c>
      <c r="J14" s="314">
        <v>19.99</v>
      </c>
      <c r="K14" s="314">
        <v>14.99</v>
      </c>
      <c r="L14" s="314">
        <v>5.0</v>
      </c>
      <c r="M14" s="312">
        <v>20.0</v>
      </c>
      <c r="N14" s="314">
        <v>0.75</v>
      </c>
    </row>
    <row r="15">
      <c r="A15" s="312" t="s">
        <v>137</v>
      </c>
      <c r="B15" s="312" t="s">
        <v>148</v>
      </c>
      <c r="C15" s="312">
        <v>931.0</v>
      </c>
      <c r="D15" s="312" t="s">
        <v>729</v>
      </c>
      <c r="E15" s="312" t="s">
        <v>26</v>
      </c>
      <c r="F15" s="313">
        <v>43368.0</v>
      </c>
      <c r="G15" s="313">
        <v>44431.0</v>
      </c>
      <c r="H15" s="313">
        <v>44432.0</v>
      </c>
      <c r="I15" s="313">
        <v>44432.0</v>
      </c>
      <c r="J15" s="314">
        <v>12.99</v>
      </c>
      <c r="K15" s="314">
        <v>2.59</v>
      </c>
      <c r="L15" s="314">
        <v>10.4</v>
      </c>
      <c r="M15" s="312">
        <v>2.0</v>
      </c>
      <c r="N15" s="314">
        <v>1.3</v>
      </c>
    </row>
    <row r="16">
      <c r="A16" s="311" t="s">
        <v>137</v>
      </c>
      <c r="B16" s="311" t="s">
        <v>149</v>
      </c>
      <c r="C16" s="312">
        <v>151.0</v>
      </c>
      <c r="D16" s="312" t="s">
        <v>717</v>
      </c>
      <c r="E16" s="312" t="s">
        <v>22</v>
      </c>
      <c r="F16" s="313">
        <v>37582.0</v>
      </c>
      <c r="G16" s="313">
        <v>45651.0</v>
      </c>
      <c r="H16" s="313">
        <v>45653.0</v>
      </c>
      <c r="I16" s="313">
        <v>45654.0</v>
      </c>
      <c r="J16" s="315">
        <v>26.99</v>
      </c>
      <c r="K16" s="315">
        <v>0.0</v>
      </c>
      <c r="L16" s="315">
        <v>26.99</v>
      </c>
      <c r="M16" s="312">
        <v>15.0</v>
      </c>
      <c r="N16" s="315">
        <v>0.0</v>
      </c>
    </row>
    <row r="17">
      <c r="A17" s="311"/>
      <c r="B17" s="311"/>
      <c r="C17" s="312">
        <v>152.0</v>
      </c>
      <c r="D17" s="312" t="s">
        <v>718</v>
      </c>
      <c r="E17" s="312" t="s">
        <v>22</v>
      </c>
      <c r="F17" s="313">
        <v>38296.0</v>
      </c>
      <c r="G17" s="313">
        <v>45662.0</v>
      </c>
      <c r="H17" s="313">
        <v>45663.0</v>
      </c>
      <c r="I17" s="313">
        <v>45677.0</v>
      </c>
      <c r="J17" s="315">
        <v>26.99</v>
      </c>
      <c r="K17" s="315">
        <v>2.85</v>
      </c>
      <c r="L17" s="315">
        <v>24.14</v>
      </c>
      <c r="M17" s="312">
        <v>10.0</v>
      </c>
      <c r="N17" s="315">
        <v>0.29</v>
      </c>
    </row>
    <row r="18">
      <c r="A18" s="317"/>
      <c r="B18" s="317"/>
      <c r="C18" s="318"/>
      <c r="D18" s="319"/>
      <c r="E18" s="319"/>
      <c r="F18" s="319"/>
      <c r="G18" s="319"/>
      <c r="H18" s="319"/>
      <c r="I18" s="319"/>
      <c r="J18" s="320">
        <f t="shared" ref="J18:M18" si="2">SUM(J16:J17)</f>
        <v>53.98</v>
      </c>
      <c r="K18" s="320">
        <f t="shared" si="2"/>
        <v>2.85</v>
      </c>
      <c r="L18" s="320">
        <f t="shared" si="2"/>
        <v>51.13</v>
      </c>
      <c r="M18" s="319">
        <f t="shared" si="2"/>
        <v>25</v>
      </c>
      <c r="N18" s="320">
        <f>K18/M18</f>
        <v>0.114</v>
      </c>
    </row>
    <row r="19">
      <c r="A19" s="312" t="s">
        <v>137</v>
      </c>
      <c r="B19" s="312" t="s">
        <v>150</v>
      </c>
      <c r="C19" s="312">
        <v>512.0</v>
      </c>
      <c r="D19" s="312" t="s">
        <v>722</v>
      </c>
      <c r="E19" s="312" t="s">
        <v>26</v>
      </c>
      <c r="F19" s="313">
        <v>42248.0</v>
      </c>
      <c r="G19" s="313">
        <v>42951.0</v>
      </c>
      <c r="H19" s="313">
        <v>42951.0</v>
      </c>
      <c r="I19" s="313">
        <v>42951.0</v>
      </c>
      <c r="J19" s="314">
        <v>19.99</v>
      </c>
      <c r="K19" s="314">
        <v>7.99</v>
      </c>
      <c r="L19" s="314">
        <v>12.0</v>
      </c>
      <c r="M19" s="312">
        <v>1.0</v>
      </c>
      <c r="N19" s="314">
        <v>7.99</v>
      </c>
    </row>
    <row r="20">
      <c r="A20" s="312" t="s">
        <v>137</v>
      </c>
      <c r="B20" s="312" t="s">
        <v>151</v>
      </c>
      <c r="C20" s="312">
        <v>563.0</v>
      </c>
      <c r="D20" s="312" t="s">
        <v>735</v>
      </c>
      <c r="E20" s="312" t="s">
        <v>26</v>
      </c>
      <c r="F20" s="313">
        <v>44784.0</v>
      </c>
      <c r="G20" s="313">
        <v>44894.0</v>
      </c>
      <c r="H20" s="313">
        <v>44894.0</v>
      </c>
      <c r="I20" s="313">
        <v>44896.0</v>
      </c>
      <c r="J20" s="314">
        <v>29.99</v>
      </c>
      <c r="K20" s="314">
        <v>23.99</v>
      </c>
      <c r="L20" s="314">
        <v>6.0</v>
      </c>
      <c r="M20" s="312">
        <v>24.0</v>
      </c>
      <c r="N20" s="314">
        <v>1.0</v>
      </c>
    </row>
    <row r="21">
      <c r="A21" s="312" t="s">
        <v>137</v>
      </c>
      <c r="B21" s="312" t="s">
        <v>152</v>
      </c>
      <c r="C21" s="312">
        <v>1035.0</v>
      </c>
      <c r="D21" s="312" t="s">
        <v>737</v>
      </c>
      <c r="E21" s="312" t="s">
        <v>27</v>
      </c>
      <c r="F21" s="313">
        <v>43173.0</v>
      </c>
      <c r="G21" s="313">
        <v>43564.0</v>
      </c>
      <c r="H21" s="313">
        <v>43565.0</v>
      </c>
      <c r="I21" s="313">
        <v>45151.0</v>
      </c>
      <c r="J21" s="314">
        <v>19.99</v>
      </c>
      <c r="K21" s="314">
        <v>7.99</v>
      </c>
      <c r="L21" s="314">
        <v>12.0</v>
      </c>
      <c r="M21" s="312">
        <v>4.0</v>
      </c>
      <c r="N21" s="314">
        <v>2.0</v>
      </c>
    </row>
    <row r="22">
      <c r="A22" s="312" t="s">
        <v>137</v>
      </c>
      <c r="B22" s="312" t="s">
        <v>153</v>
      </c>
      <c r="C22" s="312">
        <v>577.0</v>
      </c>
      <c r="D22" s="312" t="s">
        <v>725</v>
      </c>
      <c r="E22" s="312" t="s">
        <v>26</v>
      </c>
      <c r="F22" s="313">
        <v>42808.0</v>
      </c>
      <c r="G22" s="313">
        <v>43079.0</v>
      </c>
      <c r="H22" s="313">
        <v>43079.0</v>
      </c>
      <c r="I22" s="313">
        <v>43407.0</v>
      </c>
      <c r="J22" s="314">
        <v>13.99</v>
      </c>
      <c r="K22" s="314">
        <v>6.99</v>
      </c>
      <c r="L22" s="314">
        <v>7.0</v>
      </c>
      <c r="M22" s="312">
        <v>6.0</v>
      </c>
      <c r="N22" s="314">
        <v>1.17</v>
      </c>
    </row>
    <row r="23">
      <c r="A23" s="311" t="s">
        <v>137</v>
      </c>
      <c r="B23" s="312" t="s">
        <v>154</v>
      </c>
      <c r="C23" s="312">
        <v>277.0</v>
      </c>
      <c r="D23" s="312" t="s">
        <v>720</v>
      </c>
      <c r="E23" s="312" t="s">
        <v>24</v>
      </c>
      <c r="F23" s="313">
        <v>40683.0</v>
      </c>
      <c r="G23" s="313">
        <v>41559.0</v>
      </c>
      <c r="H23" s="313">
        <v>41559.0</v>
      </c>
      <c r="I23" s="313">
        <v>44790.0</v>
      </c>
      <c r="J23" s="314">
        <v>29.99</v>
      </c>
      <c r="K23" s="314">
        <v>29.99</v>
      </c>
      <c r="L23" s="314">
        <v>0.0</v>
      </c>
      <c r="M23" s="312">
        <v>55.0</v>
      </c>
      <c r="N23" s="314">
        <v>0.55</v>
      </c>
    </row>
    <row r="24">
      <c r="A24" s="312" t="s">
        <v>137</v>
      </c>
      <c r="B24" s="312" t="s">
        <v>155</v>
      </c>
      <c r="C24" s="312">
        <v>660.0</v>
      </c>
      <c r="D24" s="312" t="s">
        <v>728</v>
      </c>
      <c r="E24" s="312" t="s">
        <v>26</v>
      </c>
      <c r="F24" s="313">
        <v>43368.0</v>
      </c>
      <c r="G24" s="313">
        <v>44138.0</v>
      </c>
      <c r="H24" s="313">
        <v>44145.0</v>
      </c>
      <c r="I24" s="313">
        <v>44178.0</v>
      </c>
      <c r="J24" s="314">
        <v>14.49</v>
      </c>
      <c r="K24" s="314">
        <v>0.0</v>
      </c>
      <c r="L24" s="314">
        <v>14.49</v>
      </c>
      <c r="M24" s="312">
        <v>10.0</v>
      </c>
      <c r="N24" s="314">
        <v>0.0</v>
      </c>
    </row>
    <row r="25">
      <c r="A25" s="312" t="s">
        <v>137</v>
      </c>
      <c r="B25" s="312" t="s">
        <v>156</v>
      </c>
      <c r="C25" s="312">
        <v>1006.0</v>
      </c>
      <c r="D25" s="312" t="s">
        <v>738</v>
      </c>
      <c r="E25" s="312" t="s">
        <v>27</v>
      </c>
      <c r="F25" s="313">
        <v>43452.0</v>
      </c>
      <c r="G25" s="313">
        <v>43717.0</v>
      </c>
      <c r="H25" s="313">
        <v>43717.0</v>
      </c>
      <c r="I25" s="313">
        <v>43717.0</v>
      </c>
      <c r="J25" s="314">
        <v>24.99</v>
      </c>
      <c r="K25" s="314">
        <v>12.49</v>
      </c>
      <c r="L25" s="314">
        <v>12.5</v>
      </c>
      <c r="M25" s="312">
        <v>1.0</v>
      </c>
      <c r="N25" s="314">
        <v>12.49</v>
      </c>
    </row>
    <row r="26">
      <c r="A26" s="312" t="s">
        <v>137</v>
      </c>
      <c r="B26" s="312" t="s">
        <v>157</v>
      </c>
      <c r="C26" s="312">
        <v>517.0</v>
      </c>
      <c r="D26" s="312" t="s">
        <v>723</v>
      </c>
      <c r="E26" s="312" t="s">
        <v>26</v>
      </c>
      <c r="F26" s="313">
        <v>42437.0</v>
      </c>
      <c r="G26" s="313">
        <v>43268.0</v>
      </c>
      <c r="H26" s="313">
        <v>43268.0</v>
      </c>
      <c r="I26" s="313">
        <v>44355.0</v>
      </c>
      <c r="J26" s="314">
        <v>14.49</v>
      </c>
      <c r="K26" s="314">
        <v>3.99</v>
      </c>
      <c r="L26" s="314">
        <v>10.5</v>
      </c>
      <c r="M26" s="312">
        <v>4.0</v>
      </c>
      <c r="N26" s="314">
        <v>1.0</v>
      </c>
    </row>
    <row r="27">
      <c r="A27" s="321"/>
      <c r="B27" s="321"/>
      <c r="C27" s="322"/>
      <c r="D27" s="323"/>
      <c r="E27" s="323"/>
      <c r="F27" s="323"/>
      <c r="G27" s="323"/>
      <c r="H27" s="323"/>
      <c r="I27" s="323"/>
      <c r="J27" s="324"/>
      <c r="K27" s="324"/>
      <c r="L27" s="324"/>
      <c r="M27" s="323"/>
      <c r="N27" s="324"/>
    </row>
    <row r="28">
      <c r="A28" s="96" t="s">
        <v>159</v>
      </c>
      <c r="B28" s="96" t="s">
        <v>158</v>
      </c>
      <c r="C28" s="96">
        <v>906.0</v>
      </c>
      <c r="D28" s="96" t="s">
        <v>741</v>
      </c>
      <c r="E28" s="96" t="s">
        <v>26</v>
      </c>
      <c r="F28" s="325">
        <v>42205.0</v>
      </c>
      <c r="G28" s="325">
        <v>42859.0</v>
      </c>
      <c r="H28" s="325">
        <v>42860.0</v>
      </c>
      <c r="I28" s="325">
        <v>45183.0</v>
      </c>
      <c r="J28" s="326">
        <v>9.99</v>
      </c>
      <c r="K28" s="326">
        <v>4.99</v>
      </c>
      <c r="L28" s="326">
        <v>5.0</v>
      </c>
      <c r="M28" s="96">
        <v>2.0</v>
      </c>
      <c r="N28" s="326">
        <v>2.5</v>
      </c>
    </row>
    <row r="29">
      <c r="A29" s="96" t="s">
        <v>159</v>
      </c>
      <c r="B29" s="96" t="s">
        <v>160</v>
      </c>
      <c r="C29" s="96">
        <v>430.0</v>
      </c>
      <c r="D29" s="96" t="s">
        <v>740</v>
      </c>
      <c r="E29" s="96" t="s">
        <v>25</v>
      </c>
      <c r="F29" s="325">
        <v>40878.0</v>
      </c>
      <c r="G29" s="325">
        <v>43548.0</v>
      </c>
      <c r="H29" s="325">
        <v>43575.0</v>
      </c>
      <c r="I29" s="325">
        <v>45051.0</v>
      </c>
      <c r="J29" s="326">
        <v>9.99</v>
      </c>
      <c r="K29" s="326">
        <v>3.99</v>
      </c>
      <c r="L29" s="326">
        <v>6.0</v>
      </c>
      <c r="M29" s="96">
        <v>2.0</v>
      </c>
      <c r="N29" s="326">
        <v>2.0</v>
      </c>
    </row>
    <row r="30">
      <c r="A30" s="96" t="s">
        <v>159</v>
      </c>
      <c r="B30" s="96" t="s">
        <v>161</v>
      </c>
      <c r="C30" s="96">
        <v>851.0</v>
      </c>
      <c r="D30" s="96" t="s">
        <v>742</v>
      </c>
      <c r="E30" s="96" t="s">
        <v>26</v>
      </c>
      <c r="F30" s="325">
        <v>44005.0</v>
      </c>
      <c r="G30" s="325">
        <v>44431.0</v>
      </c>
      <c r="H30" s="325">
        <v>44443.0</v>
      </c>
      <c r="I30" s="325">
        <v>44447.0</v>
      </c>
      <c r="J30" s="326">
        <v>29.99</v>
      </c>
      <c r="K30" s="326">
        <v>17.99</v>
      </c>
      <c r="L30" s="326">
        <v>12.0</v>
      </c>
      <c r="M30" s="96">
        <v>15.0</v>
      </c>
      <c r="N30" s="326">
        <v>1.2</v>
      </c>
    </row>
    <row r="31">
      <c r="A31" s="96"/>
      <c r="B31" s="96"/>
      <c r="C31" s="96">
        <v>852.0</v>
      </c>
      <c r="D31" s="96" t="s">
        <v>743</v>
      </c>
      <c r="E31" s="96" t="s">
        <v>26</v>
      </c>
      <c r="F31" s="325">
        <v>44957.0</v>
      </c>
      <c r="G31" s="325">
        <v>45331.0</v>
      </c>
      <c r="H31" s="325">
        <v>45337.0</v>
      </c>
      <c r="I31" s="325">
        <v>45341.0</v>
      </c>
      <c r="J31" s="326">
        <v>39.99</v>
      </c>
      <c r="K31" s="326">
        <v>22.99</v>
      </c>
      <c r="L31" s="326">
        <v>17.0</v>
      </c>
      <c r="M31" s="96">
        <v>17.0</v>
      </c>
      <c r="N31" s="326">
        <v>1.35</v>
      </c>
    </row>
    <row r="32">
      <c r="A32" s="89"/>
      <c r="B32" s="89"/>
      <c r="C32" s="96">
        <v>590.0</v>
      </c>
      <c r="D32" s="96" t="s">
        <v>744</v>
      </c>
      <c r="E32" s="96" t="s">
        <v>26</v>
      </c>
      <c r="F32" s="325">
        <v>45558.0</v>
      </c>
      <c r="G32" s="325">
        <v>45662.0</v>
      </c>
      <c r="H32" s="325">
        <v>45676.0</v>
      </c>
      <c r="I32" s="325">
        <v>45823.0</v>
      </c>
      <c r="J32" s="95">
        <v>59.99</v>
      </c>
      <c r="K32" s="95">
        <v>29.99</v>
      </c>
      <c r="L32" s="326">
        <v>30.0</v>
      </c>
      <c r="M32" s="96">
        <v>4.0</v>
      </c>
      <c r="N32" s="326">
        <v>7.5</v>
      </c>
    </row>
    <row r="33">
      <c r="A33" s="327"/>
      <c r="B33" s="327"/>
      <c r="C33" s="328"/>
      <c r="D33" s="328"/>
      <c r="E33" s="329"/>
      <c r="F33" s="329"/>
      <c r="G33" s="329"/>
      <c r="H33" s="329"/>
      <c r="I33" s="329"/>
      <c r="J33" s="330">
        <f t="shared" ref="J33:M33" si="3">SUM(J30:J32)</f>
        <v>129.97</v>
      </c>
      <c r="K33" s="330">
        <f t="shared" si="3"/>
        <v>70.97</v>
      </c>
      <c r="L33" s="330">
        <f t="shared" si="3"/>
        <v>59</v>
      </c>
      <c r="M33" s="327">
        <f t="shared" si="3"/>
        <v>36</v>
      </c>
      <c r="N33" s="330">
        <f>K33/M33</f>
        <v>1.971388889</v>
      </c>
    </row>
    <row r="34">
      <c r="A34" s="331"/>
      <c r="B34" s="331"/>
      <c r="C34" s="332"/>
      <c r="D34" s="333"/>
      <c r="E34" s="331"/>
      <c r="F34" s="331"/>
      <c r="G34" s="331"/>
      <c r="H34" s="331"/>
      <c r="I34" s="331"/>
      <c r="J34" s="334"/>
      <c r="K34" s="334"/>
      <c r="L34" s="334"/>
      <c r="M34" s="333"/>
      <c r="N34" s="334"/>
    </row>
    <row r="35">
      <c r="A35" s="335" t="s">
        <v>163</v>
      </c>
      <c r="B35" s="335" t="s">
        <v>162</v>
      </c>
      <c r="C35" s="335">
        <v>646.0</v>
      </c>
      <c r="D35" s="335" t="s">
        <v>746</v>
      </c>
      <c r="E35" s="335" t="s">
        <v>26</v>
      </c>
      <c r="F35" s="336">
        <v>44672.0</v>
      </c>
      <c r="G35" s="336">
        <v>45048.0</v>
      </c>
      <c r="H35" s="336">
        <v>45048.0</v>
      </c>
      <c r="I35" s="336">
        <v>45048.0</v>
      </c>
      <c r="J35" s="337">
        <v>19.99</v>
      </c>
      <c r="K35" s="337">
        <v>7.99</v>
      </c>
      <c r="L35" s="337">
        <v>12.0</v>
      </c>
      <c r="M35" s="335">
        <v>1.0</v>
      </c>
      <c r="N35" s="337">
        <v>7.99</v>
      </c>
    </row>
    <row r="36">
      <c r="A36" s="335" t="s">
        <v>163</v>
      </c>
      <c r="B36" s="335" t="s">
        <v>164</v>
      </c>
      <c r="C36" s="335">
        <v>932.0</v>
      </c>
      <c r="D36" s="335" t="s">
        <v>745</v>
      </c>
      <c r="E36" s="335" t="s">
        <v>26</v>
      </c>
      <c r="F36" s="336">
        <v>42816.0</v>
      </c>
      <c r="G36" s="336">
        <v>43275.0</v>
      </c>
      <c r="H36" s="336">
        <v>43275.0</v>
      </c>
      <c r="I36" s="336">
        <v>43275.0</v>
      </c>
      <c r="J36" s="337">
        <v>19.99</v>
      </c>
      <c r="K36" s="337">
        <v>2.99</v>
      </c>
      <c r="L36" s="337">
        <v>17.0</v>
      </c>
      <c r="M36" s="335">
        <v>1.0</v>
      </c>
      <c r="N36" s="337">
        <v>2.99</v>
      </c>
    </row>
    <row r="37">
      <c r="A37" s="338"/>
      <c r="B37" s="338"/>
      <c r="C37" s="339"/>
      <c r="D37" s="340"/>
      <c r="E37" s="340"/>
      <c r="F37" s="340"/>
      <c r="G37" s="340"/>
      <c r="H37" s="340"/>
      <c r="I37" s="340"/>
      <c r="J37" s="341"/>
      <c r="K37" s="341"/>
      <c r="L37" s="341"/>
      <c r="M37" s="340"/>
      <c r="N37" s="341"/>
    </row>
    <row r="38">
      <c r="A38" s="342" t="s">
        <v>166</v>
      </c>
      <c r="B38" s="342" t="s">
        <v>165</v>
      </c>
      <c r="C38" s="342">
        <v>1031.0</v>
      </c>
      <c r="D38" s="342" t="s">
        <v>747</v>
      </c>
      <c r="E38" s="342" t="s">
        <v>27</v>
      </c>
      <c r="F38" s="343">
        <v>43020.0</v>
      </c>
      <c r="G38" s="343">
        <v>43468.0</v>
      </c>
      <c r="H38" s="343">
        <v>43468.0</v>
      </c>
      <c r="I38" s="343">
        <v>43468.0</v>
      </c>
      <c r="J38" s="344">
        <v>14.49</v>
      </c>
      <c r="K38" s="344">
        <v>11.59</v>
      </c>
      <c r="L38" s="344">
        <v>2.9</v>
      </c>
      <c r="M38" s="342">
        <v>1.0</v>
      </c>
      <c r="N38" s="344">
        <v>11.59</v>
      </c>
    </row>
    <row r="39">
      <c r="A39" s="345"/>
      <c r="B39" s="345"/>
      <c r="C39" s="346"/>
      <c r="D39" s="347"/>
      <c r="E39" s="347"/>
      <c r="F39" s="347"/>
      <c r="G39" s="347"/>
      <c r="H39" s="347"/>
      <c r="I39" s="347"/>
      <c r="J39" s="348"/>
      <c r="K39" s="348"/>
      <c r="L39" s="348"/>
      <c r="M39" s="347"/>
      <c r="N39" s="348"/>
    </row>
    <row r="40">
      <c r="A40" s="349" t="s">
        <v>168</v>
      </c>
      <c r="B40" s="349" t="s">
        <v>167</v>
      </c>
      <c r="C40" s="349">
        <v>985.0</v>
      </c>
      <c r="D40" s="349" t="s">
        <v>748</v>
      </c>
      <c r="E40" s="349" t="s">
        <v>27</v>
      </c>
      <c r="F40" s="350">
        <v>43901.0</v>
      </c>
      <c r="G40" s="350">
        <v>43903.0</v>
      </c>
      <c r="H40" s="350">
        <v>44019.0</v>
      </c>
      <c r="I40" s="350">
        <v>44020.0</v>
      </c>
      <c r="J40" s="351">
        <v>5.99</v>
      </c>
      <c r="K40" s="351">
        <v>5.99</v>
      </c>
      <c r="L40" s="351">
        <v>0.0</v>
      </c>
      <c r="M40" s="349">
        <v>3.0</v>
      </c>
      <c r="N40" s="351">
        <v>2.0</v>
      </c>
    </row>
    <row r="41">
      <c r="A41" s="321"/>
      <c r="B41" s="321"/>
      <c r="C41" s="321"/>
      <c r="D41" s="321"/>
      <c r="E41" s="323"/>
      <c r="F41" s="323"/>
      <c r="G41" s="323"/>
      <c r="H41" s="323"/>
      <c r="I41" s="323"/>
      <c r="J41" s="324"/>
      <c r="K41" s="324"/>
      <c r="L41" s="324"/>
      <c r="M41" s="323"/>
      <c r="N41" s="324"/>
    </row>
    <row r="42">
      <c r="A42" s="335" t="s">
        <v>170</v>
      </c>
      <c r="B42" s="335" t="s">
        <v>169</v>
      </c>
      <c r="C42" s="335">
        <v>944.0</v>
      </c>
      <c r="D42" s="335" t="s">
        <v>749</v>
      </c>
      <c r="E42" s="335" t="s">
        <v>26</v>
      </c>
      <c r="F42" s="336">
        <v>42118.0</v>
      </c>
      <c r="G42" s="336">
        <v>42969.0</v>
      </c>
      <c r="H42" s="336">
        <v>45798.0</v>
      </c>
      <c r="I42" s="336">
        <v>45803.0</v>
      </c>
      <c r="J42" s="337">
        <v>24.99</v>
      </c>
      <c r="K42" s="337">
        <v>9.99</v>
      </c>
      <c r="L42" s="337">
        <v>15.0</v>
      </c>
      <c r="M42" s="335">
        <v>28.0</v>
      </c>
      <c r="N42" s="337">
        <v>0.36</v>
      </c>
    </row>
    <row r="43">
      <c r="A43" s="331"/>
      <c r="B43" s="331"/>
      <c r="C43" s="332"/>
      <c r="D43" s="333"/>
      <c r="E43" s="333"/>
      <c r="F43" s="333"/>
      <c r="G43" s="333"/>
      <c r="H43" s="333"/>
      <c r="I43" s="333"/>
      <c r="J43" s="334"/>
      <c r="K43" s="334"/>
      <c r="L43" s="334"/>
      <c r="M43" s="333"/>
      <c r="N43" s="334"/>
    </row>
    <row r="44">
      <c r="A44" s="89" t="s">
        <v>39</v>
      </c>
      <c r="B44" s="96" t="s">
        <v>171</v>
      </c>
      <c r="C44" s="96">
        <v>718.0</v>
      </c>
      <c r="D44" s="96" t="s">
        <v>800</v>
      </c>
      <c r="E44" s="96" t="s">
        <v>26</v>
      </c>
      <c r="F44" s="325">
        <v>42409.0</v>
      </c>
      <c r="G44" s="325">
        <v>42875.0</v>
      </c>
      <c r="H44" s="325">
        <v>42882.0</v>
      </c>
      <c r="I44" s="325">
        <v>44085.0</v>
      </c>
      <c r="J44" s="326">
        <v>14.99</v>
      </c>
      <c r="K44" s="326">
        <v>4.99</v>
      </c>
      <c r="L44" s="326">
        <v>10.0</v>
      </c>
      <c r="M44" s="96">
        <v>16.0</v>
      </c>
      <c r="N44" s="326">
        <v>0.31</v>
      </c>
    </row>
    <row r="45">
      <c r="A45" s="89" t="s">
        <v>39</v>
      </c>
      <c r="B45" s="96" t="s">
        <v>172</v>
      </c>
      <c r="C45" s="96">
        <v>384.0</v>
      </c>
      <c r="D45" s="96" t="s">
        <v>774</v>
      </c>
      <c r="E45" s="96" t="s">
        <v>24</v>
      </c>
      <c r="F45" s="325">
        <v>41089.0</v>
      </c>
      <c r="G45" s="325">
        <v>44115.0</v>
      </c>
      <c r="H45" s="325">
        <v>45090.0</v>
      </c>
      <c r="I45" s="325">
        <v>45096.0</v>
      </c>
      <c r="J45" s="326">
        <v>49.99</v>
      </c>
      <c r="K45" s="326">
        <v>15.0</v>
      </c>
      <c r="L45" s="326">
        <v>34.99</v>
      </c>
      <c r="M45" s="96">
        <v>40.0</v>
      </c>
      <c r="N45" s="326">
        <v>0.38</v>
      </c>
    </row>
    <row r="46">
      <c r="A46" s="96"/>
      <c r="B46" s="96"/>
      <c r="C46" s="96">
        <v>560.0</v>
      </c>
      <c r="D46" s="95" t="s">
        <v>810</v>
      </c>
      <c r="E46" s="95" t="s">
        <v>26</v>
      </c>
      <c r="F46" s="325">
        <v>43637.0</v>
      </c>
      <c r="G46" s="325">
        <v>43441.0</v>
      </c>
      <c r="H46" s="325">
        <v>43637.0</v>
      </c>
      <c r="I46" s="325">
        <v>44129.0</v>
      </c>
      <c r="J46" s="326">
        <v>59.99</v>
      </c>
      <c r="K46" s="326">
        <v>59.99</v>
      </c>
      <c r="L46" s="326">
        <v>0.0</v>
      </c>
      <c r="M46" s="96">
        <v>168.0</v>
      </c>
      <c r="N46" s="326">
        <v>0.36</v>
      </c>
    </row>
    <row r="47">
      <c r="A47" s="327"/>
      <c r="B47" s="327"/>
      <c r="C47" s="328"/>
      <c r="D47" s="328"/>
      <c r="E47" s="329"/>
      <c r="F47" s="329"/>
      <c r="G47" s="329"/>
      <c r="H47" s="329"/>
      <c r="I47" s="329"/>
      <c r="J47" s="330">
        <f t="shared" ref="J47:M47" si="4">SUM(J45:J46)</f>
        <v>109.98</v>
      </c>
      <c r="K47" s="330">
        <f t="shared" si="4"/>
        <v>74.99</v>
      </c>
      <c r="L47" s="330">
        <f t="shared" si="4"/>
        <v>34.99</v>
      </c>
      <c r="M47" s="327">
        <f t="shared" si="4"/>
        <v>208</v>
      </c>
      <c r="N47" s="330">
        <f>K47/M47</f>
        <v>0.3605288462</v>
      </c>
    </row>
    <row r="48">
      <c r="A48" s="96" t="s">
        <v>39</v>
      </c>
      <c r="B48" s="96" t="s">
        <v>173</v>
      </c>
      <c r="C48" s="96">
        <v>35.0</v>
      </c>
      <c r="D48" s="96" t="s">
        <v>750</v>
      </c>
      <c r="E48" s="96" t="s">
        <v>21</v>
      </c>
      <c r="F48" s="325">
        <v>37288.0</v>
      </c>
      <c r="G48" s="325">
        <v>42877.0</v>
      </c>
      <c r="H48" s="325">
        <v>42877.0</v>
      </c>
      <c r="I48" s="325">
        <v>42877.0</v>
      </c>
      <c r="J48" s="326">
        <v>1.49</v>
      </c>
      <c r="K48" s="326">
        <v>1.49</v>
      </c>
      <c r="L48" s="326">
        <v>0.0</v>
      </c>
      <c r="M48" s="96">
        <v>20.0</v>
      </c>
      <c r="N48" s="326">
        <v>0.07</v>
      </c>
    </row>
    <row r="49">
      <c r="A49" s="89"/>
      <c r="B49" s="96"/>
      <c r="C49" s="96">
        <v>310.0</v>
      </c>
      <c r="D49" s="96" t="s">
        <v>762</v>
      </c>
      <c r="E49" s="96" t="s">
        <v>24</v>
      </c>
      <c r="F49" s="325">
        <v>40354.0</v>
      </c>
      <c r="G49" s="325">
        <v>44115.0</v>
      </c>
      <c r="H49" s="325">
        <v>44178.0</v>
      </c>
      <c r="I49" s="325">
        <v>44178.0</v>
      </c>
      <c r="J49" s="326">
        <v>14.99</v>
      </c>
      <c r="K49" s="326">
        <v>5.0</v>
      </c>
      <c r="L49" s="326">
        <v>9.99</v>
      </c>
      <c r="M49" s="96">
        <v>5.0</v>
      </c>
      <c r="N49" s="326">
        <v>1.0</v>
      </c>
    </row>
    <row r="50">
      <c r="A50" s="96"/>
      <c r="B50" s="96"/>
      <c r="C50" s="96">
        <v>729.0</v>
      </c>
      <c r="D50" s="96" t="s">
        <v>827</v>
      </c>
      <c r="E50" s="96" t="s">
        <v>26</v>
      </c>
      <c r="F50" s="325">
        <v>45020.0</v>
      </c>
      <c r="G50" s="325">
        <v>45020.0</v>
      </c>
      <c r="H50" s="325">
        <v>45020.0</v>
      </c>
      <c r="I50" s="325">
        <v>45020.0</v>
      </c>
      <c r="J50" s="326">
        <v>0.0</v>
      </c>
      <c r="K50" s="326">
        <v>0.0</v>
      </c>
      <c r="L50" s="326">
        <v>0.0</v>
      </c>
      <c r="M50" s="96">
        <v>1.0</v>
      </c>
      <c r="N50" s="326">
        <v>0.0</v>
      </c>
    </row>
    <row r="51">
      <c r="A51" s="327"/>
      <c r="B51" s="327"/>
      <c r="C51" s="328"/>
      <c r="D51" s="328"/>
      <c r="E51" s="329"/>
      <c r="F51" s="329"/>
      <c r="G51" s="329"/>
      <c r="H51" s="329"/>
      <c r="I51" s="329"/>
      <c r="J51" s="330">
        <f t="shared" ref="J51:M51" si="5">SUM(J48:J50)</f>
        <v>16.48</v>
      </c>
      <c r="K51" s="330">
        <f t="shared" si="5"/>
        <v>6.49</v>
      </c>
      <c r="L51" s="330">
        <f t="shared" si="5"/>
        <v>9.99</v>
      </c>
      <c r="M51" s="327">
        <f t="shared" si="5"/>
        <v>26</v>
      </c>
      <c r="N51" s="330">
        <f>K51/M51</f>
        <v>0.2496153846</v>
      </c>
    </row>
    <row r="52">
      <c r="A52" s="96" t="s">
        <v>39</v>
      </c>
      <c r="B52" s="96" t="s">
        <v>174</v>
      </c>
      <c r="C52" s="96">
        <v>448.0</v>
      </c>
      <c r="D52" s="96" t="s">
        <v>793</v>
      </c>
      <c r="E52" s="96" t="s">
        <v>25</v>
      </c>
      <c r="F52" s="325">
        <v>41061.0</v>
      </c>
      <c r="G52" s="325">
        <v>42666.0</v>
      </c>
      <c r="H52" s="325">
        <v>42666.0</v>
      </c>
      <c r="I52" s="325">
        <v>42666.0</v>
      </c>
      <c r="J52" s="326">
        <v>4.99</v>
      </c>
      <c r="K52" s="326">
        <v>1.99</v>
      </c>
      <c r="L52" s="326">
        <v>3.0</v>
      </c>
      <c r="M52" s="96">
        <v>1.0</v>
      </c>
      <c r="N52" s="326">
        <v>1.99</v>
      </c>
    </row>
    <row r="53">
      <c r="A53" s="89" t="s">
        <v>39</v>
      </c>
      <c r="B53" s="96" t="s">
        <v>175</v>
      </c>
      <c r="C53" s="96">
        <v>295.0</v>
      </c>
      <c r="D53" s="96" t="s">
        <v>765</v>
      </c>
      <c r="E53" s="96" t="s">
        <v>24</v>
      </c>
      <c r="F53" s="325">
        <v>40564.0</v>
      </c>
      <c r="G53" s="325">
        <v>44521.0</v>
      </c>
      <c r="H53" s="325">
        <v>45944.0</v>
      </c>
      <c r="I53" s="325">
        <v>45954.0</v>
      </c>
      <c r="J53" s="326">
        <v>23.0</v>
      </c>
      <c r="K53" s="326">
        <v>14.93</v>
      </c>
      <c r="L53" s="326">
        <v>8.07</v>
      </c>
      <c r="M53" s="96">
        <v>30.0</v>
      </c>
      <c r="N53" s="326">
        <v>0.5</v>
      </c>
    </row>
    <row r="54">
      <c r="A54" s="89" t="s">
        <v>39</v>
      </c>
      <c r="B54" s="89"/>
      <c r="C54" s="89">
        <v>296.0</v>
      </c>
      <c r="D54" s="89" t="s">
        <v>771</v>
      </c>
      <c r="E54" s="89" t="s">
        <v>24</v>
      </c>
      <c r="F54" s="174">
        <v>40977.0</v>
      </c>
      <c r="G54" s="174">
        <v>41374.0</v>
      </c>
      <c r="H54" s="174">
        <v>41374.0</v>
      </c>
      <c r="I54" s="174">
        <v>46017.0</v>
      </c>
      <c r="J54" s="91">
        <v>22.99</v>
      </c>
      <c r="K54" s="91">
        <v>14.93</v>
      </c>
      <c r="L54" s="91">
        <v>8.059999999999999</v>
      </c>
      <c r="M54" s="89">
        <v>15.0</v>
      </c>
      <c r="N54" s="91">
        <v>0.9953333333333333</v>
      </c>
    </row>
    <row r="55">
      <c r="A55" s="89"/>
      <c r="B55" s="96"/>
      <c r="C55" s="96">
        <v>294.0</v>
      </c>
      <c r="D55" s="96" t="s">
        <v>779</v>
      </c>
      <c r="E55" s="96" t="s">
        <v>24</v>
      </c>
      <c r="F55" s="325">
        <v>41250.0</v>
      </c>
      <c r="G55" s="325">
        <v>44521.0</v>
      </c>
      <c r="H55" s="325">
        <v>44718.0</v>
      </c>
      <c r="I55" s="325">
        <v>45943.0</v>
      </c>
      <c r="J55" s="326">
        <v>24.0</v>
      </c>
      <c r="K55" s="326">
        <v>14.93</v>
      </c>
      <c r="L55" s="326">
        <v>9.07</v>
      </c>
      <c r="M55" s="96">
        <v>43.0</v>
      </c>
      <c r="N55" s="326">
        <v>0.35</v>
      </c>
    </row>
    <row r="56">
      <c r="A56" s="327"/>
      <c r="B56" s="327"/>
      <c r="C56" s="328"/>
      <c r="D56" s="328"/>
      <c r="E56" s="329"/>
      <c r="F56" s="329"/>
      <c r="G56" s="329"/>
      <c r="H56" s="329"/>
      <c r="I56" s="329"/>
      <c r="J56" s="330">
        <f t="shared" ref="J56:M56" si="6">SUM(J53:J55)</f>
        <v>69.99</v>
      </c>
      <c r="K56" s="330">
        <f t="shared" si="6"/>
        <v>44.79</v>
      </c>
      <c r="L56" s="330">
        <f t="shared" si="6"/>
        <v>25.2</v>
      </c>
      <c r="M56" s="327">
        <f t="shared" si="6"/>
        <v>88</v>
      </c>
      <c r="N56" s="330">
        <f>K56/M56</f>
        <v>0.5089772727</v>
      </c>
    </row>
    <row r="57">
      <c r="A57" s="89" t="s">
        <v>39</v>
      </c>
      <c r="B57" s="96" t="s">
        <v>176</v>
      </c>
      <c r="C57" s="96">
        <v>361.0</v>
      </c>
      <c r="D57" s="96" t="s">
        <v>787</v>
      </c>
      <c r="E57" s="96" t="s">
        <v>24</v>
      </c>
      <c r="F57" s="325">
        <v>41906.0</v>
      </c>
      <c r="G57" s="325">
        <v>44139.0</v>
      </c>
      <c r="H57" s="325">
        <v>44139.0</v>
      </c>
      <c r="I57" s="325">
        <v>44139.0</v>
      </c>
      <c r="J57" s="326">
        <v>9.99</v>
      </c>
      <c r="K57" s="326">
        <v>1.49</v>
      </c>
      <c r="L57" s="326">
        <v>8.5</v>
      </c>
      <c r="M57" s="96">
        <v>1.0</v>
      </c>
      <c r="N57" s="326">
        <v>1.49</v>
      </c>
    </row>
    <row r="58">
      <c r="A58" s="96" t="s">
        <v>39</v>
      </c>
      <c r="B58" s="96" t="s">
        <v>177</v>
      </c>
      <c r="C58" s="96">
        <v>519.0</v>
      </c>
      <c r="D58" s="96" t="s">
        <v>819</v>
      </c>
      <c r="E58" s="96" t="s">
        <v>26</v>
      </c>
      <c r="F58" s="325">
        <v>44467.0</v>
      </c>
      <c r="G58" s="325">
        <v>44467.0</v>
      </c>
      <c r="H58" s="325">
        <v>44468.0</v>
      </c>
      <c r="I58" s="325">
        <v>44468.0</v>
      </c>
      <c r="J58" s="326">
        <v>29.99</v>
      </c>
      <c r="K58" s="326">
        <v>0.0</v>
      </c>
      <c r="L58" s="326">
        <v>29.99</v>
      </c>
      <c r="M58" s="96">
        <v>2.0</v>
      </c>
      <c r="N58" s="326">
        <v>0.0</v>
      </c>
    </row>
    <row r="59">
      <c r="A59" s="89" t="s">
        <v>39</v>
      </c>
      <c r="B59" s="96" t="s">
        <v>178</v>
      </c>
      <c r="C59" s="96">
        <v>220.0</v>
      </c>
      <c r="D59" s="96" t="s">
        <v>764</v>
      </c>
      <c r="E59" s="96" t="s">
        <v>24</v>
      </c>
      <c r="F59" s="325">
        <v>40445.0</v>
      </c>
      <c r="G59" s="325">
        <v>41856.0</v>
      </c>
      <c r="H59" s="325">
        <v>41856.0</v>
      </c>
      <c r="I59" s="325">
        <v>44811.0</v>
      </c>
      <c r="J59" s="326">
        <v>14.99</v>
      </c>
      <c r="K59" s="326">
        <v>3.5</v>
      </c>
      <c r="L59" s="326">
        <v>11.49</v>
      </c>
      <c r="M59" s="96">
        <v>5.0</v>
      </c>
      <c r="N59" s="326">
        <v>0.7</v>
      </c>
    </row>
    <row r="60">
      <c r="A60" s="96" t="s">
        <v>39</v>
      </c>
      <c r="B60" s="96" t="s">
        <v>179</v>
      </c>
      <c r="C60" s="96">
        <v>652.0</v>
      </c>
      <c r="D60" s="96" t="s">
        <v>828</v>
      </c>
      <c r="E60" s="96" t="s">
        <v>26</v>
      </c>
      <c r="F60" s="325">
        <v>45049.0</v>
      </c>
      <c r="G60" s="325">
        <v>45177.0</v>
      </c>
      <c r="H60" s="325">
        <v>45773.0</v>
      </c>
      <c r="I60" s="325">
        <v>45783.0</v>
      </c>
      <c r="J60" s="326">
        <v>19.99</v>
      </c>
      <c r="K60" s="326">
        <v>0.0</v>
      </c>
      <c r="L60" s="326">
        <v>19.99</v>
      </c>
      <c r="M60" s="96">
        <v>54.0</v>
      </c>
      <c r="N60" s="326">
        <v>0.0</v>
      </c>
    </row>
    <row r="61">
      <c r="A61" s="96" t="s">
        <v>39</v>
      </c>
      <c r="B61" s="96" t="s">
        <v>180</v>
      </c>
      <c r="C61" s="96">
        <v>348.0</v>
      </c>
      <c r="D61" s="96" t="s">
        <v>786</v>
      </c>
      <c r="E61" s="96" t="s">
        <v>24</v>
      </c>
      <c r="F61" s="325">
        <v>41850.0</v>
      </c>
      <c r="G61" s="325">
        <v>42750.0</v>
      </c>
      <c r="H61" s="325">
        <v>42822.0</v>
      </c>
      <c r="I61" s="325">
        <v>45422.0</v>
      </c>
      <c r="J61" s="326">
        <v>12.99</v>
      </c>
      <c r="K61" s="326">
        <v>4.99</v>
      </c>
      <c r="L61" s="326">
        <v>8.0</v>
      </c>
      <c r="M61" s="96">
        <v>15.0</v>
      </c>
      <c r="N61" s="326">
        <v>0.33</v>
      </c>
    </row>
    <row r="62">
      <c r="A62" s="89" t="s">
        <v>39</v>
      </c>
      <c r="B62" s="96" t="s">
        <v>181</v>
      </c>
      <c r="C62" s="96">
        <v>388.0</v>
      </c>
      <c r="D62" s="96" t="s">
        <v>770</v>
      </c>
      <c r="E62" s="96" t="s">
        <v>24</v>
      </c>
      <c r="F62" s="325">
        <v>40949.0</v>
      </c>
      <c r="G62" s="325">
        <v>44091.0</v>
      </c>
      <c r="H62" s="325">
        <v>45117.0</v>
      </c>
      <c r="I62" s="325">
        <v>45119.0</v>
      </c>
      <c r="J62" s="326">
        <v>29.99</v>
      </c>
      <c r="K62" s="326">
        <v>2.5</v>
      </c>
      <c r="L62" s="326">
        <v>27.49</v>
      </c>
      <c r="M62" s="96">
        <v>25.0</v>
      </c>
      <c r="N62" s="326">
        <v>0.1</v>
      </c>
    </row>
    <row r="63">
      <c r="A63" s="96"/>
      <c r="B63" s="96"/>
      <c r="C63" s="96">
        <v>959.0</v>
      </c>
      <c r="D63" s="96" t="s">
        <v>796</v>
      </c>
      <c r="E63" s="96" t="s">
        <v>26</v>
      </c>
      <c r="F63" s="325">
        <v>41607.0</v>
      </c>
      <c r="G63" s="325">
        <v>44334.0</v>
      </c>
      <c r="H63" s="325">
        <v>44334.0</v>
      </c>
      <c r="I63" s="325">
        <v>44334.0</v>
      </c>
      <c r="J63" s="326">
        <v>0.0</v>
      </c>
      <c r="K63" s="326">
        <v>0.0</v>
      </c>
      <c r="L63" s="326">
        <v>0.0</v>
      </c>
      <c r="M63" s="96">
        <v>1.0</v>
      </c>
      <c r="N63" s="326">
        <v>0.0</v>
      </c>
    </row>
    <row r="64">
      <c r="A64" s="327"/>
      <c r="B64" s="327"/>
      <c r="C64" s="328"/>
      <c r="D64" s="328"/>
      <c r="E64" s="329"/>
      <c r="F64" s="329"/>
      <c r="G64" s="329"/>
      <c r="H64" s="329"/>
      <c r="I64" s="329"/>
      <c r="J64" s="330">
        <f t="shared" ref="J64:M64" si="7">SUM(J62:J63)</f>
        <v>29.99</v>
      </c>
      <c r="K64" s="330">
        <f t="shared" si="7"/>
        <v>2.5</v>
      </c>
      <c r="L64" s="330">
        <f t="shared" si="7"/>
        <v>27.49</v>
      </c>
      <c r="M64" s="327">
        <f t="shared" si="7"/>
        <v>26</v>
      </c>
      <c r="N64" s="330">
        <f>K64/M64</f>
        <v>0.09615384615</v>
      </c>
    </row>
    <row r="65">
      <c r="A65" s="96" t="s">
        <v>39</v>
      </c>
      <c r="B65" s="96" t="s">
        <v>182</v>
      </c>
      <c r="C65" s="96">
        <v>443.0</v>
      </c>
      <c r="D65" s="96" t="s">
        <v>794</v>
      </c>
      <c r="E65" s="96" t="s">
        <v>25</v>
      </c>
      <c r="F65" s="325">
        <v>41955.0</v>
      </c>
      <c r="G65" s="325">
        <v>42045.0</v>
      </c>
      <c r="H65" s="325">
        <v>45044.0</v>
      </c>
      <c r="I65" s="325">
        <v>45048.0</v>
      </c>
      <c r="J65" s="326">
        <v>0.0</v>
      </c>
      <c r="K65" s="326">
        <v>0.0</v>
      </c>
      <c r="L65" s="326">
        <v>0.0</v>
      </c>
      <c r="M65" s="96">
        <v>10.0</v>
      </c>
      <c r="N65" s="326">
        <v>0.0</v>
      </c>
    </row>
    <row r="66">
      <c r="A66" s="96" t="s">
        <v>39</v>
      </c>
      <c r="B66" s="96" t="s">
        <v>183</v>
      </c>
      <c r="C66" s="96">
        <v>773.0</v>
      </c>
      <c r="D66" s="96" t="s">
        <v>823</v>
      </c>
      <c r="E66" s="96" t="s">
        <v>26</v>
      </c>
      <c r="F66" s="325">
        <v>44665.0</v>
      </c>
      <c r="G66" s="325">
        <v>45304.0</v>
      </c>
      <c r="H66" s="325">
        <v>45487.0</v>
      </c>
      <c r="I66" s="325">
        <v>45499.0</v>
      </c>
      <c r="J66" s="326">
        <v>24.99</v>
      </c>
      <c r="K66" s="326">
        <v>0.0</v>
      </c>
      <c r="L66" s="326">
        <v>24.99</v>
      </c>
      <c r="M66" s="96">
        <v>37.0</v>
      </c>
      <c r="N66" s="326">
        <v>0.0</v>
      </c>
    </row>
    <row r="67">
      <c r="A67" s="96" t="s">
        <v>39</v>
      </c>
      <c r="B67" s="96" t="s">
        <v>184</v>
      </c>
      <c r="C67" s="96">
        <v>529.0</v>
      </c>
      <c r="D67" s="96" t="s">
        <v>831</v>
      </c>
      <c r="E67" s="96" t="s">
        <v>26</v>
      </c>
      <c r="F67" s="325">
        <v>45349.0</v>
      </c>
      <c r="G67" s="325">
        <v>45482.0</v>
      </c>
      <c r="H67" s="325">
        <v>45484.0</v>
      </c>
      <c r="I67" s="325">
        <v>45484.0</v>
      </c>
      <c r="J67" s="326">
        <v>14.99</v>
      </c>
      <c r="K67" s="326">
        <v>9.89</v>
      </c>
      <c r="L67" s="326">
        <v>5.1</v>
      </c>
      <c r="M67" s="96">
        <v>2.0</v>
      </c>
      <c r="N67" s="326">
        <v>4.95</v>
      </c>
    </row>
    <row r="68">
      <c r="A68" s="89" t="s">
        <v>39</v>
      </c>
      <c r="B68" s="96" t="s">
        <v>185</v>
      </c>
      <c r="C68" s="96">
        <v>359.0</v>
      </c>
      <c r="D68" s="96" t="s">
        <v>759</v>
      </c>
      <c r="E68" s="96" t="s">
        <v>24</v>
      </c>
      <c r="F68" s="325">
        <v>39836.0</v>
      </c>
      <c r="G68" s="325">
        <v>40338.0</v>
      </c>
      <c r="H68" s="325">
        <v>40338.0</v>
      </c>
      <c r="I68" s="325">
        <v>40338.0</v>
      </c>
      <c r="J68" s="326">
        <v>19.99</v>
      </c>
      <c r="K68" s="326">
        <v>12.0</v>
      </c>
      <c r="L68" s="326">
        <v>7.99</v>
      </c>
      <c r="M68" s="96">
        <v>10.0</v>
      </c>
      <c r="N68" s="326">
        <v>1.2</v>
      </c>
    </row>
    <row r="69">
      <c r="A69" s="89"/>
      <c r="B69" s="96"/>
      <c r="C69" s="96">
        <v>313.0</v>
      </c>
      <c r="D69" s="96" t="s">
        <v>769</v>
      </c>
      <c r="E69" s="96" t="s">
        <v>24</v>
      </c>
      <c r="F69" s="325">
        <v>40865.0</v>
      </c>
      <c r="G69" s="325">
        <v>40885.0</v>
      </c>
      <c r="H69" s="325">
        <v>40885.0</v>
      </c>
      <c r="I69" s="325">
        <v>44750.0</v>
      </c>
      <c r="J69" s="326">
        <v>19.99</v>
      </c>
      <c r="K69" s="326">
        <v>4.0</v>
      </c>
      <c r="L69" s="326">
        <v>15.99</v>
      </c>
      <c r="M69" s="96">
        <v>15.0</v>
      </c>
      <c r="N69" s="326">
        <v>0.27</v>
      </c>
    </row>
    <row r="70">
      <c r="A70" s="327"/>
      <c r="B70" s="327"/>
      <c r="C70" s="328"/>
      <c r="D70" s="328"/>
      <c r="E70" s="329"/>
      <c r="F70" s="329"/>
      <c r="G70" s="329"/>
      <c r="H70" s="329"/>
      <c r="I70" s="329"/>
      <c r="J70" s="330">
        <f t="shared" ref="J70:M70" si="8">SUM(J68:J69)</f>
        <v>39.98</v>
      </c>
      <c r="K70" s="330">
        <f t="shared" si="8"/>
        <v>16</v>
      </c>
      <c r="L70" s="330">
        <f t="shared" si="8"/>
        <v>23.98</v>
      </c>
      <c r="M70" s="327">
        <f t="shared" si="8"/>
        <v>25</v>
      </c>
      <c r="N70" s="330">
        <f>K70/M70</f>
        <v>0.64</v>
      </c>
    </row>
    <row r="71">
      <c r="A71" s="89" t="s">
        <v>39</v>
      </c>
      <c r="B71" s="96" t="s">
        <v>186</v>
      </c>
      <c r="C71" s="96">
        <v>186.0</v>
      </c>
      <c r="D71" s="96" t="s">
        <v>757</v>
      </c>
      <c r="E71" s="96" t="s">
        <v>24</v>
      </c>
      <c r="F71" s="325">
        <v>39514.0</v>
      </c>
      <c r="G71" s="325">
        <v>44091.0</v>
      </c>
      <c r="H71" s="325">
        <v>44091.0</v>
      </c>
      <c r="I71" s="325">
        <v>44091.0</v>
      </c>
      <c r="J71" s="326">
        <v>14.99</v>
      </c>
      <c r="K71" s="326">
        <v>2.0</v>
      </c>
      <c r="L71" s="326">
        <v>12.99</v>
      </c>
      <c r="M71" s="96">
        <v>2.0</v>
      </c>
      <c r="N71" s="326">
        <v>1.0</v>
      </c>
    </row>
    <row r="72">
      <c r="A72" s="89" t="s">
        <v>39</v>
      </c>
      <c r="B72" s="96" t="s">
        <v>187</v>
      </c>
      <c r="C72" s="96">
        <v>246.0</v>
      </c>
      <c r="D72" s="96" t="s">
        <v>766</v>
      </c>
      <c r="E72" s="96" t="s">
        <v>24</v>
      </c>
      <c r="F72" s="325">
        <v>40606.0</v>
      </c>
      <c r="G72" s="325">
        <v>40732.0</v>
      </c>
      <c r="H72" s="325">
        <v>40732.0</v>
      </c>
      <c r="I72" s="325">
        <v>44750.0</v>
      </c>
      <c r="J72" s="326">
        <v>29.99</v>
      </c>
      <c r="K72" s="326">
        <v>15.0</v>
      </c>
      <c r="L72" s="326">
        <v>14.99</v>
      </c>
      <c r="M72" s="96">
        <v>15.0</v>
      </c>
      <c r="N72" s="326">
        <v>1.0</v>
      </c>
    </row>
    <row r="73">
      <c r="A73" s="89"/>
      <c r="B73" s="96"/>
      <c r="C73" s="96">
        <v>241.0</v>
      </c>
      <c r="D73" s="96" t="s">
        <v>772</v>
      </c>
      <c r="E73" s="96" t="s">
        <v>24</v>
      </c>
      <c r="F73" s="325">
        <v>40984.0</v>
      </c>
      <c r="G73" s="325">
        <v>42138.0</v>
      </c>
      <c r="H73" s="325">
        <v>42138.0</v>
      </c>
      <c r="I73" s="325">
        <v>42138.0</v>
      </c>
      <c r="J73" s="326">
        <v>29.99</v>
      </c>
      <c r="K73" s="326">
        <v>4.0</v>
      </c>
      <c r="L73" s="326">
        <v>25.99</v>
      </c>
      <c r="M73" s="96">
        <v>1.0</v>
      </c>
      <c r="N73" s="326">
        <v>4.0</v>
      </c>
    </row>
    <row r="74">
      <c r="A74" s="96"/>
      <c r="B74" s="96"/>
      <c r="C74" s="96">
        <v>242.0</v>
      </c>
      <c r="D74" s="96" t="s">
        <v>789</v>
      </c>
      <c r="E74" s="96" t="s">
        <v>24</v>
      </c>
      <c r="F74" s="325">
        <v>42272.0</v>
      </c>
      <c r="G74" s="325">
        <v>42272.0</v>
      </c>
      <c r="H74" s="325">
        <v>42272.0</v>
      </c>
      <c r="I74" s="325">
        <v>42272.0</v>
      </c>
      <c r="J74" s="326">
        <v>69.99</v>
      </c>
      <c r="K74" s="326">
        <v>69.99</v>
      </c>
      <c r="L74" s="326">
        <v>0.0</v>
      </c>
      <c r="M74" s="96">
        <v>11.0</v>
      </c>
      <c r="N74" s="326">
        <v>6.36</v>
      </c>
    </row>
    <row r="75">
      <c r="A75" s="96"/>
      <c r="B75" s="96"/>
      <c r="C75" s="96">
        <v>243.0</v>
      </c>
      <c r="D75" s="96" t="s">
        <v>790</v>
      </c>
      <c r="E75" s="96" t="s">
        <v>24</v>
      </c>
      <c r="F75" s="325">
        <v>42642.0</v>
      </c>
      <c r="G75" s="325">
        <v>42658.0</v>
      </c>
      <c r="H75" s="325">
        <v>42658.0</v>
      </c>
      <c r="I75" s="325">
        <v>42792.0</v>
      </c>
      <c r="J75" s="326">
        <v>69.99</v>
      </c>
      <c r="K75" s="326">
        <v>69.99</v>
      </c>
      <c r="L75" s="326">
        <v>0.0</v>
      </c>
      <c r="M75" s="96">
        <v>18.0</v>
      </c>
      <c r="N75" s="326">
        <v>3.89</v>
      </c>
    </row>
    <row r="76">
      <c r="A76" s="89"/>
      <c r="B76" s="96"/>
      <c r="C76" s="96">
        <v>244.0</v>
      </c>
      <c r="D76" s="96" t="s">
        <v>791</v>
      </c>
      <c r="E76" s="96" t="s">
        <v>24</v>
      </c>
      <c r="F76" s="325">
        <v>43007.0</v>
      </c>
      <c r="G76" s="325">
        <v>43007.0</v>
      </c>
      <c r="H76" s="325">
        <v>43008.0</v>
      </c>
      <c r="I76" s="325">
        <v>43073.0</v>
      </c>
      <c r="J76" s="326">
        <v>69.99</v>
      </c>
      <c r="K76" s="326">
        <v>69.99</v>
      </c>
      <c r="L76" s="326">
        <v>0.0</v>
      </c>
      <c r="M76" s="96">
        <v>14.0</v>
      </c>
      <c r="N76" s="326">
        <v>5.0</v>
      </c>
    </row>
    <row r="77">
      <c r="A77" s="89"/>
      <c r="B77" s="96"/>
      <c r="C77" s="96">
        <v>245.0</v>
      </c>
      <c r="D77" s="96" t="s">
        <v>792</v>
      </c>
      <c r="E77" s="96" t="s">
        <v>24</v>
      </c>
      <c r="F77" s="325">
        <v>43371.0</v>
      </c>
      <c r="G77" s="325">
        <v>43430.0</v>
      </c>
      <c r="H77" s="325">
        <v>43432.0</v>
      </c>
      <c r="I77" s="325">
        <v>43439.0</v>
      </c>
      <c r="J77" s="326">
        <v>69.99</v>
      </c>
      <c r="K77" s="326">
        <v>39.89</v>
      </c>
      <c r="L77" s="326">
        <v>30.1</v>
      </c>
      <c r="M77" s="96">
        <v>21.0</v>
      </c>
      <c r="N77" s="326">
        <v>1.9</v>
      </c>
    </row>
    <row r="78">
      <c r="A78" s="96"/>
      <c r="B78" s="96"/>
      <c r="C78" s="96">
        <v>625.0</v>
      </c>
      <c r="D78" s="96" t="s">
        <v>811</v>
      </c>
      <c r="E78" s="96" t="s">
        <v>26</v>
      </c>
      <c r="F78" s="325">
        <v>43735.0</v>
      </c>
      <c r="G78" s="325">
        <v>43922.0</v>
      </c>
      <c r="H78" s="325">
        <v>43974.0</v>
      </c>
      <c r="I78" s="325">
        <v>43981.0</v>
      </c>
      <c r="J78" s="326">
        <v>69.99</v>
      </c>
      <c r="K78" s="326">
        <v>27.99</v>
      </c>
      <c r="L78" s="326">
        <v>42.0</v>
      </c>
      <c r="M78" s="96">
        <v>28.0</v>
      </c>
      <c r="N78" s="326">
        <v>1.0</v>
      </c>
    </row>
    <row r="79">
      <c r="A79" s="96"/>
      <c r="B79" s="96"/>
      <c r="C79" s="96">
        <v>603.0</v>
      </c>
      <c r="D79" s="96" t="s">
        <v>813</v>
      </c>
      <c r="E79" s="96" t="s">
        <v>26</v>
      </c>
      <c r="F79" s="325">
        <v>44057.0</v>
      </c>
      <c r="G79" s="325">
        <v>44593.0</v>
      </c>
      <c r="H79" s="325">
        <v>44593.0</v>
      </c>
      <c r="I79" s="325">
        <v>44593.0</v>
      </c>
      <c r="J79" s="326">
        <v>69.99</v>
      </c>
      <c r="K79" s="326">
        <v>0.0</v>
      </c>
      <c r="L79" s="326">
        <v>69.99</v>
      </c>
      <c r="M79" s="96">
        <v>1.0</v>
      </c>
      <c r="N79" s="326">
        <v>0.0</v>
      </c>
    </row>
    <row r="80">
      <c r="A80" s="96"/>
      <c r="B80" s="96"/>
      <c r="C80" s="96">
        <v>626.0</v>
      </c>
      <c r="D80" s="96" t="s">
        <v>815</v>
      </c>
      <c r="E80" s="96" t="s">
        <v>26</v>
      </c>
      <c r="F80" s="325">
        <v>44113.0</v>
      </c>
      <c r="G80" s="325">
        <v>44334.0</v>
      </c>
      <c r="H80" s="325">
        <v>44339.0</v>
      </c>
      <c r="I80" s="325">
        <v>44339.0</v>
      </c>
      <c r="J80" s="326">
        <v>89.99</v>
      </c>
      <c r="K80" s="326">
        <v>24.29</v>
      </c>
      <c r="L80" s="326">
        <v>65.7</v>
      </c>
      <c r="M80" s="96">
        <v>4.0</v>
      </c>
      <c r="N80" s="326">
        <v>6.07</v>
      </c>
    </row>
    <row r="81">
      <c r="A81" s="96"/>
      <c r="B81" s="96"/>
      <c r="C81" s="96">
        <v>627.0</v>
      </c>
      <c r="D81" s="96" t="s">
        <v>820</v>
      </c>
      <c r="E81" s="96" t="s">
        <v>26</v>
      </c>
      <c r="F81" s="325">
        <v>44470.0</v>
      </c>
      <c r="G81" s="325">
        <v>44684.0</v>
      </c>
      <c r="H81" s="325">
        <v>44694.0</v>
      </c>
      <c r="I81" s="325">
        <v>44694.0</v>
      </c>
      <c r="J81" s="326">
        <v>79.99</v>
      </c>
      <c r="K81" s="326">
        <v>0.0</v>
      </c>
      <c r="L81" s="326">
        <v>79.99</v>
      </c>
      <c r="M81" s="96">
        <v>25.0</v>
      </c>
      <c r="N81" s="326">
        <v>0.0</v>
      </c>
    </row>
    <row r="82">
      <c r="A82" s="96"/>
      <c r="B82" s="96"/>
      <c r="C82" s="96">
        <v>628.0</v>
      </c>
      <c r="D82" s="96" t="s">
        <v>825</v>
      </c>
      <c r="E82" s="96" t="s">
        <v>26</v>
      </c>
      <c r="F82" s="325">
        <v>44834.0</v>
      </c>
      <c r="G82" s="325">
        <v>45070.0</v>
      </c>
      <c r="H82" s="325">
        <v>45070.0</v>
      </c>
      <c r="I82" s="325">
        <v>45070.0</v>
      </c>
      <c r="J82" s="326">
        <v>79.99</v>
      </c>
      <c r="K82" s="326">
        <v>31.99</v>
      </c>
      <c r="L82" s="326">
        <v>48.0</v>
      </c>
      <c r="M82" s="96">
        <v>2.0</v>
      </c>
      <c r="N82" s="326">
        <v>16.0</v>
      </c>
    </row>
    <row r="83">
      <c r="A83" s="96"/>
      <c r="B83" s="96"/>
      <c r="C83" s="96">
        <v>602.0</v>
      </c>
      <c r="D83" s="96" t="s">
        <v>829</v>
      </c>
      <c r="E83" s="96" t="s">
        <v>26</v>
      </c>
      <c r="F83" s="325">
        <v>45198.0</v>
      </c>
      <c r="G83" s="325">
        <v>45377.0</v>
      </c>
      <c r="H83" s="325">
        <v>45385.0</v>
      </c>
      <c r="I83" s="325">
        <v>45467.0</v>
      </c>
      <c r="J83" s="326">
        <v>79.99</v>
      </c>
      <c r="K83" s="326">
        <v>15.99</v>
      </c>
      <c r="L83" s="326">
        <v>64.0</v>
      </c>
      <c r="M83" s="96">
        <v>8.0</v>
      </c>
      <c r="N83" s="326">
        <v>2.0</v>
      </c>
    </row>
    <row r="84">
      <c r="A84" s="96"/>
      <c r="B84" s="96"/>
      <c r="C84" s="96">
        <v>767.0</v>
      </c>
      <c r="D84" s="96" t="s">
        <v>830</v>
      </c>
      <c r="E84" s="96" t="s">
        <v>26</v>
      </c>
      <c r="F84" s="325">
        <v>45205.0</v>
      </c>
      <c r="G84" s="325">
        <v>45475.0</v>
      </c>
      <c r="H84" s="325">
        <v>45475.0</v>
      </c>
      <c r="I84" s="325">
        <v>45475.0</v>
      </c>
      <c r="J84" s="326">
        <v>79.99</v>
      </c>
      <c r="K84" s="326">
        <v>0.0</v>
      </c>
      <c r="L84" s="326">
        <v>79.99</v>
      </c>
      <c r="M84" s="96">
        <v>1.0</v>
      </c>
      <c r="N84" s="326">
        <v>0.0</v>
      </c>
    </row>
    <row r="85">
      <c r="A85" s="327"/>
      <c r="B85" s="327"/>
      <c r="C85" s="328"/>
      <c r="D85" s="328"/>
      <c r="E85" s="329"/>
      <c r="F85" s="329"/>
      <c r="G85" s="329"/>
      <c r="H85" s="329"/>
      <c r="I85" s="329"/>
      <c r="J85" s="330">
        <f t="shared" ref="J85:M85" si="9">SUM(J72:J84)</f>
        <v>889.87</v>
      </c>
      <c r="K85" s="330">
        <f t="shared" si="9"/>
        <v>369.12</v>
      </c>
      <c r="L85" s="330">
        <f t="shared" si="9"/>
        <v>520.75</v>
      </c>
      <c r="M85" s="327">
        <f t="shared" si="9"/>
        <v>149</v>
      </c>
      <c r="N85" s="330">
        <f>K85/M85</f>
        <v>2.477315436</v>
      </c>
    </row>
    <row r="86">
      <c r="A86" s="89" t="s">
        <v>39</v>
      </c>
      <c r="B86" s="96" t="s">
        <v>188</v>
      </c>
      <c r="C86" s="96">
        <v>225.0</v>
      </c>
      <c r="D86" s="96" t="s">
        <v>767</v>
      </c>
      <c r="E86" s="96" t="s">
        <v>24</v>
      </c>
      <c r="F86" s="325">
        <v>40781.0</v>
      </c>
      <c r="G86" s="325">
        <v>44091.0</v>
      </c>
      <c r="H86" s="325">
        <v>44404.0</v>
      </c>
      <c r="I86" s="325">
        <v>44405.0</v>
      </c>
      <c r="J86" s="326">
        <v>14.99</v>
      </c>
      <c r="K86" s="326">
        <v>6.0</v>
      </c>
      <c r="L86" s="326">
        <v>8.99</v>
      </c>
      <c r="M86" s="96">
        <v>10.0</v>
      </c>
      <c r="N86" s="326">
        <v>0.6</v>
      </c>
    </row>
    <row r="87">
      <c r="A87" s="96"/>
      <c r="B87" s="96"/>
      <c r="C87" s="96">
        <v>833.0</v>
      </c>
      <c r="D87" s="96" t="s">
        <v>808</v>
      </c>
      <c r="E87" s="96" t="s">
        <v>26</v>
      </c>
      <c r="F87" s="325">
        <v>43357.0</v>
      </c>
      <c r="G87" s="325">
        <v>45014.0</v>
      </c>
      <c r="H87" s="325">
        <v>45264.0</v>
      </c>
      <c r="I87" s="325">
        <v>45316.0</v>
      </c>
      <c r="J87" s="326">
        <v>39.99</v>
      </c>
      <c r="K87" s="326">
        <v>6.98</v>
      </c>
      <c r="L87" s="326">
        <v>33.01</v>
      </c>
      <c r="M87" s="96">
        <v>44.0</v>
      </c>
      <c r="N87" s="326">
        <v>0.16</v>
      </c>
    </row>
    <row r="88">
      <c r="A88" s="327"/>
      <c r="B88" s="327"/>
      <c r="C88" s="328"/>
      <c r="D88" s="328"/>
      <c r="E88" s="329"/>
      <c r="F88" s="329"/>
      <c r="G88" s="329"/>
      <c r="H88" s="329"/>
      <c r="I88" s="329"/>
      <c r="J88" s="330">
        <f t="shared" ref="J88:M88" si="10">SUM(J86:J87)</f>
        <v>54.98</v>
      </c>
      <c r="K88" s="330">
        <f t="shared" si="10"/>
        <v>12.98</v>
      </c>
      <c r="L88" s="330">
        <f t="shared" si="10"/>
        <v>42</v>
      </c>
      <c r="M88" s="327">
        <f t="shared" si="10"/>
        <v>54</v>
      </c>
      <c r="N88" s="330">
        <f>K88/M88</f>
        <v>0.2403703704</v>
      </c>
    </row>
    <row r="89">
      <c r="A89" s="96" t="s">
        <v>39</v>
      </c>
      <c r="B89" s="96" t="s">
        <v>189</v>
      </c>
      <c r="C89" s="96">
        <v>427.0</v>
      </c>
      <c r="D89" s="96" t="s">
        <v>781</v>
      </c>
      <c r="E89" s="96" t="s">
        <v>24</v>
      </c>
      <c r="F89" s="325">
        <v>41395.0</v>
      </c>
      <c r="G89" s="325">
        <v>43345.0</v>
      </c>
      <c r="H89" s="325">
        <v>44284.0</v>
      </c>
      <c r="I89" s="325">
        <v>44294.0</v>
      </c>
      <c r="J89" s="326">
        <v>6.19</v>
      </c>
      <c r="K89" s="326">
        <v>6.19</v>
      </c>
      <c r="L89" s="326">
        <v>0.0</v>
      </c>
      <c r="M89" s="96">
        <v>5.0</v>
      </c>
      <c r="N89" s="326">
        <v>1.24</v>
      </c>
    </row>
    <row r="90">
      <c r="A90" s="96" t="s">
        <v>39</v>
      </c>
      <c r="B90" s="96" t="s">
        <v>190</v>
      </c>
      <c r="C90" s="96">
        <v>502.0</v>
      </c>
      <c r="D90" s="96" t="s">
        <v>802</v>
      </c>
      <c r="E90" s="96" t="s">
        <v>26</v>
      </c>
      <c r="F90" s="325">
        <v>42611.0</v>
      </c>
      <c r="G90" s="325">
        <v>42766.0</v>
      </c>
      <c r="H90" s="325">
        <v>42850.0</v>
      </c>
      <c r="I90" s="325">
        <v>44671.0</v>
      </c>
      <c r="J90" s="326">
        <v>11.99</v>
      </c>
      <c r="K90" s="326">
        <v>7.99</v>
      </c>
      <c r="L90" s="326">
        <v>4.0</v>
      </c>
      <c r="M90" s="96">
        <v>9.0</v>
      </c>
      <c r="N90" s="326">
        <v>0.89</v>
      </c>
    </row>
    <row r="91">
      <c r="A91" s="96"/>
      <c r="B91" s="96"/>
      <c r="C91" s="96">
        <v>515.0</v>
      </c>
      <c r="D91" s="96" t="s">
        <v>821</v>
      </c>
      <c r="E91" s="96" t="s">
        <v>26</v>
      </c>
      <c r="F91" s="325">
        <v>44475.0</v>
      </c>
      <c r="G91" s="325">
        <v>44623.0</v>
      </c>
      <c r="H91" s="325">
        <v>44664.0</v>
      </c>
      <c r="I91" s="325">
        <v>44684.0</v>
      </c>
      <c r="J91" s="326">
        <v>20.99</v>
      </c>
      <c r="K91" s="326">
        <v>13.64</v>
      </c>
      <c r="L91" s="326">
        <v>7.35</v>
      </c>
      <c r="M91" s="96">
        <v>42.0</v>
      </c>
      <c r="N91" s="326">
        <v>0.32</v>
      </c>
    </row>
    <row r="92">
      <c r="A92" s="327"/>
      <c r="B92" s="327"/>
      <c r="C92" s="328"/>
      <c r="D92" s="328"/>
      <c r="E92" s="329"/>
      <c r="F92" s="329"/>
      <c r="G92" s="329"/>
      <c r="H92" s="329"/>
      <c r="I92" s="329"/>
      <c r="J92" s="330">
        <f t="shared" ref="J92:M92" si="11">SUM(J90:J91)</f>
        <v>32.98</v>
      </c>
      <c r="K92" s="330">
        <f t="shared" si="11"/>
        <v>21.63</v>
      </c>
      <c r="L92" s="330">
        <f t="shared" si="11"/>
        <v>11.35</v>
      </c>
      <c r="M92" s="327">
        <f t="shared" si="11"/>
        <v>51</v>
      </c>
      <c r="N92" s="330">
        <f t="shared" ref="N92:N93" si="12">K92/M92</f>
        <v>0.4241176471</v>
      </c>
    </row>
    <row r="93">
      <c r="A93" s="37" t="s">
        <v>39</v>
      </c>
      <c r="B93" s="37" t="s">
        <v>40</v>
      </c>
      <c r="C93" s="37">
        <v>589.0</v>
      </c>
      <c r="D93" s="37" t="s">
        <v>41</v>
      </c>
      <c r="E93" s="37" t="s">
        <v>26</v>
      </c>
      <c r="F93" s="38">
        <v>44810.0</v>
      </c>
      <c r="G93" s="38">
        <v>44883.0</v>
      </c>
      <c r="H93" s="38">
        <v>44901.0</v>
      </c>
      <c r="I93" s="38">
        <v>46053.0</v>
      </c>
      <c r="J93" s="39">
        <v>29.99</v>
      </c>
      <c r="K93" s="39">
        <v>23.99</v>
      </c>
      <c r="L93" s="39">
        <f>J93-K93</f>
        <v>6</v>
      </c>
      <c r="M93" s="37">
        <v>196.0</v>
      </c>
      <c r="N93" s="39">
        <f t="shared" si="12"/>
        <v>0.1223979592</v>
      </c>
    </row>
    <row r="94">
      <c r="A94" s="96" t="s">
        <v>39</v>
      </c>
      <c r="B94" s="96" t="s">
        <v>191</v>
      </c>
      <c r="C94" s="96">
        <v>766.0</v>
      </c>
      <c r="D94" s="96" t="s">
        <v>826</v>
      </c>
      <c r="E94" s="96" t="s">
        <v>26</v>
      </c>
      <c r="F94" s="325">
        <v>44855.0</v>
      </c>
      <c r="G94" s="325">
        <v>45058.0</v>
      </c>
      <c r="H94" s="325">
        <v>45242.0</v>
      </c>
      <c r="I94" s="325">
        <v>45243.0</v>
      </c>
      <c r="J94" s="326">
        <v>39.99</v>
      </c>
      <c r="K94" s="326">
        <v>19.99</v>
      </c>
      <c r="L94" s="326">
        <v>20.0</v>
      </c>
      <c r="M94" s="96">
        <v>13.0</v>
      </c>
      <c r="N94" s="326">
        <v>1.54</v>
      </c>
    </row>
    <row r="95">
      <c r="A95" s="96" t="s">
        <v>39</v>
      </c>
      <c r="B95" s="96" t="s">
        <v>192</v>
      </c>
      <c r="C95" s="96">
        <v>792.0</v>
      </c>
      <c r="D95" s="96" t="s">
        <v>814</v>
      </c>
      <c r="E95" s="96" t="s">
        <v>26</v>
      </c>
      <c r="F95" s="325">
        <v>44064.0</v>
      </c>
      <c r="G95" s="325">
        <v>44474.0</v>
      </c>
      <c r="H95" s="325">
        <v>44474.0</v>
      </c>
      <c r="I95" s="325">
        <v>44474.0</v>
      </c>
      <c r="J95" s="326">
        <v>59.99</v>
      </c>
      <c r="K95" s="326">
        <v>0.0</v>
      </c>
      <c r="L95" s="326">
        <v>59.99</v>
      </c>
      <c r="M95" s="96">
        <v>1.0</v>
      </c>
      <c r="N95" s="326">
        <v>0.0</v>
      </c>
    </row>
    <row r="96">
      <c r="A96" s="89" t="s">
        <v>39</v>
      </c>
      <c r="B96" s="96" t="s">
        <v>193</v>
      </c>
      <c r="C96" s="96">
        <v>224.0</v>
      </c>
      <c r="D96" s="96" t="s">
        <v>768</v>
      </c>
      <c r="E96" s="96" t="s">
        <v>24</v>
      </c>
      <c r="F96" s="325">
        <v>40786.0</v>
      </c>
      <c r="G96" s="325">
        <v>44292.0</v>
      </c>
      <c r="H96" s="325">
        <v>45072.0</v>
      </c>
      <c r="I96" s="325">
        <v>45075.0</v>
      </c>
      <c r="J96" s="326">
        <v>12.99</v>
      </c>
      <c r="K96" s="326">
        <v>12.99</v>
      </c>
      <c r="L96" s="326">
        <v>0.0</v>
      </c>
      <c r="M96" s="96">
        <v>30.0</v>
      </c>
      <c r="N96" s="326">
        <v>0.43</v>
      </c>
    </row>
    <row r="97">
      <c r="A97" s="96" t="s">
        <v>39</v>
      </c>
      <c r="B97" s="96" t="s">
        <v>194</v>
      </c>
      <c r="C97" s="96">
        <v>946.0</v>
      </c>
      <c r="D97" s="96" t="s">
        <v>824</v>
      </c>
      <c r="E97" s="96" t="s">
        <v>26</v>
      </c>
      <c r="F97" s="325">
        <v>44831.0</v>
      </c>
      <c r="G97" s="325">
        <v>45050.0</v>
      </c>
      <c r="H97" s="325">
        <v>45511.0</v>
      </c>
      <c r="I97" s="325">
        <v>45511.0</v>
      </c>
      <c r="J97" s="326">
        <v>29.99</v>
      </c>
      <c r="K97" s="326">
        <v>0.0</v>
      </c>
      <c r="L97" s="326">
        <v>29.99</v>
      </c>
      <c r="M97" s="96">
        <v>2.0</v>
      </c>
      <c r="N97" s="326">
        <v>0.0</v>
      </c>
    </row>
    <row r="98">
      <c r="A98" s="96" t="s">
        <v>39</v>
      </c>
      <c r="B98" s="96" t="s">
        <v>195</v>
      </c>
      <c r="C98" s="96">
        <v>592.0</v>
      </c>
      <c r="D98" s="96" t="s">
        <v>797</v>
      </c>
      <c r="E98" s="96" t="s">
        <v>26</v>
      </c>
      <c r="F98" s="325">
        <v>41647.0</v>
      </c>
      <c r="G98" s="325">
        <v>45048.0</v>
      </c>
      <c r="H98" s="325">
        <v>45048.0</v>
      </c>
      <c r="I98" s="325">
        <v>45048.0</v>
      </c>
      <c r="J98" s="326">
        <v>13.99</v>
      </c>
      <c r="K98" s="326">
        <v>3.49</v>
      </c>
      <c r="L98" s="326">
        <v>10.5</v>
      </c>
      <c r="M98" s="96">
        <v>1.0</v>
      </c>
      <c r="N98" s="326">
        <v>3.49</v>
      </c>
    </row>
    <row r="99">
      <c r="A99" s="96" t="s">
        <v>39</v>
      </c>
      <c r="B99" s="96" t="s">
        <v>196</v>
      </c>
      <c r="C99" s="96">
        <v>543.0</v>
      </c>
      <c r="D99" s="96" t="s">
        <v>806</v>
      </c>
      <c r="E99" s="96" t="s">
        <v>26</v>
      </c>
      <c r="F99" s="325">
        <v>43125.0</v>
      </c>
      <c r="G99" s="325">
        <v>43335.0</v>
      </c>
      <c r="H99" s="325">
        <v>43338.0</v>
      </c>
      <c r="I99" s="325">
        <v>43338.0</v>
      </c>
      <c r="J99" s="326">
        <v>19.99</v>
      </c>
      <c r="K99" s="326">
        <v>11.99</v>
      </c>
      <c r="L99" s="326">
        <v>8.0</v>
      </c>
      <c r="M99" s="96">
        <v>2.0</v>
      </c>
      <c r="N99" s="326">
        <v>6.0</v>
      </c>
    </row>
    <row r="100">
      <c r="A100" s="96" t="s">
        <v>39</v>
      </c>
      <c r="B100" s="96" t="s">
        <v>197</v>
      </c>
      <c r="C100" s="96">
        <v>1057.0</v>
      </c>
      <c r="D100" s="96" t="s">
        <v>836</v>
      </c>
      <c r="E100" s="96" t="s">
        <v>28</v>
      </c>
      <c r="F100" s="325">
        <v>44953.0</v>
      </c>
      <c r="G100" s="325">
        <v>45520.0</v>
      </c>
      <c r="H100" s="325">
        <v>45531.0</v>
      </c>
      <c r="I100" s="325">
        <v>45535.0</v>
      </c>
      <c r="J100" s="95">
        <v>79.99</v>
      </c>
      <c r="K100" s="95">
        <v>27.99</v>
      </c>
      <c r="L100" s="95">
        <v>52.0</v>
      </c>
      <c r="M100" s="96">
        <v>5.0</v>
      </c>
      <c r="N100" s="326">
        <v>5.6</v>
      </c>
    </row>
    <row r="101">
      <c r="A101" s="96" t="s">
        <v>39</v>
      </c>
      <c r="B101" s="96" t="s">
        <v>198</v>
      </c>
      <c r="C101" s="96">
        <v>679.0</v>
      </c>
      <c r="D101" s="96" t="s">
        <v>803</v>
      </c>
      <c r="E101" s="96" t="s">
        <v>26</v>
      </c>
      <c r="F101" s="325">
        <v>42633.0</v>
      </c>
      <c r="G101" s="325">
        <v>42951.0</v>
      </c>
      <c r="H101" s="325">
        <v>42974.0</v>
      </c>
      <c r="I101" s="325">
        <v>44844.0</v>
      </c>
      <c r="J101" s="326">
        <v>17.99</v>
      </c>
      <c r="K101" s="326">
        <v>4.99</v>
      </c>
      <c r="L101" s="326">
        <v>13.0</v>
      </c>
      <c r="M101" s="96">
        <v>4.0</v>
      </c>
      <c r="N101" s="326">
        <v>1.25</v>
      </c>
    </row>
    <row r="102">
      <c r="A102" s="96" t="s">
        <v>39</v>
      </c>
      <c r="B102" s="96" t="s">
        <v>199</v>
      </c>
      <c r="C102" s="96">
        <v>941.0</v>
      </c>
      <c r="D102" s="96" t="s">
        <v>818</v>
      </c>
      <c r="E102" s="96" t="s">
        <v>26</v>
      </c>
      <c r="F102" s="325">
        <v>44404.0</v>
      </c>
      <c r="G102" s="325">
        <v>44684.0</v>
      </c>
      <c r="H102" s="325">
        <v>44684.0</v>
      </c>
      <c r="I102" s="325">
        <v>44684.0</v>
      </c>
      <c r="J102" s="326">
        <v>19.99</v>
      </c>
      <c r="K102" s="326">
        <v>0.0</v>
      </c>
      <c r="L102" s="326">
        <v>19.99</v>
      </c>
      <c r="M102" s="96">
        <v>1.0</v>
      </c>
      <c r="N102" s="326">
        <v>0.0</v>
      </c>
    </row>
    <row r="103">
      <c r="A103" s="96" t="s">
        <v>39</v>
      </c>
      <c r="B103" s="96" t="s">
        <v>200</v>
      </c>
      <c r="C103" s="96">
        <v>426.0</v>
      </c>
      <c r="D103" s="96" t="s">
        <v>783</v>
      </c>
      <c r="E103" s="96" t="s">
        <v>24</v>
      </c>
      <c r="F103" s="325">
        <v>41752.0</v>
      </c>
      <c r="G103" s="325">
        <v>41769.0</v>
      </c>
      <c r="H103" s="325">
        <v>41769.0</v>
      </c>
      <c r="I103" s="325">
        <v>41985.0</v>
      </c>
      <c r="J103" s="326">
        <v>9.99</v>
      </c>
      <c r="K103" s="326">
        <v>9.99</v>
      </c>
      <c r="L103" s="326">
        <v>0.0</v>
      </c>
      <c r="M103" s="96">
        <v>30.0</v>
      </c>
      <c r="N103" s="326">
        <v>0.33</v>
      </c>
    </row>
    <row r="104">
      <c r="A104" s="96"/>
      <c r="B104" s="96"/>
      <c r="C104" s="96">
        <v>979.0</v>
      </c>
      <c r="D104" s="96" t="s">
        <v>799</v>
      </c>
      <c r="E104" s="96" t="s">
        <v>26</v>
      </c>
      <c r="F104" s="325">
        <v>42216.0</v>
      </c>
      <c r="G104" s="325">
        <v>42257.0</v>
      </c>
      <c r="H104" s="325">
        <v>42258.0</v>
      </c>
      <c r="I104" s="325">
        <v>44094.0</v>
      </c>
      <c r="J104" s="326">
        <v>19.99</v>
      </c>
      <c r="K104" s="326">
        <v>19.99</v>
      </c>
      <c r="L104" s="326">
        <v>0.0</v>
      </c>
      <c r="M104" s="96">
        <v>40.0</v>
      </c>
      <c r="N104" s="326">
        <v>0.5</v>
      </c>
    </row>
    <row r="105">
      <c r="A105" s="327"/>
      <c r="B105" s="327"/>
      <c r="C105" s="328"/>
      <c r="D105" s="328"/>
      <c r="E105" s="329"/>
      <c r="F105" s="329"/>
      <c r="G105" s="329"/>
      <c r="H105" s="329"/>
      <c r="I105" s="329"/>
      <c r="J105" s="330">
        <f t="shared" ref="J105:M105" si="13">SUM(J103:J104)</f>
        <v>29.98</v>
      </c>
      <c r="K105" s="330">
        <f t="shared" si="13"/>
        <v>29.98</v>
      </c>
      <c r="L105" s="330">
        <f t="shared" si="13"/>
        <v>0</v>
      </c>
      <c r="M105" s="327">
        <f t="shared" si="13"/>
        <v>70</v>
      </c>
      <c r="N105" s="330">
        <f>K105/M105</f>
        <v>0.4282857143</v>
      </c>
    </row>
    <row r="106">
      <c r="A106" s="96" t="s">
        <v>39</v>
      </c>
      <c r="B106" s="96" t="s">
        <v>201</v>
      </c>
      <c r="C106" s="96">
        <v>1017.0</v>
      </c>
      <c r="D106" s="96" t="s">
        <v>835</v>
      </c>
      <c r="E106" s="96" t="s">
        <v>27</v>
      </c>
      <c r="F106" s="325">
        <v>43270.0</v>
      </c>
      <c r="G106" s="325">
        <v>43804.0</v>
      </c>
      <c r="H106" s="325">
        <v>43804.0</v>
      </c>
      <c r="I106" s="325">
        <v>43804.0</v>
      </c>
      <c r="J106" s="326">
        <v>19.99</v>
      </c>
      <c r="K106" s="326">
        <v>3.99</v>
      </c>
      <c r="L106" s="326">
        <v>16.0</v>
      </c>
      <c r="M106" s="96">
        <v>1.0</v>
      </c>
      <c r="N106" s="326">
        <v>3.99</v>
      </c>
    </row>
    <row r="107">
      <c r="A107" s="96" t="s">
        <v>39</v>
      </c>
      <c r="B107" s="96" t="s">
        <v>202</v>
      </c>
      <c r="C107" s="96">
        <v>240.0</v>
      </c>
      <c r="D107" s="96" t="s">
        <v>782</v>
      </c>
      <c r="E107" s="96" t="s">
        <v>24</v>
      </c>
      <c r="F107" s="325">
        <v>41723.0</v>
      </c>
      <c r="G107" s="325">
        <v>42939.0</v>
      </c>
      <c r="H107" s="325">
        <v>42945.0</v>
      </c>
      <c r="I107" s="325">
        <v>44871.0</v>
      </c>
      <c r="J107" s="326">
        <v>9.99</v>
      </c>
      <c r="K107" s="326">
        <v>1.99</v>
      </c>
      <c r="L107" s="326">
        <v>8.0</v>
      </c>
      <c r="M107" s="96">
        <v>2.0</v>
      </c>
      <c r="N107" s="326">
        <v>1.0</v>
      </c>
    </row>
    <row r="108">
      <c r="A108" s="90" t="s">
        <v>39</v>
      </c>
      <c r="B108" s="96" t="s">
        <v>203</v>
      </c>
      <c r="C108" s="96">
        <v>82.0</v>
      </c>
      <c r="D108" s="96" t="s">
        <v>751</v>
      </c>
      <c r="E108" s="96" t="s">
        <v>22</v>
      </c>
      <c r="F108" s="325">
        <v>37602.0</v>
      </c>
      <c r="G108" s="325">
        <v>42875.0</v>
      </c>
      <c r="H108" s="325">
        <v>43681.0</v>
      </c>
      <c r="I108" s="325">
        <v>45006.0</v>
      </c>
      <c r="J108" s="326">
        <v>13.98</v>
      </c>
      <c r="K108" s="326">
        <v>7.98</v>
      </c>
      <c r="L108" s="326">
        <v>6.0</v>
      </c>
      <c r="M108" s="96">
        <v>10.0</v>
      </c>
      <c r="N108" s="326">
        <v>0.8</v>
      </c>
    </row>
    <row r="109">
      <c r="A109" s="89" t="s">
        <v>39</v>
      </c>
      <c r="B109" s="96" t="s">
        <v>204</v>
      </c>
      <c r="C109" s="96">
        <v>366.0</v>
      </c>
      <c r="D109" s="96" t="s">
        <v>775</v>
      </c>
      <c r="E109" s="96" t="s">
        <v>24</v>
      </c>
      <c r="F109" s="325">
        <v>41136.0</v>
      </c>
      <c r="G109" s="325">
        <v>42925.0</v>
      </c>
      <c r="H109" s="325">
        <v>45054.0</v>
      </c>
      <c r="I109" s="325">
        <v>45054.0</v>
      </c>
      <c r="J109" s="326">
        <v>14.99</v>
      </c>
      <c r="K109" s="326">
        <v>3.99</v>
      </c>
      <c r="L109" s="326">
        <v>11.0</v>
      </c>
      <c r="M109" s="96">
        <v>5.0</v>
      </c>
      <c r="N109" s="326">
        <v>0.8</v>
      </c>
    </row>
    <row r="110">
      <c r="A110" s="89" t="s">
        <v>39</v>
      </c>
      <c r="B110" s="96" t="s">
        <v>205</v>
      </c>
      <c r="C110" s="96">
        <v>326.0</v>
      </c>
      <c r="D110" s="96" t="s">
        <v>760</v>
      </c>
      <c r="E110" s="96" t="s">
        <v>24</v>
      </c>
      <c r="F110" s="325">
        <v>39976.0</v>
      </c>
      <c r="G110" s="325">
        <v>41553.0</v>
      </c>
      <c r="H110" s="325">
        <v>41553.0</v>
      </c>
      <c r="I110" s="325">
        <v>41745.0</v>
      </c>
      <c r="J110" s="326">
        <v>24.99</v>
      </c>
      <c r="K110" s="326">
        <v>7.99</v>
      </c>
      <c r="L110" s="326">
        <v>17.0</v>
      </c>
      <c r="M110" s="96">
        <v>1.0</v>
      </c>
      <c r="N110" s="326">
        <v>7.99</v>
      </c>
    </row>
    <row r="111">
      <c r="A111" s="89"/>
      <c r="B111" s="96"/>
      <c r="C111" s="96">
        <v>327.0</v>
      </c>
      <c r="D111" s="96" t="s">
        <v>773</v>
      </c>
      <c r="E111" s="96" t="s">
        <v>24</v>
      </c>
      <c r="F111" s="325">
        <v>41026.0</v>
      </c>
      <c r="G111" s="325">
        <v>42969.0</v>
      </c>
      <c r="H111" s="325">
        <v>42969.0</v>
      </c>
      <c r="I111" s="325">
        <v>42969.0</v>
      </c>
      <c r="J111" s="326">
        <v>24.99</v>
      </c>
      <c r="K111" s="326">
        <v>7.99</v>
      </c>
      <c r="L111" s="326">
        <v>17.0</v>
      </c>
      <c r="M111" s="96">
        <v>1.0</v>
      </c>
      <c r="N111" s="326">
        <v>7.99</v>
      </c>
    </row>
    <row r="112">
      <c r="A112" s="327"/>
      <c r="B112" s="327"/>
      <c r="C112" s="328"/>
      <c r="D112" s="328"/>
      <c r="E112" s="329"/>
      <c r="F112" s="329"/>
      <c r="G112" s="329"/>
      <c r="H112" s="329"/>
      <c r="I112" s="329"/>
      <c r="J112" s="330">
        <f t="shared" ref="J112:M112" si="14">SUM(J110:J111)</f>
        <v>49.98</v>
      </c>
      <c r="K112" s="330">
        <f t="shared" si="14"/>
        <v>15.98</v>
      </c>
      <c r="L112" s="330">
        <f t="shared" si="14"/>
        <v>34</v>
      </c>
      <c r="M112" s="327">
        <f t="shared" si="14"/>
        <v>2</v>
      </c>
      <c r="N112" s="330">
        <f>K112/M112</f>
        <v>7.99</v>
      </c>
    </row>
    <row r="113">
      <c r="A113" s="96" t="s">
        <v>39</v>
      </c>
      <c r="B113" s="96" t="s">
        <v>206</v>
      </c>
      <c r="C113" s="96">
        <v>781.0</v>
      </c>
      <c r="D113" s="96" t="s">
        <v>798</v>
      </c>
      <c r="E113" s="96" t="s">
        <v>26</v>
      </c>
      <c r="F113" s="325">
        <v>41675.0</v>
      </c>
      <c r="G113" s="325">
        <v>44071.0</v>
      </c>
      <c r="H113" s="325">
        <v>44071.0</v>
      </c>
      <c r="I113" s="325">
        <v>44071.0</v>
      </c>
      <c r="J113" s="326">
        <v>18.99</v>
      </c>
      <c r="K113" s="326">
        <v>3.79</v>
      </c>
      <c r="L113" s="326">
        <v>15.2</v>
      </c>
      <c r="M113" s="96">
        <v>1.0</v>
      </c>
      <c r="N113" s="326">
        <v>3.79</v>
      </c>
    </row>
    <row r="114">
      <c r="A114" s="90" t="s">
        <v>39</v>
      </c>
      <c r="B114" s="96" t="s">
        <v>207</v>
      </c>
      <c r="C114" s="96">
        <v>144.0</v>
      </c>
      <c r="D114" s="96" t="s">
        <v>754</v>
      </c>
      <c r="E114" s="96" t="s">
        <v>22</v>
      </c>
      <c r="F114" s="325">
        <v>38646.0</v>
      </c>
      <c r="G114" s="325">
        <v>42950.0</v>
      </c>
      <c r="H114" s="325">
        <v>44687.0</v>
      </c>
      <c r="I114" s="325">
        <v>44694.0</v>
      </c>
      <c r="J114" s="326">
        <v>13.99</v>
      </c>
      <c r="K114" s="326">
        <v>5.99</v>
      </c>
      <c r="L114" s="326">
        <v>8.0</v>
      </c>
      <c r="M114" s="96">
        <v>36.0</v>
      </c>
      <c r="N114" s="326">
        <v>0.17</v>
      </c>
    </row>
    <row r="115">
      <c r="A115" s="90" t="s">
        <v>39</v>
      </c>
      <c r="B115" s="96" t="s">
        <v>208</v>
      </c>
      <c r="C115" s="96">
        <v>81.0</v>
      </c>
      <c r="D115" s="96" t="s">
        <v>756</v>
      </c>
      <c r="E115" s="96" t="s">
        <v>22</v>
      </c>
      <c r="F115" s="325">
        <v>39015.0</v>
      </c>
      <c r="G115" s="325">
        <v>42950.0</v>
      </c>
      <c r="H115" s="325">
        <v>43240.0</v>
      </c>
      <c r="I115" s="325">
        <v>43336.0</v>
      </c>
      <c r="J115" s="326">
        <v>23.98</v>
      </c>
      <c r="K115" s="326">
        <v>15.98</v>
      </c>
      <c r="L115" s="326">
        <v>8.0</v>
      </c>
      <c r="M115" s="96">
        <v>29.0</v>
      </c>
      <c r="N115" s="326">
        <v>0.55</v>
      </c>
    </row>
    <row r="116">
      <c r="A116" s="96" t="s">
        <v>39</v>
      </c>
      <c r="B116" s="96" t="s">
        <v>209</v>
      </c>
      <c r="C116" s="96">
        <v>957.0</v>
      </c>
      <c r="D116" s="96" t="s">
        <v>804</v>
      </c>
      <c r="E116" s="96" t="s">
        <v>26</v>
      </c>
      <c r="F116" s="325">
        <v>42647.0</v>
      </c>
      <c r="G116" s="325">
        <v>42648.0</v>
      </c>
      <c r="H116" s="325">
        <v>42648.0</v>
      </c>
      <c r="I116" s="325">
        <v>42648.0</v>
      </c>
      <c r="J116" s="326">
        <v>14.99</v>
      </c>
      <c r="K116" s="326">
        <v>5.99</v>
      </c>
      <c r="L116" s="326">
        <v>9.0</v>
      </c>
      <c r="M116" s="96">
        <v>1.0</v>
      </c>
      <c r="N116" s="326">
        <v>5.99</v>
      </c>
    </row>
    <row r="117">
      <c r="A117" s="96" t="s">
        <v>39</v>
      </c>
      <c r="B117" s="96" t="s">
        <v>210</v>
      </c>
      <c r="C117" s="96">
        <v>1014.0</v>
      </c>
      <c r="D117" s="96" t="s">
        <v>832</v>
      </c>
      <c r="E117" s="96" t="s">
        <v>27</v>
      </c>
      <c r="F117" s="325">
        <v>42656.0</v>
      </c>
      <c r="G117" s="325">
        <v>44623.0</v>
      </c>
      <c r="H117" s="325">
        <v>44623.0</v>
      </c>
      <c r="I117" s="325">
        <v>44623.0</v>
      </c>
      <c r="J117" s="326">
        <v>14.99</v>
      </c>
      <c r="K117" s="326">
        <v>7.49</v>
      </c>
      <c r="L117" s="326">
        <v>7.5</v>
      </c>
      <c r="M117" s="96">
        <v>1.0</v>
      </c>
      <c r="N117" s="326">
        <v>7.49</v>
      </c>
    </row>
    <row r="118">
      <c r="A118" s="96" t="s">
        <v>39</v>
      </c>
      <c r="B118" s="96" t="s">
        <v>211</v>
      </c>
      <c r="C118" s="96">
        <v>451.0</v>
      </c>
      <c r="D118" s="96" t="s">
        <v>795</v>
      </c>
      <c r="E118" s="96" t="s">
        <v>25</v>
      </c>
      <c r="F118" s="325">
        <v>42423.0</v>
      </c>
      <c r="G118" s="325">
        <v>42832.0</v>
      </c>
      <c r="H118" s="325">
        <v>42832.0</v>
      </c>
      <c r="I118" s="325">
        <v>42832.0</v>
      </c>
      <c r="J118" s="326">
        <v>5.99</v>
      </c>
      <c r="K118" s="326">
        <v>1.99</v>
      </c>
      <c r="L118" s="326">
        <v>4.0</v>
      </c>
      <c r="M118" s="96">
        <v>1.0</v>
      </c>
      <c r="N118" s="326">
        <v>1.99</v>
      </c>
    </row>
    <row r="119">
      <c r="A119" s="89" t="s">
        <v>39</v>
      </c>
      <c r="B119" s="89" t="s">
        <v>212</v>
      </c>
      <c r="C119" s="89">
        <v>1098.0</v>
      </c>
      <c r="D119" s="89" t="s">
        <v>812</v>
      </c>
      <c r="E119" s="89" t="s">
        <v>26</v>
      </c>
      <c r="F119" s="174">
        <v>43858.0</v>
      </c>
      <c r="G119" s="174">
        <v>46005.0</v>
      </c>
      <c r="H119" s="174">
        <v>46013.0</v>
      </c>
      <c r="I119" s="174">
        <v>46017.0</v>
      </c>
      <c r="J119" s="175">
        <v>29.99</v>
      </c>
      <c r="K119" s="175">
        <v>5.99</v>
      </c>
      <c r="L119" s="175">
        <v>24.0</v>
      </c>
      <c r="M119" s="89">
        <v>25.0</v>
      </c>
      <c r="N119" s="175">
        <v>0.2396</v>
      </c>
    </row>
    <row r="120">
      <c r="A120" s="90" t="s">
        <v>39</v>
      </c>
      <c r="B120" s="96" t="s">
        <v>213</v>
      </c>
      <c r="C120" s="96">
        <v>120.0</v>
      </c>
      <c r="D120" s="96" t="s">
        <v>752</v>
      </c>
      <c r="E120" s="96" t="s">
        <v>22</v>
      </c>
      <c r="F120" s="325">
        <v>37946.0</v>
      </c>
      <c r="G120" s="325">
        <v>44285.0</v>
      </c>
      <c r="H120" s="325">
        <v>45061.0</v>
      </c>
      <c r="I120" s="325">
        <v>45061.0</v>
      </c>
      <c r="J120" s="326">
        <v>5.0</v>
      </c>
      <c r="K120" s="326">
        <v>5.0</v>
      </c>
      <c r="L120" s="326">
        <v>0.0</v>
      </c>
      <c r="M120" s="96">
        <v>5.0</v>
      </c>
      <c r="N120" s="326">
        <v>1.0</v>
      </c>
    </row>
    <row r="121">
      <c r="A121" s="90"/>
      <c r="B121" s="96"/>
      <c r="C121" s="96">
        <v>121.0</v>
      </c>
      <c r="D121" s="96" t="s">
        <v>753</v>
      </c>
      <c r="E121" s="96" t="s">
        <v>22</v>
      </c>
      <c r="F121" s="325">
        <v>38324.0</v>
      </c>
      <c r="G121" s="325">
        <v>44285.0</v>
      </c>
      <c r="H121" s="325">
        <v>44285.0</v>
      </c>
      <c r="I121" s="325">
        <v>44285.0</v>
      </c>
      <c r="J121" s="326">
        <v>5.0</v>
      </c>
      <c r="K121" s="326">
        <v>5.0</v>
      </c>
      <c r="L121" s="326">
        <v>0.0</v>
      </c>
      <c r="M121" s="96">
        <v>1.0</v>
      </c>
      <c r="N121" s="326">
        <v>5.0</v>
      </c>
    </row>
    <row r="122">
      <c r="A122" s="90"/>
      <c r="B122" s="96"/>
      <c r="C122" s="96">
        <v>122.0</v>
      </c>
      <c r="D122" s="96" t="s">
        <v>755</v>
      </c>
      <c r="E122" s="96" t="s">
        <v>22</v>
      </c>
      <c r="F122" s="325">
        <v>38688.0</v>
      </c>
      <c r="G122" s="325">
        <v>44285.0</v>
      </c>
      <c r="H122" s="325">
        <v>44285.0</v>
      </c>
      <c r="I122" s="325">
        <v>44285.0</v>
      </c>
      <c r="J122" s="326">
        <v>4.99</v>
      </c>
      <c r="K122" s="326">
        <v>4.99</v>
      </c>
      <c r="L122" s="326">
        <v>0.0</v>
      </c>
      <c r="M122" s="96">
        <v>1.0</v>
      </c>
      <c r="N122" s="326">
        <v>4.99</v>
      </c>
    </row>
    <row r="123">
      <c r="A123" s="89"/>
      <c r="B123" s="96"/>
      <c r="C123" s="96">
        <v>235.0</v>
      </c>
      <c r="D123" s="96" t="s">
        <v>758</v>
      </c>
      <c r="E123" s="96" t="s">
        <v>24</v>
      </c>
      <c r="F123" s="325">
        <v>39745.0</v>
      </c>
      <c r="G123" s="325">
        <v>41448.0</v>
      </c>
      <c r="H123" s="325">
        <v>41448.0</v>
      </c>
      <c r="I123" s="325">
        <v>44141.0</v>
      </c>
      <c r="J123" s="326">
        <v>14.99</v>
      </c>
      <c r="K123" s="326">
        <v>2.0</v>
      </c>
      <c r="L123" s="326">
        <v>12.99</v>
      </c>
      <c r="M123" s="96">
        <v>50.0</v>
      </c>
      <c r="N123" s="326">
        <v>0.04</v>
      </c>
    </row>
    <row r="124">
      <c r="A124" s="89"/>
      <c r="B124" s="96"/>
      <c r="C124" s="96">
        <v>355.0</v>
      </c>
      <c r="D124" s="96" t="s">
        <v>763</v>
      </c>
      <c r="E124" s="96" t="s">
        <v>24</v>
      </c>
      <c r="F124" s="325">
        <v>40401.0</v>
      </c>
      <c r="G124" s="325">
        <v>44431.0</v>
      </c>
      <c r="H124" s="325">
        <v>45310.0</v>
      </c>
      <c r="I124" s="325">
        <v>45316.0</v>
      </c>
      <c r="J124" s="326">
        <v>14.99</v>
      </c>
      <c r="K124" s="326">
        <v>8.99</v>
      </c>
      <c r="L124" s="326">
        <v>6.0</v>
      </c>
      <c r="M124" s="96">
        <v>2.0</v>
      </c>
      <c r="N124" s="326">
        <v>4.5</v>
      </c>
    </row>
    <row r="125">
      <c r="A125" s="89"/>
      <c r="B125" s="96"/>
      <c r="C125" s="96">
        <v>236.0</v>
      </c>
      <c r="D125" s="96" t="s">
        <v>778</v>
      </c>
      <c r="E125" s="96" t="s">
        <v>24</v>
      </c>
      <c r="F125" s="325">
        <v>41242.0</v>
      </c>
      <c r="G125" s="325">
        <v>43519.0</v>
      </c>
      <c r="H125" s="325">
        <v>43540.0</v>
      </c>
      <c r="I125" s="325">
        <v>43552.0</v>
      </c>
      <c r="J125" s="326">
        <v>29.99</v>
      </c>
      <c r="K125" s="326">
        <v>17.99</v>
      </c>
      <c r="L125" s="326">
        <v>12.0</v>
      </c>
      <c r="M125" s="96">
        <v>36.0</v>
      </c>
      <c r="N125" s="326">
        <v>0.5</v>
      </c>
    </row>
    <row r="126">
      <c r="A126" s="96"/>
      <c r="B126" s="96"/>
      <c r="C126" s="96">
        <v>211.0</v>
      </c>
      <c r="D126" s="96" t="s">
        <v>784</v>
      </c>
      <c r="E126" s="96" t="s">
        <v>24</v>
      </c>
      <c r="F126" s="325">
        <v>41759.0</v>
      </c>
      <c r="G126" s="325">
        <v>42635.0</v>
      </c>
      <c r="H126" s="325">
        <v>43331.0</v>
      </c>
      <c r="I126" s="325">
        <v>43334.0</v>
      </c>
      <c r="J126" s="326">
        <v>14.99</v>
      </c>
      <c r="K126" s="326">
        <v>4.99</v>
      </c>
      <c r="L126" s="326">
        <v>10.0</v>
      </c>
      <c r="M126" s="96">
        <v>7.0</v>
      </c>
      <c r="N126" s="326">
        <v>0.71</v>
      </c>
    </row>
    <row r="127">
      <c r="A127" s="89"/>
      <c r="B127" s="96"/>
      <c r="C127" s="96">
        <v>419.0</v>
      </c>
      <c r="D127" s="96" t="s">
        <v>785</v>
      </c>
      <c r="E127" s="96" t="s">
        <v>24</v>
      </c>
      <c r="F127" s="325">
        <v>41786.0</v>
      </c>
      <c r="G127" s="325">
        <v>42818.0</v>
      </c>
      <c r="H127" s="325">
        <v>42818.0</v>
      </c>
      <c r="I127" s="325">
        <v>45635.0</v>
      </c>
      <c r="J127" s="326">
        <v>19.99</v>
      </c>
      <c r="K127" s="326">
        <v>7.99</v>
      </c>
      <c r="L127" s="326">
        <v>12.0</v>
      </c>
      <c r="M127" s="96">
        <v>71.0</v>
      </c>
      <c r="N127" s="326">
        <v>0.11</v>
      </c>
    </row>
    <row r="128">
      <c r="A128" s="89"/>
      <c r="B128" s="90"/>
      <c r="C128" s="96">
        <v>237.0</v>
      </c>
      <c r="D128" s="96" t="s">
        <v>788</v>
      </c>
      <c r="E128" s="96" t="s">
        <v>24</v>
      </c>
      <c r="F128" s="325">
        <v>41961.0</v>
      </c>
      <c r="G128" s="325">
        <v>43519.0</v>
      </c>
      <c r="H128" s="325">
        <v>43915.0</v>
      </c>
      <c r="I128" s="325">
        <v>43922.0</v>
      </c>
      <c r="J128" s="326">
        <v>24.99</v>
      </c>
      <c r="K128" s="326">
        <v>7.99</v>
      </c>
      <c r="L128" s="326">
        <v>17.0</v>
      </c>
      <c r="M128" s="96">
        <v>42.0</v>
      </c>
      <c r="N128" s="326">
        <v>0.19</v>
      </c>
    </row>
    <row r="129">
      <c r="A129" s="96"/>
      <c r="B129" s="96"/>
      <c r="C129" s="96">
        <v>619.0</v>
      </c>
      <c r="D129" s="96" t="s">
        <v>801</v>
      </c>
      <c r="E129" s="96" t="s">
        <v>26</v>
      </c>
      <c r="F129" s="325">
        <v>42423.0</v>
      </c>
      <c r="G129" s="325">
        <v>43519.0</v>
      </c>
      <c r="H129" s="325">
        <v>45392.0</v>
      </c>
      <c r="I129" s="325">
        <v>45404.0</v>
      </c>
      <c r="J129" s="326">
        <v>24.99</v>
      </c>
      <c r="K129" s="326">
        <v>7.99</v>
      </c>
      <c r="L129" s="326">
        <v>17.0</v>
      </c>
      <c r="M129" s="96">
        <v>30.0</v>
      </c>
      <c r="N129" s="326">
        <v>0.27</v>
      </c>
    </row>
    <row r="130">
      <c r="A130" s="96"/>
      <c r="B130" s="96"/>
      <c r="C130" s="96">
        <v>960.0</v>
      </c>
      <c r="D130" s="96" t="s">
        <v>805</v>
      </c>
      <c r="E130" s="96" t="s">
        <v>26</v>
      </c>
      <c r="F130" s="325">
        <v>42689.0</v>
      </c>
      <c r="G130" s="325">
        <v>43668.0</v>
      </c>
      <c r="H130" s="325">
        <v>43675.0</v>
      </c>
      <c r="I130" s="325">
        <v>45636.0</v>
      </c>
      <c r="J130" s="326">
        <v>69.99</v>
      </c>
      <c r="K130" s="326">
        <v>14.99</v>
      </c>
      <c r="L130" s="326">
        <v>55.0</v>
      </c>
      <c r="M130" s="96">
        <v>56.0</v>
      </c>
      <c r="N130" s="326">
        <v>0.27</v>
      </c>
    </row>
    <row r="131">
      <c r="A131" s="96"/>
      <c r="B131" s="96"/>
      <c r="C131" s="96">
        <v>620.0</v>
      </c>
      <c r="D131" s="96" t="s">
        <v>807</v>
      </c>
      <c r="E131" s="96" t="s">
        <v>26</v>
      </c>
      <c r="F131" s="325">
        <v>43186.0</v>
      </c>
      <c r="G131" s="325">
        <v>43372.0</v>
      </c>
      <c r="H131" s="325">
        <v>43373.0</v>
      </c>
      <c r="I131" s="325">
        <v>43987.0</v>
      </c>
      <c r="J131" s="326">
        <v>99.98</v>
      </c>
      <c r="K131" s="326">
        <v>49.98</v>
      </c>
      <c r="L131" s="326">
        <v>50.0</v>
      </c>
      <c r="M131" s="96">
        <v>103.0</v>
      </c>
      <c r="N131" s="326">
        <v>0.49</v>
      </c>
    </row>
    <row r="132">
      <c r="A132" s="96"/>
      <c r="B132" s="96"/>
      <c r="C132" s="96">
        <v>621.0</v>
      </c>
      <c r="D132" s="96" t="s">
        <v>809</v>
      </c>
      <c r="E132" s="96" t="s">
        <v>26</v>
      </c>
      <c r="F132" s="325">
        <v>43511.0</v>
      </c>
      <c r="G132" s="325">
        <v>43548.0</v>
      </c>
      <c r="H132" s="325">
        <v>43618.0</v>
      </c>
      <c r="I132" s="325">
        <v>45310.0</v>
      </c>
      <c r="J132" s="326">
        <v>54.99</v>
      </c>
      <c r="K132" s="326">
        <v>27.49</v>
      </c>
      <c r="L132" s="326">
        <v>27.5</v>
      </c>
      <c r="M132" s="96">
        <v>51.0</v>
      </c>
      <c r="N132" s="326">
        <v>0.54</v>
      </c>
    </row>
    <row r="133">
      <c r="A133" s="96"/>
      <c r="B133" s="96"/>
      <c r="C133" s="96">
        <v>516.0</v>
      </c>
      <c r="D133" s="96" t="s">
        <v>817</v>
      </c>
      <c r="E133" s="96" t="s">
        <v>26</v>
      </c>
      <c r="F133" s="325">
        <v>44145.0</v>
      </c>
      <c r="G133" s="325">
        <v>44521.0</v>
      </c>
      <c r="H133" s="325">
        <v>44927.0</v>
      </c>
      <c r="I133" s="325">
        <v>44936.0</v>
      </c>
      <c r="J133" s="326">
        <v>119.99</v>
      </c>
      <c r="K133" s="326">
        <v>59.99</v>
      </c>
      <c r="L133" s="326">
        <v>60.0</v>
      </c>
      <c r="M133" s="96">
        <v>22.0</v>
      </c>
      <c r="N133" s="326">
        <v>2.73</v>
      </c>
    </row>
    <row r="134">
      <c r="A134" s="96"/>
      <c r="B134" s="96"/>
      <c r="C134" s="96">
        <v>1000.0</v>
      </c>
      <c r="D134" s="96" t="s">
        <v>833</v>
      </c>
      <c r="E134" s="96" t="s">
        <v>27</v>
      </c>
      <c r="F134" s="325">
        <v>42682.0</v>
      </c>
      <c r="G134" s="325">
        <v>43466.0</v>
      </c>
      <c r="H134" s="325">
        <v>43467.0</v>
      </c>
      <c r="I134" s="325">
        <v>43467.0</v>
      </c>
      <c r="J134" s="326">
        <v>39.99</v>
      </c>
      <c r="K134" s="326">
        <v>12.99</v>
      </c>
      <c r="L134" s="326">
        <v>27.0</v>
      </c>
      <c r="M134" s="96">
        <v>1.0</v>
      </c>
      <c r="N134" s="326">
        <v>12.99</v>
      </c>
    </row>
    <row r="135">
      <c r="A135" s="327"/>
      <c r="B135" s="327"/>
      <c r="C135" s="328"/>
      <c r="D135" s="328"/>
      <c r="E135" s="94">
        <v>544.86</v>
      </c>
      <c r="F135" s="94">
        <v>238.37</v>
      </c>
      <c r="G135" s="94">
        <v>306.49</v>
      </c>
      <c r="H135" s="86">
        <v>478.0</v>
      </c>
      <c r="I135" s="94">
        <v>0.5</v>
      </c>
      <c r="J135" s="330">
        <f t="shared" ref="J135:M135" si="15">SUM(J120:J134)</f>
        <v>544.86</v>
      </c>
      <c r="K135" s="330">
        <f t="shared" si="15"/>
        <v>238.37</v>
      </c>
      <c r="L135" s="330">
        <f t="shared" si="15"/>
        <v>306.49</v>
      </c>
      <c r="M135" s="327">
        <f t="shared" si="15"/>
        <v>478</v>
      </c>
      <c r="N135" s="330">
        <f>K135/M135</f>
        <v>0.4986820084</v>
      </c>
    </row>
    <row r="136">
      <c r="A136" s="96" t="s">
        <v>39</v>
      </c>
      <c r="B136" s="96" t="s">
        <v>214</v>
      </c>
      <c r="C136" s="96">
        <v>961.0</v>
      </c>
      <c r="D136" s="96" t="s">
        <v>816</v>
      </c>
      <c r="E136" s="96" t="s">
        <v>26</v>
      </c>
      <c r="F136" s="325">
        <v>44133.0</v>
      </c>
      <c r="G136" s="325">
        <v>44349.0</v>
      </c>
      <c r="H136" s="325">
        <v>44351.0</v>
      </c>
      <c r="I136" s="325">
        <v>45641.0</v>
      </c>
      <c r="J136" s="326">
        <v>69.99</v>
      </c>
      <c r="K136" s="326">
        <v>34.99</v>
      </c>
      <c r="L136" s="326">
        <v>35.0</v>
      </c>
      <c r="M136" s="96">
        <v>79.0</v>
      </c>
      <c r="N136" s="326">
        <v>0.44</v>
      </c>
    </row>
    <row r="137">
      <c r="A137" s="96"/>
      <c r="B137" s="96"/>
      <c r="C137" s="96">
        <v>622.0</v>
      </c>
      <c r="D137" s="96" t="s">
        <v>822</v>
      </c>
      <c r="E137" s="96" t="s">
        <v>26</v>
      </c>
      <c r="F137" s="325">
        <v>44476.0</v>
      </c>
      <c r="G137" s="325">
        <v>44594.0</v>
      </c>
      <c r="H137" s="325">
        <v>44598.0</v>
      </c>
      <c r="I137" s="325">
        <v>44607.0</v>
      </c>
      <c r="J137" s="326">
        <v>99.99</v>
      </c>
      <c r="K137" s="326">
        <v>59.99</v>
      </c>
      <c r="L137" s="326">
        <v>40.0</v>
      </c>
      <c r="M137" s="96">
        <v>55.0</v>
      </c>
      <c r="N137" s="326">
        <v>1.09</v>
      </c>
    </row>
    <row r="138">
      <c r="A138" s="327"/>
      <c r="B138" s="327"/>
      <c r="C138" s="328"/>
      <c r="D138" s="328"/>
      <c r="E138" s="329"/>
      <c r="F138" s="329"/>
      <c r="G138" s="329"/>
      <c r="H138" s="329"/>
      <c r="I138" s="329"/>
      <c r="J138" s="330">
        <f t="shared" ref="J138:M138" si="16">SUM(J136:J137)</f>
        <v>169.98</v>
      </c>
      <c r="K138" s="330">
        <f t="shared" si="16"/>
        <v>94.98</v>
      </c>
      <c r="L138" s="330">
        <f t="shared" si="16"/>
        <v>75</v>
      </c>
      <c r="M138" s="327">
        <f t="shared" si="16"/>
        <v>134</v>
      </c>
      <c r="N138" s="330">
        <f>K138/M138</f>
        <v>0.7088059701</v>
      </c>
    </row>
    <row r="139">
      <c r="A139" s="89" t="s">
        <v>39</v>
      </c>
      <c r="B139" s="96" t="s">
        <v>215</v>
      </c>
      <c r="C139" s="96">
        <v>301.0</v>
      </c>
      <c r="D139" s="96" t="s">
        <v>761</v>
      </c>
      <c r="E139" s="96" t="s">
        <v>24</v>
      </c>
      <c r="F139" s="325">
        <v>40319.0</v>
      </c>
      <c r="G139" s="325">
        <v>40335.0</v>
      </c>
      <c r="H139" s="325">
        <v>40335.0</v>
      </c>
      <c r="I139" s="325">
        <v>44739.0</v>
      </c>
      <c r="J139" s="326">
        <v>14.99</v>
      </c>
      <c r="K139" s="326">
        <v>6.0</v>
      </c>
      <c r="L139" s="326">
        <v>8.99</v>
      </c>
      <c r="M139" s="96">
        <v>50.0</v>
      </c>
      <c r="N139" s="326">
        <v>0.12</v>
      </c>
    </row>
    <row r="140">
      <c r="A140" s="89"/>
      <c r="B140" s="96"/>
      <c r="C140" s="96">
        <v>360.0</v>
      </c>
      <c r="D140" s="96" t="s">
        <v>776</v>
      </c>
      <c r="E140" s="96" t="s">
        <v>24</v>
      </c>
      <c r="F140" s="325">
        <v>41138.0</v>
      </c>
      <c r="G140" s="325">
        <v>43652.0</v>
      </c>
      <c r="H140" s="325">
        <v>43659.0</v>
      </c>
      <c r="I140" s="325">
        <v>45203.0</v>
      </c>
      <c r="J140" s="326">
        <v>29.99</v>
      </c>
      <c r="K140" s="326">
        <v>4.49</v>
      </c>
      <c r="L140" s="326">
        <v>25.5</v>
      </c>
      <c r="M140" s="96">
        <v>42.0</v>
      </c>
      <c r="N140" s="326">
        <v>0.11</v>
      </c>
    </row>
    <row r="141">
      <c r="A141" s="89"/>
      <c r="B141" s="96"/>
      <c r="C141" s="96">
        <v>288.0</v>
      </c>
      <c r="D141" s="96" t="s">
        <v>777</v>
      </c>
      <c r="E141" s="96" t="s">
        <v>24</v>
      </c>
      <c r="F141" s="325">
        <v>41220.0</v>
      </c>
      <c r="G141" s="325">
        <v>41458.0</v>
      </c>
      <c r="H141" s="325">
        <v>41458.0</v>
      </c>
      <c r="I141" s="325">
        <v>44775.0</v>
      </c>
      <c r="J141" s="326">
        <v>19.99</v>
      </c>
      <c r="K141" s="326">
        <v>14.99</v>
      </c>
      <c r="L141" s="326">
        <v>5.0</v>
      </c>
      <c r="M141" s="96">
        <v>25.0</v>
      </c>
      <c r="N141" s="326">
        <v>0.6</v>
      </c>
    </row>
    <row r="142">
      <c r="A142" s="327"/>
      <c r="B142" s="327"/>
      <c r="C142" s="328"/>
      <c r="D142" s="328"/>
      <c r="E142" s="329"/>
      <c r="F142" s="329"/>
      <c r="G142" s="329"/>
      <c r="H142" s="329"/>
      <c r="I142" s="329"/>
      <c r="J142" s="330">
        <f t="shared" ref="J142:M142" si="17">SUM(J139:J141)</f>
        <v>64.97</v>
      </c>
      <c r="K142" s="330">
        <f t="shared" si="17"/>
        <v>25.48</v>
      </c>
      <c r="L142" s="330">
        <f t="shared" si="17"/>
        <v>39.49</v>
      </c>
      <c r="M142" s="327">
        <f t="shared" si="17"/>
        <v>117</v>
      </c>
      <c r="N142" s="330">
        <f>K142/M142</f>
        <v>0.2177777778</v>
      </c>
    </row>
    <row r="143">
      <c r="A143" s="89" t="s">
        <v>39</v>
      </c>
      <c r="B143" s="96" t="s">
        <v>216</v>
      </c>
      <c r="C143" s="96">
        <v>346.0</v>
      </c>
      <c r="D143" s="96" t="s">
        <v>780</v>
      </c>
      <c r="E143" s="96" t="s">
        <v>24</v>
      </c>
      <c r="F143" s="325">
        <v>41290.0</v>
      </c>
      <c r="G143" s="325">
        <v>42623.0</v>
      </c>
      <c r="H143" s="325">
        <v>42715.0</v>
      </c>
      <c r="I143" s="325">
        <v>44185.0</v>
      </c>
      <c r="J143" s="326">
        <v>9.99</v>
      </c>
      <c r="K143" s="326">
        <v>4.99</v>
      </c>
      <c r="L143" s="326">
        <v>5.0</v>
      </c>
      <c r="M143" s="96">
        <v>3.0</v>
      </c>
      <c r="N143" s="326">
        <v>1.66</v>
      </c>
    </row>
    <row r="144">
      <c r="A144" s="96" t="s">
        <v>39</v>
      </c>
      <c r="B144" s="96" t="s">
        <v>217</v>
      </c>
      <c r="C144" s="96">
        <v>1020.0</v>
      </c>
      <c r="D144" s="96" t="s">
        <v>834</v>
      </c>
      <c r="E144" s="96" t="s">
        <v>27</v>
      </c>
      <c r="F144" s="325">
        <v>42787.0</v>
      </c>
      <c r="G144" s="325">
        <v>43466.0</v>
      </c>
      <c r="H144" s="325">
        <v>43543.0</v>
      </c>
      <c r="I144" s="325">
        <v>43543.0</v>
      </c>
      <c r="J144" s="326">
        <v>15.99</v>
      </c>
      <c r="K144" s="326">
        <v>4.99</v>
      </c>
      <c r="L144" s="326">
        <v>11.0</v>
      </c>
      <c r="M144" s="96">
        <v>1.0</v>
      </c>
      <c r="N144" s="326">
        <v>4.99</v>
      </c>
    </row>
    <row r="145">
      <c r="A145" s="328"/>
      <c r="B145" s="328"/>
      <c r="C145" s="352"/>
      <c r="D145" s="329"/>
      <c r="E145" s="329"/>
      <c r="F145" s="329"/>
      <c r="G145" s="329"/>
      <c r="H145" s="329"/>
      <c r="I145" s="329"/>
      <c r="J145" s="353"/>
      <c r="K145" s="353"/>
      <c r="L145" s="353"/>
      <c r="M145" s="329"/>
      <c r="N145" s="353"/>
    </row>
    <row r="146">
      <c r="A146" s="96" t="s">
        <v>219</v>
      </c>
      <c r="B146" s="96" t="s">
        <v>218</v>
      </c>
      <c r="C146" s="96">
        <v>983.0</v>
      </c>
      <c r="D146" s="96" t="s">
        <v>840</v>
      </c>
      <c r="E146" s="96" t="s">
        <v>27</v>
      </c>
      <c r="F146" s="325">
        <v>43242.0</v>
      </c>
      <c r="G146" s="325">
        <v>43912.0</v>
      </c>
      <c r="H146" s="325">
        <v>44019.0</v>
      </c>
      <c r="I146" s="325">
        <v>44019.0</v>
      </c>
      <c r="J146" s="326">
        <v>14.99</v>
      </c>
      <c r="K146" s="326">
        <v>4.99</v>
      </c>
      <c r="L146" s="326">
        <v>10.0</v>
      </c>
      <c r="M146" s="96">
        <v>2.0</v>
      </c>
      <c r="N146" s="326">
        <v>2.5</v>
      </c>
    </row>
    <row r="147">
      <c r="A147" s="96" t="s">
        <v>219</v>
      </c>
      <c r="B147" s="96" t="s">
        <v>220</v>
      </c>
      <c r="C147" s="96">
        <v>639.0</v>
      </c>
      <c r="D147" s="96" t="s">
        <v>841</v>
      </c>
      <c r="E147" s="96" t="s">
        <v>26</v>
      </c>
      <c r="F147" s="325">
        <v>44102.0</v>
      </c>
      <c r="G147" s="325">
        <v>44334.0</v>
      </c>
      <c r="H147" s="325">
        <v>44334.0</v>
      </c>
      <c r="I147" s="325">
        <v>44334.0</v>
      </c>
      <c r="J147" s="326">
        <v>0.0</v>
      </c>
      <c r="K147" s="326">
        <v>0.0</v>
      </c>
      <c r="L147" s="326">
        <v>0.0</v>
      </c>
      <c r="M147" s="96">
        <v>1.0</v>
      </c>
      <c r="N147" s="326">
        <v>0.0</v>
      </c>
    </row>
    <row r="148">
      <c r="A148" s="89" t="s">
        <v>219</v>
      </c>
      <c r="B148" s="96" t="s">
        <v>221</v>
      </c>
      <c r="C148" s="96">
        <v>181.0</v>
      </c>
      <c r="D148" s="96" t="s">
        <v>839</v>
      </c>
      <c r="E148" s="96" t="s">
        <v>24</v>
      </c>
      <c r="F148" s="325">
        <v>40710.0</v>
      </c>
      <c r="G148" s="325">
        <v>44237.0</v>
      </c>
      <c r="H148" s="325">
        <v>44244.0</v>
      </c>
      <c r="I148" s="325">
        <v>44261.0</v>
      </c>
      <c r="J148" s="326">
        <v>19.99</v>
      </c>
      <c r="K148" s="326">
        <v>19.99</v>
      </c>
      <c r="L148" s="326">
        <v>0.0</v>
      </c>
      <c r="M148" s="96">
        <v>30.0</v>
      </c>
      <c r="N148" s="326">
        <v>0.67</v>
      </c>
    </row>
    <row r="149">
      <c r="A149" s="89" t="s">
        <v>219</v>
      </c>
      <c r="B149" s="96" t="s">
        <v>222</v>
      </c>
      <c r="C149" s="96">
        <v>417.0</v>
      </c>
      <c r="D149" s="96" t="s">
        <v>838</v>
      </c>
      <c r="E149" s="96" t="s">
        <v>24</v>
      </c>
      <c r="F149" s="325">
        <v>40087.0</v>
      </c>
      <c r="G149" s="325">
        <v>44539.0</v>
      </c>
      <c r="H149" s="325">
        <v>44539.0</v>
      </c>
      <c r="I149" s="325">
        <v>44539.0</v>
      </c>
      <c r="J149" s="326">
        <v>19.99</v>
      </c>
      <c r="K149" s="326">
        <v>7.99</v>
      </c>
      <c r="L149" s="326">
        <v>12.0</v>
      </c>
      <c r="M149" s="96">
        <v>1.0</v>
      </c>
      <c r="N149" s="326">
        <v>7.99</v>
      </c>
    </row>
    <row r="150">
      <c r="A150" s="90" t="s">
        <v>219</v>
      </c>
      <c r="B150" s="96" t="s">
        <v>223</v>
      </c>
      <c r="C150" s="96">
        <v>44.0</v>
      </c>
      <c r="D150" s="96" t="s">
        <v>837</v>
      </c>
      <c r="E150" s="96" t="s">
        <v>21</v>
      </c>
      <c r="F150" s="325">
        <v>36777.0</v>
      </c>
      <c r="G150" s="325">
        <v>41763.0</v>
      </c>
      <c r="H150" s="325">
        <v>41763.0</v>
      </c>
      <c r="I150" s="325">
        <v>41763.0</v>
      </c>
      <c r="J150" s="326">
        <v>4.99</v>
      </c>
      <c r="K150" s="326">
        <v>4.99</v>
      </c>
      <c r="L150" s="326">
        <v>0.0</v>
      </c>
      <c r="M150" s="96">
        <v>35.0</v>
      </c>
      <c r="N150" s="326">
        <v>0.14</v>
      </c>
    </row>
    <row r="151">
      <c r="A151" s="89" t="s">
        <v>219</v>
      </c>
      <c r="B151" s="89" t="s">
        <v>224</v>
      </c>
      <c r="C151" s="96">
        <v>1084.0</v>
      </c>
      <c r="D151" s="96" t="s">
        <v>842</v>
      </c>
      <c r="E151" s="96" t="s">
        <v>28</v>
      </c>
      <c r="F151" s="325">
        <v>45699.0</v>
      </c>
      <c r="G151" s="325">
        <v>45800.0</v>
      </c>
      <c r="H151" s="325">
        <v>45800.0</v>
      </c>
      <c r="I151" s="325">
        <v>45800.0</v>
      </c>
      <c r="J151" s="95">
        <v>16.99</v>
      </c>
      <c r="K151" s="95">
        <v>11.04</v>
      </c>
      <c r="L151" s="95">
        <v>5.95</v>
      </c>
      <c r="M151" s="96">
        <v>1.0</v>
      </c>
      <c r="N151" s="95">
        <v>11.04</v>
      </c>
    </row>
    <row r="152">
      <c r="A152" s="352"/>
      <c r="B152" s="328"/>
      <c r="C152" s="328"/>
      <c r="D152" s="328"/>
      <c r="E152" s="329"/>
      <c r="F152" s="329"/>
      <c r="G152" s="329"/>
      <c r="H152" s="329"/>
      <c r="I152" s="329"/>
      <c r="J152" s="353"/>
      <c r="K152" s="353"/>
      <c r="L152" s="353"/>
      <c r="M152" s="329"/>
      <c r="N152" s="353"/>
    </row>
    <row r="153">
      <c r="A153" s="354" t="s">
        <v>226</v>
      </c>
      <c r="B153" s="354" t="s">
        <v>225</v>
      </c>
      <c r="C153" s="354">
        <v>458.0</v>
      </c>
      <c r="D153" s="354" t="s">
        <v>843</v>
      </c>
      <c r="E153" s="354" t="s">
        <v>25</v>
      </c>
      <c r="F153" s="355">
        <v>42206.0</v>
      </c>
      <c r="G153" s="355">
        <v>42887.0</v>
      </c>
      <c r="H153" s="355">
        <v>42904.0</v>
      </c>
      <c r="I153" s="355">
        <v>44841.0</v>
      </c>
      <c r="J153" s="356">
        <v>7.99</v>
      </c>
      <c r="K153" s="356">
        <v>2.99</v>
      </c>
      <c r="L153" s="356">
        <v>5.0</v>
      </c>
      <c r="M153" s="354">
        <v>6.0</v>
      </c>
      <c r="N153" s="356">
        <v>0.5</v>
      </c>
    </row>
    <row r="154">
      <c r="A154" s="357"/>
      <c r="B154" s="357"/>
      <c r="C154" s="358"/>
      <c r="D154" s="359"/>
      <c r="E154" s="357"/>
      <c r="F154" s="357"/>
      <c r="G154" s="357"/>
      <c r="H154" s="357"/>
      <c r="I154" s="357"/>
      <c r="J154" s="360"/>
      <c r="K154" s="360"/>
      <c r="L154" s="360"/>
      <c r="M154" s="359"/>
      <c r="N154" s="360"/>
    </row>
    <row r="155">
      <c r="A155" s="361" t="s">
        <v>228</v>
      </c>
      <c r="B155" s="361" t="s">
        <v>227</v>
      </c>
      <c r="C155" s="23">
        <v>356.0</v>
      </c>
      <c r="D155" s="23" t="s">
        <v>844</v>
      </c>
      <c r="E155" s="23" t="s">
        <v>24</v>
      </c>
      <c r="F155" s="362">
        <v>41772.0</v>
      </c>
      <c r="G155" s="362">
        <v>45700.0</v>
      </c>
      <c r="H155" s="362">
        <v>45700.0</v>
      </c>
      <c r="I155" s="362">
        <v>45700.0</v>
      </c>
      <c r="J155" s="363">
        <v>9.99</v>
      </c>
      <c r="K155" s="363">
        <v>1.49</v>
      </c>
      <c r="L155" s="363">
        <v>8.5</v>
      </c>
      <c r="M155" s="23">
        <v>1.0</v>
      </c>
      <c r="N155" s="363">
        <v>1.49</v>
      </c>
    </row>
    <row r="156">
      <c r="A156" s="361" t="s">
        <v>228</v>
      </c>
      <c r="B156" s="361"/>
      <c r="C156" s="23">
        <v>926.0</v>
      </c>
      <c r="D156" s="23" t="s">
        <v>845</v>
      </c>
      <c r="E156" s="23" t="s">
        <v>26</v>
      </c>
      <c r="F156" s="362">
        <v>42290.0</v>
      </c>
      <c r="G156" s="362">
        <v>45707.0</v>
      </c>
      <c r="H156" s="362">
        <v>45707.0</v>
      </c>
      <c r="I156" s="362">
        <v>45707.0</v>
      </c>
      <c r="J156" s="363">
        <v>29.99</v>
      </c>
      <c r="K156" s="363">
        <v>4.49</v>
      </c>
      <c r="L156" s="363">
        <v>25.5</v>
      </c>
      <c r="M156" s="23">
        <v>1.0</v>
      </c>
      <c r="N156" s="363">
        <v>4.49</v>
      </c>
    </row>
    <row r="157">
      <c r="A157" s="361" t="s">
        <v>228</v>
      </c>
      <c r="B157" s="361"/>
      <c r="C157" s="23">
        <v>831.0</v>
      </c>
      <c r="D157" s="23" t="s">
        <v>847</v>
      </c>
      <c r="E157" s="23" t="s">
        <v>26</v>
      </c>
      <c r="F157" s="362">
        <v>43893.0</v>
      </c>
      <c r="G157" s="362">
        <v>45700.0</v>
      </c>
      <c r="H157" s="362">
        <v>45736.0</v>
      </c>
      <c r="I157" s="362">
        <v>45737.0</v>
      </c>
      <c r="J157" s="363">
        <v>10.0</v>
      </c>
      <c r="K157" s="363">
        <v>1.5</v>
      </c>
      <c r="L157" s="363">
        <v>8.5</v>
      </c>
      <c r="M157" s="23">
        <v>2.0</v>
      </c>
      <c r="N157" s="363">
        <v>0.75</v>
      </c>
    </row>
    <row r="158">
      <c r="A158" s="22" t="s">
        <v>228</v>
      </c>
      <c r="B158" s="22"/>
      <c r="C158" s="23">
        <v>832.0</v>
      </c>
      <c r="D158" s="23" t="s">
        <v>848</v>
      </c>
      <c r="E158" s="23" t="s">
        <v>26</v>
      </c>
      <c r="F158" s="362">
        <v>43893.0</v>
      </c>
      <c r="G158" s="362">
        <v>45700.0</v>
      </c>
      <c r="H158" s="362">
        <v>45700.0</v>
      </c>
      <c r="I158" s="362">
        <v>45700.0</v>
      </c>
      <c r="J158" s="363">
        <v>10.0</v>
      </c>
      <c r="K158" s="363">
        <v>1.5</v>
      </c>
      <c r="L158" s="363">
        <v>8.5</v>
      </c>
      <c r="M158" s="23">
        <v>1.0</v>
      </c>
      <c r="N158" s="363">
        <v>1.5</v>
      </c>
    </row>
    <row r="159">
      <c r="A159" s="328"/>
      <c r="B159" s="328"/>
      <c r="C159" s="352"/>
      <c r="D159" s="329"/>
      <c r="E159" s="329"/>
      <c r="F159" s="329"/>
      <c r="G159" s="329"/>
      <c r="H159" s="329"/>
      <c r="I159" s="329"/>
      <c r="J159" s="360">
        <f t="shared" ref="J159:M159" si="18">SUM(J155:J158)</f>
        <v>59.98</v>
      </c>
      <c r="K159" s="360">
        <f t="shared" si="18"/>
        <v>8.98</v>
      </c>
      <c r="L159" s="360">
        <f t="shared" si="18"/>
        <v>51</v>
      </c>
      <c r="M159" s="359">
        <f t="shared" si="18"/>
        <v>5</v>
      </c>
      <c r="N159" s="360">
        <f>K159/M159</f>
        <v>1.796</v>
      </c>
    </row>
    <row r="160">
      <c r="A160" s="23" t="s">
        <v>228</v>
      </c>
      <c r="B160" s="23" t="s">
        <v>229</v>
      </c>
      <c r="C160" s="23">
        <v>526.0</v>
      </c>
      <c r="D160" s="23" t="s">
        <v>846</v>
      </c>
      <c r="E160" s="23" t="s">
        <v>26</v>
      </c>
      <c r="F160" s="362">
        <v>43655.0</v>
      </c>
      <c r="G160" s="362">
        <v>43867.0</v>
      </c>
      <c r="H160" s="362">
        <v>43867.0</v>
      </c>
      <c r="I160" s="362">
        <v>43867.0</v>
      </c>
      <c r="J160" s="364">
        <v>14.99</v>
      </c>
      <c r="K160" s="364">
        <v>7.49</v>
      </c>
      <c r="L160" s="364">
        <v>7.5</v>
      </c>
      <c r="M160" s="23">
        <v>2.0</v>
      </c>
      <c r="N160" s="364">
        <v>3.75</v>
      </c>
    </row>
    <row r="161">
      <c r="A161" s="328"/>
      <c r="B161" s="328"/>
      <c r="C161" s="352"/>
      <c r="D161" s="329"/>
      <c r="E161" s="329"/>
      <c r="F161" s="329"/>
      <c r="G161" s="329"/>
      <c r="H161" s="329"/>
      <c r="I161" s="329"/>
      <c r="J161" s="353"/>
      <c r="K161" s="353"/>
      <c r="L161" s="353"/>
      <c r="M161" s="329"/>
      <c r="N161" s="353"/>
    </row>
    <row r="162">
      <c r="A162" s="357" t="s">
        <v>231</v>
      </c>
      <c r="B162" s="357" t="s">
        <v>230</v>
      </c>
      <c r="C162" s="357">
        <v>292.0</v>
      </c>
      <c r="D162" s="357" t="s">
        <v>849</v>
      </c>
      <c r="E162" s="357" t="s">
        <v>24</v>
      </c>
      <c r="F162" s="365">
        <v>40417.0</v>
      </c>
      <c r="G162" s="365">
        <v>41495.0</v>
      </c>
      <c r="H162" s="365">
        <v>41495.0</v>
      </c>
      <c r="I162" s="365">
        <v>44781.0</v>
      </c>
      <c r="J162" s="366">
        <v>29.99</v>
      </c>
      <c r="K162" s="366">
        <v>10.0</v>
      </c>
      <c r="L162" s="366">
        <v>19.99</v>
      </c>
      <c r="M162" s="357">
        <v>45.0</v>
      </c>
      <c r="N162" s="366">
        <v>0.22</v>
      </c>
    </row>
    <row r="163">
      <c r="A163" s="357" t="s">
        <v>231</v>
      </c>
      <c r="B163" s="357" t="s">
        <v>232</v>
      </c>
      <c r="C163" s="357">
        <v>989.0</v>
      </c>
      <c r="D163" s="357" t="s">
        <v>852</v>
      </c>
      <c r="E163" s="357" t="s">
        <v>27</v>
      </c>
      <c r="F163" s="365">
        <v>43221.0</v>
      </c>
      <c r="G163" s="365">
        <v>43475.0</v>
      </c>
      <c r="H163" s="365">
        <v>43479.0</v>
      </c>
      <c r="I163" s="365">
        <v>43481.0</v>
      </c>
      <c r="J163" s="366">
        <v>29.99</v>
      </c>
      <c r="K163" s="366">
        <v>29.99</v>
      </c>
      <c r="L163" s="366">
        <v>0.0</v>
      </c>
      <c r="M163" s="357">
        <v>1.0</v>
      </c>
      <c r="N163" s="366">
        <v>29.99</v>
      </c>
    </row>
    <row r="164">
      <c r="A164" s="357" t="s">
        <v>231</v>
      </c>
      <c r="B164" s="357" t="s">
        <v>233</v>
      </c>
      <c r="C164" s="357">
        <v>586.0</v>
      </c>
      <c r="D164" s="357" t="s">
        <v>851</v>
      </c>
      <c r="E164" s="357" t="s">
        <v>26</v>
      </c>
      <c r="F164" s="365">
        <v>42563.0</v>
      </c>
      <c r="G164" s="365">
        <v>42844.0</v>
      </c>
      <c r="H164" s="365">
        <v>44846.0</v>
      </c>
      <c r="I164" s="365">
        <v>44847.0</v>
      </c>
      <c r="J164" s="366">
        <v>19.99</v>
      </c>
      <c r="K164" s="366">
        <v>9.99</v>
      </c>
      <c r="L164" s="366">
        <v>10.0</v>
      </c>
      <c r="M164" s="357">
        <v>17.0</v>
      </c>
      <c r="N164" s="366">
        <v>0.59</v>
      </c>
    </row>
    <row r="165">
      <c r="A165" s="359" t="s">
        <v>231</v>
      </c>
      <c r="B165" s="357" t="s">
        <v>234</v>
      </c>
      <c r="C165" s="357">
        <v>268.0</v>
      </c>
      <c r="D165" s="357" t="s">
        <v>850</v>
      </c>
      <c r="E165" s="357" t="s">
        <v>24</v>
      </c>
      <c r="F165" s="365">
        <v>41919.0</v>
      </c>
      <c r="G165" s="365">
        <v>43295.0</v>
      </c>
      <c r="H165" s="365">
        <v>43423.0</v>
      </c>
      <c r="I165" s="365">
        <v>44872.0</v>
      </c>
      <c r="J165" s="366">
        <v>6.99</v>
      </c>
      <c r="K165" s="366">
        <v>6.99</v>
      </c>
      <c r="L165" s="366">
        <v>0.0</v>
      </c>
      <c r="M165" s="357">
        <v>3.0</v>
      </c>
      <c r="N165" s="366">
        <v>2.33</v>
      </c>
    </row>
    <row r="166">
      <c r="A166" s="359" t="s">
        <v>231</v>
      </c>
      <c r="B166" s="359" t="s">
        <v>235</v>
      </c>
      <c r="C166" s="357">
        <v>1056.0</v>
      </c>
      <c r="D166" s="357" t="s">
        <v>853</v>
      </c>
      <c r="E166" s="357" t="s">
        <v>28</v>
      </c>
      <c r="F166" s="365">
        <v>45092.0</v>
      </c>
      <c r="G166" s="365">
        <v>45719.0</v>
      </c>
      <c r="H166" s="365">
        <v>45719.0</v>
      </c>
      <c r="I166" s="365">
        <v>45719.0</v>
      </c>
      <c r="J166" s="367">
        <v>19.99</v>
      </c>
      <c r="K166" s="367">
        <v>4.99</v>
      </c>
      <c r="L166" s="367">
        <v>15.0</v>
      </c>
      <c r="M166" s="357">
        <v>1.0</v>
      </c>
      <c r="N166" s="367">
        <v>4.99</v>
      </c>
    </row>
    <row r="167">
      <c r="A167" s="359"/>
      <c r="B167" s="357"/>
      <c r="C167" s="358"/>
      <c r="D167" s="359"/>
      <c r="E167" s="359"/>
      <c r="F167" s="359"/>
      <c r="G167" s="359"/>
      <c r="H167" s="359"/>
      <c r="I167" s="359"/>
      <c r="J167" s="360"/>
      <c r="K167" s="360"/>
      <c r="L167" s="360"/>
      <c r="M167" s="359"/>
      <c r="N167" s="360"/>
    </row>
    <row r="168">
      <c r="A168" s="96" t="s">
        <v>237</v>
      </c>
      <c r="B168" s="96" t="s">
        <v>236</v>
      </c>
      <c r="C168" s="96">
        <v>16.0</v>
      </c>
      <c r="D168" s="96" t="s">
        <v>854</v>
      </c>
      <c r="E168" s="96" t="s">
        <v>21</v>
      </c>
      <c r="F168" s="325">
        <v>35765.0</v>
      </c>
      <c r="G168" s="325">
        <v>42363.0</v>
      </c>
      <c r="H168" s="325">
        <v>43123.0</v>
      </c>
      <c r="I168" s="325">
        <v>44022.0</v>
      </c>
      <c r="J168" s="326">
        <v>22.98</v>
      </c>
      <c r="K168" s="326">
        <v>8.98</v>
      </c>
      <c r="L168" s="326">
        <v>14.0</v>
      </c>
      <c r="M168" s="96">
        <v>1.0</v>
      </c>
      <c r="N168" s="326">
        <v>8.98</v>
      </c>
    </row>
    <row r="169">
      <c r="A169" s="96" t="s">
        <v>237</v>
      </c>
      <c r="B169" s="96" t="s">
        <v>238</v>
      </c>
      <c r="C169" s="96">
        <v>860.0</v>
      </c>
      <c r="D169" s="96" t="s">
        <v>858</v>
      </c>
      <c r="E169" s="96" t="s">
        <v>26</v>
      </c>
      <c r="F169" s="325">
        <v>42465.0</v>
      </c>
      <c r="G169" s="325">
        <v>43964.0</v>
      </c>
      <c r="H169" s="325">
        <v>44039.0</v>
      </c>
      <c r="I169" s="325">
        <v>44039.0</v>
      </c>
      <c r="J169" s="326">
        <v>9.99</v>
      </c>
      <c r="K169" s="326">
        <v>4.49</v>
      </c>
      <c r="L169" s="326">
        <v>5.5</v>
      </c>
      <c r="M169" s="96">
        <v>2.0</v>
      </c>
      <c r="N169" s="326">
        <v>2.25</v>
      </c>
    </row>
    <row r="170">
      <c r="A170" s="91" t="s">
        <v>237</v>
      </c>
      <c r="B170" s="89" t="s">
        <v>239</v>
      </c>
      <c r="C170" s="89">
        <v>1093.0</v>
      </c>
      <c r="D170" s="89" t="s">
        <v>863</v>
      </c>
      <c r="E170" s="89" t="s">
        <v>26</v>
      </c>
      <c r="F170" s="325">
        <v>45198.0</v>
      </c>
      <c r="G170" s="325">
        <v>45937.0</v>
      </c>
      <c r="H170" s="325">
        <v>45937.0</v>
      </c>
      <c r="I170" s="325">
        <v>45937.0</v>
      </c>
      <c r="J170" s="175">
        <v>24.99</v>
      </c>
      <c r="K170" s="175">
        <v>0.0</v>
      </c>
      <c r="L170" s="175">
        <f>J170-K170</f>
        <v>24.99</v>
      </c>
      <c r="M170" s="90">
        <v>1.0</v>
      </c>
      <c r="N170" s="175">
        <f>K170/M170</f>
        <v>0</v>
      </c>
    </row>
    <row r="171">
      <c r="A171" s="96" t="s">
        <v>237</v>
      </c>
      <c r="B171" s="96" t="s">
        <v>240</v>
      </c>
      <c r="C171" s="96">
        <v>580.0</v>
      </c>
      <c r="D171" s="96" t="s">
        <v>862</v>
      </c>
      <c r="E171" s="96" t="s">
        <v>26</v>
      </c>
      <c r="F171" s="325">
        <v>44565.0</v>
      </c>
      <c r="G171" s="325">
        <v>44565.0</v>
      </c>
      <c r="H171" s="325">
        <v>44565.0</v>
      </c>
      <c r="I171" s="325">
        <v>44565.0</v>
      </c>
      <c r="J171" s="326">
        <v>29.99</v>
      </c>
      <c r="K171" s="326">
        <v>0.0</v>
      </c>
      <c r="L171" s="326">
        <v>29.99</v>
      </c>
      <c r="M171" s="96">
        <v>1.0</v>
      </c>
      <c r="N171" s="326">
        <v>0.0</v>
      </c>
    </row>
    <row r="172">
      <c r="A172" s="96" t="s">
        <v>237</v>
      </c>
      <c r="B172" s="96" t="s">
        <v>241</v>
      </c>
      <c r="C172" s="96">
        <v>631.0</v>
      </c>
      <c r="D172" s="96" t="s">
        <v>861</v>
      </c>
      <c r="E172" s="96" t="s">
        <v>26</v>
      </c>
      <c r="F172" s="325">
        <v>44502.0</v>
      </c>
      <c r="G172" s="325">
        <v>44502.0</v>
      </c>
      <c r="H172" s="325">
        <v>44502.0</v>
      </c>
      <c r="I172" s="325">
        <v>44502.0</v>
      </c>
      <c r="J172" s="326">
        <v>19.99</v>
      </c>
      <c r="K172" s="326">
        <v>0.0</v>
      </c>
      <c r="L172" s="326">
        <v>19.99</v>
      </c>
      <c r="M172" s="96">
        <v>1.0</v>
      </c>
      <c r="N172" s="326">
        <v>0.0</v>
      </c>
    </row>
    <row r="173">
      <c r="A173" s="89" t="s">
        <v>237</v>
      </c>
      <c r="B173" s="96" t="s">
        <v>242</v>
      </c>
      <c r="C173" s="96">
        <v>272.0</v>
      </c>
      <c r="D173" s="96" t="s">
        <v>855</v>
      </c>
      <c r="E173" s="96" t="s">
        <v>24</v>
      </c>
      <c r="F173" s="325">
        <v>39409.0</v>
      </c>
      <c r="G173" s="325">
        <v>44091.0</v>
      </c>
      <c r="H173" s="325">
        <v>44091.0</v>
      </c>
      <c r="I173" s="325">
        <v>44091.0</v>
      </c>
      <c r="J173" s="326">
        <v>19.99</v>
      </c>
      <c r="K173" s="326">
        <v>2.0</v>
      </c>
      <c r="L173" s="326">
        <v>17.99</v>
      </c>
      <c r="M173" s="96">
        <v>1.0</v>
      </c>
      <c r="N173" s="326">
        <v>2.0</v>
      </c>
    </row>
    <row r="174">
      <c r="A174" s="89" t="s">
        <v>237</v>
      </c>
      <c r="B174" s="96"/>
      <c r="C174" s="96">
        <v>273.0</v>
      </c>
      <c r="D174" s="96" t="s">
        <v>856</v>
      </c>
      <c r="E174" s="96" t="s">
        <v>24</v>
      </c>
      <c r="F174" s="325">
        <v>40410.0</v>
      </c>
      <c r="G174" s="325">
        <v>44091.0</v>
      </c>
      <c r="H174" s="325">
        <v>44091.0</v>
      </c>
      <c r="I174" s="325">
        <v>44091.0</v>
      </c>
      <c r="J174" s="326">
        <v>21.99</v>
      </c>
      <c r="K174" s="326">
        <v>2.0</v>
      </c>
      <c r="L174" s="326">
        <v>19.99</v>
      </c>
      <c r="M174" s="96">
        <v>1.0</v>
      </c>
      <c r="N174" s="326">
        <v>2.0</v>
      </c>
    </row>
    <row r="175">
      <c r="A175" s="89" t="s">
        <v>237</v>
      </c>
      <c r="B175" s="96"/>
      <c r="C175" s="96">
        <v>260.0</v>
      </c>
      <c r="D175" s="96" t="s">
        <v>857</v>
      </c>
      <c r="E175" s="96" t="s">
        <v>24</v>
      </c>
      <c r="F175" s="325">
        <v>41233.0</v>
      </c>
      <c r="G175" s="325">
        <v>44115.0</v>
      </c>
      <c r="H175" s="325">
        <v>45134.0</v>
      </c>
      <c r="I175" s="325">
        <v>45134.0</v>
      </c>
      <c r="J175" s="326">
        <v>19.99</v>
      </c>
      <c r="K175" s="326">
        <v>5.0</v>
      </c>
      <c r="L175" s="326">
        <v>14.99</v>
      </c>
      <c r="M175" s="96">
        <v>5.0</v>
      </c>
      <c r="N175" s="326">
        <v>1.0</v>
      </c>
    </row>
    <row r="176">
      <c r="A176" s="96" t="s">
        <v>237</v>
      </c>
      <c r="B176" s="96"/>
      <c r="C176" s="96">
        <v>659.0</v>
      </c>
      <c r="D176" s="96" t="s">
        <v>859</v>
      </c>
      <c r="E176" s="96" t="s">
        <v>26</v>
      </c>
      <c r="F176" s="325">
        <v>43417.0</v>
      </c>
      <c r="G176" s="325">
        <v>44461.0</v>
      </c>
      <c r="H176" s="325">
        <v>45937.0</v>
      </c>
      <c r="I176" s="325">
        <v>45937.0</v>
      </c>
      <c r="J176" s="326">
        <v>69.99</v>
      </c>
      <c r="K176" s="326">
        <v>0.0</v>
      </c>
      <c r="L176" s="326">
        <v>69.99</v>
      </c>
      <c r="M176" s="96">
        <v>2.0</v>
      </c>
      <c r="N176" s="326">
        <v>0.0</v>
      </c>
    </row>
    <row r="177">
      <c r="A177" s="86"/>
      <c r="B177" s="86"/>
      <c r="C177" s="92"/>
      <c r="D177" s="93"/>
      <c r="E177" s="86"/>
      <c r="F177" s="86"/>
      <c r="G177" s="86"/>
      <c r="H177" s="86"/>
      <c r="I177" s="86"/>
      <c r="J177" s="97">
        <f t="shared" ref="J177:M177" si="19">SUM(J173:J176)</f>
        <v>131.96</v>
      </c>
      <c r="K177" s="97">
        <f t="shared" si="19"/>
        <v>9</v>
      </c>
      <c r="L177" s="97">
        <f t="shared" si="19"/>
        <v>122.96</v>
      </c>
      <c r="M177" s="93">
        <f t="shared" si="19"/>
        <v>9</v>
      </c>
      <c r="N177" s="330">
        <f>K177/M177</f>
        <v>1</v>
      </c>
    </row>
    <row r="178">
      <c r="A178" s="96" t="s">
        <v>237</v>
      </c>
      <c r="B178" s="96" t="s">
        <v>243</v>
      </c>
      <c r="C178" s="96">
        <v>643.0</v>
      </c>
      <c r="D178" s="96" t="s">
        <v>860</v>
      </c>
      <c r="E178" s="96" t="s">
        <v>26</v>
      </c>
      <c r="F178" s="325">
        <v>44131.0</v>
      </c>
      <c r="G178" s="325">
        <v>44621.0</v>
      </c>
      <c r="H178" s="325">
        <v>44621.0</v>
      </c>
      <c r="I178" s="325">
        <v>44621.0</v>
      </c>
      <c r="J178" s="326">
        <v>29.99</v>
      </c>
      <c r="K178" s="326">
        <v>0.0</v>
      </c>
      <c r="L178" s="326">
        <v>29.99</v>
      </c>
      <c r="M178" s="96">
        <v>2.0</v>
      </c>
      <c r="N178" s="326">
        <v>0.0</v>
      </c>
    </row>
    <row r="179">
      <c r="A179" s="331"/>
      <c r="B179" s="331"/>
      <c r="C179" s="332"/>
      <c r="D179" s="333"/>
      <c r="E179" s="331"/>
      <c r="F179" s="331"/>
      <c r="G179" s="331"/>
      <c r="H179" s="331"/>
      <c r="I179" s="331"/>
      <c r="J179" s="334"/>
      <c r="K179" s="334"/>
      <c r="L179" s="334"/>
      <c r="M179" s="333"/>
      <c r="N179" s="334"/>
    </row>
    <row r="180">
      <c r="A180" s="23" t="s">
        <v>245</v>
      </c>
      <c r="B180" s="23" t="s">
        <v>244</v>
      </c>
      <c r="C180" s="23">
        <v>433.0</v>
      </c>
      <c r="D180" s="23" t="s">
        <v>864</v>
      </c>
      <c r="E180" s="23" t="s">
        <v>25</v>
      </c>
      <c r="F180" s="362">
        <v>43732.0</v>
      </c>
      <c r="G180" s="362">
        <v>43912.0</v>
      </c>
      <c r="H180" s="362">
        <v>44911.0</v>
      </c>
      <c r="I180" s="362">
        <v>44912.0</v>
      </c>
      <c r="J180" s="364">
        <v>1.99</v>
      </c>
      <c r="K180" s="364">
        <v>1.99</v>
      </c>
      <c r="L180" s="364">
        <v>0.0</v>
      </c>
      <c r="M180" s="23">
        <v>2.0</v>
      </c>
      <c r="N180" s="364">
        <v>1.0</v>
      </c>
    </row>
    <row r="181">
      <c r="A181" s="357"/>
      <c r="B181" s="357"/>
      <c r="C181" s="358"/>
      <c r="D181" s="359"/>
      <c r="E181" s="359"/>
      <c r="F181" s="359"/>
      <c r="G181" s="359"/>
      <c r="H181" s="359"/>
      <c r="I181" s="359"/>
      <c r="J181" s="360"/>
      <c r="K181" s="360"/>
      <c r="L181" s="360"/>
      <c r="M181" s="359"/>
      <c r="N181" s="360"/>
    </row>
    <row r="182">
      <c r="A182" s="86" t="s">
        <v>36</v>
      </c>
      <c r="B182" s="86" t="s">
        <v>246</v>
      </c>
      <c r="C182" s="86">
        <v>578.0</v>
      </c>
      <c r="D182" s="86" t="s">
        <v>1009</v>
      </c>
      <c r="E182" s="86" t="s">
        <v>26</v>
      </c>
      <c r="F182" s="87">
        <v>44523.0</v>
      </c>
      <c r="G182" s="87">
        <v>45140.0</v>
      </c>
      <c r="H182" s="87">
        <v>45809.0</v>
      </c>
      <c r="I182" s="87">
        <v>45809.0</v>
      </c>
      <c r="J182" s="88">
        <v>19.99</v>
      </c>
      <c r="K182" s="88">
        <v>0.0</v>
      </c>
      <c r="L182" s="88">
        <v>19.99</v>
      </c>
      <c r="M182" s="86">
        <v>2.0</v>
      </c>
      <c r="N182" s="88">
        <v>0.0</v>
      </c>
    </row>
    <row r="183">
      <c r="A183" s="86" t="s">
        <v>36</v>
      </c>
      <c r="B183" s="86" t="s">
        <v>247</v>
      </c>
      <c r="C183" s="86">
        <v>1082.0</v>
      </c>
      <c r="D183" s="86" t="s">
        <v>1036</v>
      </c>
      <c r="E183" s="86" t="s">
        <v>28</v>
      </c>
      <c r="F183" s="87">
        <v>45552.0</v>
      </c>
      <c r="G183" s="87">
        <v>45554.0</v>
      </c>
      <c r="H183" s="87">
        <v>45555.0</v>
      </c>
      <c r="I183" s="87">
        <v>45559.0</v>
      </c>
      <c r="J183" s="94">
        <v>29.99</v>
      </c>
      <c r="K183" s="94">
        <v>0.0</v>
      </c>
      <c r="L183" s="94">
        <v>29.99</v>
      </c>
      <c r="M183" s="86">
        <v>10.0</v>
      </c>
      <c r="N183" s="88">
        <v>0.0</v>
      </c>
    </row>
    <row r="184">
      <c r="A184" s="86" t="s">
        <v>36</v>
      </c>
      <c r="B184" s="86" t="s">
        <v>248</v>
      </c>
      <c r="C184" s="86">
        <v>535.0</v>
      </c>
      <c r="D184" s="86" t="s">
        <v>1000</v>
      </c>
      <c r="E184" s="86" t="s">
        <v>26</v>
      </c>
      <c r="F184" s="87">
        <v>44165.0</v>
      </c>
      <c r="G184" s="87">
        <v>45070.0</v>
      </c>
      <c r="H184" s="87">
        <v>45070.0</v>
      </c>
      <c r="I184" s="87">
        <v>45070.0</v>
      </c>
      <c r="J184" s="88">
        <v>10.99</v>
      </c>
      <c r="K184" s="88">
        <v>0.54</v>
      </c>
      <c r="L184" s="88">
        <v>10.45</v>
      </c>
      <c r="M184" s="86">
        <v>1.0</v>
      </c>
      <c r="N184" s="88">
        <v>0.54</v>
      </c>
    </row>
    <row r="185">
      <c r="A185" s="93" t="s">
        <v>36</v>
      </c>
      <c r="B185" s="93" t="s">
        <v>249</v>
      </c>
      <c r="C185" s="93">
        <v>1091.0</v>
      </c>
      <c r="D185" s="93" t="s">
        <v>868</v>
      </c>
      <c r="E185" s="93" t="s">
        <v>21</v>
      </c>
      <c r="F185" s="87">
        <v>35699.0</v>
      </c>
      <c r="G185" s="87">
        <v>45920.0</v>
      </c>
      <c r="H185" s="87">
        <v>45921.0</v>
      </c>
      <c r="I185" s="87">
        <v>45922.0</v>
      </c>
      <c r="J185" s="99">
        <v>29.99</v>
      </c>
      <c r="K185" s="99">
        <v>0.0</v>
      </c>
      <c r="L185" s="99">
        <f>J185-K185</f>
        <v>29.99</v>
      </c>
      <c r="M185" s="93">
        <v>6.0</v>
      </c>
      <c r="N185" s="99">
        <f>K185/M185</f>
        <v>0</v>
      </c>
    </row>
    <row r="186">
      <c r="A186" s="86" t="s">
        <v>36</v>
      </c>
      <c r="B186" s="86" t="s">
        <v>250</v>
      </c>
      <c r="C186" s="86">
        <v>476.0</v>
      </c>
      <c r="D186" s="86" t="s">
        <v>951</v>
      </c>
      <c r="E186" s="86" t="s">
        <v>25</v>
      </c>
      <c r="F186" s="87">
        <v>41990.0</v>
      </c>
      <c r="G186" s="87">
        <v>42363.0</v>
      </c>
      <c r="H186" s="87">
        <v>42363.0</v>
      </c>
      <c r="I186" s="87">
        <v>42363.0</v>
      </c>
      <c r="J186" s="88">
        <v>10.99</v>
      </c>
      <c r="K186" s="88">
        <v>3.99</v>
      </c>
      <c r="L186" s="88">
        <v>7.0</v>
      </c>
      <c r="M186" s="86">
        <v>1.0</v>
      </c>
      <c r="N186" s="88">
        <v>3.99</v>
      </c>
    </row>
    <row r="187">
      <c r="A187" s="93" t="s">
        <v>36</v>
      </c>
      <c r="B187" s="86" t="s">
        <v>251</v>
      </c>
      <c r="C187" s="86">
        <v>401.0</v>
      </c>
      <c r="D187" s="86" t="s">
        <v>928</v>
      </c>
      <c r="E187" s="86" t="s">
        <v>24</v>
      </c>
      <c r="F187" s="87">
        <v>41388.0</v>
      </c>
      <c r="G187" s="87">
        <v>41410.0</v>
      </c>
      <c r="H187" s="87">
        <v>41410.0</v>
      </c>
      <c r="I187" s="87">
        <v>44764.0</v>
      </c>
      <c r="J187" s="88">
        <v>7.99</v>
      </c>
      <c r="K187" s="88">
        <v>0.0</v>
      </c>
      <c r="L187" s="88">
        <v>7.99</v>
      </c>
      <c r="M187" s="86">
        <v>2.0</v>
      </c>
      <c r="N187" s="88">
        <v>0.0</v>
      </c>
    </row>
    <row r="188">
      <c r="A188" s="86" t="s">
        <v>36</v>
      </c>
      <c r="B188" s="86"/>
      <c r="C188" s="86">
        <v>958.0</v>
      </c>
      <c r="D188" s="86" t="s">
        <v>964</v>
      </c>
      <c r="E188" s="86" t="s">
        <v>26</v>
      </c>
      <c r="F188" s="87">
        <v>42234.0</v>
      </c>
      <c r="G188" s="87">
        <v>42950.0</v>
      </c>
      <c r="H188" s="87">
        <v>43082.0</v>
      </c>
      <c r="I188" s="87">
        <v>44957.0</v>
      </c>
      <c r="J188" s="88">
        <v>17.99</v>
      </c>
      <c r="K188" s="88">
        <v>4.99</v>
      </c>
      <c r="L188" s="88">
        <v>13.0</v>
      </c>
      <c r="M188" s="86">
        <v>5.0</v>
      </c>
      <c r="N188" s="88">
        <v>1.0</v>
      </c>
    </row>
    <row r="189">
      <c r="A189" s="89"/>
      <c r="B189" s="89"/>
      <c r="C189" s="90"/>
      <c r="D189" s="89"/>
      <c r="E189" s="89"/>
      <c r="F189" s="89"/>
      <c r="G189" s="89"/>
      <c r="H189" s="89"/>
      <c r="I189" s="89"/>
      <c r="J189" s="91">
        <f t="shared" ref="J189:M189" si="20">SUM(J187:J188)</f>
        <v>25.98</v>
      </c>
      <c r="K189" s="91">
        <f t="shared" si="20"/>
        <v>4.99</v>
      </c>
      <c r="L189" s="91">
        <f t="shared" si="20"/>
        <v>20.99</v>
      </c>
      <c r="M189" s="89">
        <f t="shared" si="20"/>
        <v>7</v>
      </c>
      <c r="N189" s="91">
        <f>K189/M189</f>
        <v>0.7128571429</v>
      </c>
    </row>
    <row r="190">
      <c r="A190" s="93" t="s">
        <v>36</v>
      </c>
      <c r="B190" s="86" t="s">
        <v>252</v>
      </c>
      <c r="C190" s="86">
        <v>200.0</v>
      </c>
      <c r="D190" s="86" t="s">
        <v>910</v>
      </c>
      <c r="E190" s="86" t="s">
        <v>24</v>
      </c>
      <c r="F190" s="87">
        <v>40326.0</v>
      </c>
      <c r="G190" s="87">
        <v>40327.0</v>
      </c>
      <c r="H190" s="87">
        <v>40327.0</v>
      </c>
      <c r="I190" s="87">
        <v>40331.0</v>
      </c>
      <c r="J190" s="88">
        <v>19.99</v>
      </c>
      <c r="K190" s="88">
        <v>18.0</v>
      </c>
      <c r="L190" s="88">
        <v>1.99</v>
      </c>
      <c r="M190" s="86">
        <v>25.0</v>
      </c>
      <c r="N190" s="88">
        <v>0.72</v>
      </c>
    </row>
    <row r="191">
      <c r="A191" s="86" t="s">
        <v>36</v>
      </c>
      <c r="B191" s="86" t="s">
        <v>253</v>
      </c>
      <c r="C191" s="86">
        <v>877.0</v>
      </c>
      <c r="D191" s="86" t="s">
        <v>959</v>
      </c>
      <c r="E191" s="86" t="s">
        <v>26</v>
      </c>
      <c r="F191" s="87">
        <v>41864.0</v>
      </c>
      <c r="G191" s="87">
        <v>43804.0</v>
      </c>
      <c r="H191" s="87">
        <v>43809.0</v>
      </c>
      <c r="I191" s="87">
        <v>43809.0</v>
      </c>
      <c r="J191" s="88">
        <v>30.98</v>
      </c>
      <c r="K191" s="88">
        <v>24.98</v>
      </c>
      <c r="L191" s="88">
        <v>6.0</v>
      </c>
      <c r="M191" s="86">
        <v>5.0</v>
      </c>
      <c r="N191" s="88">
        <v>5.0</v>
      </c>
    </row>
    <row r="192">
      <c r="A192" s="86" t="s">
        <v>36</v>
      </c>
      <c r="B192" s="86"/>
      <c r="C192" s="86">
        <v>671.0</v>
      </c>
      <c r="D192" s="86" t="s">
        <v>965</v>
      </c>
      <c r="E192" s="86" t="s">
        <v>26</v>
      </c>
      <c r="F192" s="87">
        <v>42241.0</v>
      </c>
      <c r="G192" s="87">
        <v>44640.0</v>
      </c>
      <c r="H192" s="87">
        <v>44837.0</v>
      </c>
      <c r="I192" s="87">
        <v>44837.0</v>
      </c>
      <c r="J192" s="88">
        <v>12.99</v>
      </c>
      <c r="K192" s="88">
        <v>2.59</v>
      </c>
      <c r="L192" s="88">
        <v>10.4</v>
      </c>
      <c r="M192" s="86">
        <v>1.0</v>
      </c>
      <c r="N192" s="88">
        <v>2.59</v>
      </c>
    </row>
    <row r="193">
      <c r="A193" s="89"/>
      <c r="B193" s="89"/>
      <c r="C193" s="90"/>
      <c r="D193" s="89"/>
      <c r="E193" s="89"/>
      <c r="F193" s="89"/>
      <c r="G193" s="89"/>
      <c r="H193" s="89"/>
      <c r="I193" s="89"/>
      <c r="J193" s="91">
        <f t="shared" ref="J193:M193" si="21">SUM(J191:J192)</f>
        <v>43.97</v>
      </c>
      <c r="K193" s="91">
        <f t="shared" si="21"/>
        <v>27.57</v>
      </c>
      <c r="L193" s="91">
        <f t="shared" si="21"/>
        <v>16.4</v>
      </c>
      <c r="M193" s="89">
        <f t="shared" si="21"/>
        <v>6</v>
      </c>
      <c r="N193" s="91">
        <f>K193/M193</f>
        <v>4.595</v>
      </c>
    </row>
    <row r="194">
      <c r="A194" s="86" t="s">
        <v>36</v>
      </c>
      <c r="B194" s="86" t="s">
        <v>254</v>
      </c>
      <c r="C194" s="86">
        <v>797.0</v>
      </c>
      <c r="D194" s="86" t="s">
        <v>994</v>
      </c>
      <c r="E194" s="86" t="s">
        <v>26</v>
      </c>
      <c r="F194" s="87">
        <v>43921.0</v>
      </c>
      <c r="G194" s="87">
        <v>44609.0</v>
      </c>
      <c r="H194" s="87">
        <v>44610.0</v>
      </c>
      <c r="I194" s="87">
        <v>45631.0</v>
      </c>
      <c r="J194" s="88">
        <v>17.99</v>
      </c>
      <c r="K194" s="88">
        <v>8.99</v>
      </c>
      <c r="L194" s="88">
        <v>9.0</v>
      </c>
      <c r="M194" s="86">
        <v>11.0</v>
      </c>
      <c r="N194" s="88">
        <v>0.82</v>
      </c>
    </row>
    <row r="195">
      <c r="A195" s="93" t="s">
        <v>36</v>
      </c>
      <c r="B195" s="86" t="s">
        <v>255</v>
      </c>
      <c r="C195" s="86">
        <v>420.0</v>
      </c>
      <c r="D195" s="86" t="s">
        <v>924</v>
      </c>
      <c r="E195" s="86" t="s">
        <v>24</v>
      </c>
      <c r="F195" s="87">
        <v>41219.0</v>
      </c>
      <c r="G195" s="87">
        <v>44422.0</v>
      </c>
      <c r="H195" s="87">
        <v>45060.0</v>
      </c>
      <c r="I195" s="87">
        <v>45068.0</v>
      </c>
      <c r="J195" s="88">
        <v>4.99</v>
      </c>
      <c r="K195" s="88">
        <v>4.99</v>
      </c>
      <c r="L195" s="88">
        <v>0.0</v>
      </c>
      <c r="M195" s="86">
        <v>5.0</v>
      </c>
      <c r="N195" s="88">
        <v>1.0</v>
      </c>
    </row>
    <row r="196">
      <c r="A196" s="86" t="s">
        <v>36</v>
      </c>
      <c r="B196" s="86" t="s">
        <v>256</v>
      </c>
      <c r="C196" s="86">
        <v>873.0</v>
      </c>
      <c r="D196" s="86" t="s">
        <v>1003</v>
      </c>
      <c r="E196" s="86" t="s">
        <v>26</v>
      </c>
      <c r="F196" s="87">
        <v>44273.0</v>
      </c>
      <c r="G196" s="87">
        <v>44335.0</v>
      </c>
      <c r="H196" s="87">
        <v>44424.0</v>
      </c>
      <c r="I196" s="87">
        <v>44427.0</v>
      </c>
      <c r="J196" s="88">
        <v>5.99</v>
      </c>
      <c r="K196" s="88">
        <v>4.19</v>
      </c>
      <c r="L196" s="88">
        <v>1.8</v>
      </c>
      <c r="M196" s="86">
        <v>5.0</v>
      </c>
      <c r="N196" s="88">
        <v>0.84</v>
      </c>
    </row>
    <row r="197">
      <c r="A197" s="44" t="s">
        <v>36</v>
      </c>
      <c r="B197" s="45" t="s">
        <v>42</v>
      </c>
      <c r="C197" s="45">
        <v>1101.0</v>
      </c>
      <c r="D197" s="41" t="s">
        <v>43</v>
      </c>
      <c r="E197" s="41" t="s">
        <v>26</v>
      </c>
      <c r="F197" s="46">
        <v>45505.0</v>
      </c>
      <c r="G197" s="46">
        <v>46016.0</v>
      </c>
      <c r="H197" s="46">
        <v>46023.0</v>
      </c>
      <c r="I197" s="46">
        <v>46024.0</v>
      </c>
      <c r="J197" s="44">
        <v>17.99</v>
      </c>
      <c r="K197" s="44">
        <v>0.0</v>
      </c>
      <c r="L197" s="44">
        <f>J197-K197</f>
        <v>17.99</v>
      </c>
      <c r="M197" s="45">
        <v>7.0</v>
      </c>
      <c r="N197" s="44">
        <f>K197/M197</f>
        <v>0</v>
      </c>
    </row>
    <row r="198">
      <c r="A198" s="86" t="s">
        <v>36</v>
      </c>
      <c r="B198" s="86" t="s">
        <v>257</v>
      </c>
      <c r="C198" s="86">
        <v>6.0</v>
      </c>
      <c r="D198" s="86" t="s">
        <v>872</v>
      </c>
      <c r="E198" s="86" t="s">
        <v>21</v>
      </c>
      <c r="F198" s="87">
        <v>35991.0</v>
      </c>
      <c r="G198" s="87">
        <v>40538.0</v>
      </c>
      <c r="H198" s="87">
        <v>40538.0</v>
      </c>
      <c r="I198" s="87">
        <v>40538.0</v>
      </c>
      <c r="J198" s="88">
        <v>9.99</v>
      </c>
      <c r="K198" s="88">
        <v>9.99</v>
      </c>
      <c r="L198" s="88">
        <v>0.0</v>
      </c>
      <c r="M198" s="86">
        <v>70.0</v>
      </c>
      <c r="N198" s="88">
        <v>0.14</v>
      </c>
    </row>
    <row r="199">
      <c r="A199" s="86" t="s">
        <v>36</v>
      </c>
      <c r="B199" s="86"/>
      <c r="C199" s="86">
        <v>750.0</v>
      </c>
      <c r="D199" s="86" t="s">
        <v>984</v>
      </c>
      <c r="E199" s="86" t="s">
        <v>26</v>
      </c>
      <c r="F199" s="87">
        <v>42916.0</v>
      </c>
      <c r="G199" s="87">
        <v>42810.0</v>
      </c>
      <c r="H199" s="87">
        <v>42916.0</v>
      </c>
      <c r="I199" s="87">
        <v>42916.0</v>
      </c>
      <c r="J199" s="88">
        <v>39.99</v>
      </c>
      <c r="K199" s="88">
        <v>26.99</v>
      </c>
      <c r="L199" s="88">
        <v>13.0</v>
      </c>
      <c r="M199" s="86">
        <v>1.0</v>
      </c>
      <c r="N199" s="88">
        <v>26.99</v>
      </c>
    </row>
    <row r="200">
      <c r="A200" s="86" t="s">
        <v>36</v>
      </c>
      <c r="B200" s="86"/>
      <c r="C200" s="86">
        <v>587.0</v>
      </c>
      <c r="D200" s="86" t="s">
        <v>997</v>
      </c>
      <c r="E200" s="86" t="s">
        <v>26</v>
      </c>
      <c r="F200" s="87">
        <v>44141.0</v>
      </c>
      <c r="G200" s="87">
        <v>44565.0</v>
      </c>
      <c r="H200" s="87">
        <v>44565.0</v>
      </c>
      <c r="I200" s="87">
        <v>44565.0</v>
      </c>
      <c r="J200" s="88">
        <v>69.99</v>
      </c>
      <c r="K200" s="88">
        <v>0.0</v>
      </c>
      <c r="L200" s="88">
        <v>69.99</v>
      </c>
      <c r="M200" s="86">
        <v>1.0</v>
      </c>
      <c r="N200" s="88">
        <v>0.0</v>
      </c>
    </row>
    <row r="201">
      <c r="A201" s="86" t="s">
        <v>36</v>
      </c>
      <c r="B201" s="86"/>
      <c r="C201" s="86">
        <v>613.0</v>
      </c>
      <c r="D201" s="86" t="s">
        <v>1006</v>
      </c>
      <c r="E201" s="86" t="s">
        <v>26</v>
      </c>
      <c r="F201" s="87">
        <v>44393.0</v>
      </c>
      <c r="G201" s="87">
        <v>44446.0</v>
      </c>
      <c r="H201" s="87">
        <v>44448.0</v>
      </c>
      <c r="I201" s="87">
        <v>44469.0</v>
      </c>
      <c r="J201" s="88">
        <v>69.99</v>
      </c>
      <c r="K201" s="88">
        <v>0.0</v>
      </c>
      <c r="L201" s="88">
        <v>69.99</v>
      </c>
      <c r="M201" s="86">
        <v>103.0</v>
      </c>
      <c r="N201" s="88">
        <v>0.0</v>
      </c>
    </row>
    <row r="202">
      <c r="A202" s="86" t="s">
        <v>36</v>
      </c>
      <c r="B202" s="86"/>
      <c r="C202" s="86">
        <v>651.0</v>
      </c>
      <c r="D202" s="86" t="s">
        <v>1011</v>
      </c>
      <c r="E202" s="86" t="s">
        <v>26</v>
      </c>
      <c r="F202" s="87">
        <v>44617.0</v>
      </c>
      <c r="G202" s="87">
        <v>45048.0</v>
      </c>
      <c r="H202" s="87">
        <v>45236.0</v>
      </c>
      <c r="I202" s="87">
        <v>45246.0</v>
      </c>
      <c r="J202" s="88">
        <v>69.99</v>
      </c>
      <c r="K202" s="88">
        <v>0.0</v>
      </c>
      <c r="L202" s="88">
        <v>69.99</v>
      </c>
      <c r="M202" s="86">
        <v>60.0</v>
      </c>
      <c r="N202" s="88">
        <v>0.0</v>
      </c>
    </row>
    <row r="203">
      <c r="A203" s="86" t="s">
        <v>36</v>
      </c>
      <c r="B203" s="86"/>
      <c r="C203" s="86">
        <v>614.0</v>
      </c>
      <c r="D203" s="94" t="s">
        <v>1019</v>
      </c>
      <c r="E203" s="94" t="s">
        <v>26</v>
      </c>
      <c r="F203" s="87">
        <v>45093.0</v>
      </c>
      <c r="G203" s="87">
        <v>45356.0</v>
      </c>
      <c r="H203" s="87">
        <v>45356.0</v>
      </c>
      <c r="I203" s="87">
        <v>45369.0</v>
      </c>
      <c r="J203" s="88">
        <v>79.99</v>
      </c>
      <c r="K203" s="88">
        <v>0.0</v>
      </c>
      <c r="L203" s="88">
        <v>79.99</v>
      </c>
      <c r="M203" s="86">
        <v>82.0</v>
      </c>
      <c r="N203" s="88">
        <v>0.0</v>
      </c>
    </row>
    <row r="204">
      <c r="A204" s="89"/>
      <c r="B204" s="89"/>
      <c r="C204" s="90"/>
      <c r="D204" s="89"/>
      <c r="E204" s="95">
        <v>339.94</v>
      </c>
      <c r="F204" s="95">
        <v>36.98</v>
      </c>
      <c r="G204" s="95">
        <v>302.96</v>
      </c>
      <c r="H204" s="96">
        <v>317.0</v>
      </c>
      <c r="I204" s="95">
        <v>0.12</v>
      </c>
      <c r="J204" s="91">
        <f t="shared" ref="J204:M204" si="22">SUM(J198:J203)</f>
        <v>339.94</v>
      </c>
      <c r="K204" s="91">
        <f t="shared" si="22"/>
        <v>36.98</v>
      </c>
      <c r="L204" s="91">
        <f t="shared" si="22"/>
        <v>302.96</v>
      </c>
      <c r="M204" s="89">
        <f t="shared" si="22"/>
        <v>317</v>
      </c>
      <c r="N204" s="91">
        <f>K204/M204</f>
        <v>0.1166561514</v>
      </c>
    </row>
    <row r="205">
      <c r="A205" s="93" t="s">
        <v>36</v>
      </c>
      <c r="B205" s="86" t="s">
        <v>258</v>
      </c>
      <c r="C205" s="86">
        <v>232.0</v>
      </c>
      <c r="D205" s="86" t="s">
        <v>926</v>
      </c>
      <c r="E205" s="86" t="s">
        <v>24</v>
      </c>
      <c r="F205" s="87">
        <v>41229.0</v>
      </c>
      <c r="G205" s="87">
        <v>41374.0</v>
      </c>
      <c r="H205" s="87">
        <v>41375.0</v>
      </c>
      <c r="I205" s="87">
        <v>44764.0</v>
      </c>
      <c r="J205" s="88">
        <v>24.99</v>
      </c>
      <c r="K205" s="88">
        <v>9.99</v>
      </c>
      <c r="L205" s="88">
        <v>15.0</v>
      </c>
      <c r="M205" s="86">
        <v>25.0</v>
      </c>
      <c r="N205" s="88">
        <v>0.4</v>
      </c>
    </row>
    <row r="206">
      <c r="A206" s="93" t="s">
        <v>36</v>
      </c>
      <c r="B206" s="86" t="s">
        <v>259</v>
      </c>
      <c r="C206" s="86">
        <v>194.0</v>
      </c>
      <c r="D206" s="86" t="s">
        <v>916</v>
      </c>
      <c r="E206" s="86" t="s">
        <v>24</v>
      </c>
      <c r="F206" s="87">
        <v>40834.0</v>
      </c>
      <c r="G206" s="87">
        <v>40944.0</v>
      </c>
      <c r="H206" s="87">
        <v>40944.0</v>
      </c>
      <c r="I206" s="87">
        <v>44762.0</v>
      </c>
      <c r="J206" s="88">
        <v>6.99</v>
      </c>
      <c r="K206" s="88">
        <v>6.99</v>
      </c>
      <c r="L206" s="88">
        <v>0.0</v>
      </c>
      <c r="M206" s="86">
        <v>20.0</v>
      </c>
      <c r="N206" s="88">
        <v>0.35</v>
      </c>
    </row>
    <row r="207">
      <c r="A207" s="92" t="s">
        <v>36</v>
      </c>
      <c r="B207" s="86" t="s">
        <v>35</v>
      </c>
      <c r="C207" s="86">
        <v>154.0</v>
      </c>
      <c r="D207" s="86" t="s">
        <v>65</v>
      </c>
      <c r="E207" s="86" t="s">
        <v>23</v>
      </c>
      <c r="F207" s="87">
        <v>38611.0</v>
      </c>
      <c r="G207" s="87">
        <v>43373.0</v>
      </c>
      <c r="H207" s="87">
        <v>43373.0</v>
      </c>
      <c r="I207" s="87">
        <v>43373.0</v>
      </c>
      <c r="J207" s="88">
        <v>9.99</v>
      </c>
      <c r="K207" s="88">
        <v>9.99</v>
      </c>
      <c r="L207" s="88">
        <v>0.0</v>
      </c>
      <c r="M207" s="86">
        <v>1.0</v>
      </c>
      <c r="N207" s="88">
        <v>9.99</v>
      </c>
    </row>
    <row r="208">
      <c r="A208" s="93" t="s">
        <v>36</v>
      </c>
      <c r="B208" s="92"/>
      <c r="C208" s="86">
        <v>206.0</v>
      </c>
      <c r="D208" s="86" t="s">
        <v>66</v>
      </c>
      <c r="E208" s="86" t="s">
        <v>24</v>
      </c>
      <c r="F208" s="87">
        <v>39472.0</v>
      </c>
      <c r="G208" s="87">
        <v>40705.0</v>
      </c>
      <c r="H208" s="87">
        <v>40705.0</v>
      </c>
      <c r="I208" s="87">
        <v>45675.0</v>
      </c>
      <c r="J208" s="88">
        <v>59.98</v>
      </c>
      <c r="K208" s="88">
        <v>9.99</v>
      </c>
      <c r="L208" s="88">
        <v>49.99</v>
      </c>
      <c r="M208" s="86">
        <v>17.0</v>
      </c>
      <c r="N208" s="88">
        <v>0.59</v>
      </c>
    </row>
    <row r="209">
      <c r="A209" s="93" t="s">
        <v>36</v>
      </c>
      <c r="B209" s="93"/>
      <c r="C209" s="86">
        <v>312.0</v>
      </c>
      <c r="D209" s="86" t="s">
        <v>67</v>
      </c>
      <c r="E209" s="86" t="s">
        <v>24</v>
      </c>
      <c r="F209" s="87">
        <v>40501.0</v>
      </c>
      <c r="G209" s="87">
        <v>45664.0</v>
      </c>
      <c r="H209" s="87">
        <v>45822.0</v>
      </c>
      <c r="I209" s="87">
        <v>45830.0</v>
      </c>
      <c r="J209" s="94">
        <v>39.99</v>
      </c>
      <c r="K209" s="94">
        <v>0.0</v>
      </c>
      <c r="L209" s="88">
        <v>39.99</v>
      </c>
      <c r="M209" s="86">
        <v>30.0</v>
      </c>
      <c r="N209" s="88">
        <v>0.0</v>
      </c>
    </row>
    <row r="210">
      <c r="A210" s="93" t="s">
        <v>36</v>
      </c>
      <c r="B210" s="86"/>
      <c r="C210" s="86">
        <v>314.0</v>
      </c>
      <c r="D210" s="86" t="s">
        <v>68</v>
      </c>
      <c r="E210" s="86" t="s">
        <v>24</v>
      </c>
      <c r="F210" s="87">
        <v>41215.0</v>
      </c>
      <c r="G210" s="87">
        <v>41493.0</v>
      </c>
      <c r="H210" s="87">
        <v>41494.0</v>
      </c>
      <c r="I210" s="87">
        <v>44783.0</v>
      </c>
      <c r="J210" s="94">
        <v>19.99</v>
      </c>
      <c r="K210" s="94">
        <v>0.0</v>
      </c>
      <c r="L210" s="88">
        <v>19.99</v>
      </c>
      <c r="M210" s="86">
        <v>25.0</v>
      </c>
      <c r="N210" s="88">
        <v>0.0</v>
      </c>
    </row>
    <row r="211">
      <c r="A211" s="44" t="s">
        <v>36</v>
      </c>
      <c r="B211" s="45"/>
      <c r="C211" s="45">
        <v>1107.0</v>
      </c>
      <c r="D211" s="41" t="s">
        <v>46</v>
      </c>
      <c r="E211" s="41" t="s">
        <v>28</v>
      </c>
      <c r="F211" s="46">
        <v>44897.0</v>
      </c>
      <c r="G211" s="46">
        <v>46030.0</v>
      </c>
      <c r="H211" s="46">
        <v>46033.0</v>
      </c>
      <c r="I211" s="46">
        <v>46046.0</v>
      </c>
      <c r="J211" s="44">
        <v>79.99</v>
      </c>
      <c r="K211" s="44">
        <v>0.0</v>
      </c>
      <c r="L211" s="44">
        <f>J211-K211</f>
        <v>79.99</v>
      </c>
      <c r="M211" s="45">
        <v>48.0</v>
      </c>
      <c r="N211" s="44">
        <f t="shared" ref="N211:N212" si="24">K211/M211</f>
        <v>0</v>
      </c>
    </row>
    <row r="212">
      <c r="A212" s="89"/>
      <c r="B212" s="89"/>
      <c r="C212" s="90"/>
      <c r="D212" s="89"/>
      <c r="E212" s="95"/>
      <c r="F212" s="95"/>
      <c r="G212" s="95"/>
      <c r="H212" s="96"/>
      <c r="I212" s="95"/>
      <c r="J212" s="91">
        <f t="shared" ref="J212:M212" si="23">SUM(J207:J211)</f>
        <v>209.94</v>
      </c>
      <c r="K212" s="91">
        <f t="shared" si="23"/>
        <v>19.98</v>
      </c>
      <c r="L212" s="91">
        <f t="shared" si="23"/>
        <v>189.96</v>
      </c>
      <c r="M212" s="89">
        <f t="shared" si="23"/>
        <v>121</v>
      </c>
      <c r="N212" s="91">
        <f t="shared" si="24"/>
        <v>0.1651239669</v>
      </c>
    </row>
    <row r="213">
      <c r="A213" s="93" t="s">
        <v>36</v>
      </c>
      <c r="B213" s="86" t="s">
        <v>260</v>
      </c>
      <c r="C213" s="86">
        <v>370.0</v>
      </c>
      <c r="D213" s="86" t="s">
        <v>929</v>
      </c>
      <c r="E213" s="86" t="s">
        <v>24</v>
      </c>
      <c r="F213" s="87">
        <v>41479.0</v>
      </c>
      <c r="G213" s="87">
        <v>41522.0</v>
      </c>
      <c r="H213" s="87">
        <v>41522.0</v>
      </c>
      <c r="I213" s="87">
        <v>44791.0</v>
      </c>
      <c r="J213" s="88">
        <v>8.49</v>
      </c>
      <c r="K213" s="88">
        <v>2.49</v>
      </c>
      <c r="L213" s="88">
        <v>6.0</v>
      </c>
      <c r="M213" s="86">
        <v>5.0</v>
      </c>
      <c r="N213" s="88">
        <v>0.5</v>
      </c>
    </row>
    <row r="214">
      <c r="A214" s="93" t="s">
        <v>36</v>
      </c>
      <c r="B214" s="86"/>
      <c r="C214" s="86">
        <v>371.0</v>
      </c>
      <c r="D214" s="86" t="s">
        <v>937</v>
      </c>
      <c r="E214" s="86" t="s">
        <v>24</v>
      </c>
      <c r="F214" s="87">
        <v>42102.0</v>
      </c>
      <c r="G214" s="87">
        <v>42811.0</v>
      </c>
      <c r="H214" s="87">
        <v>43189.0</v>
      </c>
      <c r="I214" s="87">
        <v>44791.0</v>
      </c>
      <c r="J214" s="88">
        <v>8.49</v>
      </c>
      <c r="K214" s="88">
        <v>2.49</v>
      </c>
      <c r="L214" s="88">
        <v>6.0</v>
      </c>
      <c r="M214" s="86">
        <v>1.0</v>
      </c>
      <c r="N214" s="88">
        <v>2.49</v>
      </c>
    </row>
    <row r="215">
      <c r="A215" s="89"/>
      <c r="B215" s="89"/>
      <c r="C215" s="90"/>
      <c r="D215" s="89"/>
      <c r="E215" s="89"/>
      <c r="F215" s="89"/>
      <c r="G215" s="89"/>
      <c r="H215" s="89"/>
      <c r="I215" s="89"/>
      <c r="J215" s="91">
        <f t="shared" ref="J215:M215" si="25">SUM(J213:J214)</f>
        <v>16.98</v>
      </c>
      <c r="K215" s="91">
        <f t="shared" si="25"/>
        <v>4.98</v>
      </c>
      <c r="L215" s="91">
        <f t="shared" si="25"/>
        <v>12</v>
      </c>
      <c r="M215" s="89">
        <f t="shared" si="25"/>
        <v>6</v>
      </c>
      <c r="N215" s="91">
        <f>K215/M215</f>
        <v>0.83</v>
      </c>
    </row>
    <row r="216">
      <c r="A216" s="86" t="s">
        <v>36</v>
      </c>
      <c r="B216" s="86" t="s">
        <v>261</v>
      </c>
      <c r="C216" s="86">
        <v>575.0</v>
      </c>
      <c r="D216" s="86" t="s">
        <v>1017</v>
      </c>
      <c r="E216" s="86" t="s">
        <v>26</v>
      </c>
      <c r="F216" s="87">
        <v>45037.0</v>
      </c>
      <c r="G216" s="87">
        <v>45491.0</v>
      </c>
      <c r="H216" s="87">
        <v>45496.0</v>
      </c>
      <c r="I216" s="87">
        <v>45514.0</v>
      </c>
      <c r="J216" s="88">
        <v>69.99</v>
      </c>
      <c r="K216" s="88">
        <v>34.99</v>
      </c>
      <c r="L216" s="88">
        <v>35.0</v>
      </c>
      <c r="M216" s="86">
        <v>42.0</v>
      </c>
      <c r="N216" s="88">
        <v>0.83</v>
      </c>
    </row>
    <row r="217">
      <c r="A217" s="86" t="s">
        <v>36</v>
      </c>
      <c r="B217" s="86" t="s">
        <v>262</v>
      </c>
      <c r="C217" s="86">
        <v>27.0</v>
      </c>
      <c r="D217" s="86" t="s">
        <v>869</v>
      </c>
      <c r="E217" s="86" t="s">
        <v>21</v>
      </c>
      <c r="F217" s="87">
        <v>35748.0</v>
      </c>
      <c r="G217" s="87">
        <v>42655.0</v>
      </c>
      <c r="H217" s="87">
        <v>42655.0</v>
      </c>
      <c r="I217" s="87">
        <v>42655.0</v>
      </c>
      <c r="J217" s="88">
        <v>1.99</v>
      </c>
      <c r="K217" s="88">
        <v>1.99</v>
      </c>
      <c r="L217" s="88">
        <v>0.0</v>
      </c>
      <c r="M217" s="86">
        <v>1.0</v>
      </c>
      <c r="N217" s="88">
        <v>1.99</v>
      </c>
    </row>
    <row r="218">
      <c r="A218" s="86" t="s">
        <v>36</v>
      </c>
      <c r="B218" s="86"/>
      <c r="C218" s="86">
        <v>11.0</v>
      </c>
      <c r="D218" s="86" t="s">
        <v>883</v>
      </c>
      <c r="E218" s="86" t="s">
        <v>21</v>
      </c>
      <c r="F218" s="87">
        <v>36859.0</v>
      </c>
      <c r="G218" s="87">
        <v>40538.0</v>
      </c>
      <c r="H218" s="87">
        <v>40538.0</v>
      </c>
      <c r="I218" s="87">
        <v>40538.0</v>
      </c>
      <c r="J218" s="88">
        <v>9.99</v>
      </c>
      <c r="K218" s="88">
        <v>9.99</v>
      </c>
      <c r="L218" s="88">
        <v>0.0</v>
      </c>
      <c r="M218" s="86">
        <v>45.0</v>
      </c>
      <c r="N218" s="88">
        <v>0.22</v>
      </c>
    </row>
    <row r="219">
      <c r="A219" s="89"/>
      <c r="B219" s="89"/>
      <c r="C219" s="90"/>
      <c r="D219" s="89"/>
      <c r="E219" s="89"/>
      <c r="F219" s="89"/>
      <c r="G219" s="89"/>
      <c r="H219" s="89"/>
      <c r="I219" s="89"/>
      <c r="J219" s="91">
        <f t="shared" ref="J219:M219" si="26">SUM(J217:J218)</f>
        <v>11.98</v>
      </c>
      <c r="K219" s="91">
        <f t="shared" si="26"/>
        <v>11.98</v>
      </c>
      <c r="L219" s="91">
        <f t="shared" si="26"/>
        <v>0</v>
      </c>
      <c r="M219" s="89">
        <f t="shared" si="26"/>
        <v>46</v>
      </c>
      <c r="N219" s="91">
        <f>K219/M219</f>
        <v>0.2604347826</v>
      </c>
    </row>
    <row r="220">
      <c r="A220" s="93" t="s">
        <v>36</v>
      </c>
      <c r="B220" s="86" t="s">
        <v>263</v>
      </c>
      <c r="C220" s="86">
        <v>307.0</v>
      </c>
      <c r="D220" s="86" t="s">
        <v>905</v>
      </c>
      <c r="E220" s="86" t="s">
        <v>24</v>
      </c>
      <c r="F220" s="87">
        <v>39759.0</v>
      </c>
      <c r="G220" s="87">
        <v>40302.0</v>
      </c>
      <c r="H220" s="87">
        <v>40302.0</v>
      </c>
      <c r="I220" s="87">
        <v>44735.0</v>
      </c>
      <c r="J220" s="88">
        <v>5.0</v>
      </c>
      <c r="K220" s="88">
        <v>5.0</v>
      </c>
      <c r="L220" s="88">
        <v>0.0</v>
      </c>
      <c r="M220" s="86">
        <v>20.0</v>
      </c>
      <c r="N220" s="88">
        <v>0.25</v>
      </c>
    </row>
    <row r="221">
      <c r="A221" s="93" t="s">
        <v>36</v>
      </c>
      <c r="B221" s="86"/>
      <c r="C221" s="86">
        <v>308.0</v>
      </c>
      <c r="D221" s="86" t="s">
        <v>914</v>
      </c>
      <c r="E221" s="86" t="s">
        <v>24</v>
      </c>
      <c r="F221" s="87">
        <v>40633.0</v>
      </c>
      <c r="G221" s="87">
        <v>41392.0</v>
      </c>
      <c r="H221" s="87">
        <v>41392.0</v>
      </c>
      <c r="I221" s="87">
        <v>44778.0</v>
      </c>
      <c r="J221" s="88">
        <v>14.99</v>
      </c>
      <c r="K221" s="88">
        <v>14.99</v>
      </c>
      <c r="L221" s="88">
        <v>0.0</v>
      </c>
      <c r="M221" s="86">
        <v>10.0</v>
      </c>
      <c r="N221" s="88">
        <v>1.5</v>
      </c>
    </row>
    <row r="222">
      <c r="A222" s="93" t="s">
        <v>36</v>
      </c>
      <c r="B222" s="86"/>
      <c r="C222" s="86">
        <v>309.0</v>
      </c>
      <c r="D222" s="86" t="s">
        <v>919</v>
      </c>
      <c r="E222" s="86" t="s">
        <v>24</v>
      </c>
      <c r="F222" s="87">
        <v>40961.0</v>
      </c>
      <c r="G222" s="87">
        <v>43014.0</v>
      </c>
      <c r="H222" s="87">
        <v>44110.0</v>
      </c>
      <c r="I222" s="87">
        <v>44872.0</v>
      </c>
      <c r="J222" s="88">
        <v>8.99</v>
      </c>
      <c r="K222" s="88">
        <v>3.99</v>
      </c>
      <c r="L222" s="88">
        <v>5.0</v>
      </c>
      <c r="M222" s="86">
        <v>25.0</v>
      </c>
      <c r="N222" s="88">
        <v>0.16</v>
      </c>
    </row>
    <row r="223">
      <c r="A223" s="86" t="s">
        <v>36</v>
      </c>
      <c r="B223" s="86"/>
      <c r="C223" s="86">
        <v>998.0</v>
      </c>
      <c r="D223" s="86" t="s">
        <v>1024</v>
      </c>
      <c r="E223" s="86" t="s">
        <v>27</v>
      </c>
      <c r="F223" s="87">
        <v>42656.0</v>
      </c>
      <c r="G223" s="87">
        <v>43475.0</v>
      </c>
      <c r="H223" s="87">
        <v>43537.0</v>
      </c>
      <c r="I223" s="87">
        <v>43537.0</v>
      </c>
      <c r="J223" s="88">
        <v>19.99</v>
      </c>
      <c r="K223" s="88">
        <v>19.99</v>
      </c>
      <c r="L223" s="88">
        <v>0.0</v>
      </c>
      <c r="M223" s="86">
        <v>2.0</v>
      </c>
      <c r="N223" s="88">
        <v>10.0</v>
      </c>
    </row>
    <row r="224">
      <c r="A224" s="89"/>
      <c r="B224" s="89"/>
      <c r="C224" s="90"/>
      <c r="D224" s="89"/>
      <c r="E224" s="89"/>
      <c r="F224" s="89"/>
      <c r="G224" s="89"/>
      <c r="H224" s="89"/>
      <c r="I224" s="89"/>
      <c r="J224" s="91">
        <f t="shared" ref="J224:M224" si="27">SUM(J220:J223)</f>
        <v>48.97</v>
      </c>
      <c r="K224" s="91">
        <f t="shared" si="27"/>
        <v>43.97</v>
      </c>
      <c r="L224" s="91">
        <f t="shared" si="27"/>
        <v>5</v>
      </c>
      <c r="M224" s="89">
        <f t="shared" si="27"/>
        <v>57</v>
      </c>
      <c r="N224" s="91">
        <f>K224/M224</f>
        <v>0.7714035088</v>
      </c>
    </row>
    <row r="225">
      <c r="A225" s="86" t="s">
        <v>36</v>
      </c>
      <c r="B225" s="86" t="s">
        <v>264</v>
      </c>
      <c r="C225" s="86">
        <v>459.0</v>
      </c>
      <c r="D225" s="86" t="s">
        <v>941</v>
      </c>
      <c r="E225" s="86" t="s">
        <v>25</v>
      </c>
      <c r="F225" s="87">
        <v>41365.0</v>
      </c>
      <c r="G225" s="87">
        <v>42840.0</v>
      </c>
      <c r="H225" s="87">
        <v>42868.0</v>
      </c>
      <c r="I225" s="87">
        <v>44871.0</v>
      </c>
      <c r="J225" s="88">
        <v>3.59</v>
      </c>
      <c r="K225" s="88">
        <v>3.59</v>
      </c>
      <c r="L225" s="88">
        <v>0.0</v>
      </c>
      <c r="M225" s="86">
        <v>5.0</v>
      </c>
      <c r="N225" s="88">
        <v>0.72</v>
      </c>
    </row>
    <row r="226">
      <c r="A226" s="86" t="s">
        <v>36</v>
      </c>
      <c r="B226" s="86" t="s">
        <v>265</v>
      </c>
      <c r="C226" s="86">
        <v>669.0</v>
      </c>
      <c r="D226" s="86" t="s">
        <v>976</v>
      </c>
      <c r="E226" s="86" t="s">
        <v>26</v>
      </c>
      <c r="F226" s="87">
        <v>42612.0</v>
      </c>
      <c r="G226" s="87">
        <v>42811.0</v>
      </c>
      <c r="H226" s="87">
        <v>42822.0</v>
      </c>
      <c r="I226" s="87">
        <v>42824.0</v>
      </c>
      <c r="J226" s="88">
        <v>14.99</v>
      </c>
      <c r="K226" s="88">
        <v>4.99</v>
      </c>
      <c r="L226" s="88">
        <v>10.0</v>
      </c>
      <c r="M226" s="86">
        <v>10.0</v>
      </c>
      <c r="N226" s="88">
        <v>0.5</v>
      </c>
    </row>
    <row r="227">
      <c r="A227" s="86" t="s">
        <v>36</v>
      </c>
      <c r="B227" s="86" t="s">
        <v>266</v>
      </c>
      <c r="C227" s="86">
        <v>920.0</v>
      </c>
      <c r="D227" s="86" t="s">
        <v>986</v>
      </c>
      <c r="E227" s="86" t="s">
        <v>26</v>
      </c>
      <c r="F227" s="87">
        <v>43305.0</v>
      </c>
      <c r="G227" s="87">
        <v>44590.0</v>
      </c>
      <c r="H227" s="87">
        <v>44590.0</v>
      </c>
      <c r="I227" s="87">
        <v>44590.0</v>
      </c>
      <c r="J227" s="88">
        <v>29.99</v>
      </c>
      <c r="K227" s="88">
        <v>0.0</v>
      </c>
      <c r="L227" s="88">
        <v>29.99</v>
      </c>
      <c r="M227" s="86">
        <v>1.0</v>
      </c>
      <c r="N227" s="88">
        <v>0.0</v>
      </c>
    </row>
    <row r="228">
      <c r="A228" s="86" t="s">
        <v>36</v>
      </c>
      <c r="B228" s="86" t="s">
        <v>267</v>
      </c>
      <c r="C228" s="86">
        <v>499.0</v>
      </c>
      <c r="D228" s="86" t="s">
        <v>970</v>
      </c>
      <c r="E228" s="86" t="s">
        <v>26</v>
      </c>
      <c r="F228" s="87">
        <v>42451.0</v>
      </c>
      <c r="G228" s="87">
        <v>42932.0</v>
      </c>
      <c r="H228" s="87">
        <v>42932.0</v>
      </c>
      <c r="I228" s="87">
        <v>42932.0</v>
      </c>
      <c r="J228" s="88">
        <v>9.99</v>
      </c>
      <c r="K228" s="88">
        <v>4.99</v>
      </c>
      <c r="L228" s="88">
        <v>5.0</v>
      </c>
      <c r="M228" s="86">
        <v>1.0</v>
      </c>
      <c r="N228" s="88">
        <v>4.99</v>
      </c>
    </row>
    <row r="229">
      <c r="A229" s="93" t="s">
        <v>36</v>
      </c>
      <c r="B229" s="93" t="s">
        <v>268</v>
      </c>
      <c r="C229" s="93">
        <v>1089.0</v>
      </c>
      <c r="D229" s="93" t="s">
        <v>1004</v>
      </c>
      <c r="E229" s="93" t="s">
        <v>26</v>
      </c>
      <c r="F229" s="87">
        <v>44274.0</v>
      </c>
      <c r="G229" s="87">
        <v>45920.0</v>
      </c>
      <c r="H229" s="87">
        <v>45922.0</v>
      </c>
      <c r="I229" s="87">
        <v>45936.0</v>
      </c>
      <c r="J229" s="94">
        <v>5.0</v>
      </c>
      <c r="K229" s="94">
        <v>0.0</v>
      </c>
      <c r="L229" s="94">
        <v>5.0</v>
      </c>
      <c r="M229" s="86">
        <v>6.0</v>
      </c>
      <c r="N229" s="94">
        <v>0.0</v>
      </c>
    </row>
    <row r="230">
      <c r="A230" s="93" t="s">
        <v>36</v>
      </c>
      <c r="B230" s="93"/>
      <c r="C230" s="93">
        <v>1090.0</v>
      </c>
      <c r="D230" s="93" t="s">
        <v>1005</v>
      </c>
      <c r="E230" s="93" t="s">
        <v>26</v>
      </c>
      <c r="F230" s="87">
        <v>44274.0</v>
      </c>
      <c r="G230" s="87">
        <v>45920.0</v>
      </c>
      <c r="H230" s="87">
        <v>45922.0</v>
      </c>
      <c r="I230" s="87">
        <v>45936.0</v>
      </c>
      <c r="J230" s="94">
        <v>4.99</v>
      </c>
      <c r="K230" s="94">
        <v>0.0</v>
      </c>
      <c r="L230" s="94">
        <v>4.99</v>
      </c>
      <c r="M230" s="86">
        <v>5.0</v>
      </c>
      <c r="N230" s="94">
        <v>0.0</v>
      </c>
    </row>
    <row r="231">
      <c r="A231" s="96"/>
      <c r="B231" s="96"/>
      <c r="C231" s="89"/>
      <c r="D231" s="89"/>
      <c r="E231" s="89"/>
      <c r="F231" s="89"/>
      <c r="G231" s="89"/>
      <c r="H231" s="89"/>
      <c r="I231" s="89"/>
      <c r="J231" s="49">
        <f t="shared" ref="J231:M231" si="28">SUM(J229:J230)</f>
        <v>9.99</v>
      </c>
      <c r="K231" s="49">
        <f t="shared" si="28"/>
        <v>0</v>
      </c>
      <c r="L231" s="49">
        <f t="shared" si="28"/>
        <v>9.99</v>
      </c>
      <c r="M231" s="37">
        <f t="shared" si="28"/>
        <v>11</v>
      </c>
      <c r="N231" s="91">
        <f>K231/M231</f>
        <v>0</v>
      </c>
    </row>
    <row r="232">
      <c r="A232" s="93" t="s">
        <v>36</v>
      </c>
      <c r="B232" s="93" t="s">
        <v>269</v>
      </c>
      <c r="C232" s="86">
        <v>145.0</v>
      </c>
      <c r="D232" s="86" t="s">
        <v>886</v>
      </c>
      <c r="E232" s="86" t="s">
        <v>22</v>
      </c>
      <c r="F232" s="87">
        <v>36854.0</v>
      </c>
      <c r="G232" s="87">
        <v>45586.0</v>
      </c>
      <c r="H232" s="87">
        <v>45586.0</v>
      </c>
      <c r="I232" s="87">
        <v>45586.0</v>
      </c>
      <c r="J232" s="94">
        <v>9.99</v>
      </c>
      <c r="K232" s="94">
        <v>6.99</v>
      </c>
      <c r="L232" s="94">
        <v>3.0</v>
      </c>
      <c r="M232" s="86">
        <v>1.0</v>
      </c>
      <c r="N232" s="88">
        <v>6.99</v>
      </c>
    </row>
    <row r="233">
      <c r="A233" s="93" t="s">
        <v>36</v>
      </c>
      <c r="B233" s="93"/>
      <c r="C233" s="86">
        <v>146.0</v>
      </c>
      <c r="D233" s="86" t="s">
        <v>887</v>
      </c>
      <c r="E233" s="86" t="s">
        <v>22</v>
      </c>
      <c r="F233" s="87">
        <v>37547.0</v>
      </c>
      <c r="G233" s="87">
        <v>45586.0</v>
      </c>
      <c r="H233" s="87">
        <v>45586.0</v>
      </c>
      <c r="I233" s="87">
        <v>45586.0</v>
      </c>
      <c r="J233" s="94">
        <v>9.99</v>
      </c>
      <c r="K233" s="94">
        <v>6.99</v>
      </c>
      <c r="L233" s="94">
        <v>3.0</v>
      </c>
      <c r="M233" s="86">
        <v>1.0</v>
      </c>
      <c r="N233" s="88">
        <v>6.99</v>
      </c>
    </row>
    <row r="234">
      <c r="A234" s="93" t="s">
        <v>36</v>
      </c>
      <c r="B234" s="93"/>
      <c r="C234" s="86">
        <v>147.0</v>
      </c>
      <c r="D234" s="86" t="s">
        <v>889</v>
      </c>
      <c r="E234" s="86" t="s">
        <v>22</v>
      </c>
      <c r="F234" s="87">
        <v>38435.0</v>
      </c>
      <c r="G234" s="87">
        <v>45586.0</v>
      </c>
      <c r="H234" s="87">
        <v>45586.0</v>
      </c>
      <c r="I234" s="87">
        <v>45586.0</v>
      </c>
      <c r="J234" s="94">
        <v>9.99</v>
      </c>
      <c r="K234" s="94">
        <v>6.99</v>
      </c>
      <c r="L234" s="94">
        <v>3.0</v>
      </c>
      <c r="M234" s="86">
        <v>1.0</v>
      </c>
      <c r="N234" s="88">
        <v>6.99</v>
      </c>
    </row>
    <row r="235">
      <c r="A235" s="89"/>
      <c r="B235" s="89"/>
      <c r="C235" s="90"/>
      <c r="D235" s="89"/>
      <c r="E235" s="89"/>
      <c r="F235" s="89"/>
      <c r="G235" s="89"/>
      <c r="H235" s="89"/>
      <c r="I235" s="89"/>
      <c r="J235" s="91">
        <f t="shared" ref="J235:M235" si="29">SUM(J232:J234)</f>
        <v>29.97</v>
      </c>
      <c r="K235" s="91">
        <f t="shared" si="29"/>
        <v>20.97</v>
      </c>
      <c r="L235" s="91">
        <f t="shared" si="29"/>
        <v>9</v>
      </c>
      <c r="M235" s="89">
        <f t="shared" si="29"/>
        <v>3</v>
      </c>
      <c r="N235" s="91">
        <f>K235/M235</f>
        <v>6.99</v>
      </c>
    </row>
    <row r="236">
      <c r="A236" s="86" t="s">
        <v>36</v>
      </c>
      <c r="B236" s="86" t="s">
        <v>270</v>
      </c>
      <c r="C236" s="86">
        <v>793.0</v>
      </c>
      <c r="D236" s="86" t="s">
        <v>998</v>
      </c>
      <c r="E236" s="86" t="s">
        <v>26</v>
      </c>
      <c r="F236" s="87">
        <v>44145.0</v>
      </c>
      <c r="G236" s="87">
        <v>44593.0</v>
      </c>
      <c r="H236" s="87">
        <v>44593.0</v>
      </c>
      <c r="I236" s="87">
        <v>44593.0</v>
      </c>
      <c r="J236" s="88">
        <v>44.99</v>
      </c>
      <c r="K236" s="88">
        <v>0.0</v>
      </c>
      <c r="L236" s="88">
        <v>44.99</v>
      </c>
      <c r="M236" s="86">
        <v>1.0</v>
      </c>
      <c r="N236" s="88">
        <v>0.0</v>
      </c>
    </row>
    <row r="237">
      <c r="A237" s="86" t="s">
        <v>36</v>
      </c>
      <c r="B237" s="86"/>
      <c r="C237" s="86">
        <v>681.0</v>
      </c>
      <c r="D237" s="86" t="s">
        <v>1008</v>
      </c>
      <c r="E237" s="86" t="s">
        <v>26</v>
      </c>
      <c r="F237" s="87">
        <v>44509.0</v>
      </c>
      <c r="G237" s="87">
        <v>45083.0</v>
      </c>
      <c r="H237" s="87">
        <v>45083.0</v>
      </c>
      <c r="I237" s="87">
        <v>45083.0</v>
      </c>
      <c r="J237" s="88">
        <v>59.99</v>
      </c>
      <c r="K237" s="88">
        <v>0.0</v>
      </c>
      <c r="L237" s="88">
        <v>59.99</v>
      </c>
      <c r="M237" s="86">
        <v>1.0</v>
      </c>
      <c r="N237" s="88">
        <v>0.0</v>
      </c>
    </row>
    <row r="238">
      <c r="A238" s="86" t="s">
        <v>36</v>
      </c>
      <c r="B238" s="86"/>
      <c r="C238" s="86">
        <v>615.0</v>
      </c>
      <c r="D238" s="86" t="s">
        <v>1015</v>
      </c>
      <c r="E238" s="86" t="s">
        <v>26</v>
      </c>
      <c r="F238" s="87">
        <v>44803.0</v>
      </c>
      <c r="G238" s="87">
        <v>44922.0</v>
      </c>
      <c r="H238" s="87">
        <v>45357.0</v>
      </c>
      <c r="I238" s="87">
        <v>45357.0</v>
      </c>
      <c r="J238" s="88">
        <v>54.99</v>
      </c>
      <c r="K238" s="88">
        <v>0.0</v>
      </c>
      <c r="L238" s="88">
        <v>54.99</v>
      </c>
      <c r="M238" s="86">
        <v>2.0</v>
      </c>
      <c r="N238" s="88">
        <v>0.0</v>
      </c>
    </row>
    <row r="239">
      <c r="A239" s="93" t="s">
        <v>36</v>
      </c>
      <c r="B239" s="86"/>
      <c r="C239" s="86">
        <v>1072.0</v>
      </c>
      <c r="D239" s="86" t="s">
        <v>1035</v>
      </c>
      <c r="E239" s="86" t="s">
        <v>28</v>
      </c>
      <c r="F239" s="87">
        <v>45377.0</v>
      </c>
      <c r="G239" s="87">
        <v>45445.0</v>
      </c>
      <c r="H239" s="87">
        <v>45445.0</v>
      </c>
      <c r="I239" s="87">
        <v>45445.0</v>
      </c>
      <c r="J239" s="94">
        <v>74.98</v>
      </c>
      <c r="K239" s="94">
        <v>65.48</v>
      </c>
      <c r="L239" s="88">
        <v>9.5</v>
      </c>
      <c r="M239" s="86">
        <v>1.0</v>
      </c>
      <c r="N239" s="88">
        <v>65.48</v>
      </c>
    </row>
    <row r="240">
      <c r="A240" s="89"/>
      <c r="B240" s="89"/>
      <c r="C240" s="90"/>
      <c r="D240" s="89"/>
      <c r="E240" s="89"/>
      <c r="F240" s="89"/>
      <c r="G240" s="89"/>
      <c r="H240" s="89"/>
      <c r="I240" s="89"/>
      <c r="J240" s="91">
        <f t="shared" ref="J240:M240" si="30">SUM(J236:J239)</f>
        <v>234.95</v>
      </c>
      <c r="K240" s="91">
        <f t="shared" si="30"/>
        <v>65.48</v>
      </c>
      <c r="L240" s="91">
        <f t="shared" si="30"/>
        <v>169.47</v>
      </c>
      <c r="M240" s="89">
        <f t="shared" si="30"/>
        <v>5</v>
      </c>
      <c r="N240" s="91">
        <f>K240/M240</f>
        <v>13.096</v>
      </c>
    </row>
    <row r="241">
      <c r="A241" s="93" t="s">
        <v>36</v>
      </c>
      <c r="B241" s="86" t="s">
        <v>271</v>
      </c>
      <c r="C241" s="86">
        <v>386.0</v>
      </c>
      <c r="D241" s="86" t="s">
        <v>925</v>
      </c>
      <c r="E241" s="86" t="s">
        <v>24</v>
      </c>
      <c r="F241" s="87">
        <v>41229.0</v>
      </c>
      <c r="G241" s="87">
        <v>44299.0</v>
      </c>
      <c r="H241" s="87">
        <v>44377.0</v>
      </c>
      <c r="I241" s="87">
        <v>44377.0</v>
      </c>
      <c r="J241" s="88">
        <v>9.99</v>
      </c>
      <c r="K241" s="88">
        <v>9.99</v>
      </c>
      <c r="L241" s="88">
        <v>0.0</v>
      </c>
      <c r="M241" s="86">
        <v>2.0</v>
      </c>
      <c r="N241" s="88">
        <v>5.0</v>
      </c>
    </row>
    <row r="242">
      <c r="A242" s="86" t="s">
        <v>36</v>
      </c>
      <c r="B242" s="86" t="s">
        <v>272</v>
      </c>
      <c r="C242" s="86">
        <v>489.0</v>
      </c>
      <c r="D242" s="86" t="s">
        <v>942</v>
      </c>
      <c r="E242" s="86" t="s">
        <v>25</v>
      </c>
      <c r="F242" s="87">
        <v>41409.0</v>
      </c>
      <c r="G242" s="87">
        <v>42224.0</v>
      </c>
      <c r="H242" s="87">
        <v>42224.0</v>
      </c>
      <c r="I242" s="87">
        <v>44866.0</v>
      </c>
      <c r="J242" s="88">
        <v>7.99</v>
      </c>
      <c r="K242" s="88">
        <v>7.99</v>
      </c>
      <c r="L242" s="88">
        <v>0.0</v>
      </c>
      <c r="M242" s="86">
        <v>5.0</v>
      </c>
      <c r="N242" s="88">
        <v>1.6</v>
      </c>
    </row>
    <row r="243">
      <c r="A243" s="93" t="s">
        <v>36</v>
      </c>
      <c r="B243" s="86"/>
      <c r="C243" s="86">
        <v>475.0</v>
      </c>
      <c r="D243" s="86" t="s">
        <v>944</v>
      </c>
      <c r="E243" s="86" t="s">
        <v>25</v>
      </c>
      <c r="F243" s="87">
        <v>41675.0</v>
      </c>
      <c r="G243" s="87">
        <v>43373.0</v>
      </c>
      <c r="H243" s="87">
        <v>43423.0</v>
      </c>
      <c r="I243" s="87">
        <v>44948.0</v>
      </c>
      <c r="J243" s="88">
        <v>4.99</v>
      </c>
      <c r="K243" s="88">
        <v>4.99</v>
      </c>
      <c r="L243" s="88">
        <v>0.0</v>
      </c>
      <c r="M243" s="86">
        <v>5.0</v>
      </c>
      <c r="N243" s="88">
        <v>1.0</v>
      </c>
    </row>
    <row r="244">
      <c r="A244" s="93" t="s">
        <v>36</v>
      </c>
      <c r="B244" s="86"/>
      <c r="C244" s="86">
        <v>490.0</v>
      </c>
      <c r="D244" s="86" t="s">
        <v>949</v>
      </c>
      <c r="E244" s="86" t="s">
        <v>25</v>
      </c>
      <c r="F244" s="87">
        <v>41885.0</v>
      </c>
      <c r="G244" s="87">
        <v>42326.0</v>
      </c>
      <c r="H244" s="87">
        <v>42326.0</v>
      </c>
      <c r="I244" s="87">
        <v>42326.0</v>
      </c>
      <c r="J244" s="88">
        <v>15.99</v>
      </c>
      <c r="K244" s="88">
        <v>6.4</v>
      </c>
      <c r="L244" s="88">
        <v>9.59</v>
      </c>
      <c r="M244" s="86">
        <v>5.0</v>
      </c>
      <c r="N244" s="88">
        <v>1.28</v>
      </c>
    </row>
    <row r="245">
      <c r="A245" s="86" t="s">
        <v>36</v>
      </c>
      <c r="B245" s="86"/>
      <c r="C245" s="86">
        <v>801.0</v>
      </c>
      <c r="D245" s="86" t="s">
        <v>1016</v>
      </c>
      <c r="E245" s="86" t="s">
        <v>26</v>
      </c>
      <c r="F245" s="87">
        <v>44957.0</v>
      </c>
      <c r="G245" s="87">
        <v>45265.0</v>
      </c>
      <c r="H245" s="87">
        <v>45265.0</v>
      </c>
      <c r="I245" s="87">
        <v>45506.0</v>
      </c>
      <c r="J245" s="88">
        <v>32.98</v>
      </c>
      <c r="K245" s="88">
        <v>2.99</v>
      </c>
      <c r="L245" s="88">
        <v>29.99</v>
      </c>
      <c r="M245" s="86">
        <v>76.0</v>
      </c>
      <c r="N245" s="88">
        <v>0.04</v>
      </c>
    </row>
    <row r="246">
      <c r="A246" s="86" t="s">
        <v>36</v>
      </c>
      <c r="B246" s="86"/>
      <c r="C246" s="86">
        <v>1040.0</v>
      </c>
      <c r="D246" s="86" t="s">
        <v>1029</v>
      </c>
      <c r="E246" s="86" t="s">
        <v>27</v>
      </c>
      <c r="F246" s="87">
        <v>42941.0</v>
      </c>
      <c r="G246" s="87">
        <v>43475.0</v>
      </c>
      <c r="H246" s="87">
        <v>43543.0</v>
      </c>
      <c r="I246" s="87">
        <v>43543.0</v>
      </c>
      <c r="J246" s="88">
        <v>15.99</v>
      </c>
      <c r="K246" s="88">
        <v>15.99</v>
      </c>
      <c r="L246" s="88">
        <v>0.0</v>
      </c>
      <c r="M246" s="86">
        <v>1.0</v>
      </c>
      <c r="N246" s="88">
        <v>15.99</v>
      </c>
    </row>
    <row r="247">
      <c r="A247" s="89"/>
      <c r="B247" s="89"/>
      <c r="C247" s="90"/>
      <c r="D247" s="89"/>
      <c r="E247" s="89"/>
      <c r="F247" s="89"/>
      <c r="G247" s="89"/>
      <c r="H247" s="89"/>
      <c r="I247" s="89"/>
      <c r="J247" s="91">
        <f t="shared" ref="J247:M247" si="31">SUM(J242:J246)</f>
        <v>77.94</v>
      </c>
      <c r="K247" s="91">
        <f t="shared" si="31"/>
        <v>38.36</v>
      </c>
      <c r="L247" s="91">
        <f t="shared" si="31"/>
        <v>39.58</v>
      </c>
      <c r="M247" s="89">
        <f t="shared" si="31"/>
        <v>92</v>
      </c>
      <c r="N247" s="91">
        <f>K247/M247</f>
        <v>0.4169565217</v>
      </c>
    </row>
    <row r="248">
      <c r="A248" s="86" t="s">
        <v>36</v>
      </c>
      <c r="B248" s="86" t="s">
        <v>273</v>
      </c>
      <c r="C248" s="86">
        <v>782.0</v>
      </c>
      <c r="D248" s="86" t="s">
        <v>973</v>
      </c>
      <c r="E248" s="86" t="s">
        <v>26</v>
      </c>
      <c r="F248" s="87">
        <v>42584.0</v>
      </c>
      <c r="G248" s="87">
        <v>42859.0</v>
      </c>
      <c r="H248" s="87">
        <v>42862.0</v>
      </c>
      <c r="I248" s="87">
        <v>44345.0</v>
      </c>
      <c r="J248" s="88">
        <v>64.22</v>
      </c>
      <c r="K248" s="88">
        <v>47.43</v>
      </c>
      <c r="L248" s="88">
        <v>16.79</v>
      </c>
      <c r="M248" s="86">
        <v>7.0</v>
      </c>
      <c r="N248" s="88">
        <v>6.78</v>
      </c>
    </row>
    <row r="249">
      <c r="A249" s="86" t="s">
        <v>36</v>
      </c>
      <c r="B249" s="86"/>
      <c r="C249" s="86">
        <v>783.0</v>
      </c>
      <c r="D249" s="94" t="s">
        <v>987</v>
      </c>
      <c r="E249" s="94" t="s">
        <v>26</v>
      </c>
      <c r="F249" s="87">
        <v>43319.0</v>
      </c>
      <c r="G249" s="87">
        <v>43268.0</v>
      </c>
      <c r="H249" s="87">
        <v>43323.0</v>
      </c>
      <c r="I249" s="87">
        <v>44345.0</v>
      </c>
      <c r="J249" s="88">
        <v>64.22</v>
      </c>
      <c r="K249" s="88">
        <v>47.42</v>
      </c>
      <c r="L249" s="88">
        <v>16.8</v>
      </c>
      <c r="M249" s="86">
        <v>4.0</v>
      </c>
      <c r="N249" s="88">
        <v>11.86</v>
      </c>
    </row>
    <row r="250">
      <c r="A250" s="89"/>
      <c r="B250" s="89"/>
      <c r="C250" s="90"/>
      <c r="D250" s="89"/>
      <c r="E250" s="89"/>
      <c r="F250" s="89"/>
      <c r="G250" s="89"/>
      <c r="H250" s="89"/>
      <c r="I250" s="89"/>
      <c r="J250" s="91">
        <f t="shared" ref="J250:M250" si="32">SUM(J248:J249)</f>
        <v>128.44</v>
      </c>
      <c r="K250" s="91">
        <f t="shared" si="32"/>
        <v>94.85</v>
      </c>
      <c r="L250" s="91">
        <f t="shared" si="32"/>
        <v>33.59</v>
      </c>
      <c r="M250" s="89">
        <f t="shared" si="32"/>
        <v>11</v>
      </c>
      <c r="N250" s="91">
        <f>K250/M250</f>
        <v>8.622727273</v>
      </c>
    </row>
    <row r="251">
      <c r="A251" s="86" t="s">
        <v>36</v>
      </c>
      <c r="B251" s="86" t="s">
        <v>274</v>
      </c>
      <c r="C251" s="86">
        <v>32.0</v>
      </c>
      <c r="D251" s="86" t="s">
        <v>873</v>
      </c>
      <c r="E251" s="86" t="s">
        <v>21</v>
      </c>
      <c r="F251" s="87">
        <v>36077.0</v>
      </c>
      <c r="G251" s="87">
        <v>41551.0</v>
      </c>
      <c r="H251" s="87">
        <v>45479.0</v>
      </c>
      <c r="I251" s="87">
        <v>45483.0</v>
      </c>
      <c r="J251" s="88">
        <v>4.99</v>
      </c>
      <c r="K251" s="88">
        <v>4.99</v>
      </c>
      <c r="L251" s="88">
        <v>0.0</v>
      </c>
      <c r="M251" s="86">
        <v>15.0</v>
      </c>
      <c r="N251" s="88">
        <v>0.33</v>
      </c>
    </row>
    <row r="252">
      <c r="A252" s="86" t="s">
        <v>36</v>
      </c>
      <c r="B252" s="86"/>
      <c r="C252" s="86">
        <v>33.0</v>
      </c>
      <c r="D252" s="86" t="s">
        <v>880</v>
      </c>
      <c r="E252" s="86" t="s">
        <v>21</v>
      </c>
      <c r="F252" s="87">
        <v>36637.0</v>
      </c>
      <c r="G252" s="87">
        <v>45800.0</v>
      </c>
      <c r="H252" s="87">
        <v>45805.0</v>
      </c>
      <c r="I252" s="87">
        <v>45807.0</v>
      </c>
      <c r="J252" s="94">
        <v>9.99</v>
      </c>
      <c r="K252" s="94">
        <v>4.99</v>
      </c>
      <c r="L252" s="94">
        <v>5.0</v>
      </c>
      <c r="M252" s="86">
        <v>11.0</v>
      </c>
      <c r="N252" s="94">
        <v>0.45</v>
      </c>
    </row>
    <row r="253">
      <c r="A253" s="86" t="s">
        <v>36</v>
      </c>
      <c r="B253" s="86"/>
      <c r="C253" s="86">
        <v>119.0</v>
      </c>
      <c r="D253" s="86" t="s">
        <v>888</v>
      </c>
      <c r="E253" s="86" t="s">
        <v>22</v>
      </c>
      <c r="F253" s="87">
        <v>37722.0</v>
      </c>
      <c r="G253" s="87">
        <v>45177.0</v>
      </c>
      <c r="H253" s="87">
        <v>45797.0</v>
      </c>
      <c r="I253" s="87">
        <v>45798.0</v>
      </c>
      <c r="J253" s="88">
        <v>9.99</v>
      </c>
      <c r="K253" s="88">
        <v>0.0</v>
      </c>
      <c r="L253" s="88">
        <v>9.99</v>
      </c>
      <c r="M253" s="86">
        <v>2.0</v>
      </c>
      <c r="N253" s="88">
        <v>0.0</v>
      </c>
    </row>
    <row r="254">
      <c r="A254" s="86" t="s">
        <v>36</v>
      </c>
      <c r="B254" s="86"/>
      <c r="C254" s="86">
        <v>1027.0</v>
      </c>
      <c r="D254" s="86" t="s">
        <v>1025</v>
      </c>
      <c r="E254" s="86" t="s">
        <v>27</v>
      </c>
      <c r="F254" s="87">
        <v>42656.0</v>
      </c>
      <c r="G254" s="87">
        <v>43466.0</v>
      </c>
      <c r="H254" s="87">
        <v>43480.0</v>
      </c>
      <c r="I254" s="87">
        <v>43480.0</v>
      </c>
      <c r="J254" s="88">
        <v>19.99</v>
      </c>
      <c r="K254" s="88">
        <v>9.99</v>
      </c>
      <c r="L254" s="88">
        <v>10.0</v>
      </c>
      <c r="M254" s="86">
        <v>1.0</v>
      </c>
      <c r="N254" s="88">
        <v>9.99</v>
      </c>
    </row>
    <row r="255">
      <c r="A255" s="89"/>
      <c r="B255" s="89"/>
      <c r="C255" s="90"/>
      <c r="D255" s="89"/>
      <c r="E255" s="89"/>
      <c r="F255" s="89"/>
      <c r="G255" s="89"/>
      <c r="H255" s="89"/>
      <c r="I255" s="89"/>
      <c r="J255" s="91">
        <f t="shared" ref="J255:M255" si="33">SUM(J251:J254)</f>
        <v>44.96</v>
      </c>
      <c r="K255" s="91">
        <f t="shared" si="33"/>
        <v>19.97</v>
      </c>
      <c r="L255" s="91">
        <f t="shared" si="33"/>
        <v>24.99</v>
      </c>
      <c r="M255" s="89">
        <f t="shared" si="33"/>
        <v>29</v>
      </c>
      <c r="N255" s="91">
        <f>K255/M255</f>
        <v>0.6886206897</v>
      </c>
    </row>
    <row r="256">
      <c r="A256" s="93" t="s">
        <v>36</v>
      </c>
      <c r="B256" s="86" t="s">
        <v>275</v>
      </c>
      <c r="C256" s="86">
        <v>270.0</v>
      </c>
      <c r="D256" s="86" t="s">
        <v>922</v>
      </c>
      <c r="E256" s="86" t="s">
        <v>24</v>
      </c>
      <c r="F256" s="87">
        <v>41192.0</v>
      </c>
      <c r="G256" s="87">
        <v>41373.0</v>
      </c>
      <c r="H256" s="87">
        <v>41373.0</v>
      </c>
      <c r="I256" s="87">
        <v>44754.0</v>
      </c>
      <c r="J256" s="88">
        <v>12.99</v>
      </c>
      <c r="K256" s="88">
        <v>12.99</v>
      </c>
      <c r="L256" s="88">
        <v>0.0</v>
      </c>
      <c r="M256" s="86">
        <v>7.0</v>
      </c>
      <c r="N256" s="88">
        <v>1.86</v>
      </c>
    </row>
    <row r="257">
      <c r="A257" s="86" t="s">
        <v>36</v>
      </c>
      <c r="B257" s="86"/>
      <c r="C257" s="86">
        <v>772.0</v>
      </c>
      <c r="D257" s="86" t="s">
        <v>974</v>
      </c>
      <c r="E257" s="86" t="s">
        <v>26</v>
      </c>
      <c r="F257" s="87">
        <v>42592.0</v>
      </c>
      <c r="G257" s="87">
        <v>44349.0</v>
      </c>
      <c r="H257" s="87">
        <v>44350.0</v>
      </c>
      <c r="I257" s="87">
        <v>44350.0</v>
      </c>
      <c r="J257" s="88">
        <v>49.99</v>
      </c>
      <c r="K257" s="88">
        <v>24.99</v>
      </c>
      <c r="L257" s="88">
        <v>25.0</v>
      </c>
      <c r="M257" s="86">
        <v>5.0</v>
      </c>
      <c r="N257" s="88">
        <v>5.0</v>
      </c>
    </row>
    <row r="258">
      <c r="A258" s="89"/>
      <c r="B258" s="89"/>
      <c r="C258" s="90"/>
      <c r="D258" s="89"/>
      <c r="E258" s="89"/>
      <c r="F258" s="89"/>
      <c r="G258" s="89"/>
      <c r="H258" s="89"/>
      <c r="I258" s="89"/>
      <c r="J258" s="91">
        <f t="shared" ref="J258:M258" si="34">SUM(J256:J257)</f>
        <v>62.98</v>
      </c>
      <c r="K258" s="91">
        <f t="shared" si="34"/>
        <v>37.98</v>
      </c>
      <c r="L258" s="91">
        <f t="shared" si="34"/>
        <v>25</v>
      </c>
      <c r="M258" s="89">
        <f t="shared" si="34"/>
        <v>12</v>
      </c>
      <c r="N258" s="91">
        <f>K258/M258</f>
        <v>3.165</v>
      </c>
    </row>
    <row r="259">
      <c r="A259" s="86" t="s">
        <v>36</v>
      </c>
      <c r="B259" s="86" t="s">
        <v>276</v>
      </c>
      <c r="C259" s="86">
        <v>261.0</v>
      </c>
      <c r="D259" s="86" t="s">
        <v>934</v>
      </c>
      <c r="E259" s="86" t="s">
        <v>24</v>
      </c>
      <c r="F259" s="87">
        <v>41864.0</v>
      </c>
      <c r="G259" s="87">
        <v>42925.0</v>
      </c>
      <c r="H259" s="87">
        <v>42925.0</v>
      </c>
      <c r="I259" s="87">
        <v>42925.0</v>
      </c>
      <c r="J259" s="88">
        <v>12.99</v>
      </c>
      <c r="K259" s="88">
        <v>3.99</v>
      </c>
      <c r="L259" s="88">
        <v>9.0</v>
      </c>
      <c r="M259" s="86">
        <v>1.0</v>
      </c>
      <c r="N259" s="88">
        <v>3.99</v>
      </c>
    </row>
    <row r="260">
      <c r="A260" s="86" t="s">
        <v>36</v>
      </c>
      <c r="B260" s="86" t="s">
        <v>277</v>
      </c>
      <c r="C260" s="86">
        <v>28.0</v>
      </c>
      <c r="D260" s="86" t="s">
        <v>881</v>
      </c>
      <c r="E260" s="86" t="s">
        <v>21</v>
      </c>
      <c r="F260" s="87">
        <v>36763.0</v>
      </c>
      <c r="G260" s="87">
        <v>40538.0</v>
      </c>
      <c r="H260" s="87">
        <v>40538.0</v>
      </c>
      <c r="I260" s="87">
        <v>40538.0</v>
      </c>
      <c r="J260" s="88">
        <v>9.99</v>
      </c>
      <c r="K260" s="88">
        <v>9.99</v>
      </c>
      <c r="L260" s="88">
        <v>0.0</v>
      </c>
      <c r="M260" s="86">
        <v>70.0</v>
      </c>
      <c r="N260" s="88">
        <v>0.14</v>
      </c>
    </row>
    <row r="261">
      <c r="A261" s="86" t="s">
        <v>36</v>
      </c>
      <c r="B261" s="86" t="s">
        <v>278</v>
      </c>
      <c r="C261" s="86">
        <v>465.0</v>
      </c>
      <c r="D261" s="86" t="s">
        <v>947</v>
      </c>
      <c r="E261" s="86" t="s">
        <v>25</v>
      </c>
      <c r="F261" s="87">
        <v>41829.0</v>
      </c>
      <c r="G261" s="87">
        <v>42832.0</v>
      </c>
      <c r="H261" s="87">
        <v>42832.0</v>
      </c>
      <c r="I261" s="87">
        <v>43574.0</v>
      </c>
      <c r="J261" s="88">
        <v>3.99</v>
      </c>
      <c r="K261" s="88">
        <v>3.99</v>
      </c>
      <c r="L261" s="88">
        <v>0.0</v>
      </c>
      <c r="M261" s="86">
        <v>2.0</v>
      </c>
      <c r="N261" s="88">
        <v>2.0</v>
      </c>
    </row>
    <row r="262">
      <c r="A262" s="93" t="s">
        <v>36</v>
      </c>
      <c r="B262" s="93" t="s">
        <v>279</v>
      </c>
      <c r="C262" s="93">
        <v>1099.0</v>
      </c>
      <c r="D262" s="93" t="s">
        <v>1020</v>
      </c>
      <c r="E262" s="93" t="s">
        <v>26</v>
      </c>
      <c r="F262" s="98">
        <v>45337.0</v>
      </c>
      <c r="G262" s="98">
        <v>46005.0</v>
      </c>
      <c r="H262" s="98">
        <v>46013.0</v>
      </c>
      <c r="I262" s="98">
        <v>46022.0</v>
      </c>
      <c r="J262" s="99">
        <v>19.99</v>
      </c>
      <c r="K262" s="99">
        <v>3.99</v>
      </c>
      <c r="L262" s="99">
        <v>15.999999999999998</v>
      </c>
      <c r="M262" s="93">
        <v>6.0</v>
      </c>
      <c r="N262" s="99">
        <v>0.665</v>
      </c>
    </row>
    <row r="263">
      <c r="A263" s="93" t="s">
        <v>36</v>
      </c>
      <c r="B263" s="86" t="s">
        <v>280</v>
      </c>
      <c r="C263" s="86">
        <v>258.0</v>
      </c>
      <c r="D263" s="86" t="s">
        <v>909</v>
      </c>
      <c r="E263" s="86" t="s">
        <v>24</v>
      </c>
      <c r="F263" s="87">
        <v>40141.0</v>
      </c>
      <c r="G263" s="87">
        <v>42236.0</v>
      </c>
      <c r="H263" s="87">
        <v>45062.0</v>
      </c>
      <c r="I263" s="87">
        <v>45066.0</v>
      </c>
      <c r="J263" s="88">
        <v>3.99</v>
      </c>
      <c r="K263" s="88">
        <v>3.99</v>
      </c>
      <c r="L263" s="88">
        <v>0.0</v>
      </c>
      <c r="M263" s="86">
        <v>10.0</v>
      </c>
      <c r="N263" s="88">
        <v>0.4</v>
      </c>
    </row>
    <row r="264">
      <c r="A264" s="86" t="s">
        <v>36</v>
      </c>
      <c r="B264" s="86"/>
      <c r="C264" s="86">
        <v>776.0</v>
      </c>
      <c r="D264" s="86" t="s">
        <v>958</v>
      </c>
      <c r="E264" s="86" t="s">
        <v>26</v>
      </c>
      <c r="F264" s="87">
        <v>41843.0</v>
      </c>
      <c r="G264" s="87">
        <v>42123.0</v>
      </c>
      <c r="H264" s="87">
        <v>42123.0</v>
      </c>
      <c r="I264" s="87">
        <v>44140.0</v>
      </c>
      <c r="J264" s="88">
        <v>23.58</v>
      </c>
      <c r="K264" s="88">
        <v>20.98</v>
      </c>
      <c r="L264" s="88">
        <v>2.6</v>
      </c>
      <c r="M264" s="86">
        <v>58.0</v>
      </c>
      <c r="N264" s="88">
        <v>0.36</v>
      </c>
    </row>
    <row r="265">
      <c r="A265" s="86" t="s">
        <v>36</v>
      </c>
      <c r="B265" s="86"/>
      <c r="C265" s="86">
        <v>1030.0</v>
      </c>
      <c r="D265" s="86" t="s">
        <v>1033</v>
      </c>
      <c r="E265" s="86" t="s">
        <v>27</v>
      </c>
      <c r="F265" s="87">
        <v>44385.0</v>
      </c>
      <c r="G265" s="87">
        <v>44708.0</v>
      </c>
      <c r="H265" s="87">
        <v>44708.0</v>
      </c>
      <c r="I265" s="87">
        <v>44708.0</v>
      </c>
      <c r="J265" s="88">
        <v>29.99</v>
      </c>
      <c r="K265" s="88">
        <v>13.49</v>
      </c>
      <c r="L265" s="88">
        <v>16.5</v>
      </c>
      <c r="M265" s="86">
        <v>1.0</v>
      </c>
      <c r="N265" s="88">
        <v>13.49</v>
      </c>
    </row>
    <row r="266">
      <c r="A266" s="89"/>
      <c r="B266" s="89"/>
      <c r="C266" s="90"/>
      <c r="D266" s="89"/>
      <c r="E266" s="89"/>
      <c r="F266" s="89"/>
      <c r="G266" s="89"/>
      <c r="H266" s="89"/>
      <c r="I266" s="89"/>
      <c r="J266" s="91">
        <f t="shared" ref="J266:M266" si="35">SUM(J263:J265)</f>
        <v>57.56</v>
      </c>
      <c r="K266" s="91">
        <f t="shared" si="35"/>
        <v>38.46</v>
      </c>
      <c r="L266" s="91">
        <f t="shared" si="35"/>
        <v>19.1</v>
      </c>
      <c r="M266" s="89">
        <f t="shared" si="35"/>
        <v>69</v>
      </c>
      <c r="N266" s="91">
        <f>K266/M266</f>
        <v>0.5573913043</v>
      </c>
    </row>
    <row r="267">
      <c r="A267" s="92" t="s">
        <v>36</v>
      </c>
      <c r="B267" s="86" t="s">
        <v>281</v>
      </c>
      <c r="C267" s="86">
        <v>62.0</v>
      </c>
      <c r="D267" s="86" t="s">
        <v>871</v>
      </c>
      <c r="E267" s="86" t="s">
        <v>21</v>
      </c>
      <c r="F267" s="87">
        <v>35827.0</v>
      </c>
      <c r="G267" s="87">
        <v>40696.0</v>
      </c>
      <c r="H267" s="87">
        <v>40696.0</v>
      </c>
      <c r="I267" s="87">
        <v>40696.0</v>
      </c>
      <c r="J267" s="88">
        <v>4.99</v>
      </c>
      <c r="K267" s="88">
        <v>4.99</v>
      </c>
      <c r="L267" s="88">
        <v>0.0</v>
      </c>
      <c r="M267" s="86">
        <v>1.0</v>
      </c>
      <c r="N267" s="88">
        <v>4.99</v>
      </c>
    </row>
    <row r="268">
      <c r="A268" s="86" t="s">
        <v>36</v>
      </c>
      <c r="B268" s="86" t="s">
        <v>282</v>
      </c>
      <c r="C268" s="86">
        <v>664.0</v>
      </c>
      <c r="D268" s="86" t="s">
        <v>968</v>
      </c>
      <c r="E268" s="86" t="s">
        <v>26</v>
      </c>
      <c r="F268" s="87">
        <v>42263.0</v>
      </c>
      <c r="G268" s="87">
        <v>42859.0</v>
      </c>
      <c r="H268" s="87">
        <v>43060.0</v>
      </c>
      <c r="I268" s="87">
        <v>45425.0</v>
      </c>
      <c r="J268" s="88">
        <v>6.99</v>
      </c>
      <c r="K268" s="88">
        <v>1.99</v>
      </c>
      <c r="L268" s="88">
        <v>5.0</v>
      </c>
      <c r="M268" s="86">
        <v>1.0</v>
      </c>
      <c r="N268" s="88">
        <v>1.99</v>
      </c>
    </row>
    <row r="269">
      <c r="A269" s="86" t="s">
        <v>36</v>
      </c>
      <c r="B269" s="86" t="s">
        <v>283</v>
      </c>
      <c r="C269" s="86">
        <v>439.0</v>
      </c>
      <c r="D269" s="86" t="s">
        <v>954</v>
      </c>
      <c r="E269" s="86" t="s">
        <v>25</v>
      </c>
      <c r="F269" s="87">
        <v>42074.0</v>
      </c>
      <c r="G269" s="87">
        <v>43373.0</v>
      </c>
      <c r="H269" s="87">
        <v>43373.0</v>
      </c>
      <c r="I269" s="87">
        <v>43373.0</v>
      </c>
      <c r="J269" s="88">
        <v>9.99</v>
      </c>
      <c r="K269" s="88">
        <v>9.99</v>
      </c>
      <c r="L269" s="88">
        <v>0.0</v>
      </c>
      <c r="M269" s="86">
        <v>1.0</v>
      </c>
      <c r="N269" s="88">
        <v>9.99</v>
      </c>
    </row>
    <row r="270">
      <c r="A270" s="86" t="s">
        <v>36</v>
      </c>
      <c r="B270" s="86" t="s">
        <v>284</v>
      </c>
      <c r="C270" s="86">
        <v>456.0</v>
      </c>
      <c r="D270" s="86" t="s">
        <v>956</v>
      </c>
      <c r="E270" s="86" t="s">
        <v>25</v>
      </c>
      <c r="F270" s="87">
        <v>43214.0</v>
      </c>
      <c r="G270" s="87">
        <v>43414.0</v>
      </c>
      <c r="H270" s="87">
        <v>43427.0</v>
      </c>
      <c r="I270" s="87">
        <v>44952.0</v>
      </c>
      <c r="J270" s="88">
        <v>7.99</v>
      </c>
      <c r="K270" s="88">
        <v>3.99</v>
      </c>
      <c r="L270" s="88">
        <v>4.0</v>
      </c>
      <c r="M270" s="86">
        <v>15.0</v>
      </c>
      <c r="N270" s="88">
        <v>0.27</v>
      </c>
    </row>
    <row r="271">
      <c r="A271" s="86" t="s">
        <v>36</v>
      </c>
      <c r="B271" s="86" t="s">
        <v>285</v>
      </c>
      <c r="C271" s="86">
        <v>484.0</v>
      </c>
      <c r="D271" s="86" t="s">
        <v>945</v>
      </c>
      <c r="E271" s="86" t="s">
        <v>25</v>
      </c>
      <c r="F271" s="87">
        <v>41682.0</v>
      </c>
      <c r="G271" s="87">
        <v>42363.0</v>
      </c>
      <c r="H271" s="87">
        <v>42363.0</v>
      </c>
      <c r="I271" s="87">
        <v>42363.0</v>
      </c>
      <c r="J271" s="88">
        <v>6.99</v>
      </c>
      <c r="K271" s="88">
        <v>6.99</v>
      </c>
      <c r="L271" s="88">
        <v>0.0</v>
      </c>
      <c r="M271" s="86">
        <v>1.0</v>
      </c>
      <c r="N271" s="88">
        <v>6.99</v>
      </c>
    </row>
    <row r="272">
      <c r="A272" s="86" t="s">
        <v>36</v>
      </c>
      <c r="B272" s="86"/>
      <c r="C272" s="86">
        <v>796.0</v>
      </c>
      <c r="D272" s="86" t="s">
        <v>982</v>
      </c>
      <c r="E272" s="86" t="s">
        <v>26</v>
      </c>
      <c r="F272" s="87">
        <v>42864.0</v>
      </c>
      <c r="G272" s="87">
        <v>43155.0</v>
      </c>
      <c r="H272" s="87">
        <v>43189.0</v>
      </c>
      <c r="I272" s="87">
        <v>43468.0</v>
      </c>
      <c r="J272" s="88">
        <v>16.99</v>
      </c>
      <c r="K272" s="88">
        <v>4.99</v>
      </c>
      <c r="L272" s="88">
        <v>12.0</v>
      </c>
      <c r="M272" s="86">
        <v>1.0</v>
      </c>
      <c r="N272" s="88">
        <v>4.99</v>
      </c>
    </row>
    <row r="273">
      <c r="A273" s="89"/>
      <c r="B273" s="89"/>
      <c r="C273" s="90"/>
      <c r="D273" s="89"/>
      <c r="E273" s="89"/>
      <c r="F273" s="89"/>
      <c r="G273" s="89"/>
      <c r="H273" s="89"/>
      <c r="I273" s="89"/>
      <c r="J273" s="91">
        <f t="shared" ref="J273:M273" si="36">SUM(J271:J272)</f>
        <v>23.98</v>
      </c>
      <c r="K273" s="91">
        <f t="shared" si="36"/>
        <v>11.98</v>
      </c>
      <c r="L273" s="91">
        <f t="shared" si="36"/>
        <v>12</v>
      </c>
      <c r="M273" s="89">
        <f t="shared" si="36"/>
        <v>2</v>
      </c>
      <c r="N273" s="91">
        <f>K273/M273</f>
        <v>5.99</v>
      </c>
    </row>
    <row r="274">
      <c r="A274" s="86" t="s">
        <v>36</v>
      </c>
      <c r="B274" s="86" t="s">
        <v>286</v>
      </c>
      <c r="C274" s="86">
        <v>1023.0</v>
      </c>
      <c r="D274" s="86" t="s">
        <v>1022</v>
      </c>
      <c r="E274" s="86" t="s">
        <v>27</v>
      </c>
      <c r="F274" s="87">
        <v>42653.0</v>
      </c>
      <c r="G274" s="87">
        <v>43463.0</v>
      </c>
      <c r="H274" s="87">
        <v>43463.0</v>
      </c>
      <c r="I274" s="87">
        <v>45150.0</v>
      </c>
      <c r="J274" s="88">
        <v>29.99</v>
      </c>
      <c r="K274" s="88">
        <v>0.0</v>
      </c>
      <c r="L274" s="88">
        <v>29.99</v>
      </c>
      <c r="M274" s="86">
        <v>11.0</v>
      </c>
      <c r="N274" s="88">
        <v>0.0</v>
      </c>
    </row>
    <row r="275">
      <c r="A275" s="86" t="s">
        <v>36</v>
      </c>
      <c r="B275" s="86" t="s">
        <v>287</v>
      </c>
      <c r="C275" s="86">
        <v>251.0</v>
      </c>
      <c r="D275" s="86" t="s">
        <v>935</v>
      </c>
      <c r="E275" s="86" t="s">
        <v>24</v>
      </c>
      <c r="F275" s="87">
        <v>41968.0</v>
      </c>
      <c r="G275" s="87">
        <v>42887.0</v>
      </c>
      <c r="H275" s="87">
        <v>42904.0</v>
      </c>
      <c r="I275" s="87">
        <v>45426.0</v>
      </c>
      <c r="J275" s="88">
        <v>14.99</v>
      </c>
      <c r="K275" s="88">
        <v>3.99</v>
      </c>
      <c r="L275" s="88">
        <v>11.0</v>
      </c>
      <c r="M275" s="86">
        <v>5.0</v>
      </c>
      <c r="N275" s="88">
        <v>0.8</v>
      </c>
    </row>
    <row r="276">
      <c r="A276" s="93" t="s">
        <v>36</v>
      </c>
      <c r="B276" s="86" t="s">
        <v>288</v>
      </c>
      <c r="C276" s="86">
        <v>286.0</v>
      </c>
      <c r="D276" s="86" t="s">
        <v>904</v>
      </c>
      <c r="E276" s="86" t="s">
        <v>24</v>
      </c>
      <c r="F276" s="87">
        <v>39757.0</v>
      </c>
      <c r="G276" s="87">
        <v>40178.0</v>
      </c>
      <c r="H276" s="87">
        <v>40178.0</v>
      </c>
      <c r="I276" s="87">
        <v>44777.0</v>
      </c>
      <c r="J276" s="88">
        <v>14.99</v>
      </c>
      <c r="K276" s="88">
        <v>10.5</v>
      </c>
      <c r="L276" s="88">
        <v>4.49</v>
      </c>
      <c r="M276" s="86">
        <v>20.0</v>
      </c>
      <c r="N276" s="88">
        <v>0.53</v>
      </c>
    </row>
    <row r="277">
      <c r="A277" s="93" t="s">
        <v>36</v>
      </c>
      <c r="B277" s="86"/>
      <c r="C277" s="86">
        <v>287.0</v>
      </c>
      <c r="D277" s="86" t="s">
        <v>913</v>
      </c>
      <c r="E277" s="86" t="s">
        <v>24</v>
      </c>
      <c r="F277" s="87">
        <v>40562.0</v>
      </c>
      <c r="G277" s="87">
        <v>40895.0</v>
      </c>
      <c r="H277" s="87">
        <v>40895.0</v>
      </c>
      <c r="I277" s="87">
        <v>44777.0</v>
      </c>
      <c r="J277" s="88">
        <v>29.99</v>
      </c>
      <c r="K277" s="88">
        <v>19.49</v>
      </c>
      <c r="L277" s="88">
        <v>10.5</v>
      </c>
      <c r="M277" s="86">
        <v>20.0</v>
      </c>
      <c r="N277" s="88">
        <v>0.97</v>
      </c>
    </row>
    <row r="278">
      <c r="A278" s="86" t="s">
        <v>36</v>
      </c>
      <c r="B278" s="86"/>
      <c r="C278" s="86">
        <v>883.0</v>
      </c>
      <c r="D278" s="86" t="s">
        <v>967</v>
      </c>
      <c r="E278" s="86" t="s">
        <v>26</v>
      </c>
      <c r="F278" s="87">
        <v>42256.0</v>
      </c>
      <c r="G278" s="87">
        <v>42954.0</v>
      </c>
      <c r="H278" s="87">
        <v>42954.0</v>
      </c>
      <c r="I278" s="87">
        <v>42954.0</v>
      </c>
      <c r="J278" s="88">
        <v>19.99</v>
      </c>
      <c r="K278" s="88">
        <v>11.99</v>
      </c>
      <c r="L278" s="88">
        <v>8.0</v>
      </c>
      <c r="M278" s="86">
        <v>1.0</v>
      </c>
      <c r="N278" s="88">
        <v>11.99</v>
      </c>
    </row>
    <row r="279">
      <c r="A279" s="86" t="s">
        <v>36</v>
      </c>
      <c r="B279" s="86"/>
      <c r="C279" s="86">
        <v>598.0</v>
      </c>
      <c r="D279" s="86" t="s">
        <v>992</v>
      </c>
      <c r="E279" s="86" t="s">
        <v>26</v>
      </c>
      <c r="F279" s="87">
        <v>43875.0</v>
      </c>
      <c r="G279" s="87">
        <v>43907.0</v>
      </c>
      <c r="H279" s="87">
        <v>43907.0</v>
      </c>
      <c r="I279" s="87">
        <v>43907.0</v>
      </c>
      <c r="J279" s="88">
        <v>39.99</v>
      </c>
      <c r="K279" s="88">
        <v>29.99</v>
      </c>
      <c r="L279" s="88">
        <v>10.0</v>
      </c>
      <c r="M279" s="86">
        <v>1.0</v>
      </c>
      <c r="N279" s="88">
        <v>29.99</v>
      </c>
    </row>
    <row r="280">
      <c r="A280" s="89"/>
      <c r="B280" s="89"/>
      <c r="C280" s="90"/>
      <c r="D280" s="89"/>
      <c r="E280" s="89"/>
      <c r="F280" s="89"/>
      <c r="G280" s="89"/>
      <c r="H280" s="89"/>
      <c r="I280" s="89"/>
      <c r="J280" s="91">
        <f t="shared" ref="J280:M280" si="37">SUM(J276:J279)</f>
        <v>104.96</v>
      </c>
      <c r="K280" s="91">
        <f t="shared" si="37"/>
        <v>71.97</v>
      </c>
      <c r="L280" s="91">
        <f t="shared" si="37"/>
        <v>32.99</v>
      </c>
      <c r="M280" s="89">
        <f t="shared" si="37"/>
        <v>42</v>
      </c>
      <c r="N280" s="91">
        <f>K280/M280</f>
        <v>1.713571429</v>
      </c>
    </row>
    <row r="281">
      <c r="A281" s="86" t="s">
        <v>36</v>
      </c>
      <c r="B281" s="86" t="s">
        <v>289</v>
      </c>
      <c r="C281" s="86">
        <v>447.0</v>
      </c>
      <c r="D281" s="86" t="s">
        <v>955</v>
      </c>
      <c r="E281" s="86" t="s">
        <v>25</v>
      </c>
      <c r="F281" s="87">
        <v>42207.0</v>
      </c>
      <c r="G281" s="87">
        <v>42875.0</v>
      </c>
      <c r="H281" s="87">
        <v>42875.0</v>
      </c>
      <c r="I281" s="87">
        <v>42875.0</v>
      </c>
      <c r="J281" s="88">
        <v>9.99</v>
      </c>
      <c r="K281" s="88">
        <v>2.99</v>
      </c>
      <c r="L281" s="88">
        <v>7.0</v>
      </c>
      <c r="M281" s="86">
        <v>1.0</v>
      </c>
      <c r="N281" s="88">
        <v>2.99</v>
      </c>
    </row>
    <row r="282">
      <c r="A282" s="86" t="s">
        <v>36</v>
      </c>
      <c r="B282" s="86"/>
      <c r="C282" s="86">
        <v>616.0</v>
      </c>
      <c r="D282" s="86" t="s">
        <v>996</v>
      </c>
      <c r="E282" s="86" t="s">
        <v>26</v>
      </c>
      <c r="F282" s="87">
        <v>44047.0</v>
      </c>
      <c r="G282" s="87">
        <v>44058.0</v>
      </c>
      <c r="H282" s="87">
        <v>44058.0</v>
      </c>
      <c r="I282" s="87">
        <v>45809.0</v>
      </c>
      <c r="J282" s="88">
        <v>19.99</v>
      </c>
      <c r="K282" s="88">
        <v>0.0</v>
      </c>
      <c r="L282" s="88">
        <v>19.99</v>
      </c>
      <c r="M282" s="86">
        <v>55.0</v>
      </c>
      <c r="N282" s="88">
        <v>0.0</v>
      </c>
    </row>
    <row r="283">
      <c r="A283" s="89"/>
      <c r="B283" s="89"/>
      <c r="C283" s="90"/>
      <c r="D283" s="89"/>
      <c r="E283" s="89"/>
      <c r="F283" s="89"/>
      <c r="G283" s="89"/>
      <c r="H283" s="89"/>
      <c r="I283" s="89"/>
      <c r="J283" s="91">
        <f t="shared" ref="J283:M283" si="38">SUM(J281:J282)</f>
        <v>29.98</v>
      </c>
      <c r="K283" s="91">
        <f t="shared" si="38"/>
        <v>2.99</v>
      </c>
      <c r="L283" s="91">
        <f t="shared" si="38"/>
        <v>26.99</v>
      </c>
      <c r="M283" s="89">
        <f t="shared" si="38"/>
        <v>56</v>
      </c>
      <c r="N283" s="91">
        <f>K283/M283</f>
        <v>0.05339285714</v>
      </c>
    </row>
    <row r="284">
      <c r="A284" s="93" t="s">
        <v>36</v>
      </c>
      <c r="B284" s="93" t="s">
        <v>290</v>
      </c>
      <c r="C284" s="86">
        <v>696.0</v>
      </c>
      <c r="D284" s="86" t="s">
        <v>961</v>
      </c>
      <c r="E284" s="86" t="s">
        <v>26</v>
      </c>
      <c r="F284" s="87">
        <v>42116.0</v>
      </c>
      <c r="G284" s="87">
        <v>42811.0</v>
      </c>
      <c r="H284" s="87">
        <v>45623.0</v>
      </c>
      <c r="I284" s="87">
        <v>45624.0</v>
      </c>
      <c r="J284" s="88">
        <v>13.99</v>
      </c>
      <c r="K284" s="88">
        <v>2.99</v>
      </c>
      <c r="L284" s="88">
        <v>11.0</v>
      </c>
      <c r="M284" s="86">
        <v>6.0</v>
      </c>
      <c r="N284" s="88">
        <v>0.5</v>
      </c>
    </row>
    <row r="285">
      <c r="A285" s="86" t="s">
        <v>36</v>
      </c>
      <c r="B285" s="86" t="s">
        <v>291</v>
      </c>
      <c r="C285" s="86">
        <v>912.0</v>
      </c>
      <c r="D285" s="86" t="s">
        <v>962</v>
      </c>
      <c r="E285" s="86" t="s">
        <v>26</v>
      </c>
      <c r="F285" s="87">
        <v>42153.0</v>
      </c>
      <c r="G285" s="87">
        <v>42754.0</v>
      </c>
      <c r="H285" s="87">
        <v>43080.0</v>
      </c>
      <c r="I285" s="87">
        <v>45172.0</v>
      </c>
      <c r="J285" s="88">
        <v>17.99</v>
      </c>
      <c r="K285" s="88">
        <v>6.99</v>
      </c>
      <c r="L285" s="88">
        <v>11.0</v>
      </c>
      <c r="M285" s="86">
        <v>9.0</v>
      </c>
      <c r="N285" s="88">
        <v>0.78</v>
      </c>
    </row>
    <row r="286">
      <c r="A286" s="86" t="s">
        <v>36</v>
      </c>
      <c r="B286" s="86"/>
      <c r="C286" s="86">
        <v>925.0</v>
      </c>
      <c r="D286" s="86" t="s">
        <v>1002</v>
      </c>
      <c r="E286" s="86" t="s">
        <v>26</v>
      </c>
      <c r="F286" s="87">
        <v>44196.0</v>
      </c>
      <c r="G286" s="87">
        <v>45382.0</v>
      </c>
      <c r="H286" s="87">
        <v>45382.0</v>
      </c>
      <c r="I286" s="87">
        <v>45382.0</v>
      </c>
      <c r="J286" s="88">
        <v>26.48</v>
      </c>
      <c r="K286" s="88">
        <v>0.0</v>
      </c>
      <c r="L286" s="88">
        <v>26.48</v>
      </c>
      <c r="M286" s="86">
        <v>1.0</v>
      </c>
      <c r="N286" s="88">
        <v>0.0</v>
      </c>
    </row>
    <row r="287">
      <c r="A287" s="89"/>
      <c r="B287" s="89"/>
      <c r="C287" s="90"/>
      <c r="D287" s="89"/>
      <c r="E287" s="89"/>
      <c r="F287" s="89"/>
      <c r="G287" s="89"/>
      <c r="H287" s="89"/>
      <c r="I287" s="89"/>
      <c r="J287" s="91">
        <f t="shared" ref="J287:M287" si="39">SUM(J285:J286)</f>
        <v>44.47</v>
      </c>
      <c r="K287" s="91">
        <f t="shared" si="39"/>
        <v>6.99</v>
      </c>
      <c r="L287" s="91">
        <f t="shared" si="39"/>
        <v>37.48</v>
      </c>
      <c r="M287" s="89">
        <f t="shared" si="39"/>
        <v>10</v>
      </c>
      <c r="N287" s="91">
        <f>K287/M287</f>
        <v>0.699</v>
      </c>
    </row>
    <row r="288">
      <c r="A288" s="86" t="s">
        <v>36</v>
      </c>
      <c r="B288" s="86" t="s">
        <v>292</v>
      </c>
      <c r="C288" s="86">
        <v>1029.0</v>
      </c>
      <c r="D288" s="86" t="s">
        <v>1031</v>
      </c>
      <c r="E288" s="86" t="s">
        <v>27</v>
      </c>
      <c r="F288" s="87">
        <v>43119.0</v>
      </c>
      <c r="G288" s="87">
        <v>43468.0</v>
      </c>
      <c r="H288" s="87">
        <v>43543.0</v>
      </c>
      <c r="I288" s="87">
        <v>44027.0</v>
      </c>
      <c r="J288" s="88">
        <v>19.99</v>
      </c>
      <c r="K288" s="88">
        <v>11.99</v>
      </c>
      <c r="L288" s="88">
        <v>8.0</v>
      </c>
      <c r="M288" s="86">
        <v>18.0</v>
      </c>
      <c r="N288" s="88">
        <v>0.67</v>
      </c>
    </row>
    <row r="289">
      <c r="A289" s="93" t="s">
        <v>36</v>
      </c>
      <c r="B289" s="93" t="s">
        <v>293</v>
      </c>
      <c r="C289" s="86">
        <v>879.0</v>
      </c>
      <c r="D289" s="86" t="s">
        <v>1007</v>
      </c>
      <c r="E289" s="86" t="s">
        <v>26</v>
      </c>
      <c r="F289" s="87">
        <v>44456.0</v>
      </c>
      <c r="G289" s="87">
        <v>45020.0</v>
      </c>
      <c r="H289" s="87">
        <v>45754.0</v>
      </c>
      <c r="I289" s="87">
        <v>45757.0</v>
      </c>
      <c r="J289" s="88">
        <v>24.99</v>
      </c>
      <c r="K289" s="88">
        <v>0.0</v>
      </c>
      <c r="L289" s="88">
        <v>24.99</v>
      </c>
      <c r="M289" s="86">
        <v>15.0</v>
      </c>
      <c r="N289" s="88">
        <v>0.0</v>
      </c>
    </row>
    <row r="290">
      <c r="A290" s="86" t="s">
        <v>36</v>
      </c>
      <c r="B290" s="86" t="s">
        <v>294</v>
      </c>
      <c r="C290" s="86">
        <v>479.0</v>
      </c>
      <c r="D290" s="86" t="s">
        <v>948</v>
      </c>
      <c r="E290" s="86" t="s">
        <v>25</v>
      </c>
      <c r="F290" s="87">
        <v>41856.0</v>
      </c>
      <c r="G290" s="87">
        <v>43749.0</v>
      </c>
      <c r="H290" s="87">
        <v>43749.0</v>
      </c>
      <c r="I290" s="87">
        <v>45007.0</v>
      </c>
      <c r="J290" s="88">
        <v>2.99</v>
      </c>
      <c r="K290" s="88">
        <v>2.99</v>
      </c>
      <c r="L290" s="88">
        <v>0.0</v>
      </c>
      <c r="M290" s="86">
        <v>25.0</v>
      </c>
      <c r="N290" s="88">
        <v>0.12</v>
      </c>
    </row>
    <row r="291">
      <c r="A291" s="86" t="s">
        <v>36</v>
      </c>
      <c r="B291" s="86"/>
      <c r="C291" s="86">
        <v>878.0</v>
      </c>
      <c r="D291" s="86" t="s">
        <v>971</v>
      </c>
      <c r="E291" s="86" t="s">
        <v>26</v>
      </c>
      <c r="F291" s="87">
        <v>42493.0</v>
      </c>
      <c r="G291" s="87">
        <v>43749.0</v>
      </c>
      <c r="H291" s="87">
        <v>44035.0</v>
      </c>
      <c r="I291" s="87">
        <v>44037.0</v>
      </c>
      <c r="J291" s="88">
        <v>12.98</v>
      </c>
      <c r="K291" s="88">
        <v>12.98</v>
      </c>
      <c r="L291" s="88">
        <v>0.0</v>
      </c>
      <c r="M291" s="86">
        <v>14.0</v>
      </c>
      <c r="N291" s="88">
        <v>0.93</v>
      </c>
    </row>
    <row r="292">
      <c r="A292" s="89"/>
      <c r="B292" s="89"/>
      <c r="C292" s="90"/>
      <c r="D292" s="89"/>
      <c r="E292" s="89"/>
      <c r="F292" s="89"/>
      <c r="G292" s="89"/>
      <c r="H292" s="89"/>
      <c r="I292" s="89"/>
      <c r="J292" s="91">
        <f t="shared" ref="J292:M292" si="40">SUM(J290:J291)</f>
        <v>15.97</v>
      </c>
      <c r="K292" s="91">
        <f t="shared" si="40"/>
        <v>15.97</v>
      </c>
      <c r="L292" s="91">
        <f t="shared" si="40"/>
        <v>0</v>
      </c>
      <c r="M292" s="89">
        <f t="shared" si="40"/>
        <v>39</v>
      </c>
      <c r="N292" s="91">
        <f>K292/M292</f>
        <v>0.4094871795</v>
      </c>
    </row>
    <row r="293">
      <c r="A293" s="86" t="s">
        <v>36</v>
      </c>
      <c r="B293" s="86" t="s">
        <v>295</v>
      </c>
      <c r="C293" s="86">
        <v>977.0</v>
      </c>
      <c r="D293" s="86" t="s">
        <v>981</v>
      </c>
      <c r="E293" s="86" t="s">
        <v>26</v>
      </c>
      <c r="F293" s="87">
        <v>42836.0</v>
      </c>
      <c r="G293" s="87">
        <v>43519.0</v>
      </c>
      <c r="H293" s="87">
        <v>43521.0</v>
      </c>
      <c r="I293" s="87">
        <v>43847.0</v>
      </c>
      <c r="J293" s="88">
        <v>39.99</v>
      </c>
      <c r="K293" s="88">
        <v>11.99</v>
      </c>
      <c r="L293" s="88">
        <v>28.0</v>
      </c>
      <c r="M293" s="86">
        <v>3.0</v>
      </c>
      <c r="N293" s="88">
        <v>4.0</v>
      </c>
    </row>
    <row r="294">
      <c r="A294" s="86" t="s">
        <v>36</v>
      </c>
      <c r="B294" s="86"/>
      <c r="C294" s="86">
        <v>978.0</v>
      </c>
      <c r="D294" s="86" t="s">
        <v>991</v>
      </c>
      <c r="E294" s="86" t="s">
        <v>26</v>
      </c>
      <c r="F294" s="87">
        <v>43746.0</v>
      </c>
      <c r="G294" s="87">
        <v>43824.0</v>
      </c>
      <c r="H294" s="87">
        <v>43831.0</v>
      </c>
      <c r="I294" s="87">
        <v>43834.0</v>
      </c>
      <c r="J294" s="88">
        <v>29.99</v>
      </c>
      <c r="K294" s="88">
        <v>0.0</v>
      </c>
      <c r="L294" s="88">
        <v>29.99</v>
      </c>
      <c r="M294" s="86">
        <v>21.0</v>
      </c>
      <c r="N294" s="88">
        <v>0.0</v>
      </c>
    </row>
    <row r="295">
      <c r="A295" s="89"/>
      <c r="B295" s="89"/>
      <c r="C295" s="90"/>
      <c r="D295" s="89"/>
      <c r="E295" s="89"/>
      <c r="F295" s="89"/>
      <c r="G295" s="89"/>
      <c r="H295" s="89"/>
      <c r="I295" s="89"/>
      <c r="J295" s="91">
        <f t="shared" ref="J295:M295" si="41">SUM(J293:J294)</f>
        <v>69.98</v>
      </c>
      <c r="K295" s="91">
        <f t="shared" si="41"/>
        <v>11.99</v>
      </c>
      <c r="L295" s="91">
        <f t="shared" si="41"/>
        <v>57.99</v>
      </c>
      <c r="M295" s="89">
        <f t="shared" si="41"/>
        <v>24</v>
      </c>
      <c r="N295" s="91">
        <f>K295/M295</f>
        <v>0.4995833333</v>
      </c>
    </row>
    <row r="296">
      <c r="A296" s="86" t="s">
        <v>36</v>
      </c>
      <c r="B296" s="86" t="s">
        <v>296</v>
      </c>
      <c r="C296" s="86">
        <v>951.0</v>
      </c>
      <c r="D296" s="86" t="s">
        <v>977</v>
      </c>
      <c r="E296" s="86" t="s">
        <v>26</v>
      </c>
      <c r="F296" s="87">
        <v>42618.0</v>
      </c>
      <c r="G296" s="87">
        <v>44708.0</v>
      </c>
      <c r="H296" s="87">
        <v>44713.0</v>
      </c>
      <c r="I296" s="87">
        <v>44719.0</v>
      </c>
      <c r="J296" s="88">
        <v>24.99</v>
      </c>
      <c r="K296" s="88">
        <v>4.99</v>
      </c>
      <c r="L296" s="88">
        <v>20.0</v>
      </c>
      <c r="M296" s="86">
        <v>2.0</v>
      </c>
      <c r="N296" s="88">
        <v>2.5</v>
      </c>
    </row>
    <row r="297">
      <c r="A297" s="93" t="s">
        <v>36</v>
      </c>
      <c r="B297" s="86" t="s">
        <v>297</v>
      </c>
      <c r="C297" s="86">
        <v>403.0</v>
      </c>
      <c r="D297" s="86" t="s">
        <v>901</v>
      </c>
      <c r="E297" s="86" t="s">
        <v>24</v>
      </c>
      <c r="F297" s="87">
        <v>38789.0</v>
      </c>
      <c r="G297" s="87">
        <v>42811.0</v>
      </c>
      <c r="H297" s="87">
        <v>42837.0</v>
      </c>
      <c r="I297" s="87">
        <v>45406.0</v>
      </c>
      <c r="J297" s="88">
        <v>9.99</v>
      </c>
      <c r="K297" s="88">
        <v>9.99</v>
      </c>
      <c r="L297" s="88">
        <v>0.0</v>
      </c>
      <c r="M297" s="86">
        <v>3.0</v>
      </c>
      <c r="N297" s="88">
        <v>3.33</v>
      </c>
    </row>
    <row r="298">
      <c r="A298" s="93" t="s">
        <v>36</v>
      </c>
      <c r="B298" s="86"/>
      <c r="C298" s="86">
        <v>413.0</v>
      </c>
      <c r="D298" s="86" t="s">
        <v>927</v>
      </c>
      <c r="E298" s="86" t="s">
        <v>24</v>
      </c>
      <c r="F298" s="87">
        <v>41351.0</v>
      </c>
      <c r="G298" s="87">
        <v>42811.0</v>
      </c>
      <c r="H298" s="87">
        <v>42828.0</v>
      </c>
      <c r="I298" s="87">
        <v>45408.0</v>
      </c>
      <c r="J298" s="88">
        <v>9.99</v>
      </c>
      <c r="K298" s="88">
        <v>9.99</v>
      </c>
      <c r="L298" s="88">
        <v>0.0</v>
      </c>
      <c r="M298" s="86">
        <v>5.0</v>
      </c>
      <c r="N298" s="88">
        <v>2.0</v>
      </c>
    </row>
    <row r="299">
      <c r="A299" s="89"/>
      <c r="B299" s="89"/>
      <c r="C299" s="90"/>
      <c r="D299" s="89"/>
      <c r="E299" s="89"/>
      <c r="F299" s="89"/>
      <c r="G299" s="89"/>
      <c r="H299" s="89"/>
      <c r="I299" s="89"/>
      <c r="J299" s="91">
        <f t="shared" ref="J299:M299" si="42">SUM(J297:J298)</f>
        <v>19.98</v>
      </c>
      <c r="K299" s="91">
        <f t="shared" si="42"/>
        <v>19.98</v>
      </c>
      <c r="L299" s="91">
        <f t="shared" si="42"/>
        <v>0</v>
      </c>
      <c r="M299" s="89">
        <f t="shared" si="42"/>
        <v>8</v>
      </c>
      <c r="N299" s="91">
        <f>K299/M299</f>
        <v>2.4975</v>
      </c>
    </row>
    <row r="300">
      <c r="A300" s="92" t="s">
        <v>36</v>
      </c>
      <c r="B300" s="86" t="s">
        <v>298</v>
      </c>
      <c r="C300" s="86">
        <v>63.0</v>
      </c>
      <c r="D300" s="86" t="s">
        <v>867</v>
      </c>
      <c r="E300" s="86" t="s">
        <v>21</v>
      </c>
      <c r="F300" s="368">
        <v>35391.0</v>
      </c>
      <c r="G300" s="368">
        <v>42806.0</v>
      </c>
      <c r="H300" s="368">
        <v>42806.0</v>
      </c>
      <c r="I300" s="368">
        <v>42806.0</v>
      </c>
      <c r="J300" s="369">
        <v>15.99</v>
      </c>
      <c r="K300" s="370">
        <v>3.99</v>
      </c>
      <c r="L300" s="370">
        <v>12.0</v>
      </c>
      <c r="M300" s="371">
        <v>1.0</v>
      </c>
      <c r="N300" s="372">
        <v>3.99</v>
      </c>
    </row>
    <row r="301">
      <c r="A301" s="92" t="s">
        <v>36</v>
      </c>
      <c r="B301" s="86"/>
      <c r="C301" s="86">
        <v>64.0</v>
      </c>
      <c r="D301" s="86" t="s">
        <v>870</v>
      </c>
      <c r="E301" s="86" t="s">
        <v>21</v>
      </c>
      <c r="F301" s="368">
        <v>35755.0</v>
      </c>
      <c r="G301" s="368">
        <v>42806.0</v>
      </c>
      <c r="H301" s="368">
        <v>42806.0</v>
      </c>
      <c r="I301" s="368">
        <v>42806.0</v>
      </c>
      <c r="J301" s="373">
        <v>15.99</v>
      </c>
      <c r="K301" s="374">
        <v>3.99</v>
      </c>
      <c r="L301" s="374">
        <v>12.0</v>
      </c>
      <c r="M301" s="375">
        <v>1.0</v>
      </c>
      <c r="N301" s="376">
        <v>3.99</v>
      </c>
    </row>
    <row r="302">
      <c r="A302" s="92" t="s">
        <v>36</v>
      </c>
      <c r="B302" s="86"/>
      <c r="C302" s="86">
        <v>65.0</v>
      </c>
      <c r="D302" s="86" t="s">
        <v>874</v>
      </c>
      <c r="E302" s="86" t="s">
        <v>21</v>
      </c>
      <c r="F302" s="368">
        <v>36119.0</v>
      </c>
      <c r="G302" s="368">
        <v>42806.0</v>
      </c>
      <c r="H302" s="368">
        <v>42806.0</v>
      </c>
      <c r="I302" s="368">
        <v>42806.0</v>
      </c>
      <c r="J302" s="373">
        <v>15.98</v>
      </c>
      <c r="K302" s="374">
        <v>3.98</v>
      </c>
      <c r="L302" s="374">
        <v>12.0</v>
      </c>
      <c r="M302" s="375">
        <v>1.0</v>
      </c>
      <c r="N302" s="376">
        <v>3.98</v>
      </c>
    </row>
    <row r="303">
      <c r="A303" s="92" t="s">
        <v>36</v>
      </c>
      <c r="B303" s="86"/>
      <c r="C303" s="86">
        <v>66.0</v>
      </c>
      <c r="D303" s="86" t="s">
        <v>878</v>
      </c>
      <c r="E303" s="86" t="s">
        <v>21</v>
      </c>
      <c r="F303" s="87">
        <v>36497.0</v>
      </c>
      <c r="G303" s="87">
        <v>42806.0</v>
      </c>
      <c r="H303" s="87">
        <v>42806.0</v>
      </c>
      <c r="I303" s="87">
        <v>42806.0</v>
      </c>
      <c r="J303" s="88">
        <v>5.99</v>
      </c>
      <c r="K303" s="88">
        <v>1.99</v>
      </c>
      <c r="L303" s="88">
        <v>4.0</v>
      </c>
      <c r="M303" s="86">
        <v>1.0</v>
      </c>
      <c r="N303" s="88">
        <v>1.99</v>
      </c>
    </row>
    <row r="304">
      <c r="A304" s="92" t="s">
        <v>36</v>
      </c>
      <c r="B304" s="86"/>
      <c r="C304" s="86">
        <v>67.0</v>
      </c>
      <c r="D304" s="86" t="s">
        <v>882</v>
      </c>
      <c r="E304" s="86" t="s">
        <v>21</v>
      </c>
      <c r="F304" s="87">
        <v>36847.0</v>
      </c>
      <c r="G304" s="87">
        <v>42806.0</v>
      </c>
      <c r="H304" s="87">
        <v>42806.0</v>
      </c>
      <c r="I304" s="87">
        <v>42806.0</v>
      </c>
      <c r="J304" s="88">
        <v>5.99</v>
      </c>
      <c r="K304" s="88">
        <v>1.99</v>
      </c>
      <c r="L304" s="88">
        <v>4.0</v>
      </c>
      <c r="M304" s="86">
        <v>1.0</v>
      </c>
      <c r="N304" s="88">
        <v>1.99</v>
      </c>
    </row>
    <row r="305">
      <c r="A305" s="86" t="s">
        <v>36</v>
      </c>
      <c r="B305" s="86"/>
      <c r="C305" s="86">
        <v>363.0</v>
      </c>
      <c r="D305" s="86" t="s">
        <v>920</v>
      </c>
      <c r="E305" s="86" t="s">
        <v>24</v>
      </c>
      <c r="F305" s="87">
        <v>41033.0</v>
      </c>
      <c r="G305" s="87">
        <v>44708.0</v>
      </c>
      <c r="H305" s="87">
        <v>44708.0</v>
      </c>
      <c r="I305" s="87">
        <v>44708.0</v>
      </c>
      <c r="J305" s="88">
        <v>34.99</v>
      </c>
      <c r="K305" s="88">
        <v>3.49</v>
      </c>
      <c r="L305" s="88">
        <v>31.5</v>
      </c>
      <c r="M305" s="86">
        <v>1.0</v>
      </c>
      <c r="N305" s="88">
        <v>3.49</v>
      </c>
    </row>
    <row r="306">
      <c r="A306" s="89"/>
      <c r="B306" s="89"/>
      <c r="C306" s="90"/>
      <c r="D306" s="89"/>
      <c r="E306" s="89"/>
      <c r="F306" s="89"/>
      <c r="G306" s="89"/>
      <c r="H306" s="89"/>
      <c r="I306" s="89"/>
      <c r="J306" s="91">
        <f t="shared" ref="J306:M306" si="43">SUM(J300:J305)</f>
        <v>94.93</v>
      </c>
      <c r="K306" s="91">
        <f t="shared" si="43"/>
        <v>19.43</v>
      </c>
      <c r="L306" s="91">
        <f t="shared" si="43"/>
        <v>75.5</v>
      </c>
      <c r="M306" s="89">
        <f t="shared" si="43"/>
        <v>6</v>
      </c>
      <c r="N306" s="91">
        <f>K306/M306</f>
        <v>3.238333333</v>
      </c>
    </row>
    <row r="307">
      <c r="A307" s="86" t="s">
        <v>36</v>
      </c>
      <c r="B307" s="86" t="s">
        <v>299</v>
      </c>
      <c r="C307" s="86">
        <v>449.0</v>
      </c>
      <c r="D307" s="86" t="s">
        <v>952</v>
      </c>
      <c r="E307" s="86" t="s">
        <v>25</v>
      </c>
      <c r="F307" s="87">
        <v>42045.0</v>
      </c>
      <c r="G307" s="87">
        <v>42832.0</v>
      </c>
      <c r="H307" s="87">
        <v>42832.0</v>
      </c>
      <c r="I307" s="87">
        <v>45025.0</v>
      </c>
      <c r="J307" s="88">
        <v>4.49</v>
      </c>
      <c r="K307" s="88">
        <v>3.49</v>
      </c>
      <c r="L307" s="88">
        <v>1.0</v>
      </c>
      <c r="M307" s="86">
        <v>2.0</v>
      </c>
      <c r="N307" s="88">
        <v>1.75</v>
      </c>
    </row>
    <row r="308">
      <c r="A308" s="93" t="s">
        <v>36</v>
      </c>
      <c r="B308" s="86" t="s">
        <v>300</v>
      </c>
      <c r="C308" s="86">
        <v>207.0</v>
      </c>
      <c r="D308" s="86" t="s">
        <v>908</v>
      </c>
      <c r="E308" s="86" t="s">
        <v>24</v>
      </c>
      <c r="F308" s="87">
        <v>40116.0</v>
      </c>
      <c r="G308" s="87">
        <v>40317.0</v>
      </c>
      <c r="H308" s="87">
        <v>40317.0</v>
      </c>
      <c r="I308" s="87">
        <v>44125.0</v>
      </c>
      <c r="J308" s="88">
        <v>29.99</v>
      </c>
      <c r="K308" s="88">
        <v>29.99</v>
      </c>
      <c r="L308" s="88">
        <v>0.0</v>
      </c>
      <c r="M308" s="86">
        <v>5.0</v>
      </c>
      <c r="N308" s="88">
        <v>6.0</v>
      </c>
    </row>
    <row r="309">
      <c r="A309" s="93" t="s">
        <v>36</v>
      </c>
      <c r="B309" s="93" t="s">
        <v>301</v>
      </c>
      <c r="C309" s="86">
        <v>635.0</v>
      </c>
      <c r="D309" s="86" t="s">
        <v>995</v>
      </c>
      <c r="E309" s="86" t="s">
        <v>26</v>
      </c>
      <c r="F309" s="87">
        <v>43965.0</v>
      </c>
      <c r="G309" s="87">
        <v>44708.0</v>
      </c>
      <c r="H309" s="87">
        <v>45626.0</v>
      </c>
      <c r="I309" s="87">
        <v>45627.0</v>
      </c>
      <c r="J309" s="88">
        <v>5.99</v>
      </c>
      <c r="K309" s="88">
        <v>3.59</v>
      </c>
      <c r="L309" s="88">
        <v>2.4</v>
      </c>
      <c r="M309" s="86">
        <v>2.0</v>
      </c>
      <c r="N309" s="88">
        <v>1.8</v>
      </c>
    </row>
    <row r="310">
      <c r="A310" s="86" t="s">
        <v>36</v>
      </c>
      <c r="B310" s="86" t="s">
        <v>302</v>
      </c>
      <c r="C310" s="86">
        <v>164.0</v>
      </c>
      <c r="D310" s="86" t="s">
        <v>894</v>
      </c>
      <c r="E310" s="86" t="s">
        <v>23</v>
      </c>
      <c r="F310" s="87">
        <v>38660.0</v>
      </c>
      <c r="G310" s="87">
        <v>42700.0</v>
      </c>
      <c r="H310" s="87">
        <v>42700.0</v>
      </c>
      <c r="I310" s="87">
        <v>42700.0</v>
      </c>
      <c r="J310" s="88">
        <v>11.66</v>
      </c>
      <c r="K310" s="88">
        <v>4.99</v>
      </c>
      <c r="L310" s="88">
        <v>6.67</v>
      </c>
      <c r="M310" s="86">
        <v>1.0</v>
      </c>
      <c r="N310" s="88">
        <v>4.99</v>
      </c>
    </row>
    <row r="311">
      <c r="A311" s="92" t="s">
        <v>36</v>
      </c>
      <c r="B311" s="92"/>
      <c r="C311" s="86">
        <v>165.0</v>
      </c>
      <c r="D311" s="86" t="s">
        <v>896</v>
      </c>
      <c r="E311" s="86" t="s">
        <v>23</v>
      </c>
      <c r="F311" s="87">
        <v>39024.0</v>
      </c>
      <c r="G311" s="87">
        <v>42700.0</v>
      </c>
      <c r="H311" s="87">
        <v>45685.0</v>
      </c>
      <c r="I311" s="87">
        <v>45688.0</v>
      </c>
      <c r="J311" s="88">
        <v>11.66</v>
      </c>
      <c r="K311" s="88">
        <v>5.0</v>
      </c>
      <c r="L311" s="88">
        <v>6.66</v>
      </c>
      <c r="M311" s="86">
        <v>3.0</v>
      </c>
      <c r="N311" s="88">
        <v>1.67</v>
      </c>
    </row>
    <row r="312">
      <c r="A312" s="86" t="s">
        <v>36</v>
      </c>
      <c r="B312" s="86"/>
      <c r="C312" s="86">
        <v>166.0</v>
      </c>
      <c r="D312" s="86" t="s">
        <v>898</v>
      </c>
      <c r="E312" s="86" t="s">
        <v>23</v>
      </c>
      <c r="F312" s="87">
        <v>40109.0</v>
      </c>
      <c r="G312" s="87">
        <v>42700.0</v>
      </c>
      <c r="H312" s="87">
        <v>42700.0</v>
      </c>
      <c r="I312" s="87">
        <v>42700.0</v>
      </c>
      <c r="J312" s="88">
        <v>11.66</v>
      </c>
      <c r="K312" s="88">
        <v>5.0</v>
      </c>
      <c r="L312" s="88">
        <v>6.66</v>
      </c>
      <c r="M312" s="86">
        <v>1.0</v>
      </c>
      <c r="N312" s="88">
        <v>5.0</v>
      </c>
    </row>
    <row r="313">
      <c r="A313" s="89"/>
      <c r="B313" s="89"/>
      <c r="C313" s="90"/>
      <c r="D313" s="89"/>
      <c r="E313" s="89"/>
      <c r="F313" s="89"/>
      <c r="G313" s="89"/>
      <c r="H313" s="89"/>
      <c r="I313" s="89"/>
      <c r="J313" s="91">
        <f t="shared" ref="J313:M313" si="44">SUM(J310:J312)</f>
        <v>34.98</v>
      </c>
      <c r="K313" s="91">
        <f t="shared" si="44"/>
        <v>14.99</v>
      </c>
      <c r="L313" s="91">
        <f t="shared" si="44"/>
        <v>19.99</v>
      </c>
      <c r="M313" s="89">
        <f t="shared" si="44"/>
        <v>5</v>
      </c>
      <c r="N313" s="91">
        <f>K313/M313</f>
        <v>2.998</v>
      </c>
    </row>
    <row r="314">
      <c r="A314" s="93" t="s">
        <v>36</v>
      </c>
      <c r="B314" s="86" t="s">
        <v>303</v>
      </c>
      <c r="C314" s="86">
        <v>190.0</v>
      </c>
      <c r="D314" s="86" t="s">
        <v>906</v>
      </c>
      <c r="E314" s="86" t="s">
        <v>24</v>
      </c>
      <c r="F314" s="87">
        <v>40053.0</v>
      </c>
      <c r="G314" s="87">
        <v>43922.0</v>
      </c>
      <c r="H314" s="87">
        <v>43927.0</v>
      </c>
      <c r="I314" s="87">
        <v>45647.0</v>
      </c>
      <c r="J314" s="88">
        <v>19.99</v>
      </c>
      <c r="K314" s="88">
        <v>7.99</v>
      </c>
      <c r="L314" s="88">
        <v>12.0</v>
      </c>
      <c r="M314" s="86">
        <v>22.0</v>
      </c>
      <c r="N314" s="88">
        <v>0.36</v>
      </c>
    </row>
    <row r="315">
      <c r="A315" s="93" t="s">
        <v>36</v>
      </c>
      <c r="B315" s="86"/>
      <c r="C315" s="86">
        <v>191.0</v>
      </c>
      <c r="D315" s="86" t="s">
        <v>917</v>
      </c>
      <c r="E315" s="86" t="s">
        <v>24</v>
      </c>
      <c r="F315" s="87">
        <v>40837.0</v>
      </c>
      <c r="G315" s="87">
        <v>43922.0</v>
      </c>
      <c r="H315" s="87">
        <v>43976.0</v>
      </c>
      <c r="I315" s="87">
        <v>45648.0</v>
      </c>
      <c r="J315" s="88">
        <v>19.99</v>
      </c>
      <c r="K315" s="88">
        <v>7.99</v>
      </c>
      <c r="L315" s="88">
        <v>12.0</v>
      </c>
      <c r="M315" s="86">
        <v>20.0</v>
      </c>
      <c r="N315" s="88">
        <v>0.4</v>
      </c>
    </row>
    <row r="316">
      <c r="A316" s="86" t="s">
        <v>36</v>
      </c>
      <c r="B316" s="86"/>
      <c r="C316" s="86">
        <v>523.0</v>
      </c>
      <c r="D316" s="86" t="s">
        <v>963</v>
      </c>
      <c r="E316" s="86" t="s">
        <v>26</v>
      </c>
      <c r="F316" s="87">
        <v>42178.0</v>
      </c>
      <c r="G316" s="87">
        <v>43922.0</v>
      </c>
      <c r="H316" s="87">
        <v>43922.0</v>
      </c>
      <c r="I316" s="87">
        <v>43922.0</v>
      </c>
      <c r="J316" s="88">
        <v>19.99</v>
      </c>
      <c r="K316" s="88">
        <v>7.99</v>
      </c>
      <c r="L316" s="88">
        <v>12.0</v>
      </c>
      <c r="M316" s="86">
        <v>1.0</v>
      </c>
      <c r="N316" s="88">
        <v>7.99</v>
      </c>
    </row>
    <row r="317">
      <c r="A317" s="86" t="s">
        <v>36</v>
      </c>
      <c r="B317" s="86"/>
      <c r="C317" s="86">
        <v>988.0</v>
      </c>
      <c r="D317" s="86" t="s">
        <v>1023</v>
      </c>
      <c r="E317" s="86" t="s">
        <v>27</v>
      </c>
      <c r="F317" s="87">
        <v>42654.0</v>
      </c>
      <c r="G317" s="87">
        <v>43472.0</v>
      </c>
      <c r="H317" s="87">
        <v>44034.0</v>
      </c>
      <c r="I317" s="87">
        <v>44035.0</v>
      </c>
      <c r="J317" s="88">
        <v>19.99</v>
      </c>
      <c r="K317" s="88">
        <v>9.99</v>
      </c>
      <c r="L317" s="88">
        <v>10.0</v>
      </c>
      <c r="M317" s="86">
        <v>4.0</v>
      </c>
      <c r="N317" s="88">
        <v>2.5</v>
      </c>
    </row>
    <row r="318">
      <c r="A318" s="89"/>
      <c r="B318" s="89"/>
      <c r="C318" s="90"/>
      <c r="D318" s="89"/>
      <c r="E318" s="89"/>
      <c r="F318" s="89"/>
      <c r="G318" s="89"/>
      <c r="H318" s="89"/>
      <c r="I318" s="89"/>
      <c r="J318" s="91">
        <f t="shared" ref="J318:M318" si="45">SUM(J314:J317)</f>
        <v>79.96</v>
      </c>
      <c r="K318" s="91">
        <f t="shared" si="45"/>
        <v>33.96</v>
      </c>
      <c r="L318" s="91">
        <f t="shared" si="45"/>
        <v>46</v>
      </c>
      <c r="M318" s="89">
        <f t="shared" si="45"/>
        <v>47</v>
      </c>
      <c r="N318" s="91">
        <f>K318/M318</f>
        <v>0.7225531915</v>
      </c>
    </row>
    <row r="319">
      <c r="A319" s="86" t="s">
        <v>36</v>
      </c>
      <c r="B319" s="86" t="s">
        <v>304</v>
      </c>
      <c r="C319" s="86">
        <v>453.0</v>
      </c>
      <c r="D319" s="86" t="s">
        <v>943</v>
      </c>
      <c r="E319" s="86" t="s">
        <v>25</v>
      </c>
      <c r="F319" s="87">
        <v>41661.0</v>
      </c>
      <c r="G319" s="87">
        <v>42791.0</v>
      </c>
      <c r="H319" s="87">
        <v>42791.0</v>
      </c>
      <c r="I319" s="87">
        <v>42791.0</v>
      </c>
      <c r="J319" s="88">
        <v>24.99</v>
      </c>
      <c r="K319" s="88">
        <v>9.99</v>
      </c>
      <c r="L319" s="88">
        <v>15.0</v>
      </c>
      <c r="M319" s="86">
        <v>1.0</v>
      </c>
      <c r="N319" s="88">
        <v>9.99</v>
      </c>
    </row>
    <row r="320">
      <c r="A320" s="86" t="s">
        <v>36</v>
      </c>
      <c r="B320" s="86"/>
      <c r="C320" s="86">
        <v>454.0</v>
      </c>
      <c r="D320" s="86" t="s">
        <v>953</v>
      </c>
      <c r="E320" s="86" t="s">
        <v>25</v>
      </c>
      <c r="F320" s="87">
        <v>42067.0</v>
      </c>
      <c r="G320" s="87">
        <v>42791.0</v>
      </c>
      <c r="H320" s="87">
        <v>42791.0</v>
      </c>
      <c r="I320" s="87">
        <v>42791.0</v>
      </c>
      <c r="J320" s="88">
        <v>12.99</v>
      </c>
      <c r="K320" s="88">
        <v>6.49</v>
      </c>
      <c r="L320" s="88">
        <v>6.5</v>
      </c>
      <c r="M320" s="86">
        <v>1.0</v>
      </c>
      <c r="N320" s="88">
        <v>6.49</v>
      </c>
    </row>
    <row r="321">
      <c r="A321" s="86" t="s">
        <v>36</v>
      </c>
      <c r="B321" s="86"/>
      <c r="C321" s="86">
        <v>778.0</v>
      </c>
      <c r="D321" s="86" t="s">
        <v>1010</v>
      </c>
      <c r="E321" s="86" t="s">
        <v>26</v>
      </c>
      <c r="F321" s="87">
        <v>44600.0</v>
      </c>
      <c r="G321" s="87">
        <v>44923.0</v>
      </c>
      <c r="H321" s="87">
        <v>45475.0</v>
      </c>
      <c r="I321" s="87">
        <v>45475.0</v>
      </c>
      <c r="J321" s="88">
        <v>29.99</v>
      </c>
      <c r="K321" s="88">
        <v>9.89</v>
      </c>
      <c r="L321" s="88">
        <v>20.1</v>
      </c>
      <c r="M321" s="86">
        <v>2.0</v>
      </c>
      <c r="N321" s="88">
        <v>4.95</v>
      </c>
    </row>
    <row r="322">
      <c r="A322" s="86" t="s">
        <v>36</v>
      </c>
      <c r="B322" s="86"/>
      <c r="C322" s="86">
        <v>821.0</v>
      </c>
      <c r="D322" s="86" t="s">
        <v>1014</v>
      </c>
      <c r="E322" s="86" t="s">
        <v>26</v>
      </c>
      <c r="F322" s="87">
        <v>44789.0</v>
      </c>
      <c r="G322" s="87">
        <v>45328.0</v>
      </c>
      <c r="H322" s="87">
        <v>45328.0</v>
      </c>
      <c r="I322" s="87">
        <v>45328.0</v>
      </c>
      <c r="J322" s="88">
        <v>29.99</v>
      </c>
      <c r="K322" s="88">
        <v>0.0</v>
      </c>
      <c r="L322" s="88">
        <v>29.99</v>
      </c>
      <c r="M322" s="86">
        <v>1.0</v>
      </c>
      <c r="N322" s="88">
        <v>0.0</v>
      </c>
    </row>
    <row r="323">
      <c r="A323" s="89"/>
      <c r="B323" s="89"/>
      <c r="C323" s="90"/>
      <c r="D323" s="89"/>
      <c r="E323" s="89"/>
      <c r="F323" s="89"/>
      <c r="G323" s="89"/>
      <c r="H323" s="89"/>
      <c r="I323" s="89"/>
      <c r="J323" s="91">
        <f t="shared" ref="J323:M323" si="46">SUM(J319:J322)</f>
        <v>97.96</v>
      </c>
      <c r="K323" s="91">
        <f t="shared" si="46"/>
        <v>26.37</v>
      </c>
      <c r="L323" s="91">
        <f t="shared" si="46"/>
        <v>71.59</v>
      </c>
      <c r="M323" s="89">
        <f t="shared" si="46"/>
        <v>5</v>
      </c>
      <c r="N323" s="91">
        <f>K323/M323</f>
        <v>5.274</v>
      </c>
    </row>
    <row r="324">
      <c r="A324" s="86" t="s">
        <v>36</v>
      </c>
      <c r="B324" s="86" t="s">
        <v>305</v>
      </c>
      <c r="C324" s="86">
        <v>901.0</v>
      </c>
      <c r="D324" s="86" t="s">
        <v>978</v>
      </c>
      <c r="E324" s="86" t="s">
        <v>26</v>
      </c>
      <c r="F324" s="87">
        <v>42668.0</v>
      </c>
      <c r="G324" s="87">
        <v>42710.0</v>
      </c>
      <c r="H324" s="87">
        <v>42710.0</v>
      </c>
      <c r="I324" s="87">
        <v>42710.0</v>
      </c>
      <c r="J324" s="88">
        <v>28.49</v>
      </c>
      <c r="K324" s="88">
        <v>28.49</v>
      </c>
      <c r="L324" s="88">
        <v>0.0</v>
      </c>
      <c r="M324" s="86">
        <v>1.0</v>
      </c>
      <c r="N324" s="88">
        <v>28.49</v>
      </c>
    </row>
    <row r="325">
      <c r="A325" s="93" t="s">
        <v>36</v>
      </c>
      <c r="B325" s="86" t="s">
        <v>306</v>
      </c>
      <c r="C325" s="86">
        <v>1076.0</v>
      </c>
      <c r="D325" s="86" t="s">
        <v>1034</v>
      </c>
      <c r="E325" s="86" t="s">
        <v>28</v>
      </c>
      <c r="F325" s="87">
        <v>44894.0</v>
      </c>
      <c r="G325" s="87">
        <v>45265.0</v>
      </c>
      <c r="H325" s="87">
        <v>45265.0</v>
      </c>
      <c r="I325" s="87">
        <v>45265.0</v>
      </c>
      <c r="J325" s="94">
        <v>24.99</v>
      </c>
      <c r="K325" s="94">
        <v>0.0</v>
      </c>
      <c r="L325" s="94">
        <v>24.99</v>
      </c>
      <c r="M325" s="86">
        <v>1.0</v>
      </c>
      <c r="N325" s="88">
        <v>0.0</v>
      </c>
    </row>
    <row r="326">
      <c r="A326" s="93" t="s">
        <v>36</v>
      </c>
      <c r="B326" s="86" t="s">
        <v>307</v>
      </c>
      <c r="C326" s="86">
        <v>311.0</v>
      </c>
      <c r="D326" s="86" t="s">
        <v>907</v>
      </c>
      <c r="E326" s="86" t="s">
        <v>24</v>
      </c>
      <c r="F326" s="87">
        <v>40073.0</v>
      </c>
      <c r="G326" s="87">
        <v>40140.0</v>
      </c>
      <c r="H326" s="87">
        <v>40140.0</v>
      </c>
      <c r="I326" s="87">
        <v>44727.0</v>
      </c>
      <c r="J326" s="88">
        <v>19.99</v>
      </c>
      <c r="K326" s="88">
        <v>4.0</v>
      </c>
      <c r="L326" s="88">
        <v>15.99</v>
      </c>
      <c r="M326" s="86">
        <v>60.0</v>
      </c>
      <c r="N326" s="88">
        <v>0.07</v>
      </c>
    </row>
    <row r="327">
      <c r="A327" s="86" t="s">
        <v>36</v>
      </c>
      <c r="B327" s="86" t="s">
        <v>308</v>
      </c>
      <c r="C327" s="86">
        <v>457.0</v>
      </c>
      <c r="D327" s="86" t="s">
        <v>946</v>
      </c>
      <c r="E327" s="86" t="s">
        <v>25</v>
      </c>
      <c r="F327" s="87">
        <v>41796.0</v>
      </c>
      <c r="G327" s="87">
        <v>42218.0</v>
      </c>
      <c r="H327" s="87">
        <v>42235.0</v>
      </c>
      <c r="I327" s="87">
        <v>44960.0</v>
      </c>
      <c r="J327" s="88">
        <v>24.99</v>
      </c>
      <c r="K327" s="88">
        <v>9.99</v>
      </c>
      <c r="L327" s="88">
        <v>15.0</v>
      </c>
      <c r="M327" s="86">
        <v>25.0</v>
      </c>
      <c r="N327" s="88">
        <v>0.4</v>
      </c>
    </row>
    <row r="328">
      <c r="A328" s="93" t="s">
        <v>36</v>
      </c>
      <c r="B328" s="86" t="s">
        <v>309</v>
      </c>
      <c r="C328" s="86">
        <v>204.0</v>
      </c>
      <c r="D328" s="86" t="s">
        <v>915</v>
      </c>
      <c r="E328" s="86" t="s">
        <v>24</v>
      </c>
      <c r="F328" s="87">
        <v>40676.0</v>
      </c>
      <c r="G328" s="87">
        <v>41632.0</v>
      </c>
      <c r="H328" s="87">
        <v>41632.0</v>
      </c>
      <c r="I328" s="87">
        <v>44792.0</v>
      </c>
      <c r="J328" s="88">
        <v>19.99</v>
      </c>
      <c r="K328" s="88">
        <v>0.5</v>
      </c>
      <c r="L328" s="88">
        <v>19.49</v>
      </c>
      <c r="M328" s="86">
        <v>7.0</v>
      </c>
      <c r="N328" s="88">
        <v>0.07</v>
      </c>
    </row>
    <row r="329">
      <c r="A329" s="86" t="s">
        <v>36</v>
      </c>
      <c r="B329" s="86" t="s">
        <v>44</v>
      </c>
      <c r="C329" s="86">
        <v>440.0</v>
      </c>
      <c r="D329" s="86" t="s">
        <v>64</v>
      </c>
      <c r="E329" s="86" t="s">
        <v>25</v>
      </c>
      <c r="F329" s="87">
        <v>41740.0</v>
      </c>
      <c r="G329" s="87">
        <v>41791.0</v>
      </c>
      <c r="H329" s="87">
        <v>41791.0</v>
      </c>
      <c r="I329" s="87">
        <v>41791.0</v>
      </c>
      <c r="J329" s="88">
        <v>39.99</v>
      </c>
      <c r="K329" s="88">
        <v>39.99</v>
      </c>
      <c r="L329" s="88">
        <v>0.0</v>
      </c>
      <c r="M329" s="86">
        <v>1.0</v>
      </c>
      <c r="N329" s="88">
        <v>39.99</v>
      </c>
    </row>
    <row r="330">
      <c r="A330" s="44" t="s">
        <v>36</v>
      </c>
      <c r="B330" s="45"/>
      <c r="C330" s="45">
        <v>1060.0</v>
      </c>
      <c r="D330" s="41" t="s">
        <v>45</v>
      </c>
      <c r="E330" s="41" t="s">
        <v>28</v>
      </c>
      <c r="F330" s="46">
        <v>45267.0</v>
      </c>
      <c r="G330" s="46">
        <v>45734.0</v>
      </c>
      <c r="H330" s="46">
        <v>46024.0</v>
      </c>
      <c r="I330" s="46">
        <v>46024.0</v>
      </c>
      <c r="J330" s="44">
        <v>59.99</v>
      </c>
      <c r="K330" s="44">
        <v>23.99</v>
      </c>
      <c r="L330" s="47">
        <f>J330-K330</f>
        <v>36</v>
      </c>
      <c r="M330" s="45">
        <v>2.0</v>
      </c>
      <c r="N330" s="47">
        <f t="shared" ref="N330:N331" si="48">K330/M330</f>
        <v>11.995</v>
      </c>
    </row>
    <row r="331">
      <c r="A331" s="89"/>
      <c r="B331" s="89"/>
      <c r="C331" s="90"/>
      <c r="D331" s="89"/>
      <c r="E331" s="89"/>
      <c r="F331" s="89"/>
      <c r="G331" s="89"/>
      <c r="H331" s="89"/>
      <c r="I331" s="89"/>
      <c r="J331" s="91">
        <f t="shared" ref="J331:M331" si="47">SUM(J329:J330)</f>
        <v>99.98</v>
      </c>
      <c r="K331" s="91">
        <f t="shared" si="47"/>
        <v>63.98</v>
      </c>
      <c r="L331" s="91">
        <f t="shared" si="47"/>
        <v>36</v>
      </c>
      <c r="M331" s="89">
        <f t="shared" si="47"/>
        <v>3</v>
      </c>
      <c r="N331" s="91">
        <f t="shared" si="48"/>
        <v>21.32666667</v>
      </c>
    </row>
    <row r="332">
      <c r="A332" s="92" t="s">
        <v>36</v>
      </c>
      <c r="B332" s="86" t="s">
        <v>310</v>
      </c>
      <c r="C332" s="86">
        <v>75.0</v>
      </c>
      <c r="D332" s="86" t="s">
        <v>865</v>
      </c>
      <c r="E332" s="86" t="s">
        <v>21</v>
      </c>
      <c r="F332" s="87">
        <v>34971.0</v>
      </c>
      <c r="G332" s="87">
        <v>43014.0</v>
      </c>
      <c r="H332" s="87">
        <v>43014.0</v>
      </c>
      <c r="I332" s="87">
        <v>43014.0</v>
      </c>
      <c r="J332" s="88">
        <v>9.99</v>
      </c>
      <c r="K332" s="88">
        <v>1.99</v>
      </c>
      <c r="L332" s="88">
        <v>8.0</v>
      </c>
      <c r="M332" s="86">
        <v>1.0</v>
      </c>
      <c r="N332" s="88">
        <v>1.99</v>
      </c>
    </row>
    <row r="333">
      <c r="A333" s="86" t="s">
        <v>36</v>
      </c>
      <c r="B333" s="86"/>
      <c r="C333" s="86">
        <v>179.0</v>
      </c>
      <c r="D333" s="86" t="s">
        <v>897</v>
      </c>
      <c r="E333" s="86" t="s">
        <v>23</v>
      </c>
      <c r="F333" s="87">
        <v>39430.0</v>
      </c>
      <c r="G333" s="87">
        <v>43014.0</v>
      </c>
      <c r="H333" s="87">
        <v>43014.0</v>
      </c>
      <c r="I333" s="87">
        <v>43014.0</v>
      </c>
      <c r="J333" s="88">
        <v>7.99</v>
      </c>
      <c r="K333" s="88">
        <v>7.99</v>
      </c>
      <c r="L333" s="88">
        <v>0.0</v>
      </c>
      <c r="M333" s="86">
        <v>1.0</v>
      </c>
      <c r="N333" s="88">
        <v>7.99</v>
      </c>
    </row>
    <row r="334">
      <c r="A334" s="93" t="s">
        <v>36</v>
      </c>
      <c r="B334" s="86"/>
      <c r="C334" s="86">
        <v>421.0</v>
      </c>
      <c r="D334" s="86" t="s">
        <v>903</v>
      </c>
      <c r="E334" s="86" t="s">
        <v>24</v>
      </c>
      <c r="F334" s="87">
        <v>39716.0</v>
      </c>
      <c r="G334" s="87">
        <v>43463.0</v>
      </c>
      <c r="H334" s="87">
        <v>43463.0</v>
      </c>
      <c r="I334" s="87">
        <v>43463.0</v>
      </c>
      <c r="J334" s="88">
        <v>22.49</v>
      </c>
      <c r="K334" s="88">
        <v>5.0</v>
      </c>
      <c r="L334" s="88">
        <v>17.49</v>
      </c>
      <c r="M334" s="86">
        <v>5.0</v>
      </c>
      <c r="N334" s="88">
        <v>1.0</v>
      </c>
    </row>
    <row r="335">
      <c r="A335" s="93" t="s">
        <v>36</v>
      </c>
      <c r="B335" s="86"/>
      <c r="C335" s="86">
        <v>493.0</v>
      </c>
      <c r="D335" s="86" t="s">
        <v>939</v>
      </c>
      <c r="E335" s="86" t="s">
        <v>25</v>
      </c>
      <c r="F335" s="87">
        <v>40961.0</v>
      </c>
      <c r="G335" s="87">
        <v>43463.0</v>
      </c>
      <c r="H335" s="87">
        <v>43463.0</v>
      </c>
      <c r="I335" s="87">
        <v>43463.0</v>
      </c>
      <c r="J335" s="88">
        <v>22.49</v>
      </c>
      <c r="K335" s="88">
        <v>4.99</v>
      </c>
      <c r="L335" s="88">
        <v>17.5</v>
      </c>
      <c r="M335" s="86">
        <v>10.0</v>
      </c>
      <c r="N335" s="88">
        <v>0.5</v>
      </c>
    </row>
    <row r="336">
      <c r="A336" s="89"/>
      <c r="B336" s="89"/>
      <c r="C336" s="90"/>
      <c r="D336" s="89"/>
      <c r="E336" s="89"/>
      <c r="F336" s="89"/>
      <c r="G336" s="89"/>
      <c r="H336" s="89"/>
      <c r="I336" s="89"/>
      <c r="J336" s="91">
        <f t="shared" ref="J336:M336" si="49">SUM(J332:J335)</f>
        <v>62.96</v>
      </c>
      <c r="K336" s="91">
        <f t="shared" si="49"/>
        <v>19.97</v>
      </c>
      <c r="L336" s="91">
        <f t="shared" si="49"/>
        <v>42.99</v>
      </c>
      <c r="M336" s="89">
        <f t="shared" si="49"/>
        <v>17</v>
      </c>
      <c r="N336" s="91">
        <f>K336/M336</f>
        <v>1.174705882</v>
      </c>
    </row>
    <row r="337">
      <c r="A337" s="93" t="s">
        <v>36</v>
      </c>
      <c r="B337" s="86" t="s">
        <v>311</v>
      </c>
      <c r="C337" s="86">
        <v>374.0</v>
      </c>
      <c r="D337" s="86" t="s">
        <v>902</v>
      </c>
      <c r="E337" s="86" t="s">
        <v>24</v>
      </c>
      <c r="F337" s="87">
        <v>39178.0</v>
      </c>
      <c r="G337" s="87">
        <v>44299.0</v>
      </c>
      <c r="H337" s="87">
        <v>44299.0</v>
      </c>
      <c r="I337" s="87">
        <v>44299.0</v>
      </c>
      <c r="J337" s="88">
        <v>4.99</v>
      </c>
      <c r="K337" s="88">
        <v>4.99</v>
      </c>
      <c r="L337" s="88">
        <v>0.0</v>
      </c>
      <c r="M337" s="86">
        <v>1.0</v>
      </c>
      <c r="N337" s="88">
        <v>4.99</v>
      </c>
    </row>
    <row r="338">
      <c r="A338" s="93" t="s">
        <v>36</v>
      </c>
      <c r="B338" s="86"/>
      <c r="C338" s="86">
        <v>289.0</v>
      </c>
      <c r="D338" s="86" t="s">
        <v>936</v>
      </c>
      <c r="E338" s="86" t="s">
        <v>24</v>
      </c>
      <c r="F338" s="87">
        <v>41969.0</v>
      </c>
      <c r="G338" s="87">
        <v>43014.0</v>
      </c>
      <c r="H338" s="87">
        <v>43014.0</v>
      </c>
      <c r="I338" s="87">
        <v>43014.0</v>
      </c>
      <c r="J338" s="88">
        <v>49.99</v>
      </c>
      <c r="K338" s="88">
        <v>9.99</v>
      </c>
      <c r="L338" s="88">
        <v>40.0</v>
      </c>
      <c r="M338" s="86">
        <v>1.0</v>
      </c>
      <c r="N338" s="88">
        <v>9.99</v>
      </c>
    </row>
    <row r="339">
      <c r="A339" s="86" t="s">
        <v>36</v>
      </c>
      <c r="B339" s="86"/>
      <c r="C339" s="86">
        <v>882.0</v>
      </c>
      <c r="D339" s="86" t="s">
        <v>990</v>
      </c>
      <c r="E339" s="86" t="s">
        <v>26</v>
      </c>
      <c r="F339" s="87">
        <v>43606.0</v>
      </c>
      <c r="G339" s="87">
        <v>44621.0</v>
      </c>
      <c r="H339" s="87">
        <v>44897.0</v>
      </c>
      <c r="I339" s="87">
        <v>44897.0</v>
      </c>
      <c r="J339" s="88">
        <v>39.99</v>
      </c>
      <c r="K339" s="88">
        <v>0.0</v>
      </c>
      <c r="L339" s="88">
        <v>39.99</v>
      </c>
      <c r="M339" s="86">
        <v>2.0</v>
      </c>
      <c r="N339" s="88">
        <v>0.0</v>
      </c>
    </row>
    <row r="340">
      <c r="A340" s="86" t="s">
        <v>36</v>
      </c>
      <c r="B340" s="86"/>
      <c r="C340" s="86">
        <v>825.0</v>
      </c>
      <c r="D340" s="86" t="s">
        <v>999</v>
      </c>
      <c r="E340" s="86" t="s">
        <v>26</v>
      </c>
      <c r="F340" s="87">
        <v>44147.0</v>
      </c>
      <c r="G340" s="87">
        <v>44883.0</v>
      </c>
      <c r="H340" s="87">
        <v>44885.0</v>
      </c>
      <c r="I340" s="87">
        <v>44889.0</v>
      </c>
      <c r="J340" s="88">
        <v>69.99</v>
      </c>
      <c r="K340" s="88">
        <v>29.39</v>
      </c>
      <c r="L340" s="88">
        <v>40.6</v>
      </c>
      <c r="M340" s="86">
        <v>30.0</v>
      </c>
      <c r="N340" s="88">
        <v>0.98</v>
      </c>
    </row>
    <row r="341">
      <c r="A341" s="89"/>
      <c r="B341" s="89"/>
      <c r="C341" s="90"/>
      <c r="D341" s="89"/>
      <c r="E341" s="89"/>
      <c r="F341" s="89"/>
      <c r="G341" s="89"/>
      <c r="H341" s="89"/>
      <c r="I341" s="89"/>
      <c r="J341" s="91">
        <f t="shared" ref="J341:M341" si="50">SUM(J337:J340)</f>
        <v>164.96</v>
      </c>
      <c r="K341" s="91">
        <f t="shared" si="50"/>
        <v>44.37</v>
      </c>
      <c r="L341" s="91">
        <f t="shared" si="50"/>
        <v>120.59</v>
      </c>
      <c r="M341" s="89">
        <f t="shared" si="50"/>
        <v>34</v>
      </c>
      <c r="N341" s="91">
        <f>K341/M341</f>
        <v>1.305</v>
      </c>
    </row>
    <row r="342">
      <c r="A342" s="93" t="s">
        <v>36</v>
      </c>
      <c r="B342" s="86" t="s">
        <v>312</v>
      </c>
      <c r="C342" s="86">
        <v>291.0</v>
      </c>
      <c r="D342" s="86" t="s">
        <v>931</v>
      </c>
      <c r="E342" s="86" t="s">
        <v>24</v>
      </c>
      <c r="F342" s="87">
        <v>41542.0</v>
      </c>
      <c r="G342" s="87">
        <v>43373.0</v>
      </c>
      <c r="H342" s="87">
        <v>43373.0</v>
      </c>
      <c r="I342" s="87">
        <v>43373.0</v>
      </c>
      <c r="J342" s="88">
        <v>9.99</v>
      </c>
      <c r="K342" s="88">
        <v>9.99</v>
      </c>
      <c r="L342" s="88">
        <v>0.0</v>
      </c>
      <c r="M342" s="86">
        <v>1.0</v>
      </c>
      <c r="N342" s="88">
        <v>9.99</v>
      </c>
    </row>
    <row r="343">
      <c r="A343" s="86" t="s">
        <v>36</v>
      </c>
      <c r="B343" s="86" t="s">
        <v>313</v>
      </c>
      <c r="C343" s="86">
        <v>955.0</v>
      </c>
      <c r="D343" s="86" t="s">
        <v>966</v>
      </c>
      <c r="E343" s="86" t="s">
        <v>26</v>
      </c>
      <c r="F343" s="87">
        <v>42242.0</v>
      </c>
      <c r="G343" s="87">
        <v>42273.0</v>
      </c>
      <c r="H343" s="87">
        <v>42273.0</v>
      </c>
      <c r="I343" s="87">
        <v>44479.0</v>
      </c>
      <c r="J343" s="88">
        <v>59.99</v>
      </c>
      <c r="K343" s="88">
        <v>34.99</v>
      </c>
      <c r="L343" s="88">
        <v>25.0</v>
      </c>
      <c r="M343" s="86">
        <v>70.0</v>
      </c>
      <c r="N343" s="88">
        <v>0.5</v>
      </c>
    </row>
    <row r="344">
      <c r="A344" s="86" t="s">
        <v>36</v>
      </c>
      <c r="B344" s="86"/>
      <c r="C344" s="86">
        <v>1043.0</v>
      </c>
      <c r="D344" s="86" t="s">
        <v>1026</v>
      </c>
      <c r="E344" s="86" t="s">
        <v>27</v>
      </c>
      <c r="F344" s="87">
        <v>42656.0</v>
      </c>
      <c r="G344" s="87">
        <v>43466.0</v>
      </c>
      <c r="H344" s="87">
        <v>43543.0</v>
      </c>
      <c r="I344" s="87">
        <v>43543.0</v>
      </c>
      <c r="J344" s="88">
        <v>9.99</v>
      </c>
      <c r="K344" s="88">
        <v>3.99</v>
      </c>
      <c r="L344" s="88">
        <v>6.0</v>
      </c>
      <c r="M344" s="86">
        <v>1.0</v>
      </c>
      <c r="N344" s="88">
        <v>3.99</v>
      </c>
    </row>
    <row r="345">
      <c r="A345" s="86" t="s">
        <v>36</v>
      </c>
      <c r="B345" s="86"/>
      <c r="C345" s="86">
        <v>1045.0</v>
      </c>
      <c r="D345" s="86" t="s">
        <v>1027</v>
      </c>
      <c r="E345" s="86" t="s">
        <v>27</v>
      </c>
      <c r="F345" s="87">
        <v>42656.0</v>
      </c>
      <c r="G345" s="87">
        <v>43468.0</v>
      </c>
      <c r="H345" s="87">
        <v>43477.0</v>
      </c>
      <c r="I345" s="87">
        <v>43896.0</v>
      </c>
      <c r="J345" s="88">
        <v>19.99</v>
      </c>
      <c r="K345" s="88">
        <v>9.99</v>
      </c>
      <c r="L345" s="88">
        <v>10.0</v>
      </c>
      <c r="M345" s="86">
        <v>1.0</v>
      </c>
      <c r="N345" s="88">
        <v>9.99</v>
      </c>
    </row>
    <row r="346">
      <c r="A346" s="89"/>
      <c r="B346" s="89"/>
      <c r="C346" s="90"/>
      <c r="D346" s="89"/>
      <c r="E346" s="89"/>
      <c r="F346" s="89"/>
      <c r="G346" s="89"/>
      <c r="H346" s="89"/>
      <c r="I346" s="89"/>
      <c r="J346" s="91">
        <f t="shared" ref="J346:M346" si="51">SUM(J343:J345)</f>
        <v>89.97</v>
      </c>
      <c r="K346" s="91">
        <f t="shared" si="51"/>
        <v>48.97</v>
      </c>
      <c r="L346" s="91">
        <f t="shared" si="51"/>
        <v>41</v>
      </c>
      <c r="M346" s="89">
        <f t="shared" si="51"/>
        <v>72</v>
      </c>
      <c r="N346" s="91">
        <f>K346/M346</f>
        <v>0.6801388889</v>
      </c>
    </row>
    <row r="347">
      <c r="A347" s="92" t="s">
        <v>36</v>
      </c>
      <c r="B347" s="86" t="s">
        <v>314</v>
      </c>
      <c r="C347" s="86">
        <v>41.0</v>
      </c>
      <c r="D347" s="86" t="s">
        <v>877</v>
      </c>
      <c r="E347" s="86" t="s">
        <v>21</v>
      </c>
      <c r="F347" s="87">
        <v>36455.0</v>
      </c>
      <c r="G347" s="87">
        <v>41568.0</v>
      </c>
      <c r="H347" s="87">
        <v>41568.0</v>
      </c>
      <c r="I347" s="87">
        <v>41568.0</v>
      </c>
      <c r="J347" s="88">
        <v>4.99</v>
      </c>
      <c r="K347" s="88">
        <v>4.99</v>
      </c>
      <c r="L347" s="88">
        <v>0.0</v>
      </c>
      <c r="M347" s="86">
        <v>50.0</v>
      </c>
      <c r="N347" s="88">
        <v>0.1</v>
      </c>
    </row>
    <row r="348">
      <c r="A348" s="86" t="s">
        <v>36</v>
      </c>
      <c r="B348" s="86" t="s">
        <v>315</v>
      </c>
      <c r="C348" s="86">
        <v>329.0</v>
      </c>
      <c r="D348" s="86" t="s">
        <v>933</v>
      </c>
      <c r="E348" s="86" t="s">
        <v>24</v>
      </c>
      <c r="F348" s="87">
        <v>41607.0</v>
      </c>
      <c r="G348" s="87">
        <v>43433.0</v>
      </c>
      <c r="H348" s="87">
        <v>43434.0</v>
      </c>
      <c r="I348" s="87">
        <v>44442.0</v>
      </c>
      <c r="J348" s="88">
        <v>24.99</v>
      </c>
      <c r="K348" s="88">
        <v>6.99</v>
      </c>
      <c r="L348" s="88">
        <v>18.0</v>
      </c>
      <c r="M348" s="86">
        <v>9.0</v>
      </c>
      <c r="N348" s="88">
        <v>0.78</v>
      </c>
    </row>
    <row r="349">
      <c r="A349" s="86" t="s">
        <v>36</v>
      </c>
      <c r="B349" s="86" t="s">
        <v>316</v>
      </c>
      <c r="C349" s="86">
        <v>172.0</v>
      </c>
      <c r="D349" s="86" t="s">
        <v>895</v>
      </c>
      <c r="E349" s="86" t="s">
        <v>23</v>
      </c>
      <c r="F349" s="87">
        <v>38786.0</v>
      </c>
      <c r="G349" s="87">
        <v>43373.0</v>
      </c>
      <c r="H349" s="87">
        <v>43373.0</v>
      </c>
      <c r="I349" s="87">
        <v>43373.0</v>
      </c>
      <c r="J349" s="88">
        <v>12.98</v>
      </c>
      <c r="K349" s="88">
        <v>12.98</v>
      </c>
      <c r="L349" s="88">
        <v>0.0</v>
      </c>
      <c r="M349" s="86">
        <v>1.0</v>
      </c>
      <c r="N349" s="88">
        <v>12.98</v>
      </c>
    </row>
    <row r="350">
      <c r="A350" s="93" t="s">
        <v>36</v>
      </c>
      <c r="B350" s="86"/>
      <c r="C350" s="86">
        <v>423.0</v>
      </c>
      <c r="D350" s="86" t="s">
        <v>923</v>
      </c>
      <c r="E350" s="86" t="s">
        <v>24</v>
      </c>
      <c r="F350" s="87">
        <v>41192.0</v>
      </c>
      <c r="G350" s="87">
        <v>42201.0</v>
      </c>
      <c r="H350" s="87">
        <v>42201.0</v>
      </c>
      <c r="I350" s="87">
        <v>44861.0</v>
      </c>
      <c r="J350" s="88">
        <v>14.99</v>
      </c>
      <c r="K350" s="88">
        <v>0.0</v>
      </c>
      <c r="L350" s="88">
        <v>14.99</v>
      </c>
      <c r="M350" s="86">
        <v>5.0</v>
      </c>
      <c r="N350" s="88">
        <v>0.0</v>
      </c>
    </row>
    <row r="351">
      <c r="A351" s="93" t="s">
        <v>36</v>
      </c>
      <c r="B351" s="86"/>
      <c r="C351" s="86">
        <v>376.0</v>
      </c>
      <c r="D351" s="86" t="s">
        <v>930</v>
      </c>
      <c r="E351" s="86" t="s">
        <v>24</v>
      </c>
      <c r="F351" s="87">
        <v>41486.0</v>
      </c>
      <c r="G351" s="87">
        <v>41558.0</v>
      </c>
      <c r="H351" s="87">
        <v>41558.0</v>
      </c>
      <c r="I351" s="87">
        <v>44793.0</v>
      </c>
      <c r="J351" s="88">
        <v>9.99</v>
      </c>
      <c r="K351" s="88">
        <v>9.99</v>
      </c>
      <c r="L351" s="88">
        <v>0.0</v>
      </c>
      <c r="M351" s="86">
        <v>30.0</v>
      </c>
      <c r="N351" s="88">
        <v>0.33</v>
      </c>
    </row>
    <row r="352">
      <c r="A352" s="86" t="s">
        <v>36</v>
      </c>
      <c r="B352" s="86"/>
      <c r="C352" s="86">
        <v>969.0</v>
      </c>
      <c r="D352" s="86" t="s">
        <v>957</v>
      </c>
      <c r="E352" s="86" t="s">
        <v>26</v>
      </c>
      <c r="F352" s="87">
        <v>41789.0</v>
      </c>
      <c r="G352" s="87">
        <v>42969.0</v>
      </c>
      <c r="H352" s="87">
        <v>42970.0</v>
      </c>
      <c r="I352" s="87">
        <v>43089.0</v>
      </c>
      <c r="J352" s="88">
        <v>17.49</v>
      </c>
      <c r="K352" s="88">
        <v>8.99</v>
      </c>
      <c r="L352" s="88">
        <v>8.5</v>
      </c>
      <c r="M352" s="86">
        <v>1.0</v>
      </c>
      <c r="N352" s="88">
        <v>8.99</v>
      </c>
    </row>
    <row r="353">
      <c r="A353" s="86" t="s">
        <v>36</v>
      </c>
      <c r="B353" s="86"/>
      <c r="C353" s="86">
        <v>634.0</v>
      </c>
      <c r="D353" s="86" t="s">
        <v>960</v>
      </c>
      <c r="E353" s="86" t="s">
        <v>26</v>
      </c>
      <c r="F353" s="87">
        <v>41901.0</v>
      </c>
      <c r="G353" s="87">
        <v>42811.0</v>
      </c>
      <c r="H353" s="87">
        <v>42811.0</v>
      </c>
      <c r="I353" s="87">
        <v>42811.0</v>
      </c>
      <c r="J353" s="88">
        <v>24.99</v>
      </c>
      <c r="K353" s="88">
        <v>4.99</v>
      </c>
      <c r="L353" s="88">
        <v>20.0</v>
      </c>
      <c r="M353" s="86">
        <v>1.0</v>
      </c>
      <c r="N353" s="88">
        <v>4.99</v>
      </c>
    </row>
    <row r="354">
      <c r="A354" s="86" t="s">
        <v>36</v>
      </c>
      <c r="B354" s="86"/>
      <c r="C354" s="86">
        <v>970.0</v>
      </c>
      <c r="D354" s="86" t="s">
        <v>975</v>
      </c>
      <c r="E354" s="86" t="s">
        <v>26</v>
      </c>
      <c r="F354" s="87">
        <v>42605.0</v>
      </c>
      <c r="G354" s="87">
        <v>42969.0</v>
      </c>
      <c r="H354" s="87">
        <v>42969.0</v>
      </c>
      <c r="I354" s="87">
        <v>42969.0</v>
      </c>
      <c r="J354" s="88">
        <v>17.49</v>
      </c>
      <c r="K354" s="88">
        <v>8.99</v>
      </c>
      <c r="L354" s="88">
        <v>8.5</v>
      </c>
      <c r="M354" s="86">
        <v>1.0</v>
      </c>
      <c r="N354" s="88">
        <v>8.99</v>
      </c>
    </row>
    <row r="355">
      <c r="A355" s="86" t="s">
        <v>36</v>
      </c>
      <c r="B355" s="86"/>
      <c r="C355" s="86">
        <v>971.0</v>
      </c>
      <c r="D355" s="86" t="s">
        <v>1001</v>
      </c>
      <c r="E355" s="86" t="s">
        <v>26</v>
      </c>
      <c r="F355" s="87">
        <v>44166.0</v>
      </c>
      <c r="G355" s="87">
        <v>44335.0</v>
      </c>
      <c r="H355" s="87">
        <v>44335.0</v>
      </c>
      <c r="I355" s="87">
        <v>44335.0</v>
      </c>
      <c r="J355" s="88">
        <v>14.99</v>
      </c>
      <c r="K355" s="88">
        <v>9.74</v>
      </c>
      <c r="L355" s="88">
        <v>5.25</v>
      </c>
      <c r="M355" s="86">
        <v>1.0</v>
      </c>
      <c r="N355" s="88">
        <v>9.74</v>
      </c>
    </row>
    <row r="356">
      <c r="A356" s="93" t="s">
        <v>36</v>
      </c>
      <c r="B356" s="93"/>
      <c r="C356" s="86">
        <v>688.0</v>
      </c>
      <c r="D356" s="86" t="s">
        <v>1018</v>
      </c>
      <c r="E356" s="86" t="s">
        <v>26</v>
      </c>
      <c r="F356" s="87">
        <v>45078.0</v>
      </c>
      <c r="G356" s="87">
        <v>45734.0</v>
      </c>
      <c r="H356" s="87">
        <v>45743.0</v>
      </c>
      <c r="I356" s="87">
        <v>45743.0</v>
      </c>
      <c r="J356" s="94">
        <v>24.99</v>
      </c>
      <c r="K356" s="94">
        <v>8.49</v>
      </c>
      <c r="L356" s="94">
        <v>16.5</v>
      </c>
      <c r="M356" s="86">
        <v>3.0</v>
      </c>
      <c r="N356" s="94">
        <v>2.83</v>
      </c>
    </row>
    <row r="357">
      <c r="A357" s="89"/>
      <c r="B357" s="89"/>
      <c r="C357" s="90"/>
      <c r="D357" s="89"/>
      <c r="E357" s="89"/>
      <c r="F357" s="89"/>
      <c r="G357" s="89"/>
      <c r="H357" s="89"/>
      <c r="I357" s="89"/>
      <c r="J357" s="91">
        <f t="shared" ref="J357:M357" si="52">SUM(J349:J356)</f>
        <v>137.91</v>
      </c>
      <c r="K357" s="91">
        <f t="shared" si="52"/>
        <v>64.17</v>
      </c>
      <c r="L357" s="91">
        <f t="shared" si="52"/>
        <v>73.74</v>
      </c>
      <c r="M357" s="89">
        <f t="shared" si="52"/>
        <v>43</v>
      </c>
      <c r="N357" s="91">
        <f>K357/M357</f>
        <v>1.492325581</v>
      </c>
    </row>
    <row r="358">
      <c r="A358" s="86" t="s">
        <v>36</v>
      </c>
      <c r="B358" s="86" t="s">
        <v>317</v>
      </c>
      <c r="C358" s="86">
        <v>508.0</v>
      </c>
      <c r="D358" s="86" t="s">
        <v>979</v>
      </c>
      <c r="E358" s="86" t="s">
        <v>26</v>
      </c>
      <c r="F358" s="87">
        <v>42696.0</v>
      </c>
      <c r="G358" s="87">
        <v>44139.0</v>
      </c>
      <c r="H358" s="87">
        <v>44139.0</v>
      </c>
      <c r="I358" s="87">
        <v>44139.0</v>
      </c>
      <c r="J358" s="88">
        <v>14.24</v>
      </c>
      <c r="K358" s="88">
        <v>1.56</v>
      </c>
      <c r="L358" s="88">
        <v>12.68</v>
      </c>
      <c r="M358" s="86">
        <v>1.0</v>
      </c>
      <c r="N358" s="88">
        <v>1.56</v>
      </c>
    </row>
    <row r="359">
      <c r="A359" s="86" t="s">
        <v>36</v>
      </c>
      <c r="B359" s="86" t="s">
        <v>318</v>
      </c>
      <c r="C359" s="86">
        <v>566.0</v>
      </c>
      <c r="D359" s="86" t="s">
        <v>972</v>
      </c>
      <c r="E359" s="86" t="s">
        <v>26</v>
      </c>
      <c r="F359" s="87">
        <v>42524.0</v>
      </c>
      <c r="G359" s="87">
        <v>43519.0</v>
      </c>
      <c r="H359" s="87">
        <v>43526.0</v>
      </c>
      <c r="I359" s="87">
        <v>43526.0</v>
      </c>
      <c r="J359" s="88">
        <v>7.99</v>
      </c>
      <c r="K359" s="88">
        <v>2.99</v>
      </c>
      <c r="L359" s="88">
        <v>5.0</v>
      </c>
      <c r="M359" s="86">
        <v>1.0</v>
      </c>
      <c r="N359" s="88">
        <v>2.99</v>
      </c>
    </row>
    <row r="360">
      <c r="A360" s="86" t="s">
        <v>36</v>
      </c>
      <c r="B360" s="86"/>
      <c r="C360" s="86">
        <v>567.0</v>
      </c>
      <c r="D360" s="86" t="s">
        <v>983</v>
      </c>
      <c r="E360" s="86" t="s">
        <v>26</v>
      </c>
      <c r="F360" s="87">
        <v>42885.0</v>
      </c>
      <c r="G360" s="87">
        <v>43519.0</v>
      </c>
      <c r="H360" s="87">
        <v>43520.0</v>
      </c>
      <c r="I360" s="87">
        <v>43520.0</v>
      </c>
      <c r="J360" s="88">
        <v>10.99</v>
      </c>
      <c r="K360" s="88">
        <v>2.99</v>
      </c>
      <c r="L360" s="88">
        <v>8.0</v>
      </c>
      <c r="M360" s="86">
        <v>1.0</v>
      </c>
      <c r="N360" s="88">
        <v>2.99</v>
      </c>
    </row>
    <row r="361">
      <c r="A361" s="86" t="s">
        <v>36</v>
      </c>
      <c r="B361" s="86"/>
      <c r="C361" s="86">
        <v>568.0</v>
      </c>
      <c r="D361" s="86" t="s">
        <v>989</v>
      </c>
      <c r="E361" s="86" t="s">
        <v>26</v>
      </c>
      <c r="F361" s="87">
        <v>43564.0</v>
      </c>
      <c r="G361" s="87">
        <v>44431.0</v>
      </c>
      <c r="H361" s="87">
        <v>44431.0</v>
      </c>
      <c r="I361" s="87">
        <v>44431.0</v>
      </c>
      <c r="J361" s="88">
        <v>29.99</v>
      </c>
      <c r="K361" s="88">
        <v>7.49</v>
      </c>
      <c r="L361" s="88">
        <v>22.5</v>
      </c>
      <c r="M361" s="86">
        <v>1.0</v>
      </c>
      <c r="N361" s="88">
        <v>7.49</v>
      </c>
    </row>
    <row r="362">
      <c r="A362" s="86" t="s">
        <v>36</v>
      </c>
      <c r="B362" s="86"/>
      <c r="C362" s="86">
        <v>1018.0</v>
      </c>
      <c r="D362" s="86" t="s">
        <v>1028</v>
      </c>
      <c r="E362" s="86" t="s">
        <v>27</v>
      </c>
      <c r="F362" s="87">
        <v>42682.0</v>
      </c>
      <c r="G362" s="87">
        <v>43804.0</v>
      </c>
      <c r="H362" s="87">
        <v>43810.0</v>
      </c>
      <c r="I362" s="87">
        <v>43810.0</v>
      </c>
      <c r="J362" s="88">
        <v>19.99</v>
      </c>
      <c r="K362" s="88">
        <v>7.99</v>
      </c>
      <c r="L362" s="88">
        <v>12.0</v>
      </c>
      <c r="M362" s="86">
        <v>2.0</v>
      </c>
      <c r="N362" s="88">
        <v>4.0</v>
      </c>
    </row>
    <row r="363">
      <c r="A363" s="89"/>
      <c r="B363" s="89"/>
      <c r="C363" s="90"/>
      <c r="D363" s="89"/>
      <c r="E363" s="89"/>
      <c r="F363" s="89"/>
      <c r="G363" s="89"/>
      <c r="H363" s="89"/>
      <c r="I363" s="89"/>
      <c r="J363" s="91">
        <f t="shared" ref="J363:M363" si="53">SUM(J359:J362)</f>
        <v>68.96</v>
      </c>
      <c r="K363" s="91">
        <f t="shared" si="53"/>
        <v>21.46</v>
      </c>
      <c r="L363" s="91">
        <f t="shared" si="53"/>
        <v>47.5</v>
      </c>
      <c r="M363" s="89">
        <f t="shared" si="53"/>
        <v>5</v>
      </c>
      <c r="N363" s="91">
        <f>K363/M363</f>
        <v>4.292</v>
      </c>
    </row>
    <row r="364">
      <c r="A364" s="86" t="s">
        <v>36</v>
      </c>
      <c r="B364" s="86" t="s">
        <v>319</v>
      </c>
      <c r="C364" s="86">
        <v>462.0</v>
      </c>
      <c r="D364" s="86" t="s">
        <v>950</v>
      </c>
      <c r="E364" s="86" t="s">
        <v>25</v>
      </c>
      <c r="F364" s="87">
        <v>41982.0</v>
      </c>
      <c r="G364" s="87">
        <v>42832.0</v>
      </c>
      <c r="H364" s="87">
        <v>42832.0</v>
      </c>
      <c r="I364" s="87">
        <v>44186.0</v>
      </c>
      <c r="J364" s="88">
        <v>5.49</v>
      </c>
      <c r="K364" s="88">
        <v>5.49</v>
      </c>
      <c r="L364" s="88">
        <v>0.0</v>
      </c>
      <c r="M364" s="86">
        <v>4.0</v>
      </c>
      <c r="N364" s="88">
        <v>1.37</v>
      </c>
    </row>
    <row r="365">
      <c r="A365" s="93" t="s">
        <v>36</v>
      </c>
      <c r="B365" s="86" t="s">
        <v>320</v>
      </c>
      <c r="C365" s="86">
        <v>1.0</v>
      </c>
      <c r="D365" s="86" t="s">
        <v>875</v>
      </c>
      <c r="E365" s="86" t="s">
        <v>21</v>
      </c>
      <c r="F365" s="87">
        <v>36192.0</v>
      </c>
      <c r="G365" s="87">
        <v>42877.0</v>
      </c>
      <c r="H365" s="87">
        <v>42877.0</v>
      </c>
      <c r="I365" s="87">
        <v>42877.0</v>
      </c>
      <c r="J365" s="88">
        <v>1.49</v>
      </c>
      <c r="K365" s="88">
        <v>1.49</v>
      </c>
      <c r="L365" s="88">
        <v>0.0</v>
      </c>
      <c r="M365" s="86">
        <v>15.0</v>
      </c>
      <c r="N365" s="88">
        <v>0.1</v>
      </c>
    </row>
    <row r="366">
      <c r="A366" s="93" t="s">
        <v>36</v>
      </c>
      <c r="B366" s="86"/>
      <c r="C366" s="86">
        <v>70.0</v>
      </c>
      <c r="D366" s="86" t="s">
        <v>879</v>
      </c>
      <c r="E366" s="86" t="s">
        <v>21</v>
      </c>
      <c r="F366" s="87">
        <v>36560.0</v>
      </c>
      <c r="G366" s="87">
        <v>42653.0</v>
      </c>
      <c r="H366" s="87">
        <v>45479.0</v>
      </c>
      <c r="I366" s="87">
        <v>45485.0</v>
      </c>
      <c r="J366" s="88">
        <v>1.99</v>
      </c>
      <c r="K366" s="88">
        <v>1.99</v>
      </c>
      <c r="L366" s="88">
        <v>0.0</v>
      </c>
      <c r="M366" s="86">
        <v>15.0</v>
      </c>
      <c r="N366" s="88">
        <v>0.13</v>
      </c>
    </row>
    <row r="367">
      <c r="A367" s="92" t="s">
        <v>36</v>
      </c>
      <c r="B367" s="86"/>
      <c r="C367" s="86">
        <v>3.0</v>
      </c>
      <c r="D367" s="86" t="s">
        <v>884</v>
      </c>
      <c r="E367" s="86" t="s">
        <v>21</v>
      </c>
      <c r="F367" s="87">
        <v>36924.0</v>
      </c>
      <c r="G367" s="87">
        <v>42877.0</v>
      </c>
      <c r="H367" s="87">
        <v>42877.0</v>
      </c>
      <c r="I367" s="87">
        <v>42877.0</v>
      </c>
      <c r="J367" s="88">
        <v>1.99</v>
      </c>
      <c r="K367" s="88">
        <v>1.99</v>
      </c>
      <c r="L367" s="88">
        <v>0.0</v>
      </c>
      <c r="M367" s="86">
        <v>10.0</v>
      </c>
      <c r="N367" s="88">
        <v>0.2</v>
      </c>
    </row>
    <row r="368">
      <c r="A368" s="92" t="s">
        <v>36</v>
      </c>
      <c r="B368" s="86"/>
      <c r="C368" s="86">
        <v>71.0</v>
      </c>
      <c r="D368" s="86" t="s">
        <v>885</v>
      </c>
      <c r="E368" s="86" t="s">
        <v>21</v>
      </c>
      <c r="F368" s="87">
        <v>36973.0</v>
      </c>
      <c r="G368" s="87">
        <v>42877.0</v>
      </c>
      <c r="H368" s="87">
        <v>42877.0</v>
      </c>
      <c r="I368" s="87">
        <v>42877.0</v>
      </c>
      <c r="J368" s="88">
        <v>1.99</v>
      </c>
      <c r="K368" s="88">
        <v>1.99</v>
      </c>
      <c r="L368" s="88">
        <v>0.0</v>
      </c>
      <c r="M368" s="86">
        <v>20.0</v>
      </c>
      <c r="N368" s="88">
        <v>0.1</v>
      </c>
    </row>
    <row r="369">
      <c r="A369" s="92" t="s">
        <v>36</v>
      </c>
      <c r="B369" s="86"/>
      <c r="C369" s="86">
        <v>140.0</v>
      </c>
      <c r="D369" s="86" t="s">
        <v>890</v>
      </c>
      <c r="E369" s="86" t="s">
        <v>22</v>
      </c>
      <c r="F369" s="87">
        <v>38898.0</v>
      </c>
      <c r="G369" s="87">
        <v>43373.0</v>
      </c>
      <c r="H369" s="87">
        <v>43373.0</v>
      </c>
      <c r="I369" s="87">
        <v>43373.0</v>
      </c>
      <c r="J369" s="88">
        <v>4.49</v>
      </c>
      <c r="K369" s="88">
        <v>4.49</v>
      </c>
      <c r="L369" s="88">
        <v>0.0</v>
      </c>
      <c r="M369" s="86">
        <v>1.0</v>
      </c>
      <c r="N369" s="88">
        <v>4.49</v>
      </c>
    </row>
    <row r="370">
      <c r="A370" s="92" t="s">
        <v>36</v>
      </c>
      <c r="B370" s="86"/>
      <c r="C370" s="86">
        <v>111.0</v>
      </c>
      <c r="D370" s="86" t="s">
        <v>891</v>
      </c>
      <c r="E370" s="86" t="s">
        <v>22</v>
      </c>
      <c r="F370" s="87">
        <v>39605.0</v>
      </c>
      <c r="G370" s="87">
        <v>42236.0</v>
      </c>
      <c r="H370" s="87">
        <v>42236.0</v>
      </c>
      <c r="I370" s="87">
        <v>42236.0</v>
      </c>
      <c r="J370" s="88">
        <v>9.99</v>
      </c>
      <c r="K370" s="88">
        <v>0.0</v>
      </c>
      <c r="L370" s="88">
        <v>9.99</v>
      </c>
      <c r="M370" s="86">
        <v>1.0</v>
      </c>
      <c r="N370" s="88">
        <v>0.0</v>
      </c>
    </row>
    <row r="371">
      <c r="A371" s="86" t="s">
        <v>36</v>
      </c>
      <c r="B371" s="86"/>
      <c r="C371" s="86">
        <v>112.0</v>
      </c>
      <c r="D371" s="86" t="s">
        <v>892</v>
      </c>
      <c r="E371" s="86" t="s">
        <v>22</v>
      </c>
      <c r="F371" s="87">
        <v>39731.0</v>
      </c>
      <c r="G371" s="87">
        <v>42236.0</v>
      </c>
      <c r="H371" s="87">
        <v>42236.0</v>
      </c>
      <c r="I371" s="87">
        <v>42236.0</v>
      </c>
      <c r="J371" s="88">
        <v>9.99</v>
      </c>
      <c r="K371" s="88">
        <v>0.0</v>
      </c>
      <c r="L371" s="88">
        <v>9.99</v>
      </c>
      <c r="M371" s="86">
        <v>1.0</v>
      </c>
      <c r="N371" s="88">
        <v>0.0</v>
      </c>
    </row>
    <row r="372">
      <c r="A372" s="86" t="s">
        <v>36</v>
      </c>
      <c r="B372" s="86"/>
      <c r="C372" s="86">
        <v>170.0</v>
      </c>
      <c r="D372" s="86" t="s">
        <v>899</v>
      </c>
      <c r="E372" s="86" t="s">
        <v>23</v>
      </c>
      <c r="F372" s="87">
        <v>40627.0</v>
      </c>
      <c r="G372" s="87">
        <v>42236.0</v>
      </c>
      <c r="H372" s="87">
        <v>42236.0</v>
      </c>
      <c r="I372" s="87">
        <v>42236.0</v>
      </c>
      <c r="J372" s="88">
        <v>4.99</v>
      </c>
      <c r="K372" s="88">
        <v>0.0</v>
      </c>
      <c r="L372" s="88">
        <v>4.99</v>
      </c>
      <c r="M372" s="86">
        <v>1.0</v>
      </c>
      <c r="N372" s="88">
        <v>0.0</v>
      </c>
    </row>
    <row r="373">
      <c r="A373" s="86" t="s">
        <v>36</v>
      </c>
      <c r="B373" s="86"/>
      <c r="C373" s="86">
        <v>171.0</v>
      </c>
      <c r="D373" s="86" t="s">
        <v>900</v>
      </c>
      <c r="E373" s="86" t="s">
        <v>23</v>
      </c>
      <c r="F373" s="87">
        <v>40676.0</v>
      </c>
      <c r="G373" s="87">
        <v>42236.0</v>
      </c>
      <c r="H373" s="87">
        <v>42236.0</v>
      </c>
      <c r="I373" s="87">
        <v>42236.0</v>
      </c>
      <c r="J373" s="88">
        <v>4.99</v>
      </c>
      <c r="K373" s="88">
        <v>0.0</v>
      </c>
      <c r="L373" s="88">
        <v>4.99</v>
      </c>
      <c r="M373" s="86">
        <v>1.0</v>
      </c>
      <c r="N373" s="88">
        <v>0.0</v>
      </c>
    </row>
    <row r="374">
      <c r="A374" s="93" t="s">
        <v>36</v>
      </c>
      <c r="B374" s="86"/>
      <c r="C374" s="86">
        <v>278.0</v>
      </c>
      <c r="D374" s="86" t="s">
        <v>911</v>
      </c>
      <c r="E374" s="86" t="s">
        <v>24</v>
      </c>
      <c r="F374" s="87">
        <v>40354.0</v>
      </c>
      <c r="G374" s="87">
        <v>42832.0</v>
      </c>
      <c r="H374" s="87">
        <v>42836.0</v>
      </c>
      <c r="I374" s="87">
        <v>45165.0</v>
      </c>
      <c r="J374" s="88">
        <v>20.0</v>
      </c>
      <c r="K374" s="88">
        <v>10.0</v>
      </c>
      <c r="L374" s="88">
        <v>10.0</v>
      </c>
      <c r="M374" s="86">
        <v>10.0</v>
      </c>
      <c r="N374" s="88">
        <v>1.0</v>
      </c>
    </row>
    <row r="375">
      <c r="A375" s="93" t="s">
        <v>36</v>
      </c>
      <c r="B375" s="86"/>
      <c r="C375" s="86">
        <v>279.0</v>
      </c>
      <c r="D375" s="86" t="s">
        <v>918</v>
      </c>
      <c r="E375" s="86" t="s">
        <v>24</v>
      </c>
      <c r="F375" s="87">
        <v>40865.0</v>
      </c>
      <c r="G375" s="87">
        <v>42832.0</v>
      </c>
      <c r="H375" s="87">
        <v>42832.0</v>
      </c>
      <c r="I375" s="87">
        <v>42832.0</v>
      </c>
      <c r="J375" s="88">
        <v>19.99</v>
      </c>
      <c r="K375" s="88">
        <v>9.99</v>
      </c>
      <c r="L375" s="88">
        <v>10.0</v>
      </c>
      <c r="M375" s="86">
        <v>10.0</v>
      </c>
      <c r="N375" s="88">
        <v>1.0</v>
      </c>
    </row>
    <row r="376">
      <c r="A376" s="93" t="s">
        <v>36</v>
      </c>
      <c r="B376" s="86"/>
      <c r="C376" s="86">
        <v>280.0</v>
      </c>
      <c r="D376" s="86" t="s">
        <v>921</v>
      </c>
      <c r="E376" s="86" t="s">
        <v>24</v>
      </c>
      <c r="F376" s="87">
        <v>41082.0</v>
      </c>
      <c r="G376" s="87">
        <v>42236.0</v>
      </c>
      <c r="H376" s="87">
        <v>42236.0</v>
      </c>
      <c r="I376" s="87">
        <v>44865.0</v>
      </c>
      <c r="J376" s="88">
        <v>19.99</v>
      </c>
      <c r="K376" s="88">
        <v>0.0</v>
      </c>
      <c r="L376" s="88">
        <v>19.99</v>
      </c>
      <c r="M376" s="86">
        <v>30.0</v>
      </c>
      <c r="N376" s="88">
        <v>0.0</v>
      </c>
    </row>
    <row r="377">
      <c r="A377" s="93" t="s">
        <v>36</v>
      </c>
      <c r="B377" s="86"/>
      <c r="C377" s="86">
        <v>281.0</v>
      </c>
      <c r="D377" s="86" t="s">
        <v>932</v>
      </c>
      <c r="E377" s="86" t="s">
        <v>24</v>
      </c>
      <c r="F377" s="87">
        <v>41593.0</v>
      </c>
      <c r="G377" s="87">
        <v>44203.0</v>
      </c>
      <c r="H377" s="87">
        <v>44220.0</v>
      </c>
      <c r="I377" s="87">
        <v>44222.0</v>
      </c>
      <c r="J377" s="88">
        <v>39.99</v>
      </c>
      <c r="K377" s="88">
        <v>9.99</v>
      </c>
      <c r="L377" s="88">
        <v>30.0</v>
      </c>
      <c r="M377" s="86">
        <v>7.0</v>
      </c>
      <c r="N377" s="88">
        <v>1.43</v>
      </c>
    </row>
    <row r="378">
      <c r="A378" s="86" t="s">
        <v>36</v>
      </c>
      <c r="B378" s="86"/>
      <c r="C378" s="86">
        <v>468.0</v>
      </c>
      <c r="D378" s="86" t="s">
        <v>940</v>
      </c>
      <c r="E378" s="86" t="s">
        <v>25</v>
      </c>
      <c r="F378" s="87">
        <v>41194.0</v>
      </c>
      <c r="G378" s="87">
        <v>43373.0</v>
      </c>
      <c r="H378" s="87">
        <v>45041.0</v>
      </c>
      <c r="I378" s="87">
        <v>45043.0</v>
      </c>
      <c r="J378" s="88">
        <v>19.99</v>
      </c>
      <c r="K378" s="88">
        <v>19.99</v>
      </c>
      <c r="L378" s="88">
        <v>0.0</v>
      </c>
      <c r="M378" s="86">
        <v>25.0</v>
      </c>
      <c r="N378" s="88">
        <v>0.8</v>
      </c>
    </row>
    <row r="379">
      <c r="A379" s="86" t="s">
        <v>36</v>
      </c>
      <c r="B379" s="86"/>
      <c r="C379" s="86">
        <v>697.0</v>
      </c>
      <c r="D379" s="86" t="s">
        <v>980</v>
      </c>
      <c r="E379" s="86" t="s">
        <v>26</v>
      </c>
      <c r="F379" s="87">
        <v>42832.0</v>
      </c>
      <c r="G379" s="87">
        <v>43519.0</v>
      </c>
      <c r="H379" s="87">
        <v>43527.0</v>
      </c>
      <c r="I379" s="87">
        <v>43540.0</v>
      </c>
      <c r="J379" s="88">
        <v>59.99</v>
      </c>
      <c r="K379" s="88">
        <v>16.99</v>
      </c>
      <c r="L379" s="88">
        <v>43.0</v>
      </c>
      <c r="M379" s="86">
        <v>10.0</v>
      </c>
      <c r="N379" s="88">
        <v>1.7</v>
      </c>
    </row>
    <row r="380">
      <c r="A380" s="86" t="s">
        <v>36</v>
      </c>
      <c r="B380" s="86"/>
      <c r="C380" s="86">
        <v>698.0</v>
      </c>
      <c r="D380" s="86" t="s">
        <v>988</v>
      </c>
      <c r="E380" s="86" t="s">
        <v>26</v>
      </c>
      <c r="F380" s="87">
        <v>43392.0</v>
      </c>
      <c r="G380" s="87">
        <v>44539.0</v>
      </c>
      <c r="H380" s="87">
        <v>44539.0</v>
      </c>
      <c r="I380" s="87">
        <v>44539.0</v>
      </c>
      <c r="J380" s="88">
        <v>59.99</v>
      </c>
      <c r="K380" s="88">
        <v>0.0</v>
      </c>
      <c r="L380" s="88">
        <v>59.99</v>
      </c>
      <c r="M380" s="86">
        <v>1.0</v>
      </c>
      <c r="N380" s="88">
        <v>0.0</v>
      </c>
    </row>
    <row r="381">
      <c r="A381" s="86" t="s">
        <v>36</v>
      </c>
      <c r="B381" s="86"/>
      <c r="C381" s="86">
        <v>699.0</v>
      </c>
      <c r="D381" s="86" t="s">
        <v>1012</v>
      </c>
      <c r="E381" s="86" t="s">
        <v>26</v>
      </c>
      <c r="F381" s="87">
        <v>44656.0</v>
      </c>
      <c r="G381" s="87">
        <v>45511.0</v>
      </c>
      <c r="H381" s="87">
        <v>45511.0</v>
      </c>
      <c r="I381" s="87">
        <v>45511.0</v>
      </c>
      <c r="J381" s="88">
        <v>59.99</v>
      </c>
      <c r="K381" s="88">
        <v>0.0</v>
      </c>
      <c r="L381" s="88">
        <v>59.99</v>
      </c>
      <c r="M381" s="86">
        <v>1.0</v>
      </c>
      <c r="N381" s="88">
        <v>0.0</v>
      </c>
    </row>
    <row r="382">
      <c r="A382" s="89"/>
      <c r="B382" s="89"/>
      <c r="C382" s="90"/>
      <c r="D382" s="89"/>
      <c r="E382" s="89"/>
      <c r="F382" s="89"/>
      <c r="G382" s="89"/>
      <c r="H382" s="89"/>
      <c r="I382" s="89"/>
      <c r="J382" s="91">
        <f t="shared" ref="J382:M382" si="54">SUM(J365:J381)</f>
        <v>341.84</v>
      </c>
      <c r="K382" s="91">
        <f t="shared" si="54"/>
        <v>78.91</v>
      </c>
      <c r="L382" s="91">
        <f t="shared" si="54"/>
        <v>262.93</v>
      </c>
      <c r="M382" s="89">
        <f t="shared" si="54"/>
        <v>159</v>
      </c>
      <c r="N382" s="91">
        <f>K382/M382</f>
        <v>0.4962893082</v>
      </c>
    </row>
    <row r="383">
      <c r="A383" s="86" t="s">
        <v>36</v>
      </c>
      <c r="B383" s="86" t="s">
        <v>321</v>
      </c>
      <c r="C383" s="86">
        <v>546.0</v>
      </c>
      <c r="D383" s="86" t="s">
        <v>969</v>
      </c>
      <c r="E383" s="86" t="s">
        <v>26</v>
      </c>
      <c r="F383" s="87">
        <v>42320.0</v>
      </c>
      <c r="G383" s="87">
        <v>42939.0</v>
      </c>
      <c r="H383" s="87">
        <v>42939.0</v>
      </c>
      <c r="I383" s="87">
        <v>42939.0</v>
      </c>
      <c r="J383" s="88">
        <v>9.99</v>
      </c>
      <c r="K383" s="88">
        <v>2.99</v>
      </c>
      <c r="L383" s="88">
        <v>7.0</v>
      </c>
      <c r="M383" s="86">
        <v>1.0</v>
      </c>
      <c r="N383" s="88">
        <v>2.99</v>
      </c>
    </row>
    <row r="384">
      <c r="A384" s="86" t="s">
        <v>36</v>
      </c>
      <c r="B384" s="86" t="s">
        <v>322</v>
      </c>
      <c r="C384" s="86">
        <v>948.0</v>
      </c>
      <c r="D384" s="86" t="s">
        <v>993</v>
      </c>
      <c r="E384" s="86" t="s">
        <v>26</v>
      </c>
      <c r="F384" s="87">
        <v>43886.0</v>
      </c>
      <c r="G384" s="87">
        <v>44006.0</v>
      </c>
      <c r="H384" s="87">
        <v>44006.0</v>
      </c>
      <c r="I384" s="87">
        <v>44385.0</v>
      </c>
      <c r="J384" s="88">
        <v>56.98</v>
      </c>
      <c r="K384" s="88">
        <v>37.58</v>
      </c>
      <c r="L384" s="88">
        <v>19.4</v>
      </c>
      <c r="M384" s="86">
        <v>15.0</v>
      </c>
      <c r="N384" s="88">
        <v>2.51</v>
      </c>
    </row>
    <row r="385">
      <c r="A385" s="86" t="s">
        <v>36</v>
      </c>
      <c r="B385" s="86"/>
      <c r="C385" s="86">
        <v>949.0</v>
      </c>
      <c r="D385" s="86" t="s">
        <v>1013</v>
      </c>
      <c r="E385" s="86" t="s">
        <v>26</v>
      </c>
      <c r="F385" s="87">
        <v>44782.0</v>
      </c>
      <c r="G385" s="87">
        <v>45143.0</v>
      </c>
      <c r="H385" s="87">
        <v>45424.0</v>
      </c>
      <c r="I385" s="87">
        <v>45430.0</v>
      </c>
      <c r="J385" s="88">
        <v>29.99</v>
      </c>
      <c r="K385" s="88">
        <v>14.99</v>
      </c>
      <c r="L385" s="88">
        <v>15.0</v>
      </c>
      <c r="M385" s="86">
        <v>1.0</v>
      </c>
      <c r="N385" s="88">
        <v>14.99</v>
      </c>
    </row>
    <row r="386">
      <c r="A386" s="89"/>
      <c r="B386" s="89"/>
      <c r="C386" s="90"/>
      <c r="D386" s="89"/>
      <c r="E386" s="89"/>
      <c r="F386" s="89"/>
      <c r="G386" s="89"/>
      <c r="H386" s="89"/>
      <c r="I386" s="89"/>
      <c r="J386" s="91">
        <f t="shared" ref="J386:M386" si="55">SUM(J384:J385)</f>
        <v>86.97</v>
      </c>
      <c r="K386" s="91">
        <f t="shared" si="55"/>
        <v>52.57</v>
      </c>
      <c r="L386" s="91">
        <f t="shared" si="55"/>
        <v>34.4</v>
      </c>
      <c r="M386" s="89">
        <f t="shared" si="55"/>
        <v>16</v>
      </c>
      <c r="N386" s="91">
        <f>K386/M386</f>
        <v>3.285625</v>
      </c>
    </row>
    <row r="387">
      <c r="A387" s="92" t="s">
        <v>36</v>
      </c>
      <c r="B387" s="86" t="s">
        <v>323</v>
      </c>
      <c r="C387" s="86">
        <v>92.0</v>
      </c>
      <c r="D387" s="86" t="s">
        <v>893</v>
      </c>
      <c r="E387" s="86" t="s">
        <v>22</v>
      </c>
      <c r="F387" s="87">
        <v>40115.0</v>
      </c>
      <c r="G387" s="87">
        <v>40336.0</v>
      </c>
      <c r="H387" s="87">
        <v>40336.0</v>
      </c>
      <c r="I387" s="87">
        <v>44125.0</v>
      </c>
      <c r="J387" s="88">
        <v>2.5</v>
      </c>
      <c r="K387" s="88">
        <v>2.5</v>
      </c>
      <c r="L387" s="88">
        <v>0.0</v>
      </c>
      <c r="M387" s="86">
        <v>10.0</v>
      </c>
      <c r="N387" s="88">
        <v>0.25</v>
      </c>
    </row>
    <row r="388">
      <c r="A388" s="93" t="s">
        <v>36</v>
      </c>
      <c r="B388" s="86"/>
      <c r="C388" s="86">
        <v>228.0</v>
      </c>
      <c r="D388" s="86" t="s">
        <v>912</v>
      </c>
      <c r="E388" s="86" t="s">
        <v>24</v>
      </c>
      <c r="F388" s="87">
        <v>40473.0</v>
      </c>
      <c r="G388" s="87">
        <v>44115.0</v>
      </c>
      <c r="H388" s="87">
        <v>45127.0</v>
      </c>
      <c r="I388" s="87">
        <v>45134.0</v>
      </c>
      <c r="J388" s="88">
        <v>2.5</v>
      </c>
      <c r="K388" s="88">
        <v>2.5</v>
      </c>
      <c r="L388" s="88">
        <v>0.0</v>
      </c>
      <c r="M388" s="86">
        <v>5.0</v>
      </c>
      <c r="N388" s="88">
        <v>0.5</v>
      </c>
    </row>
    <row r="389">
      <c r="A389" s="89"/>
      <c r="B389" s="89"/>
      <c r="C389" s="90"/>
      <c r="D389" s="89"/>
      <c r="E389" s="89"/>
      <c r="F389" s="89"/>
      <c r="G389" s="89"/>
      <c r="H389" s="89"/>
      <c r="I389" s="89"/>
      <c r="J389" s="91">
        <f t="shared" ref="J389:M389" si="56">SUM(J387:J388)</f>
        <v>5</v>
      </c>
      <c r="K389" s="91">
        <f t="shared" si="56"/>
        <v>5</v>
      </c>
      <c r="L389" s="91">
        <f t="shared" si="56"/>
        <v>0</v>
      </c>
      <c r="M389" s="89">
        <f t="shared" si="56"/>
        <v>15</v>
      </c>
      <c r="N389" s="91">
        <f>K389/M389</f>
        <v>0.3333333333</v>
      </c>
    </row>
    <row r="390">
      <c r="A390" s="86" t="s">
        <v>36</v>
      </c>
      <c r="B390" s="86" t="s">
        <v>324</v>
      </c>
      <c r="C390" s="86">
        <v>12.0</v>
      </c>
      <c r="D390" s="86" t="s">
        <v>866</v>
      </c>
      <c r="E390" s="86" t="s">
        <v>21</v>
      </c>
      <c r="F390" s="87">
        <v>34992.0</v>
      </c>
      <c r="G390" s="87">
        <v>43014.0</v>
      </c>
      <c r="H390" s="87">
        <v>43014.0</v>
      </c>
      <c r="I390" s="87">
        <v>43014.0</v>
      </c>
      <c r="J390" s="88">
        <v>4.99</v>
      </c>
      <c r="K390" s="88">
        <v>2.99</v>
      </c>
      <c r="L390" s="88">
        <v>2.0</v>
      </c>
      <c r="M390" s="86">
        <v>10.0</v>
      </c>
      <c r="N390" s="88">
        <v>0.3</v>
      </c>
    </row>
    <row r="391">
      <c r="A391" s="86" t="s">
        <v>36</v>
      </c>
      <c r="B391" s="86"/>
      <c r="C391" s="86">
        <v>15.0</v>
      </c>
      <c r="D391" s="86" t="s">
        <v>876</v>
      </c>
      <c r="E391" s="86" t="s">
        <v>21</v>
      </c>
      <c r="F391" s="87">
        <v>36336.0</v>
      </c>
      <c r="G391" s="87">
        <v>42218.0</v>
      </c>
      <c r="H391" s="87">
        <v>42218.0</v>
      </c>
      <c r="I391" s="87">
        <v>42218.0</v>
      </c>
      <c r="J391" s="88">
        <v>2.49</v>
      </c>
      <c r="K391" s="88">
        <v>2.49</v>
      </c>
      <c r="L391" s="88">
        <v>0.0</v>
      </c>
      <c r="M391" s="86">
        <v>5.0</v>
      </c>
      <c r="N391" s="88">
        <v>0.5</v>
      </c>
    </row>
    <row r="392">
      <c r="A392" s="89"/>
      <c r="B392" s="89"/>
      <c r="C392" s="90"/>
      <c r="D392" s="89"/>
      <c r="E392" s="89"/>
      <c r="F392" s="89"/>
      <c r="G392" s="89"/>
      <c r="H392" s="89"/>
      <c r="I392" s="89"/>
      <c r="J392" s="91">
        <f t="shared" ref="J392:M392" si="57">SUM(J390:J391)</f>
        <v>7.48</v>
      </c>
      <c r="K392" s="91">
        <f t="shared" si="57"/>
        <v>5.48</v>
      </c>
      <c r="L392" s="91">
        <f t="shared" si="57"/>
        <v>2</v>
      </c>
      <c r="M392" s="89">
        <f t="shared" si="57"/>
        <v>15</v>
      </c>
      <c r="N392" s="91">
        <f>K392/M392</f>
        <v>0.3653333333</v>
      </c>
    </row>
    <row r="393">
      <c r="A393" s="86" t="s">
        <v>36</v>
      </c>
      <c r="B393" s="86" t="s">
        <v>325</v>
      </c>
      <c r="C393" s="86">
        <v>1047.0</v>
      </c>
      <c r="D393" s="86" t="s">
        <v>1030</v>
      </c>
      <c r="E393" s="86" t="s">
        <v>27</v>
      </c>
      <c r="F393" s="87">
        <v>42990.0</v>
      </c>
      <c r="G393" s="87">
        <v>43615.0</v>
      </c>
      <c r="H393" s="87">
        <v>43616.0</v>
      </c>
      <c r="I393" s="87">
        <v>43616.0</v>
      </c>
      <c r="J393" s="88">
        <v>24.99</v>
      </c>
      <c r="K393" s="88">
        <v>9.99</v>
      </c>
      <c r="L393" s="88">
        <v>15.0</v>
      </c>
      <c r="M393" s="86">
        <v>1.0</v>
      </c>
      <c r="N393" s="88">
        <v>9.99</v>
      </c>
    </row>
    <row r="394">
      <c r="A394" s="86" t="s">
        <v>36</v>
      </c>
      <c r="B394" s="86" t="s">
        <v>326</v>
      </c>
      <c r="C394" s="86">
        <v>1010.0</v>
      </c>
      <c r="D394" s="86" t="s">
        <v>1021</v>
      </c>
      <c r="E394" s="86" t="s">
        <v>27</v>
      </c>
      <c r="F394" s="87">
        <v>42290.0</v>
      </c>
      <c r="G394" s="87">
        <v>43468.0</v>
      </c>
      <c r="H394" s="87">
        <v>43468.0</v>
      </c>
      <c r="I394" s="87">
        <v>43468.0</v>
      </c>
      <c r="J394" s="88">
        <v>19.99</v>
      </c>
      <c r="K394" s="88">
        <v>9.99</v>
      </c>
      <c r="L394" s="88">
        <v>10.0</v>
      </c>
      <c r="M394" s="86">
        <v>1.0</v>
      </c>
      <c r="N394" s="88">
        <v>9.99</v>
      </c>
    </row>
    <row r="395">
      <c r="A395" s="86" t="s">
        <v>36</v>
      </c>
      <c r="B395" s="86" t="s">
        <v>327</v>
      </c>
      <c r="C395" s="86">
        <v>904.0</v>
      </c>
      <c r="D395" s="86" t="s">
        <v>985</v>
      </c>
      <c r="E395" s="86" t="s">
        <v>26</v>
      </c>
      <c r="F395" s="87">
        <v>42920.0</v>
      </c>
      <c r="G395" s="87">
        <v>42920.0</v>
      </c>
      <c r="H395" s="87">
        <v>42920.0</v>
      </c>
      <c r="I395" s="87">
        <v>42920.0</v>
      </c>
      <c r="J395" s="88">
        <v>0.0</v>
      </c>
      <c r="K395" s="88">
        <v>0.0</v>
      </c>
      <c r="L395" s="88">
        <v>0.0</v>
      </c>
      <c r="M395" s="86">
        <v>1.0</v>
      </c>
      <c r="N395" s="88">
        <v>0.0</v>
      </c>
    </row>
    <row r="396">
      <c r="A396" s="86" t="s">
        <v>36</v>
      </c>
      <c r="B396" s="86" t="s">
        <v>328</v>
      </c>
      <c r="C396" s="86">
        <v>1009.0</v>
      </c>
      <c r="D396" s="86" t="s">
        <v>1032</v>
      </c>
      <c r="E396" s="86" t="s">
        <v>27</v>
      </c>
      <c r="F396" s="87">
        <v>43979.0</v>
      </c>
      <c r="G396" s="87">
        <v>44252.0</v>
      </c>
      <c r="H396" s="87">
        <v>44254.0</v>
      </c>
      <c r="I396" s="87">
        <v>44254.0</v>
      </c>
      <c r="J396" s="88">
        <v>18.99</v>
      </c>
      <c r="K396" s="88">
        <v>11.39</v>
      </c>
      <c r="L396" s="88">
        <v>7.6</v>
      </c>
      <c r="M396" s="86">
        <v>2.0</v>
      </c>
      <c r="N396" s="88">
        <v>5.7</v>
      </c>
    </row>
    <row r="397">
      <c r="A397" s="93" t="s">
        <v>36</v>
      </c>
      <c r="B397" s="86" t="s">
        <v>329</v>
      </c>
      <c r="C397" s="86">
        <v>328.0</v>
      </c>
      <c r="D397" s="86" t="s">
        <v>938</v>
      </c>
      <c r="E397" s="86" t="s">
        <v>24</v>
      </c>
      <c r="F397" s="87">
        <v>42269.0</v>
      </c>
      <c r="G397" s="87">
        <v>42939.0</v>
      </c>
      <c r="H397" s="87">
        <v>42939.0</v>
      </c>
      <c r="I397" s="87">
        <v>42939.0</v>
      </c>
      <c r="J397" s="88">
        <v>9.99</v>
      </c>
      <c r="K397" s="88">
        <v>2.99</v>
      </c>
      <c r="L397" s="88">
        <v>7.0</v>
      </c>
      <c r="M397" s="86">
        <v>1.0</v>
      </c>
      <c r="N397" s="88">
        <v>2.99</v>
      </c>
    </row>
    <row r="398">
      <c r="A398" s="333"/>
      <c r="B398" s="331"/>
      <c r="C398" s="332"/>
      <c r="D398" s="333"/>
      <c r="E398" s="333"/>
      <c r="F398" s="333"/>
      <c r="G398" s="333"/>
      <c r="H398" s="333"/>
      <c r="I398" s="333"/>
      <c r="J398" s="334"/>
      <c r="K398" s="334"/>
      <c r="L398" s="334"/>
      <c r="M398" s="333"/>
      <c r="N398" s="334"/>
    </row>
    <row r="399">
      <c r="A399" s="357" t="s">
        <v>331</v>
      </c>
      <c r="B399" s="357" t="s">
        <v>330</v>
      </c>
      <c r="C399" s="358">
        <v>1100.0</v>
      </c>
      <c r="D399" s="358" t="s">
        <v>1037</v>
      </c>
      <c r="E399" s="358" t="s">
        <v>26</v>
      </c>
      <c r="F399" s="377">
        <v>44285.0</v>
      </c>
      <c r="G399" s="377">
        <v>46016.0</v>
      </c>
      <c r="H399" s="377">
        <v>46016.0</v>
      </c>
      <c r="I399" s="377">
        <v>46016.0</v>
      </c>
      <c r="J399" s="360">
        <v>39.99</v>
      </c>
      <c r="K399" s="360">
        <v>0.0</v>
      </c>
      <c r="L399" s="360">
        <v>39.99</v>
      </c>
      <c r="M399" s="358">
        <v>1.0</v>
      </c>
      <c r="N399" s="360">
        <v>0.0</v>
      </c>
    </row>
    <row r="400">
      <c r="A400" s="333"/>
      <c r="B400" s="331"/>
      <c r="C400" s="332"/>
      <c r="D400" s="333"/>
      <c r="E400" s="333"/>
      <c r="F400" s="333"/>
      <c r="G400" s="333"/>
      <c r="H400" s="333"/>
      <c r="I400" s="333"/>
      <c r="J400" s="334"/>
      <c r="K400" s="334"/>
      <c r="L400" s="334"/>
      <c r="M400" s="333"/>
      <c r="N400" s="334"/>
    </row>
    <row r="401">
      <c r="A401" s="357" t="s">
        <v>333</v>
      </c>
      <c r="B401" s="357" t="s">
        <v>332</v>
      </c>
      <c r="C401" s="357">
        <v>382.0</v>
      </c>
      <c r="D401" s="357" t="s">
        <v>1046</v>
      </c>
      <c r="E401" s="357" t="s">
        <v>24</v>
      </c>
      <c r="F401" s="365">
        <v>41955.0</v>
      </c>
      <c r="G401" s="365">
        <v>42832.0</v>
      </c>
      <c r="H401" s="365">
        <v>44027.0</v>
      </c>
      <c r="I401" s="365">
        <v>44027.0</v>
      </c>
      <c r="J401" s="366">
        <v>9.98</v>
      </c>
      <c r="K401" s="366">
        <v>9.98</v>
      </c>
      <c r="L401" s="366">
        <v>0.0</v>
      </c>
      <c r="M401" s="357">
        <v>5.0</v>
      </c>
      <c r="N401" s="366">
        <v>2.0</v>
      </c>
    </row>
    <row r="402">
      <c r="A402" s="359" t="s">
        <v>333</v>
      </c>
      <c r="B402" s="357"/>
      <c r="C402" s="357">
        <v>495.0</v>
      </c>
      <c r="D402" s="357" t="s">
        <v>1048</v>
      </c>
      <c r="E402" s="357" t="s">
        <v>25</v>
      </c>
      <c r="F402" s="365">
        <v>42752.0</v>
      </c>
      <c r="G402" s="365">
        <v>42950.0</v>
      </c>
      <c r="H402" s="365">
        <v>42950.0</v>
      </c>
      <c r="I402" s="365">
        <v>42950.0</v>
      </c>
      <c r="J402" s="366">
        <v>9.99</v>
      </c>
      <c r="K402" s="366">
        <v>3.99</v>
      </c>
      <c r="L402" s="366">
        <v>6.0</v>
      </c>
      <c r="M402" s="357">
        <v>1.0</v>
      </c>
      <c r="N402" s="366">
        <v>3.99</v>
      </c>
    </row>
    <row r="403">
      <c r="A403" s="357" t="s">
        <v>333</v>
      </c>
      <c r="B403" s="357"/>
      <c r="C403" s="357">
        <v>764.0</v>
      </c>
      <c r="D403" s="357" t="s">
        <v>1051</v>
      </c>
      <c r="E403" s="357" t="s">
        <v>26</v>
      </c>
      <c r="F403" s="365">
        <v>42521.0</v>
      </c>
      <c r="G403" s="365">
        <v>42811.0</v>
      </c>
      <c r="H403" s="365">
        <v>42823.0</v>
      </c>
      <c r="I403" s="365">
        <v>45425.0</v>
      </c>
      <c r="J403" s="366">
        <v>14.99</v>
      </c>
      <c r="K403" s="366">
        <v>4.49</v>
      </c>
      <c r="L403" s="366">
        <v>10.5</v>
      </c>
      <c r="M403" s="357">
        <v>33.0</v>
      </c>
      <c r="N403" s="366">
        <v>0.14</v>
      </c>
    </row>
    <row r="404">
      <c r="A404" s="23"/>
      <c r="B404" s="23"/>
      <c r="C404" s="23"/>
      <c r="D404" s="23"/>
      <c r="E404" s="22"/>
      <c r="F404" s="22"/>
      <c r="G404" s="22"/>
      <c r="H404" s="22"/>
      <c r="I404" s="22"/>
      <c r="J404" s="378">
        <f t="shared" ref="J404:M404" si="58">SUM(J401:J403)</f>
        <v>34.96</v>
      </c>
      <c r="K404" s="378">
        <f t="shared" si="58"/>
        <v>18.46</v>
      </c>
      <c r="L404" s="378">
        <f t="shared" si="58"/>
        <v>16.5</v>
      </c>
      <c r="M404" s="22">
        <f t="shared" si="58"/>
        <v>39</v>
      </c>
      <c r="N404" s="378">
        <f>K404/M404</f>
        <v>0.4733333333</v>
      </c>
    </row>
    <row r="405">
      <c r="A405" s="357" t="s">
        <v>333</v>
      </c>
      <c r="B405" s="357" t="s">
        <v>334</v>
      </c>
      <c r="C405" s="357">
        <v>973.0</v>
      </c>
      <c r="D405" s="357" t="s">
        <v>1053</v>
      </c>
      <c r="E405" s="357" t="s">
        <v>26</v>
      </c>
      <c r="F405" s="365">
        <v>43704.0</v>
      </c>
      <c r="G405" s="365">
        <v>44334.0</v>
      </c>
      <c r="H405" s="365">
        <v>44342.0</v>
      </c>
      <c r="I405" s="365">
        <v>44354.0</v>
      </c>
      <c r="J405" s="366">
        <v>29.99</v>
      </c>
      <c r="K405" s="366">
        <v>0.0</v>
      </c>
      <c r="L405" s="366">
        <v>29.99</v>
      </c>
      <c r="M405" s="357">
        <v>43.0</v>
      </c>
      <c r="N405" s="366">
        <v>0.0</v>
      </c>
    </row>
    <row r="406">
      <c r="A406" s="357" t="s">
        <v>333</v>
      </c>
      <c r="B406" s="357" t="s">
        <v>335</v>
      </c>
      <c r="C406" s="357">
        <v>549.0</v>
      </c>
      <c r="D406" s="357" t="s">
        <v>1052</v>
      </c>
      <c r="E406" s="357" t="s">
        <v>26</v>
      </c>
      <c r="F406" s="365">
        <v>42962.0</v>
      </c>
      <c r="G406" s="365">
        <v>43699.0</v>
      </c>
      <c r="H406" s="365">
        <v>43701.0</v>
      </c>
      <c r="I406" s="365">
        <v>43701.0</v>
      </c>
      <c r="J406" s="366">
        <v>139.98</v>
      </c>
      <c r="K406" s="366">
        <v>84.98</v>
      </c>
      <c r="L406" s="366">
        <v>55.0</v>
      </c>
      <c r="M406" s="357">
        <v>2.0</v>
      </c>
      <c r="N406" s="366">
        <v>42.49</v>
      </c>
    </row>
    <row r="407">
      <c r="A407" s="359" t="s">
        <v>333</v>
      </c>
      <c r="B407" s="357" t="s">
        <v>336</v>
      </c>
      <c r="C407" s="357">
        <v>396.0</v>
      </c>
      <c r="D407" s="357" t="s">
        <v>1045</v>
      </c>
      <c r="E407" s="357" t="s">
        <v>24</v>
      </c>
      <c r="F407" s="365">
        <v>41857.0</v>
      </c>
      <c r="G407" s="365">
        <v>42875.0</v>
      </c>
      <c r="H407" s="365">
        <v>42875.0</v>
      </c>
      <c r="I407" s="365">
        <v>42875.0</v>
      </c>
      <c r="J407" s="366">
        <v>14.99</v>
      </c>
      <c r="K407" s="366">
        <v>3.99</v>
      </c>
      <c r="L407" s="366">
        <v>11.0</v>
      </c>
      <c r="M407" s="357">
        <v>4.0</v>
      </c>
      <c r="N407" s="366">
        <v>1.0</v>
      </c>
    </row>
    <row r="408">
      <c r="A408" s="359" t="s">
        <v>333</v>
      </c>
      <c r="B408" s="357" t="s">
        <v>337</v>
      </c>
      <c r="C408" s="357">
        <v>409.0</v>
      </c>
      <c r="D408" s="357" t="s">
        <v>1040</v>
      </c>
      <c r="E408" s="357" t="s">
        <v>24</v>
      </c>
      <c r="F408" s="365">
        <v>40073.0</v>
      </c>
      <c r="G408" s="365">
        <v>42951.0</v>
      </c>
      <c r="H408" s="365">
        <v>43095.0</v>
      </c>
      <c r="I408" s="365">
        <v>45183.0</v>
      </c>
      <c r="J408" s="366">
        <v>9.99</v>
      </c>
      <c r="K408" s="366">
        <v>2.99</v>
      </c>
      <c r="L408" s="366">
        <v>7.0</v>
      </c>
      <c r="M408" s="357">
        <v>2.0</v>
      </c>
      <c r="N408" s="366">
        <v>1.5</v>
      </c>
    </row>
    <row r="409">
      <c r="A409" s="359" t="s">
        <v>333</v>
      </c>
      <c r="B409" s="357"/>
      <c r="C409" s="357">
        <v>410.0</v>
      </c>
      <c r="D409" s="357" t="s">
        <v>1041</v>
      </c>
      <c r="E409" s="357" t="s">
        <v>24</v>
      </c>
      <c r="F409" s="365">
        <v>40975.0</v>
      </c>
      <c r="G409" s="365">
        <v>42951.0</v>
      </c>
      <c r="H409" s="365">
        <v>43095.0</v>
      </c>
      <c r="I409" s="365">
        <v>43095.0</v>
      </c>
      <c r="J409" s="366">
        <v>9.99</v>
      </c>
      <c r="K409" s="366">
        <v>2.99</v>
      </c>
      <c r="L409" s="366">
        <v>7.0</v>
      </c>
      <c r="M409" s="357">
        <v>1.0</v>
      </c>
      <c r="N409" s="366">
        <v>2.99</v>
      </c>
    </row>
    <row r="410">
      <c r="A410" s="357" t="s">
        <v>333</v>
      </c>
      <c r="B410" s="357"/>
      <c r="C410" s="357">
        <v>943.0</v>
      </c>
      <c r="D410" s="357" t="s">
        <v>1050</v>
      </c>
      <c r="E410" s="357" t="s">
        <v>26</v>
      </c>
      <c r="F410" s="365">
        <v>42360.0</v>
      </c>
      <c r="G410" s="365">
        <v>42951.0</v>
      </c>
      <c r="H410" s="365">
        <v>43095.0</v>
      </c>
      <c r="I410" s="365">
        <v>43095.0</v>
      </c>
      <c r="J410" s="366">
        <v>9.99</v>
      </c>
      <c r="K410" s="366">
        <v>1.99</v>
      </c>
      <c r="L410" s="366">
        <v>8.0</v>
      </c>
      <c r="M410" s="357">
        <v>1.0</v>
      </c>
      <c r="N410" s="366">
        <v>1.99</v>
      </c>
    </row>
    <row r="411">
      <c r="A411" s="23"/>
      <c r="B411" s="23"/>
      <c r="C411" s="23"/>
      <c r="D411" s="23"/>
      <c r="E411" s="22"/>
      <c r="F411" s="22"/>
      <c r="G411" s="22"/>
      <c r="H411" s="22"/>
      <c r="I411" s="22"/>
      <c r="J411" s="378">
        <f t="shared" ref="J411:M411" si="59">SUM(J408:J410)</f>
        <v>29.97</v>
      </c>
      <c r="K411" s="378">
        <f t="shared" si="59"/>
        <v>7.97</v>
      </c>
      <c r="L411" s="378">
        <f t="shared" si="59"/>
        <v>22</v>
      </c>
      <c r="M411" s="22">
        <f t="shared" si="59"/>
        <v>4</v>
      </c>
      <c r="N411" s="378">
        <f>K411/M411</f>
        <v>1.9925</v>
      </c>
    </row>
    <row r="412">
      <c r="A412" s="359" t="s">
        <v>333</v>
      </c>
      <c r="B412" s="357" t="s">
        <v>338</v>
      </c>
      <c r="C412" s="357">
        <v>375.0</v>
      </c>
      <c r="D412" s="357" t="s">
        <v>1039</v>
      </c>
      <c r="E412" s="357" t="s">
        <v>24</v>
      </c>
      <c r="F412" s="365">
        <v>39443.0</v>
      </c>
      <c r="G412" s="365">
        <v>42754.0</v>
      </c>
      <c r="H412" s="365">
        <v>42754.0</v>
      </c>
      <c r="I412" s="365">
        <v>42754.0</v>
      </c>
      <c r="J412" s="366">
        <v>32.98</v>
      </c>
      <c r="K412" s="366">
        <v>17.98</v>
      </c>
      <c r="L412" s="366">
        <v>15.0</v>
      </c>
      <c r="M412" s="357">
        <v>1.0</v>
      </c>
      <c r="N412" s="366">
        <v>17.98</v>
      </c>
    </row>
    <row r="413">
      <c r="A413" s="357" t="s">
        <v>333</v>
      </c>
      <c r="B413" s="357"/>
      <c r="C413" s="357">
        <v>814.0</v>
      </c>
      <c r="D413" s="357" t="s">
        <v>1049</v>
      </c>
      <c r="E413" s="357" t="s">
        <v>26</v>
      </c>
      <c r="F413" s="365">
        <v>41607.0</v>
      </c>
      <c r="G413" s="365">
        <v>42925.0</v>
      </c>
      <c r="H413" s="365">
        <v>43080.0</v>
      </c>
      <c r="I413" s="365">
        <v>45354.0</v>
      </c>
      <c r="J413" s="366">
        <v>12.99</v>
      </c>
      <c r="K413" s="366">
        <v>3.99</v>
      </c>
      <c r="L413" s="366">
        <v>9.0</v>
      </c>
      <c r="M413" s="357">
        <v>7.0</v>
      </c>
      <c r="N413" s="366">
        <v>0.57</v>
      </c>
    </row>
    <row r="414">
      <c r="A414" s="359" t="s">
        <v>333</v>
      </c>
      <c r="B414" s="357"/>
      <c r="C414" s="357">
        <v>1074.0</v>
      </c>
      <c r="D414" s="357" t="s">
        <v>1055</v>
      </c>
      <c r="E414" s="357" t="s">
        <v>28</v>
      </c>
      <c r="F414" s="365">
        <v>44316.0</v>
      </c>
      <c r="G414" s="365">
        <v>44883.0</v>
      </c>
      <c r="H414" s="365">
        <v>45521.0</v>
      </c>
      <c r="I414" s="365">
        <v>45521.0</v>
      </c>
      <c r="J414" s="367">
        <v>79.99</v>
      </c>
      <c r="K414" s="367">
        <v>39.99</v>
      </c>
      <c r="L414" s="367">
        <v>40.0</v>
      </c>
      <c r="M414" s="357">
        <v>2.0</v>
      </c>
      <c r="N414" s="366">
        <v>20.0</v>
      </c>
    </row>
    <row r="415">
      <c r="A415" s="23"/>
      <c r="B415" s="23"/>
      <c r="C415" s="23"/>
      <c r="D415" s="23"/>
      <c r="E415" s="22"/>
      <c r="F415" s="22"/>
      <c r="G415" s="22"/>
      <c r="H415" s="22"/>
      <c r="I415" s="22"/>
      <c r="J415" s="378">
        <f t="shared" ref="J415:M415" si="60">SUM(J412:J414)</f>
        <v>125.96</v>
      </c>
      <c r="K415" s="378">
        <f t="shared" si="60"/>
        <v>61.96</v>
      </c>
      <c r="L415" s="378">
        <f t="shared" si="60"/>
        <v>64</v>
      </c>
      <c r="M415" s="22">
        <f t="shared" si="60"/>
        <v>10</v>
      </c>
      <c r="N415" s="378">
        <f>K415/M415</f>
        <v>6.196</v>
      </c>
    </row>
    <row r="416">
      <c r="A416" s="359" t="s">
        <v>333</v>
      </c>
      <c r="B416" s="357" t="s">
        <v>339</v>
      </c>
      <c r="C416" s="357">
        <v>188.0</v>
      </c>
      <c r="D416" s="357" t="s">
        <v>1047</v>
      </c>
      <c r="E416" s="357" t="s">
        <v>24</v>
      </c>
      <c r="F416" s="365">
        <v>42152.0</v>
      </c>
      <c r="G416" s="365">
        <v>43519.0</v>
      </c>
      <c r="H416" s="365">
        <v>43675.0</v>
      </c>
      <c r="I416" s="365">
        <v>43681.0</v>
      </c>
      <c r="J416" s="366">
        <v>11.99</v>
      </c>
      <c r="K416" s="366">
        <v>4.99</v>
      </c>
      <c r="L416" s="366">
        <v>7.0</v>
      </c>
      <c r="M416" s="357">
        <v>2.0</v>
      </c>
      <c r="N416" s="366">
        <v>2.5</v>
      </c>
    </row>
    <row r="417">
      <c r="A417" s="358" t="s">
        <v>333</v>
      </c>
      <c r="B417" s="357" t="s">
        <v>340</v>
      </c>
      <c r="C417" s="357">
        <v>114.0</v>
      </c>
      <c r="D417" s="357" t="s">
        <v>1038</v>
      </c>
      <c r="E417" s="357" t="s">
        <v>22</v>
      </c>
      <c r="F417" s="365">
        <v>37267.0</v>
      </c>
      <c r="G417" s="365">
        <v>42950.0</v>
      </c>
      <c r="H417" s="365">
        <v>44181.0</v>
      </c>
      <c r="I417" s="365">
        <v>44181.0</v>
      </c>
      <c r="J417" s="366">
        <v>13.99</v>
      </c>
      <c r="K417" s="366">
        <v>5.99</v>
      </c>
      <c r="L417" s="366">
        <v>8.0</v>
      </c>
      <c r="M417" s="357">
        <v>2.0</v>
      </c>
      <c r="N417" s="366">
        <v>3.0</v>
      </c>
    </row>
    <row r="418">
      <c r="A418" s="357" t="s">
        <v>333</v>
      </c>
      <c r="B418" s="357"/>
      <c r="C418" s="357">
        <v>505.0</v>
      </c>
      <c r="D418" s="357" t="s">
        <v>1054</v>
      </c>
      <c r="E418" s="357" t="s">
        <v>26</v>
      </c>
      <c r="F418" s="365">
        <v>44474.0</v>
      </c>
      <c r="G418" s="365">
        <v>45111.0</v>
      </c>
      <c r="H418" s="365">
        <v>45111.0</v>
      </c>
      <c r="I418" s="365">
        <v>45111.0</v>
      </c>
      <c r="J418" s="366">
        <v>29.99</v>
      </c>
      <c r="K418" s="366">
        <v>0.0</v>
      </c>
      <c r="L418" s="366">
        <v>29.99</v>
      </c>
      <c r="M418" s="357">
        <v>1.0</v>
      </c>
      <c r="N418" s="366">
        <v>0.0</v>
      </c>
    </row>
    <row r="419">
      <c r="A419" s="23"/>
      <c r="B419" s="23"/>
      <c r="C419" s="23"/>
      <c r="D419" s="23"/>
      <c r="E419" s="22"/>
      <c r="F419" s="22"/>
      <c r="G419" s="22"/>
      <c r="H419" s="22"/>
      <c r="I419" s="22"/>
      <c r="J419" s="378">
        <f t="shared" ref="J419:M419" si="61">SUM(J417:J418)</f>
        <v>43.98</v>
      </c>
      <c r="K419" s="378">
        <f t="shared" si="61"/>
        <v>5.99</v>
      </c>
      <c r="L419" s="378">
        <f t="shared" si="61"/>
        <v>37.99</v>
      </c>
      <c r="M419" s="22">
        <f t="shared" si="61"/>
        <v>3</v>
      </c>
      <c r="N419" s="378">
        <f>K419/M419</f>
        <v>1.996666667</v>
      </c>
    </row>
    <row r="420">
      <c r="A420" s="359" t="s">
        <v>333</v>
      </c>
      <c r="B420" s="357" t="s">
        <v>341</v>
      </c>
      <c r="C420" s="357">
        <v>182.0</v>
      </c>
      <c r="D420" s="357" t="s">
        <v>1042</v>
      </c>
      <c r="E420" s="357" t="s">
        <v>24</v>
      </c>
      <c r="F420" s="365">
        <v>41180.0</v>
      </c>
      <c r="G420" s="365">
        <v>41999.0</v>
      </c>
      <c r="H420" s="365">
        <v>42001.0</v>
      </c>
      <c r="I420" s="365">
        <v>44799.0</v>
      </c>
      <c r="J420" s="366">
        <v>10.0</v>
      </c>
      <c r="K420" s="366">
        <v>10.0</v>
      </c>
      <c r="L420" s="366">
        <v>0.0</v>
      </c>
      <c r="M420" s="357">
        <v>5.0</v>
      </c>
      <c r="N420" s="366">
        <v>2.0</v>
      </c>
    </row>
    <row r="421">
      <c r="A421" s="359" t="s">
        <v>333</v>
      </c>
      <c r="B421" s="357"/>
      <c r="C421" s="357">
        <v>183.0</v>
      </c>
      <c r="D421" s="357" t="s">
        <v>1043</v>
      </c>
      <c r="E421" s="357" t="s">
        <v>24</v>
      </c>
      <c r="F421" s="365">
        <v>41180.0</v>
      </c>
      <c r="G421" s="365">
        <v>41999.0</v>
      </c>
      <c r="H421" s="365">
        <v>42001.0</v>
      </c>
      <c r="I421" s="365">
        <v>44799.0</v>
      </c>
      <c r="J421" s="366">
        <v>10.0</v>
      </c>
      <c r="K421" s="366">
        <v>10.0</v>
      </c>
      <c r="L421" s="366">
        <v>0.0</v>
      </c>
      <c r="M421" s="357">
        <v>2.0</v>
      </c>
      <c r="N421" s="366">
        <v>5.0</v>
      </c>
    </row>
    <row r="422">
      <c r="A422" s="359" t="s">
        <v>333</v>
      </c>
      <c r="B422" s="357"/>
      <c r="C422" s="357">
        <v>184.0</v>
      </c>
      <c r="D422" s="357" t="s">
        <v>1044</v>
      </c>
      <c r="E422" s="357" t="s">
        <v>24</v>
      </c>
      <c r="F422" s="365">
        <v>41180.0</v>
      </c>
      <c r="G422" s="365">
        <v>41999.0</v>
      </c>
      <c r="H422" s="365">
        <v>42001.0</v>
      </c>
      <c r="I422" s="365">
        <v>44799.0</v>
      </c>
      <c r="J422" s="366">
        <v>9.99</v>
      </c>
      <c r="K422" s="366">
        <v>9.99</v>
      </c>
      <c r="L422" s="366">
        <v>0.0</v>
      </c>
      <c r="M422" s="357">
        <v>1.0</v>
      </c>
      <c r="N422" s="366">
        <v>9.99</v>
      </c>
    </row>
    <row r="423">
      <c r="A423" s="23"/>
      <c r="B423" s="23"/>
      <c r="C423" s="23"/>
      <c r="D423" s="23"/>
      <c r="E423" s="22"/>
      <c r="F423" s="22"/>
      <c r="G423" s="22"/>
      <c r="H423" s="22"/>
      <c r="I423" s="22"/>
      <c r="J423" s="378">
        <f t="shared" ref="J423:M423" si="62">SUM(J420:J422)</f>
        <v>29.99</v>
      </c>
      <c r="K423" s="378">
        <f t="shared" si="62"/>
        <v>29.99</v>
      </c>
      <c r="L423" s="378">
        <f t="shared" si="62"/>
        <v>0</v>
      </c>
      <c r="M423" s="22">
        <f t="shared" si="62"/>
        <v>8</v>
      </c>
      <c r="N423" s="378">
        <f>K423/M423</f>
        <v>3.74875</v>
      </c>
    </row>
    <row r="424">
      <c r="A424" s="359"/>
      <c r="B424" s="357"/>
      <c r="C424" s="357"/>
      <c r="D424" s="357"/>
      <c r="E424" s="359"/>
      <c r="F424" s="359"/>
      <c r="G424" s="359"/>
      <c r="H424" s="359"/>
      <c r="I424" s="359"/>
      <c r="J424" s="360"/>
      <c r="K424" s="360"/>
      <c r="L424" s="360"/>
      <c r="M424" s="359"/>
      <c r="N424" s="360"/>
    </row>
    <row r="425">
      <c r="A425" s="22" t="s">
        <v>47</v>
      </c>
      <c r="B425" s="23" t="s">
        <v>342</v>
      </c>
      <c r="C425" s="23">
        <v>227.0</v>
      </c>
      <c r="D425" s="23" t="s">
        <v>1064</v>
      </c>
      <c r="E425" s="23" t="s">
        <v>24</v>
      </c>
      <c r="F425" s="362">
        <v>41194.0</v>
      </c>
      <c r="G425" s="362">
        <v>44091.0</v>
      </c>
      <c r="H425" s="362">
        <v>44413.0</v>
      </c>
      <c r="I425" s="362">
        <v>44416.0</v>
      </c>
      <c r="J425" s="364">
        <v>24.99</v>
      </c>
      <c r="K425" s="364">
        <v>3.0</v>
      </c>
      <c r="L425" s="364">
        <v>21.99</v>
      </c>
      <c r="M425" s="23">
        <v>5.0</v>
      </c>
      <c r="N425" s="364">
        <v>0.6</v>
      </c>
    </row>
    <row r="426">
      <c r="A426" s="23" t="s">
        <v>47</v>
      </c>
      <c r="B426" s="23" t="s">
        <v>343</v>
      </c>
      <c r="C426" s="23">
        <v>302.0</v>
      </c>
      <c r="D426" s="23" t="s">
        <v>1069</v>
      </c>
      <c r="E426" s="23" t="s">
        <v>24</v>
      </c>
      <c r="F426" s="362">
        <v>41976.0</v>
      </c>
      <c r="G426" s="362">
        <v>42635.0</v>
      </c>
      <c r="H426" s="362">
        <v>42799.0</v>
      </c>
      <c r="I426" s="362">
        <v>42799.0</v>
      </c>
      <c r="J426" s="364">
        <v>4.99</v>
      </c>
      <c r="K426" s="364">
        <v>4.99</v>
      </c>
      <c r="L426" s="364">
        <v>0.0</v>
      </c>
      <c r="M426" s="23">
        <v>1.0</v>
      </c>
      <c r="N426" s="364">
        <v>4.99</v>
      </c>
    </row>
    <row r="427">
      <c r="A427" s="23" t="s">
        <v>47</v>
      </c>
      <c r="B427" s="23"/>
      <c r="C427" s="23">
        <v>303.0</v>
      </c>
      <c r="D427" s="23" t="s">
        <v>1070</v>
      </c>
      <c r="E427" s="23" t="s">
        <v>24</v>
      </c>
      <c r="F427" s="362">
        <v>41976.0</v>
      </c>
      <c r="G427" s="362">
        <v>42635.0</v>
      </c>
      <c r="H427" s="362">
        <v>42799.0</v>
      </c>
      <c r="I427" s="362">
        <v>42799.0</v>
      </c>
      <c r="J427" s="364">
        <v>14.99</v>
      </c>
      <c r="K427" s="364">
        <v>9.99</v>
      </c>
      <c r="L427" s="364">
        <v>5.0</v>
      </c>
      <c r="M427" s="23">
        <v>1.0</v>
      </c>
      <c r="N427" s="364">
        <v>9.99</v>
      </c>
    </row>
    <row r="428">
      <c r="A428" s="23" t="s">
        <v>47</v>
      </c>
      <c r="B428" s="23"/>
      <c r="C428" s="23">
        <v>761.0</v>
      </c>
      <c r="D428" s="23" t="s">
        <v>1076</v>
      </c>
      <c r="E428" s="23" t="s">
        <v>26</v>
      </c>
      <c r="F428" s="362">
        <v>41970.0</v>
      </c>
      <c r="G428" s="362">
        <v>42635.0</v>
      </c>
      <c r="H428" s="362">
        <v>42799.0</v>
      </c>
      <c r="I428" s="362">
        <v>42799.0</v>
      </c>
      <c r="J428" s="364">
        <v>9.99</v>
      </c>
      <c r="K428" s="364">
        <v>4.99</v>
      </c>
      <c r="L428" s="364">
        <v>5.0</v>
      </c>
      <c r="M428" s="23">
        <v>1.0</v>
      </c>
      <c r="N428" s="364">
        <v>4.99</v>
      </c>
    </row>
    <row r="429">
      <c r="A429" s="23" t="s">
        <v>47</v>
      </c>
      <c r="B429" s="23"/>
      <c r="C429" s="23">
        <v>501.0</v>
      </c>
      <c r="D429" s="23" t="s">
        <v>1085</v>
      </c>
      <c r="E429" s="23" t="s">
        <v>26</v>
      </c>
      <c r="F429" s="362">
        <v>43599.0</v>
      </c>
      <c r="G429" s="362">
        <v>44213.0</v>
      </c>
      <c r="H429" s="362">
        <v>44291.0</v>
      </c>
      <c r="I429" s="362">
        <v>45410.0</v>
      </c>
      <c r="J429" s="364">
        <v>51.98</v>
      </c>
      <c r="K429" s="364">
        <v>16.98</v>
      </c>
      <c r="L429" s="364">
        <v>35.0</v>
      </c>
      <c r="M429" s="23">
        <v>34.0</v>
      </c>
      <c r="N429" s="364">
        <v>0.5</v>
      </c>
    </row>
    <row r="430">
      <c r="A430" s="22" t="s">
        <v>47</v>
      </c>
      <c r="B430" s="23"/>
      <c r="C430" s="23">
        <v>1052.0</v>
      </c>
      <c r="D430" s="23" t="s">
        <v>1092</v>
      </c>
      <c r="E430" s="23" t="s">
        <v>28</v>
      </c>
      <c r="F430" s="362">
        <v>44852.0</v>
      </c>
      <c r="G430" s="362">
        <v>45214.0</v>
      </c>
      <c r="H430" s="362">
        <v>45410.0</v>
      </c>
      <c r="I430" s="362">
        <v>45412.0</v>
      </c>
      <c r="J430" s="363">
        <v>59.99</v>
      </c>
      <c r="K430" s="363">
        <v>29.99</v>
      </c>
      <c r="L430" s="364">
        <v>30.0</v>
      </c>
      <c r="M430" s="23">
        <v>6.0</v>
      </c>
      <c r="N430" s="364">
        <v>5.0</v>
      </c>
    </row>
    <row r="431">
      <c r="A431" s="357"/>
      <c r="B431" s="357"/>
      <c r="C431" s="358"/>
      <c r="D431" s="359"/>
      <c r="E431" s="357"/>
      <c r="F431" s="357"/>
      <c r="G431" s="357"/>
      <c r="H431" s="357"/>
      <c r="I431" s="357"/>
      <c r="J431" s="360">
        <f t="shared" ref="J431:M431" si="63">SUM(J426:J430)</f>
        <v>141.94</v>
      </c>
      <c r="K431" s="360">
        <f t="shared" si="63"/>
        <v>66.94</v>
      </c>
      <c r="L431" s="360">
        <f t="shared" si="63"/>
        <v>75</v>
      </c>
      <c r="M431" s="359">
        <f t="shared" si="63"/>
        <v>43</v>
      </c>
      <c r="N431" s="360">
        <f>K431/M431</f>
        <v>1.556744186</v>
      </c>
    </row>
    <row r="432">
      <c r="A432" s="361" t="s">
        <v>47</v>
      </c>
      <c r="B432" s="23" t="s">
        <v>344</v>
      </c>
      <c r="C432" s="23">
        <v>48.0</v>
      </c>
      <c r="D432" s="23" t="s">
        <v>1057</v>
      </c>
      <c r="E432" s="23" t="s">
        <v>21</v>
      </c>
      <c r="F432" s="362">
        <v>37148.0</v>
      </c>
      <c r="G432" s="362">
        <v>40538.0</v>
      </c>
      <c r="H432" s="362">
        <v>40538.0</v>
      </c>
      <c r="I432" s="362">
        <v>40538.0</v>
      </c>
      <c r="J432" s="364">
        <v>9.99</v>
      </c>
      <c r="K432" s="364">
        <v>9.99</v>
      </c>
      <c r="L432" s="364">
        <v>0.0</v>
      </c>
      <c r="M432" s="23">
        <v>45.0</v>
      </c>
      <c r="N432" s="364">
        <v>0.22</v>
      </c>
    </row>
    <row r="433">
      <c r="A433" s="23" t="s">
        <v>47</v>
      </c>
      <c r="B433" s="23" t="s">
        <v>345</v>
      </c>
      <c r="C433" s="23">
        <v>881.0</v>
      </c>
      <c r="D433" s="23" t="s">
        <v>1090</v>
      </c>
      <c r="E433" s="23" t="s">
        <v>26</v>
      </c>
      <c r="F433" s="362">
        <v>45006.0</v>
      </c>
      <c r="G433" s="362">
        <v>45080.0</v>
      </c>
      <c r="H433" s="362">
        <v>45080.0</v>
      </c>
      <c r="I433" s="362">
        <v>45080.0</v>
      </c>
      <c r="J433" s="364">
        <v>29.99</v>
      </c>
      <c r="K433" s="364">
        <v>17.49</v>
      </c>
      <c r="L433" s="364">
        <v>12.5</v>
      </c>
      <c r="M433" s="23">
        <v>2.0</v>
      </c>
      <c r="N433" s="364">
        <v>8.75</v>
      </c>
    </row>
    <row r="434">
      <c r="A434" s="22" t="s">
        <v>47</v>
      </c>
      <c r="B434" s="23" t="s">
        <v>346</v>
      </c>
      <c r="C434" s="23">
        <v>212.0</v>
      </c>
      <c r="D434" s="23" t="s">
        <v>1072</v>
      </c>
      <c r="E434" s="23" t="s">
        <v>24</v>
      </c>
      <c r="F434" s="362">
        <v>42130.0</v>
      </c>
      <c r="G434" s="362">
        <v>42950.0</v>
      </c>
      <c r="H434" s="362">
        <v>43682.0</v>
      </c>
      <c r="I434" s="362">
        <v>45006.0</v>
      </c>
      <c r="J434" s="364">
        <v>4.99</v>
      </c>
      <c r="K434" s="364">
        <v>1.99</v>
      </c>
      <c r="L434" s="364">
        <v>3.0</v>
      </c>
      <c r="M434" s="23">
        <v>1.0</v>
      </c>
      <c r="N434" s="364">
        <v>1.99</v>
      </c>
    </row>
    <row r="435">
      <c r="A435" s="23" t="s">
        <v>47</v>
      </c>
      <c r="B435" s="23" t="s">
        <v>347</v>
      </c>
      <c r="C435" s="23">
        <v>862.0</v>
      </c>
      <c r="D435" s="23" t="s">
        <v>1089</v>
      </c>
      <c r="E435" s="23" t="s">
        <v>26</v>
      </c>
      <c r="F435" s="362">
        <v>44761.0</v>
      </c>
      <c r="G435" s="362">
        <v>44889.0</v>
      </c>
      <c r="H435" s="362">
        <v>44890.0</v>
      </c>
      <c r="I435" s="362">
        <v>44905.0</v>
      </c>
      <c r="J435" s="364">
        <v>29.99</v>
      </c>
      <c r="K435" s="364">
        <v>18.99</v>
      </c>
      <c r="L435" s="364">
        <v>11.0</v>
      </c>
      <c r="M435" s="23">
        <v>11.0</v>
      </c>
      <c r="N435" s="364">
        <v>1.73</v>
      </c>
    </row>
    <row r="436">
      <c r="A436" s="23" t="s">
        <v>47</v>
      </c>
      <c r="B436" s="23" t="s">
        <v>348</v>
      </c>
      <c r="C436" s="23">
        <v>532.0</v>
      </c>
      <c r="D436" s="23" t="s">
        <v>1078</v>
      </c>
      <c r="E436" s="23" t="s">
        <v>26</v>
      </c>
      <c r="F436" s="362">
        <v>42269.0</v>
      </c>
      <c r="G436" s="362">
        <v>43824.0</v>
      </c>
      <c r="H436" s="362">
        <v>43825.0</v>
      </c>
      <c r="I436" s="362">
        <v>45357.0</v>
      </c>
      <c r="J436" s="364">
        <v>19.99</v>
      </c>
      <c r="K436" s="364">
        <v>7.49</v>
      </c>
      <c r="L436" s="364">
        <v>12.5</v>
      </c>
      <c r="M436" s="23">
        <v>6.0</v>
      </c>
      <c r="N436" s="364">
        <v>1.25</v>
      </c>
    </row>
    <row r="437">
      <c r="A437" s="22" t="s">
        <v>47</v>
      </c>
      <c r="B437" s="23" t="s">
        <v>349</v>
      </c>
      <c r="C437" s="23">
        <v>185.0</v>
      </c>
      <c r="D437" s="23" t="s">
        <v>1068</v>
      </c>
      <c r="E437" s="23" t="s">
        <v>24</v>
      </c>
      <c r="F437" s="362">
        <v>41815.0</v>
      </c>
      <c r="G437" s="362">
        <v>43727.0</v>
      </c>
      <c r="H437" s="362">
        <v>43757.0</v>
      </c>
      <c r="I437" s="362">
        <v>43757.0</v>
      </c>
      <c r="J437" s="364">
        <v>7.99</v>
      </c>
      <c r="K437" s="364">
        <v>2.99</v>
      </c>
      <c r="L437" s="364">
        <v>5.0</v>
      </c>
      <c r="M437" s="23">
        <v>2.0</v>
      </c>
      <c r="N437" s="364">
        <v>1.5</v>
      </c>
    </row>
    <row r="438">
      <c r="A438" s="23" t="s">
        <v>47</v>
      </c>
      <c r="B438" s="23"/>
      <c r="C438" s="23">
        <v>633.0</v>
      </c>
      <c r="D438" s="23" t="s">
        <v>1084</v>
      </c>
      <c r="E438" s="23" t="s">
        <v>26</v>
      </c>
      <c r="F438" s="362">
        <v>43424.0</v>
      </c>
      <c r="G438" s="362">
        <v>44708.0</v>
      </c>
      <c r="H438" s="362">
        <v>44708.0</v>
      </c>
      <c r="I438" s="362">
        <v>44708.0</v>
      </c>
      <c r="J438" s="364">
        <v>19.99</v>
      </c>
      <c r="K438" s="364">
        <v>0.99</v>
      </c>
      <c r="L438" s="364">
        <v>19.0</v>
      </c>
      <c r="M438" s="23">
        <v>1.0</v>
      </c>
      <c r="N438" s="364">
        <v>0.99</v>
      </c>
    </row>
    <row r="439">
      <c r="A439" s="357"/>
      <c r="B439" s="357"/>
      <c r="C439" s="358"/>
      <c r="D439" s="359"/>
      <c r="E439" s="357"/>
      <c r="F439" s="357"/>
      <c r="G439" s="357"/>
      <c r="H439" s="357"/>
      <c r="I439" s="357"/>
      <c r="J439" s="360">
        <f t="shared" ref="J439:M439" si="64">SUM(J437:J438)</f>
        <v>27.98</v>
      </c>
      <c r="K439" s="360">
        <f t="shared" si="64"/>
        <v>3.98</v>
      </c>
      <c r="L439" s="360">
        <f t="shared" si="64"/>
        <v>24</v>
      </c>
      <c r="M439" s="359">
        <f t="shared" si="64"/>
        <v>3</v>
      </c>
      <c r="N439" s="360">
        <f>K439/M439</f>
        <v>1.326666667</v>
      </c>
    </row>
    <row r="440">
      <c r="A440" s="22" t="s">
        <v>47</v>
      </c>
      <c r="B440" s="23" t="s">
        <v>350</v>
      </c>
      <c r="C440" s="23">
        <v>282.0</v>
      </c>
      <c r="D440" s="23" t="s">
        <v>1071</v>
      </c>
      <c r="E440" s="23" t="s">
        <v>24</v>
      </c>
      <c r="F440" s="362">
        <v>42034.0</v>
      </c>
      <c r="G440" s="362">
        <v>42700.0</v>
      </c>
      <c r="H440" s="362">
        <v>42852.0</v>
      </c>
      <c r="I440" s="362">
        <v>44914.0</v>
      </c>
      <c r="J440" s="364">
        <v>16.99</v>
      </c>
      <c r="K440" s="364">
        <v>5.99</v>
      </c>
      <c r="L440" s="364">
        <v>11.0</v>
      </c>
      <c r="M440" s="23">
        <v>25.0</v>
      </c>
      <c r="N440" s="364">
        <v>0.24</v>
      </c>
    </row>
    <row r="441">
      <c r="A441" s="22" t="s">
        <v>47</v>
      </c>
      <c r="B441" s="23" t="s">
        <v>351</v>
      </c>
      <c r="C441" s="23">
        <v>231.0</v>
      </c>
      <c r="D441" s="23" t="s">
        <v>1062</v>
      </c>
      <c r="E441" s="23" t="s">
        <v>24</v>
      </c>
      <c r="F441" s="362">
        <v>40393.0</v>
      </c>
      <c r="G441" s="362">
        <v>40538.0</v>
      </c>
      <c r="H441" s="362">
        <v>40538.0</v>
      </c>
      <c r="I441" s="362">
        <v>44764.0</v>
      </c>
      <c r="J441" s="364">
        <v>9.99</v>
      </c>
      <c r="K441" s="364">
        <v>9.99</v>
      </c>
      <c r="L441" s="364">
        <v>0.0</v>
      </c>
      <c r="M441" s="23">
        <v>20.0</v>
      </c>
      <c r="N441" s="364">
        <v>0.5</v>
      </c>
    </row>
    <row r="442">
      <c r="A442" s="23" t="s">
        <v>47</v>
      </c>
      <c r="B442" s="23" t="s">
        <v>352</v>
      </c>
      <c r="C442" s="23">
        <v>909.0</v>
      </c>
      <c r="D442" s="23" t="s">
        <v>1077</v>
      </c>
      <c r="E442" s="23" t="s">
        <v>26</v>
      </c>
      <c r="F442" s="362">
        <v>41975.0</v>
      </c>
      <c r="G442" s="362">
        <v>42791.0</v>
      </c>
      <c r="H442" s="362">
        <v>45310.0</v>
      </c>
      <c r="I442" s="362">
        <v>45316.0</v>
      </c>
      <c r="J442" s="364">
        <v>24.99</v>
      </c>
      <c r="K442" s="364">
        <v>11.99</v>
      </c>
      <c r="L442" s="364">
        <v>13.0</v>
      </c>
      <c r="M442" s="23">
        <v>3.0</v>
      </c>
      <c r="N442" s="364">
        <v>4.0</v>
      </c>
    </row>
    <row r="443">
      <c r="A443" s="23" t="s">
        <v>47</v>
      </c>
      <c r="B443" s="23" t="s">
        <v>353</v>
      </c>
      <c r="C443" s="23">
        <v>972.0</v>
      </c>
      <c r="D443" s="23" t="s">
        <v>1080</v>
      </c>
      <c r="E443" s="23" t="s">
        <v>26</v>
      </c>
      <c r="F443" s="362">
        <v>42650.0</v>
      </c>
      <c r="G443" s="362">
        <v>43275.0</v>
      </c>
      <c r="H443" s="362">
        <v>45514.0</v>
      </c>
      <c r="I443" s="362">
        <v>45524.0</v>
      </c>
      <c r="J443" s="364">
        <v>19.99</v>
      </c>
      <c r="K443" s="364">
        <v>12.99</v>
      </c>
      <c r="L443" s="364">
        <v>7.0</v>
      </c>
      <c r="M443" s="23">
        <v>9.0</v>
      </c>
      <c r="N443" s="364">
        <v>1.44</v>
      </c>
    </row>
    <row r="444">
      <c r="A444" s="23" t="s">
        <v>47</v>
      </c>
      <c r="B444" s="23" t="s">
        <v>354</v>
      </c>
      <c r="C444" s="23">
        <v>759.0</v>
      </c>
      <c r="D444" s="23" t="s">
        <v>1081</v>
      </c>
      <c r="E444" s="23" t="s">
        <v>26</v>
      </c>
      <c r="F444" s="362">
        <v>42707.0</v>
      </c>
      <c r="G444" s="362">
        <v>42951.0</v>
      </c>
      <c r="H444" s="362">
        <v>44182.0</v>
      </c>
      <c r="I444" s="362">
        <v>44185.0</v>
      </c>
      <c r="J444" s="364">
        <v>12.99</v>
      </c>
      <c r="K444" s="364">
        <v>4.49</v>
      </c>
      <c r="L444" s="364">
        <v>8.5</v>
      </c>
      <c r="M444" s="23">
        <v>8.0</v>
      </c>
      <c r="N444" s="364">
        <v>0.56</v>
      </c>
    </row>
    <row r="445">
      <c r="A445" s="23" t="s">
        <v>47</v>
      </c>
      <c r="B445" s="23" t="s">
        <v>355</v>
      </c>
      <c r="C445" s="23">
        <v>968.0</v>
      </c>
      <c r="D445" s="23" t="s">
        <v>1082</v>
      </c>
      <c r="E445" s="23" t="s">
        <v>26</v>
      </c>
      <c r="F445" s="362">
        <v>42843.0</v>
      </c>
      <c r="G445" s="362">
        <v>45177.0</v>
      </c>
      <c r="H445" s="362">
        <v>45177.0</v>
      </c>
      <c r="I445" s="362">
        <v>45177.0</v>
      </c>
      <c r="J445" s="364">
        <v>19.99</v>
      </c>
      <c r="K445" s="364">
        <v>0.0</v>
      </c>
      <c r="L445" s="364">
        <v>19.99</v>
      </c>
      <c r="M445" s="23">
        <v>1.0</v>
      </c>
      <c r="N445" s="364">
        <v>0.0</v>
      </c>
    </row>
    <row r="446">
      <c r="A446" s="23" t="s">
        <v>47</v>
      </c>
      <c r="B446" s="23" t="s">
        <v>356</v>
      </c>
      <c r="C446" s="23">
        <v>677.0</v>
      </c>
      <c r="D446" s="23" t="s">
        <v>1086</v>
      </c>
      <c r="E446" s="23" t="s">
        <v>26</v>
      </c>
      <c r="F446" s="362">
        <v>43888.0</v>
      </c>
      <c r="G446" s="362">
        <v>45177.0</v>
      </c>
      <c r="H446" s="362">
        <v>45177.0</v>
      </c>
      <c r="I446" s="362">
        <v>45177.0</v>
      </c>
      <c r="J446" s="364">
        <v>14.99</v>
      </c>
      <c r="K446" s="364">
        <v>0.0</v>
      </c>
      <c r="L446" s="364">
        <v>14.99</v>
      </c>
      <c r="M446" s="23">
        <v>1.0</v>
      </c>
      <c r="N446" s="364">
        <v>0.0</v>
      </c>
    </row>
    <row r="447">
      <c r="A447" s="22" t="s">
        <v>47</v>
      </c>
      <c r="B447" s="23" t="s">
        <v>357</v>
      </c>
      <c r="C447" s="23">
        <v>247.0</v>
      </c>
      <c r="D447" s="23" t="s">
        <v>1067</v>
      </c>
      <c r="E447" s="23" t="s">
        <v>24</v>
      </c>
      <c r="F447" s="362">
        <v>41584.0</v>
      </c>
      <c r="G447" s="362">
        <v>44292.0</v>
      </c>
      <c r="H447" s="362">
        <v>44292.0</v>
      </c>
      <c r="I447" s="362">
        <v>44292.0</v>
      </c>
      <c r="J447" s="364">
        <v>9.99</v>
      </c>
      <c r="K447" s="364">
        <v>9.99</v>
      </c>
      <c r="L447" s="364">
        <v>0.0</v>
      </c>
      <c r="M447" s="23">
        <v>1.0</v>
      </c>
      <c r="N447" s="364">
        <v>9.99</v>
      </c>
    </row>
    <row r="448">
      <c r="A448" s="23" t="s">
        <v>47</v>
      </c>
      <c r="B448" s="23" t="s">
        <v>358</v>
      </c>
      <c r="C448" s="23">
        <v>938.0</v>
      </c>
      <c r="D448" s="23" t="s">
        <v>1079</v>
      </c>
      <c r="E448" s="23" t="s">
        <v>26</v>
      </c>
      <c r="F448" s="362">
        <v>42453.0</v>
      </c>
      <c r="G448" s="362">
        <v>43625.0</v>
      </c>
      <c r="H448" s="362">
        <v>43625.0</v>
      </c>
      <c r="I448" s="362">
        <v>43625.0</v>
      </c>
      <c r="J448" s="364">
        <v>29.99</v>
      </c>
      <c r="K448" s="364">
        <v>11.99</v>
      </c>
      <c r="L448" s="364">
        <v>18.0</v>
      </c>
      <c r="M448" s="23">
        <v>1.0</v>
      </c>
      <c r="N448" s="364">
        <v>11.99</v>
      </c>
    </row>
    <row r="449">
      <c r="A449" s="23" t="s">
        <v>47</v>
      </c>
      <c r="B449" s="23" t="s">
        <v>359</v>
      </c>
      <c r="C449" s="23">
        <v>564.0</v>
      </c>
      <c r="D449" s="23" t="s">
        <v>1087</v>
      </c>
      <c r="E449" s="23" t="s">
        <v>26</v>
      </c>
      <c r="F449" s="362">
        <v>44250.0</v>
      </c>
      <c r="G449" s="362">
        <v>44684.0</v>
      </c>
      <c r="H449" s="362">
        <v>44695.0</v>
      </c>
      <c r="I449" s="362">
        <v>44703.0</v>
      </c>
      <c r="J449" s="364">
        <v>19.99</v>
      </c>
      <c r="K449" s="364">
        <v>0.0</v>
      </c>
      <c r="L449" s="364">
        <v>19.99</v>
      </c>
      <c r="M449" s="23">
        <v>13.0</v>
      </c>
      <c r="N449" s="364">
        <v>0.0</v>
      </c>
    </row>
    <row r="450">
      <c r="A450" s="361" t="s">
        <v>47</v>
      </c>
      <c r="B450" s="23" t="s">
        <v>360</v>
      </c>
      <c r="C450" s="23">
        <v>93.0</v>
      </c>
      <c r="D450" s="23" t="s">
        <v>1060</v>
      </c>
      <c r="E450" s="23" t="s">
        <v>22</v>
      </c>
      <c r="F450" s="362">
        <v>38611.0</v>
      </c>
      <c r="G450" s="362">
        <v>44708.0</v>
      </c>
      <c r="H450" s="362">
        <v>44708.0</v>
      </c>
      <c r="I450" s="362">
        <v>44708.0</v>
      </c>
      <c r="J450" s="364">
        <v>13.49</v>
      </c>
      <c r="K450" s="364">
        <v>5.39</v>
      </c>
      <c r="L450" s="364">
        <v>8.1</v>
      </c>
      <c r="M450" s="23">
        <v>1.0</v>
      </c>
      <c r="N450" s="364">
        <v>5.39</v>
      </c>
    </row>
    <row r="451">
      <c r="A451" s="22" t="s">
        <v>47</v>
      </c>
      <c r="B451" s="23"/>
      <c r="C451" s="23">
        <v>259.0</v>
      </c>
      <c r="D451" s="23" t="s">
        <v>1061</v>
      </c>
      <c r="E451" s="23" t="s">
        <v>24</v>
      </c>
      <c r="F451" s="362">
        <v>40233.0</v>
      </c>
      <c r="G451" s="362">
        <v>41880.0</v>
      </c>
      <c r="H451" s="362">
        <v>41880.0</v>
      </c>
      <c r="I451" s="362">
        <v>41960.0</v>
      </c>
      <c r="J451" s="364">
        <v>22.99</v>
      </c>
      <c r="K451" s="364">
        <v>8.99</v>
      </c>
      <c r="L451" s="364">
        <v>14.0</v>
      </c>
      <c r="M451" s="23">
        <v>35.0</v>
      </c>
      <c r="N451" s="364">
        <v>0.26</v>
      </c>
    </row>
    <row r="452">
      <c r="A452" s="22" t="s">
        <v>47</v>
      </c>
      <c r="B452" s="23"/>
      <c r="C452" s="23">
        <v>196.0</v>
      </c>
      <c r="D452" s="23" t="s">
        <v>1066</v>
      </c>
      <c r="E452" s="23" t="s">
        <v>24</v>
      </c>
      <c r="F452" s="362">
        <v>41556.0</v>
      </c>
      <c r="G452" s="362">
        <v>44412.0</v>
      </c>
      <c r="H452" s="362">
        <v>44412.0</v>
      </c>
      <c r="I452" s="362">
        <v>44412.0</v>
      </c>
      <c r="J452" s="364">
        <v>19.99</v>
      </c>
      <c r="K452" s="364">
        <v>5.99</v>
      </c>
      <c r="L452" s="364">
        <v>14.0</v>
      </c>
      <c r="M452" s="23">
        <v>1.0</v>
      </c>
      <c r="N452" s="364">
        <v>5.99</v>
      </c>
    </row>
    <row r="453">
      <c r="A453" s="23" t="s">
        <v>47</v>
      </c>
      <c r="B453" s="23"/>
      <c r="C453" s="23">
        <v>584.0</v>
      </c>
      <c r="D453" s="23" t="s">
        <v>1083</v>
      </c>
      <c r="E453" s="23" t="s">
        <v>26</v>
      </c>
      <c r="F453" s="362">
        <v>43245.0</v>
      </c>
      <c r="G453" s="362">
        <v>44334.0</v>
      </c>
      <c r="H453" s="362">
        <v>44377.0</v>
      </c>
      <c r="I453" s="362">
        <v>44389.0</v>
      </c>
      <c r="J453" s="364">
        <v>29.99</v>
      </c>
      <c r="K453" s="364">
        <v>0.0</v>
      </c>
      <c r="L453" s="364">
        <v>29.99</v>
      </c>
      <c r="M453" s="23">
        <v>11.0</v>
      </c>
      <c r="N453" s="364">
        <v>0.0</v>
      </c>
    </row>
    <row r="454">
      <c r="A454" s="357"/>
      <c r="B454" s="357"/>
      <c r="C454" s="358"/>
      <c r="D454" s="359"/>
      <c r="E454" s="357"/>
      <c r="F454" s="357"/>
      <c r="G454" s="357"/>
      <c r="H454" s="357"/>
      <c r="I454" s="357"/>
      <c r="J454" s="360">
        <f t="shared" ref="J454:M454" si="65">SUM(J450:J453)</f>
        <v>86.46</v>
      </c>
      <c r="K454" s="360">
        <f t="shared" si="65"/>
        <v>20.37</v>
      </c>
      <c r="L454" s="360">
        <f t="shared" si="65"/>
        <v>66.09</v>
      </c>
      <c r="M454" s="359">
        <f t="shared" si="65"/>
        <v>48</v>
      </c>
      <c r="N454" s="360">
        <f>K454/M454</f>
        <v>0.424375</v>
      </c>
    </row>
    <row r="455">
      <c r="A455" s="23" t="s">
        <v>47</v>
      </c>
      <c r="B455" s="23" t="s">
        <v>361</v>
      </c>
      <c r="C455" s="23">
        <v>940.0</v>
      </c>
      <c r="D455" s="23" t="s">
        <v>1075</v>
      </c>
      <c r="E455" s="23" t="s">
        <v>26</v>
      </c>
      <c r="F455" s="362">
        <v>41745.0</v>
      </c>
      <c r="G455" s="362">
        <v>43912.0</v>
      </c>
      <c r="H455" s="362">
        <v>43914.0</v>
      </c>
      <c r="I455" s="362">
        <v>43914.0</v>
      </c>
      <c r="J455" s="364">
        <v>39.99</v>
      </c>
      <c r="K455" s="364">
        <v>9.99</v>
      </c>
      <c r="L455" s="364">
        <v>30.0</v>
      </c>
      <c r="M455" s="23">
        <v>2.0</v>
      </c>
      <c r="N455" s="364">
        <v>5.0</v>
      </c>
    </row>
    <row r="456">
      <c r="A456" s="23" t="s">
        <v>47</v>
      </c>
      <c r="B456" s="23" t="s">
        <v>362</v>
      </c>
      <c r="C456" s="23">
        <v>838.0</v>
      </c>
      <c r="D456" s="23" t="s">
        <v>1088</v>
      </c>
      <c r="E456" s="23" t="s">
        <v>26</v>
      </c>
      <c r="F456" s="362">
        <v>44600.0</v>
      </c>
      <c r="G456" s="362">
        <v>45356.0</v>
      </c>
      <c r="H456" s="362">
        <v>45356.0</v>
      </c>
      <c r="I456" s="362">
        <v>45356.0</v>
      </c>
      <c r="J456" s="364">
        <v>39.99</v>
      </c>
      <c r="K456" s="364">
        <v>0.0</v>
      </c>
      <c r="L456" s="364">
        <v>39.99</v>
      </c>
      <c r="M456" s="23">
        <v>1.0</v>
      </c>
      <c r="N456" s="364">
        <v>0.0</v>
      </c>
    </row>
    <row r="457">
      <c r="A457" s="22" t="s">
        <v>47</v>
      </c>
      <c r="B457" s="23" t="s">
        <v>363</v>
      </c>
      <c r="C457" s="23">
        <v>1079.0</v>
      </c>
      <c r="D457" s="23" t="s">
        <v>1091</v>
      </c>
      <c r="E457" s="23" t="s">
        <v>28</v>
      </c>
      <c r="F457" s="362">
        <v>44812.0</v>
      </c>
      <c r="G457" s="362">
        <v>45328.0</v>
      </c>
      <c r="H457" s="362">
        <v>45328.0</v>
      </c>
      <c r="I457" s="362">
        <v>45328.0</v>
      </c>
      <c r="J457" s="363">
        <v>59.99</v>
      </c>
      <c r="K457" s="363">
        <v>0.0</v>
      </c>
      <c r="L457" s="364">
        <v>59.99</v>
      </c>
      <c r="M457" s="23">
        <v>1.0</v>
      </c>
      <c r="N457" s="364">
        <v>0.0</v>
      </c>
    </row>
    <row r="458">
      <c r="A458" s="23" t="s">
        <v>47</v>
      </c>
      <c r="B458" s="23" t="s">
        <v>364</v>
      </c>
      <c r="C458" s="23">
        <v>472.0</v>
      </c>
      <c r="D458" s="23" t="s">
        <v>1073</v>
      </c>
      <c r="E458" s="23" t="s">
        <v>25</v>
      </c>
      <c r="F458" s="362">
        <v>41191.0</v>
      </c>
      <c r="G458" s="362">
        <v>43373.0</v>
      </c>
      <c r="H458" s="362">
        <v>43757.0</v>
      </c>
      <c r="I458" s="362">
        <v>45008.0</v>
      </c>
      <c r="J458" s="364">
        <v>2.99</v>
      </c>
      <c r="K458" s="364">
        <v>2.99</v>
      </c>
      <c r="L458" s="364">
        <v>0.0</v>
      </c>
      <c r="M458" s="23">
        <v>10.0</v>
      </c>
      <c r="N458" s="364">
        <v>0.3</v>
      </c>
    </row>
    <row r="459">
      <c r="A459" s="23" t="s">
        <v>47</v>
      </c>
      <c r="B459" s="23"/>
      <c r="C459" s="23">
        <v>434.0</v>
      </c>
      <c r="D459" s="23" t="s">
        <v>1074</v>
      </c>
      <c r="E459" s="23" t="s">
        <v>25</v>
      </c>
      <c r="F459" s="362">
        <v>41563.0</v>
      </c>
      <c r="G459" s="362">
        <v>42187.0</v>
      </c>
      <c r="H459" s="362">
        <v>43855.0</v>
      </c>
      <c r="I459" s="362">
        <v>43855.0</v>
      </c>
      <c r="J459" s="364">
        <v>0.0</v>
      </c>
      <c r="K459" s="364">
        <v>0.0</v>
      </c>
      <c r="L459" s="364">
        <v>0.0</v>
      </c>
      <c r="M459" s="23">
        <v>5.0</v>
      </c>
      <c r="N459" s="364">
        <v>0.0</v>
      </c>
    </row>
    <row r="460">
      <c r="A460" s="357"/>
      <c r="B460" s="357"/>
      <c r="C460" s="358"/>
      <c r="D460" s="359"/>
      <c r="E460" s="357"/>
      <c r="F460" s="357"/>
      <c r="G460" s="357"/>
      <c r="H460" s="357"/>
      <c r="I460" s="357"/>
      <c r="J460" s="360">
        <f t="shared" ref="J460:M460" si="66">SUM(J458:J459)</f>
        <v>2.99</v>
      </c>
      <c r="K460" s="360">
        <f t="shared" si="66"/>
        <v>2.99</v>
      </c>
      <c r="L460" s="360">
        <f t="shared" si="66"/>
        <v>0</v>
      </c>
      <c r="M460" s="359">
        <f t="shared" si="66"/>
        <v>15</v>
      </c>
      <c r="N460" s="360">
        <f>K460/M460</f>
        <v>0.1993333333</v>
      </c>
    </row>
    <row r="461">
      <c r="A461" s="361" t="s">
        <v>47</v>
      </c>
      <c r="B461" s="23" t="s">
        <v>365</v>
      </c>
      <c r="C461" s="23">
        <v>43.0</v>
      </c>
      <c r="D461" s="23" t="s">
        <v>1056</v>
      </c>
      <c r="E461" s="23" t="s">
        <v>21</v>
      </c>
      <c r="F461" s="362">
        <v>34971.0</v>
      </c>
      <c r="G461" s="362">
        <v>41763.0</v>
      </c>
      <c r="H461" s="362">
        <v>41763.0</v>
      </c>
      <c r="I461" s="362">
        <v>41763.0</v>
      </c>
      <c r="J461" s="364">
        <v>4.99</v>
      </c>
      <c r="K461" s="364">
        <v>4.99</v>
      </c>
      <c r="L461" s="364">
        <v>0.0</v>
      </c>
      <c r="M461" s="23">
        <v>50.0</v>
      </c>
      <c r="N461" s="364">
        <v>0.1</v>
      </c>
    </row>
    <row r="462">
      <c r="A462" s="361" t="s">
        <v>47</v>
      </c>
      <c r="B462" s="23"/>
      <c r="C462" s="23">
        <v>128.0</v>
      </c>
      <c r="D462" s="23" t="s">
        <v>1058</v>
      </c>
      <c r="E462" s="23" t="s">
        <v>22</v>
      </c>
      <c r="F462" s="362">
        <v>37694.0</v>
      </c>
      <c r="G462" s="362">
        <v>44237.0</v>
      </c>
      <c r="H462" s="362">
        <v>44283.0</v>
      </c>
      <c r="I462" s="362">
        <v>44284.0</v>
      </c>
      <c r="J462" s="364">
        <v>9.99</v>
      </c>
      <c r="K462" s="364">
        <v>9.99</v>
      </c>
      <c r="L462" s="364">
        <v>0.0</v>
      </c>
      <c r="M462" s="23">
        <v>3.0</v>
      </c>
      <c r="N462" s="364">
        <v>3.33</v>
      </c>
    </row>
    <row r="463">
      <c r="A463" s="361" t="s">
        <v>47</v>
      </c>
      <c r="B463" s="23"/>
      <c r="C463" s="23">
        <v>78.0</v>
      </c>
      <c r="D463" s="23" t="s">
        <v>1059</v>
      </c>
      <c r="E463" s="23" t="s">
        <v>22</v>
      </c>
      <c r="F463" s="362">
        <v>37939.0</v>
      </c>
      <c r="G463" s="362">
        <v>44237.0</v>
      </c>
      <c r="H463" s="362">
        <v>44261.0</v>
      </c>
      <c r="I463" s="362">
        <v>44265.0</v>
      </c>
      <c r="J463" s="364">
        <v>9.99</v>
      </c>
      <c r="K463" s="364">
        <v>9.99</v>
      </c>
      <c r="L463" s="364">
        <v>0.0</v>
      </c>
      <c r="M463" s="23">
        <v>10.0</v>
      </c>
      <c r="N463" s="364">
        <v>1.0</v>
      </c>
    </row>
    <row r="464">
      <c r="A464" s="23" t="s">
        <v>47</v>
      </c>
      <c r="B464" s="23"/>
      <c r="C464" s="23">
        <v>336.0</v>
      </c>
      <c r="D464" s="23" t="s">
        <v>1063</v>
      </c>
      <c r="E464" s="23" t="s">
        <v>24</v>
      </c>
      <c r="F464" s="362">
        <v>40872.0</v>
      </c>
      <c r="G464" s="362">
        <v>42299.0</v>
      </c>
      <c r="H464" s="362">
        <v>42300.0</v>
      </c>
      <c r="I464" s="362">
        <v>44865.0</v>
      </c>
      <c r="J464" s="364">
        <v>29.98</v>
      </c>
      <c r="K464" s="364">
        <v>26.99</v>
      </c>
      <c r="L464" s="364">
        <v>2.99</v>
      </c>
      <c r="M464" s="23">
        <v>40.0</v>
      </c>
      <c r="N464" s="364">
        <v>0.67</v>
      </c>
    </row>
    <row r="465">
      <c r="A465" s="22" t="s">
        <v>47</v>
      </c>
      <c r="B465" s="23"/>
      <c r="C465" s="23">
        <v>337.0</v>
      </c>
      <c r="D465" s="23" t="s">
        <v>1065</v>
      </c>
      <c r="E465" s="23" t="s">
        <v>24</v>
      </c>
      <c r="F465" s="362">
        <v>41516.0</v>
      </c>
      <c r="G465" s="362">
        <v>41642.0</v>
      </c>
      <c r="H465" s="362">
        <v>41642.0</v>
      </c>
      <c r="I465" s="362">
        <v>45491.0</v>
      </c>
      <c r="J465" s="364">
        <v>39.98</v>
      </c>
      <c r="K465" s="364">
        <v>26.99</v>
      </c>
      <c r="L465" s="364">
        <v>12.99</v>
      </c>
      <c r="M465" s="23">
        <v>80.0</v>
      </c>
      <c r="N465" s="364">
        <v>0.34</v>
      </c>
    </row>
    <row r="466">
      <c r="A466" s="357"/>
      <c r="B466" s="357"/>
      <c r="C466" s="358"/>
      <c r="D466" s="359"/>
      <c r="E466" s="357"/>
      <c r="F466" s="357"/>
      <c r="G466" s="357"/>
      <c r="H466" s="357"/>
      <c r="I466" s="357"/>
      <c r="J466" s="360">
        <f t="shared" ref="J466:M466" si="67">SUM(J461:J465)</f>
        <v>94.93</v>
      </c>
      <c r="K466" s="360">
        <f t="shared" si="67"/>
        <v>78.95</v>
      </c>
      <c r="L466" s="360">
        <f t="shared" si="67"/>
        <v>15.98</v>
      </c>
      <c r="M466" s="359">
        <f t="shared" si="67"/>
        <v>183</v>
      </c>
      <c r="N466" s="360">
        <f>K466/M466</f>
        <v>0.431420765</v>
      </c>
    </row>
    <row r="467">
      <c r="A467" s="50" t="s">
        <v>47</v>
      </c>
      <c r="B467" s="50" t="s">
        <v>48</v>
      </c>
      <c r="C467" s="51">
        <v>963.0</v>
      </c>
      <c r="D467" s="51" t="s">
        <v>49</v>
      </c>
      <c r="E467" s="51" t="s">
        <v>26</v>
      </c>
      <c r="F467" s="52">
        <v>44651.0</v>
      </c>
      <c r="G467" s="52">
        <v>45202.0</v>
      </c>
      <c r="H467" s="52">
        <v>46047.0</v>
      </c>
      <c r="I467" s="52">
        <v>46047.0</v>
      </c>
      <c r="J467" s="53">
        <v>39.99</v>
      </c>
      <c r="K467" s="53">
        <v>0.0</v>
      </c>
      <c r="L467" s="53">
        <v>39.99</v>
      </c>
      <c r="M467" s="51">
        <v>2.0</v>
      </c>
      <c r="N467" s="53">
        <v>0.0</v>
      </c>
    </row>
    <row r="468">
      <c r="A468" s="357"/>
      <c r="B468" s="357"/>
      <c r="C468" s="358"/>
      <c r="D468" s="359"/>
      <c r="E468" s="357"/>
      <c r="F468" s="357"/>
      <c r="G468" s="357"/>
      <c r="H468" s="357"/>
      <c r="I468" s="357"/>
      <c r="J468" s="360"/>
      <c r="K468" s="360"/>
      <c r="L468" s="360"/>
      <c r="M468" s="359"/>
      <c r="N468" s="360"/>
    </row>
    <row r="469">
      <c r="A469" s="12" t="s">
        <v>367</v>
      </c>
      <c r="B469" s="12" t="s">
        <v>366</v>
      </c>
      <c r="C469" s="12">
        <v>583.0</v>
      </c>
      <c r="D469" s="12" t="s">
        <v>1102</v>
      </c>
      <c r="E469" s="12" t="s">
        <v>26</v>
      </c>
      <c r="F469" s="379">
        <v>44040.0</v>
      </c>
      <c r="G469" s="379">
        <v>44071.0</v>
      </c>
      <c r="H469" s="379">
        <v>44078.0</v>
      </c>
      <c r="I469" s="379">
        <v>44081.0</v>
      </c>
      <c r="J469" s="380">
        <v>39.99</v>
      </c>
      <c r="K469" s="380">
        <v>31.99</v>
      </c>
      <c r="L469" s="380">
        <v>8.0</v>
      </c>
      <c r="M469" s="12">
        <v>30.0</v>
      </c>
      <c r="N469" s="380">
        <v>1.07</v>
      </c>
    </row>
    <row r="470">
      <c r="A470" s="13" t="s">
        <v>367</v>
      </c>
      <c r="B470" s="12"/>
      <c r="C470" s="12">
        <v>1058.0</v>
      </c>
      <c r="D470" s="12" t="s">
        <v>1109</v>
      </c>
      <c r="E470" s="12" t="s">
        <v>28</v>
      </c>
      <c r="F470" s="379">
        <v>44803.0</v>
      </c>
      <c r="G470" s="379">
        <v>44811.0</v>
      </c>
      <c r="H470" s="379">
        <v>44825.0</v>
      </c>
      <c r="I470" s="379">
        <v>44829.0</v>
      </c>
      <c r="J470" s="381">
        <v>39.99</v>
      </c>
      <c r="K470" s="381">
        <v>0.0</v>
      </c>
      <c r="L470" s="381">
        <v>39.99</v>
      </c>
      <c r="M470" s="12">
        <v>24.0</v>
      </c>
      <c r="N470" s="380">
        <v>0.0</v>
      </c>
    </row>
    <row r="471">
      <c r="A471" s="34"/>
      <c r="B471" s="34"/>
      <c r="C471" s="382"/>
      <c r="D471" s="24"/>
      <c r="E471" s="24"/>
      <c r="F471" s="24"/>
      <c r="G471" s="24"/>
      <c r="H471" s="24"/>
      <c r="I471" s="24"/>
      <c r="J471" s="383">
        <f t="shared" ref="J471:M471" si="68">SUM(J469:J470)</f>
        <v>79.98</v>
      </c>
      <c r="K471" s="383">
        <f t="shared" si="68"/>
        <v>31.99</v>
      </c>
      <c r="L471" s="383">
        <f t="shared" si="68"/>
        <v>47.99</v>
      </c>
      <c r="M471" s="24">
        <f t="shared" si="68"/>
        <v>54</v>
      </c>
      <c r="N471" s="383">
        <f>K471/M471</f>
        <v>0.5924074074</v>
      </c>
    </row>
    <row r="472">
      <c r="A472" s="12" t="s">
        <v>367</v>
      </c>
      <c r="B472" s="12" t="s">
        <v>368</v>
      </c>
      <c r="C472" s="12">
        <v>950.0</v>
      </c>
      <c r="D472" s="12" t="s">
        <v>1098</v>
      </c>
      <c r="E472" s="12" t="s">
        <v>26</v>
      </c>
      <c r="F472" s="379">
        <v>42787.0</v>
      </c>
      <c r="G472" s="379">
        <v>42859.0</v>
      </c>
      <c r="H472" s="379">
        <v>44911.0</v>
      </c>
      <c r="I472" s="379">
        <v>44911.0</v>
      </c>
      <c r="J472" s="380">
        <v>9.99</v>
      </c>
      <c r="K472" s="380">
        <v>6.99</v>
      </c>
      <c r="L472" s="380">
        <v>3.0</v>
      </c>
      <c r="M472" s="12">
        <v>1.0</v>
      </c>
      <c r="N472" s="380">
        <v>6.99</v>
      </c>
    </row>
    <row r="473">
      <c r="A473" s="12" t="s">
        <v>367</v>
      </c>
      <c r="B473" s="12" t="s">
        <v>369</v>
      </c>
      <c r="C473" s="12">
        <v>701.0</v>
      </c>
      <c r="D473" s="12" t="s">
        <v>1101</v>
      </c>
      <c r="E473" s="12" t="s">
        <v>26</v>
      </c>
      <c r="F473" s="379">
        <v>43629.0</v>
      </c>
      <c r="G473" s="379">
        <v>44640.0</v>
      </c>
      <c r="H473" s="379">
        <v>44704.0</v>
      </c>
      <c r="I473" s="379">
        <v>44706.0</v>
      </c>
      <c r="J473" s="380">
        <v>39.99</v>
      </c>
      <c r="K473" s="380">
        <v>7.99</v>
      </c>
      <c r="L473" s="380">
        <v>32.0</v>
      </c>
      <c r="M473" s="12">
        <v>19.0</v>
      </c>
      <c r="N473" s="380">
        <v>0.42</v>
      </c>
    </row>
    <row r="474">
      <c r="A474" s="12" t="s">
        <v>367</v>
      </c>
      <c r="B474" s="12"/>
      <c r="C474" s="12">
        <v>702.0</v>
      </c>
      <c r="D474" s="12" t="s">
        <v>1106</v>
      </c>
      <c r="E474" s="12" t="s">
        <v>26</v>
      </c>
      <c r="F474" s="379">
        <v>44334.0</v>
      </c>
      <c r="G474" s="379">
        <v>44640.0</v>
      </c>
      <c r="H474" s="379">
        <v>44706.0</v>
      </c>
      <c r="I474" s="379">
        <v>44710.0</v>
      </c>
      <c r="J474" s="380">
        <v>39.99</v>
      </c>
      <c r="K474" s="380">
        <v>11.99</v>
      </c>
      <c r="L474" s="380">
        <v>28.0</v>
      </c>
      <c r="M474" s="12">
        <v>21.0</v>
      </c>
      <c r="N474" s="380">
        <v>0.57</v>
      </c>
    </row>
    <row r="475">
      <c r="A475" s="34"/>
      <c r="B475" s="34"/>
      <c r="C475" s="382"/>
      <c r="D475" s="24"/>
      <c r="E475" s="24"/>
      <c r="F475" s="24"/>
      <c r="G475" s="24"/>
      <c r="H475" s="24"/>
      <c r="I475" s="24"/>
      <c r="J475" s="383">
        <f t="shared" ref="J475:M475" si="69">SUM(J473:J474)</f>
        <v>79.98</v>
      </c>
      <c r="K475" s="383">
        <f t="shared" si="69"/>
        <v>19.98</v>
      </c>
      <c r="L475" s="383">
        <f t="shared" si="69"/>
        <v>60</v>
      </c>
      <c r="M475" s="24">
        <f t="shared" si="69"/>
        <v>40</v>
      </c>
      <c r="N475" s="383">
        <f>K475/M475</f>
        <v>0.4995</v>
      </c>
    </row>
    <row r="476">
      <c r="A476" s="12" t="s">
        <v>367</v>
      </c>
      <c r="B476" s="12" t="s">
        <v>370</v>
      </c>
      <c r="C476" s="12">
        <v>924.0</v>
      </c>
      <c r="D476" s="12" t="s">
        <v>1107</v>
      </c>
      <c r="E476" s="12" t="s">
        <v>26</v>
      </c>
      <c r="F476" s="379">
        <v>44678.0</v>
      </c>
      <c r="G476" s="379">
        <v>44776.0</v>
      </c>
      <c r="H476" s="379">
        <v>44824.0</v>
      </c>
      <c r="I476" s="379">
        <v>44824.0</v>
      </c>
      <c r="J476" s="380">
        <v>21.99</v>
      </c>
      <c r="K476" s="380">
        <v>14.73</v>
      </c>
      <c r="L476" s="380">
        <v>7.26</v>
      </c>
      <c r="M476" s="12">
        <v>2.0</v>
      </c>
      <c r="N476" s="380">
        <v>7.37</v>
      </c>
    </row>
    <row r="477">
      <c r="A477" s="13" t="s">
        <v>367</v>
      </c>
      <c r="B477" s="12" t="s">
        <v>371</v>
      </c>
      <c r="C477" s="12">
        <v>234.0</v>
      </c>
      <c r="D477" s="12" t="s">
        <v>1095</v>
      </c>
      <c r="E477" s="12" t="s">
        <v>24</v>
      </c>
      <c r="F477" s="379">
        <v>41682.0</v>
      </c>
      <c r="G477" s="379">
        <v>44292.0</v>
      </c>
      <c r="H477" s="379">
        <v>45116.0</v>
      </c>
      <c r="I477" s="379">
        <v>45126.0</v>
      </c>
      <c r="J477" s="380">
        <v>9.99</v>
      </c>
      <c r="K477" s="380">
        <v>9.99</v>
      </c>
      <c r="L477" s="380">
        <v>0.0</v>
      </c>
      <c r="M477" s="12">
        <v>20.0</v>
      </c>
      <c r="N477" s="380">
        <v>0.5</v>
      </c>
    </row>
    <row r="478">
      <c r="A478" s="13" t="s">
        <v>367</v>
      </c>
      <c r="B478" s="13" t="s">
        <v>372</v>
      </c>
      <c r="C478" s="12">
        <v>1080.0</v>
      </c>
      <c r="D478" s="12" t="s">
        <v>1110</v>
      </c>
      <c r="E478" s="12" t="s">
        <v>28</v>
      </c>
      <c r="F478" s="379">
        <v>45687.0</v>
      </c>
      <c r="G478" s="379">
        <v>45800.0</v>
      </c>
      <c r="H478" s="379">
        <v>45809.0</v>
      </c>
      <c r="I478" s="379">
        <v>45811.0</v>
      </c>
      <c r="J478" s="381">
        <v>19.99</v>
      </c>
      <c r="K478" s="381">
        <v>13.99</v>
      </c>
      <c r="L478" s="381">
        <v>6.0</v>
      </c>
      <c r="M478" s="12">
        <v>12.0</v>
      </c>
      <c r="N478" s="381">
        <v>1.17</v>
      </c>
    </row>
    <row r="479">
      <c r="A479" s="13" t="s">
        <v>367</v>
      </c>
      <c r="B479" s="12" t="s">
        <v>373</v>
      </c>
      <c r="C479" s="12">
        <v>214.0</v>
      </c>
      <c r="D479" s="12" t="s">
        <v>1093</v>
      </c>
      <c r="E479" s="12" t="s">
        <v>24</v>
      </c>
      <c r="F479" s="379">
        <v>40779.0</v>
      </c>
      <c r="G479" s="379">
        <v>40867.0</v>
      </c>
      <c r="H479" s="379">
        <v>40867.0</v>
      </c>
      <c r="I479" s="379">
        <v>44750.0</v>
      </c>
      <c r="J479" s="380">
        <v>4.99</v>
      </c>
      <c r="K479" s="380">
        <v>4.99</v>
      </c>
      <c r="L479" s="380">
        <v>0.0</v>
      </c>
      <c r="M479" s="12">
        <v>5.0</v>
      </c>
      <c r="N479" s="380">
        <v>1.0</v>
      </c>
    </row>
    <row r="480">
      <c r="A480" s="12" t="s">
        <v>367</v>
      </c>
      <c r="B480" s="12" t="s">
        <v>374</v>
      </c>
      <c r="C480" s="12">
        <v>650.0</v>
      </c>
      <c r="D480" s="12" t="s">
        <v>1096</v>
      </c>
      <c r="E480" s="12" t="s">
        <v>26</v>
      </c>
      <c r="F480" s="379">
        <v>42272.0</v>
      </c>
      <c r="G480" s="379">
        <v>43922.0</v>
      </c>
      <c r="H480" s="379">
        <v>43925.0</v>
      </c>
      <c r="I480" s="379">
        <v>43925.0</v>
      </c>
      <c r="J480" s="380">
        <v>39.99</v>
      </c>
      <c r="K480" s="380">
        <v>3.99</v>
      </c>
      <c r="L480" s="380">
        <v>36.0</v>
      </c>
      <c r="M480" s="12">
        <v>2.0</v>
      </c>
      <c r="N480" s="380">
        <v>2.0</v>
      </c>
    </row>
    <row r="481">
      <c r="A481" s="12" t="s">
        <v>367</v>
      </c>
      <c r="B481" s="12" t="s">
        <v>375</v>
      </c>
      <c r="C481" s="12">
        <v>640.0</v>
      </c>
      <c r="D481" s="12" t="s">
        <v>1099</v>
      </c>
      <c r="E481" s="12" t="s">
        <v>26</v>
      </c>
      <c r="F481" s="379">
        <v>42794.0</v>
      </c>
      <c r="G481" s="379">
        <v>42951.0</v>
      </c>
      <c r="H481" s="379">
        <v>43039.0</v>
      </c>
      <c r="I481" s="379">
        <v>45359.0</v>
      </c>
      <c r="J481" s="380">
        <v>8.99</v>
      </c>
      <c r="K481" s="380">
        <v>3.99</v>
      </c>
      <c r="L481" s="380">
        <v>5.0</v>
      </c>
      <c r="M481" s="12">
        <v>4.0</v>
      </c>
      <c r="N481" s="380">
        <v>1.0</v>
      </c>
    </row>
    <row r="482">
      <c r="A482" s="12" t="s">
        <v>367</v>
      </c>
      <c r="B482" s="12" t="s">
        <v>376</v>
      </c>
      <c r="C482" s="12">
        <v>550.0</v>
      </c>
      <c r="D482" s="12" t="s">
        <v>1103</v>
      </c>
      <c r="E482" s="12" t="s">
        <v>26</v>
      </c>
      <c r="F482" s="379">
        <v>44119.0</v>
      </c>
      <c r="G482" s="379">
        <v>44203.0</v>
      </c>
      <c r="H482" s="379">
        <v>44310.0</v>
      </c>
      <c r="I482" s="379">
        <v>44654.0</v>
      </c>
      <c r="J482" s="380">
        <v>24.99</v>
      </c>
      <c r="K482" s="380">
        <v>17.49</v>
      </c>
      <c r="L482" s="380">
        <v>7.5</v>
      </c>
      <c r="M482" s="12">
        <v>23.0</v>
      </c>
      <c r="N482" s="380">
        <v>0.76</v>
      </c>
    </row>
    <row r="483">
      <c r="A483" s="12" t="s">
        <v>367</v>
      </c>
      <c r="B483" s="12" t="s">
        <v>377</v>
      </c>
      <c r="C483" s="12">
        <v>993.0</v>
      </c>
      <c r="D483" s="12" t="s">
        <v>1108</v>
      </c>
      <c r="E483" s="12" t="s">
        <v>27</v>
      </c>
      <c r="F483" s="379">
        <v>43340.0</v>
      </c>
      <c r="G483" s="379">
        <v>43475.0</v>
      </c>
      <c r="H483" s="379">
        <v>43542.0</v>
      </c>
      <c r="I483" s="379">
        <v>43542.0</v>
      </c>
      <c r="J483" s="380">
        <v>19.99</v>
      </c>
      <c r="K483" s="380">
        <v>19.99</v>
      </c>
      <c r="L483" s="380">
        <v>0.0</v>
      </c>
      <c r="M483" s="12">
        <v>1.0</v>
      </c>
      <c r="N483" s="380">
        <v>19.99</v>
      </c>
    </row>
    <row r="484">
      <c r="A484" s="12" t="s">
        <v>367</v>
      </c>
      <c r="B484" s="12" t="s">
        <v>378</v>
      </c>
      <c r="C484" s="12">
        <v>588.0</v>
      </c>
      <c r="D484" s="12" t="s">
        <v>1100</v>
      </c>
      <c r="E484" s="12" t="s">
        <v>26</v>
      </c>
      <c r="F484" s="379">
        <v>43061.0</v>
      </c>
      <c r="G484" s="379">
        <v>43472.0</v>
      </c>
      <c r="H484" s="379">
        <v>43542.0</v>
      </c>
      <c r="I484" s="379">
        <v>43542.0</v>
      </c>
      <c r="J484" s="380">
        <v>11.99</v>
      </c>
      <c r="K484" s="380">
        <v>4.99</v>
      </c>
      <c r="L484" s="380">
        <v>7.0</v>
      </c>
      <c r="M484" s="12">
        <v>4.0</v>
      </c>
      <c r="N484" s="380">
        <v>1.25</v>
      </c>
    </row>
    <row r="485">
      <c r="A485" s="12" t="s">
        <v>367</v>
      </c>
      <c r="B485" s="12" t="s">
        <v>379</v>
      </c>
      <c r="C485" s="12">
        <v>541.0</v>
      </c>
      <c r="D485" s="12" t="s">
        <v>1104</v>
      </c>
      <c r="E485" s="12" t="s">
        <v>26</v>
      </c>
      <c r="F485" s="379">
        <v>44274.0</v>
      </c>
      <c r="G485" s="379">
        <v>44720.0</v>
      </c>
      <c r="H485" s="379">
        <v>44720.0</v>
      </c>
      <c r="I485" s="379">
        <v>44720.0</v>
      </c>
      <c r="J485" s="380">
        <v>24.99</v>
      </c>
      <c r="K485" s="380">
        <v>16.24</v>
      </c>
      <c r="L485" s="380">
        <v>8.75</v>
      </c>
      <c r="M485" s="12">
        <v>1.0</v>
      </c>
      <c r="N485" s="380">
        <v>16.24</v>
      </c>
    </row>
    <row r="486">
      <c r="A486" s="12" t="s">
        <v>367</v>
      </c>
      <c r="B486" s="12" t="s">
        <v>380</v>
      </c>
      <c r="C486" s="12">
        <v>849.0</v>
      </c>
      <c r="D486" s="12" t="s">
        <v>1105</v>
      </c>
      <c r="E486" s="12" t="s">
        <v>26</v>
      </c>
      <c r="F486" s="379">
        <v>44281.0</v>
      </c>
      <c r="G486" s="379">
        <v>44398.0</v>
      </c>
      <c r="H486" s="379">
        <v>44398.0</v>
      </c>
      <c r="I486" s="379">
        <v>44398.0</v>
      </c>
      <c r="J486" s="380">
        <v>49.99</v>
      </c>
      <c r="K486" s="380">
        <v>29.99</v>
      </c>
      <c r="L486" s="380">
        <v>20.0</v>
      </c>
      <c r="M486" s="12">
        <v>2.0</v>
      </c>
      <c r="N486" s="380">
        <v>15.0</v>
      </c>
    </row>
    <row r="487">
      <c r="A487" s="12" t="s">
        <v>367</v>
      </c>
      <c r="B487" s="12" t="s">
        <v>381</v>
      </c>
      <c r="C487" s="12">
        <v>514.0</v>
      </c>
      <c r="D487" s="12" t="s">
        <v>1097</v>
      </c>
      <c r="E487" s="12" t="s">
        <v>26</v>
      </c>
      <c r="F487" s="379">
        <v>42524.0</v>
      </c>
      <c r="G487" s="379">
        <v>42954.0</v>
      </c>
      <c r="H487" s="379">
        <v>43058.0</v>
      </c>
      <c r="I487" s="379">
        <v>43058.0</v>
      </c>
      <c r="J487" s="380">
        <v>8.99</v>
      </c>
      <c r="K487" s="380">
        <v>2.99</v>
      </c>
      <c r="L487" s="380">
        <v>6.0</v>
      </c>
      <c r="M487" s="12">
        <v>2.0</v>
      </c>
      <c r="N487" s="380">
        <v>1.5</v>
      </c>
    </row>
    <row r="488">
      <c r="A488" s="13" t="s">
        <v>367</v>
      </c>
      <c r="B488" s="12" t="s">
        <v>382</v>
      </c>
      <c r="C488" s="12">
        <v>368.0</v>
      </c>
      <c r="D488" s="12" t="s">
        <v>1094</v>
      </c>
      <c r="E488" s="12" t="s">
        <v>24</v>
      </c>
      <c r="F488" s="379">
        <v>41089.0</v>
      </c>
      <c r="G488" s="379">
        <v>44422.0</v>
      </c>
      <c r="H488" s="379">
        <v>45098.0</v>
      </c>
      <c r="I488" s="379">
        <v>45106.0</v>
      </c>
      <c r="J488" s="380">
        <v>19.99</v>
      </c>
      <c r="K488" s="380">
        <v>19.99</v>
      </c>
      <c r="L488" s="380">
        <v>0.0</v>
      </c>
      <c r="M488" s="12">
        <v>40.0</v>
      </c>
      <c r="N488" s="380">
        <v>0.5</v>
      </c>
    </row>
    <row r="489">
      <c r="A489" s="329"/>
      <c r="B489" s="328"/>
      <c r="C489" s="352"/>
      <c r="D489" s="329"/>
      <c r="E489" s="329"/>
      <c r="F489" s="329"/>
      <c r="G489" s="329"/>
      <c r="H489" s="329"/>
      <c r="I489" s="329"/>
      <c r="J489" s="353"/>
      <c r="K489" s="353"/>
      <c r="L489" s="353"/>
      <c r="M489" s="329"/>
      <c r="N489" s="353"/>
    </row>
    <row r="490">
      <c r="A490" s="93" t="s">
        <v>384</v>
      </c>
      <c r="B490" s="86" t="s">
        <v>383</v>
      </c>
      <c r="C490" s="86">
        <v>189.0</v>
      </c>
      <c r="D490" s="86" t="s">
        <v>1111</v>
      </c>
      <c r="E490" s="86" t="s">
        <v>24</v>
      </c>
      <c r="F490" s="87">
        <v>41073.0</v>
      </c>
      <c r="G490" s="87">
        <v>44285.0</v>
      </c>
      <c r="H490" s="87">
        <v>44287.0</v>
      </c>
      <c r="I490" s="87">
        <v>44288.0</v>
      </c>
      <c r="J490" s="88">
        <v>9.99</v>
      </c>
      <c r="K490" s="88">
        <v>9.99</v>
      </c>
      <c r="L490" s="88">
        <v>0.0</v>
      </c>
      <c r="M490" s="86">
        <v>5.0</v>
      </c>
      <c r="N490" s="88">
        <v>2.0</v>
      </c>
    </row>
    <row r="491">
      <c r="A491" s="86" t="s">
        <v>384</v>
      </c>
      <c r="B491" s="86" t="s">
        <v>385</v>
      </c>
      <c r="C491" s="86">
        <v>544.0</v>
      </c>
      <c r="D491" s="86" t="s">
        <v>1112</v>
      </c>
      <c r="E491" s="86" t="s">
        <v>26</v>
      </c>
      <c r="F491" s="87">
        <v>44140.0</v>
      </c>
      <c r="G491" s="87">
        <v>44666.0</v>
      </c>
      <c r="H491" s="87">
        <v>44666.0</v>
      </c>
      <c r="I491" s="87">
        <v>44666.0</v>
      </c>
      <c r="J491" s="88">
        <v>19.99</v>
      </c>
      <c r="K491" s="88">
        <v>13.99</v>
      </c>
      <c r="L491" s="88">
        <v>6.0</v>
      </c>
      <c r="M491" s="86">
        <v>1.0</v>
      </c>
      <c r="N491" s="88">
        <v>13.99</v>
      </c>
    </row>
    <row r="492">
      <c r="A492" s="331"/>
      <c r="B492" s="331"/>
      <c r="C492" s="332"/>
      <c r="D492" s="333"/>
      <c r="E492" s="333"/>
      <c r="F492" s="333"/>
      <c r="G492" s="333"/>
      <c r="H492" s="333"/>
      <c r="I492" s="333"/>
      <c r="J492" s="334"/>
      <c r="K492" s="334"/>
      <c r="L492" s="334"/>
      <c r="M492" s="333"/>
      <c r="N492" s="334"/>
    </row>
    <row r="493">
      <c r="A493" s="23" t="s">
        <v>387</v>
      </c>
      <c r="B493" s="23" t="s">
        <v>386</v>
      </c>
      <c r="C493" s="23">
        <v>1001.0</v>
      </c>
      <c r="D493" s="23" t="s">
        <v>1113</v>
      </c>
      <c r="E493" s="23" t="s">
        <v>27</v>
      </c>
      <c r="F493" s="362">
        <v>42656.0</v>
      </c>
      <c r="G493" s="362">
        <v>43472.0</v>
      </c>
      <c r="H493" s="362">
        <v>43472.0</v>
      </c>
      <c r="I493" s="362">
        <v>43472.0</v>
      </c>
      <c r="J493" s="364">
        <v>29.99</v>
      </c>
      <c r="K493" s="364">
        <v>10.99</v>
      </c>
      <c r="L493" s="364">
        <v>19.0</v>
      </c>
      <c r="M493" s="23">
        <v>1.0</v>
      </c>
      <c r="N493" s="364">
        <v>10.99</v>
      </c>
    </row>
    <row r="494">
      <c r="A494" s="357"/>
      <c r="B494" s="357"/>
      <c r="C494" s="358"/>
      <c r="D494" s="359"/>
      <c r="E494" s="359"/>
      <c r="F494" s="359"/>
      <c r="G494" s="359"/>
      <c r="H494" s="359"/>
      <c r="I494" s="359"/>
      <c r="J494" s="360"/>
      <c r="K494" s="360"/>
      <c r="L494" s="360"/>
      <c r="M494" s="359"/>
      <c r="N494" s="360"/>
    </row>
    <row r="495">
      <c r="A495" s="96" t="s">
        <v>389</v>
      </c>
      <c r="B495" s="96" t="s">
        <v>388</v>
      </c>
      <c r="C495" s="96">
        <v>800.0</v>
      </c>
      <c r="D495" s="96" t="s">
        <v>1115</v>
      </c>
      <c r="E495" s="96" t="s">
        <v>26</v>
      </c>
      <c r="F495" s="325">
        <v>44826.0</v>
      </c>
      <c r="G495" s="325">
        <v>44921.0</v>
      </c>
      <c r="H495" s="325">
        <v>44922.0</v>
      </c>
      <c r="I495" s="325">
        <v>44930.0</v>
      </c>
      <c r="J495" s="326">
        <v>24.99</v>
      </c>
      <c r="K495" s="326">
        <v>0.0</v>
      </c>
      <c r="L495" s="326">
        <v>24.99</v>
      </c>
      <c r="M495" s="96">
        <v>35.0</v>
      </c>
      <c r="N495" s="326">
        <v>0.0</v>
      </c>
    </row>
    <row r="496">
      <c r="A496" s="96" t="s">
        <v>389</v>
      </c>
      <c r="B496" s="96" t="s">
        <v>390</v>
      </c>
      <c r="C496" s="96">
        <v>553.0</v>
      </c>
      <c r="D496" s="96" t="s">
        <v>1114</v>
      </c>
      <c r="E496" s="96" t="s">
        <v>26</v>
      </c>
      <c r="F496" s="325">
        <v>43859.0</v>
      </c>
      <c r="G496" s="325">
        <v>45256.0</v>
      </c>
      <c r="H496" s="325">
        <v>45450.0</v>
      </c>
      <c r="I496" s="325">
        <v>45453.0</v>
      </c>
      <c r="J496" s="326">
        <v>13.99</v>
      </c>
      <c r="K496" s="326">
        <v>13.99</v>
      </c>
      <c r="L496" s="326">
        <v>0.0</v>
      </c>
      <c r="M496" s="96">
        <v>10.0</v>
      </c>
      <c r="N496" s="326">
        <v>1.4</v>
      </c>
    </row>
    <row r="497">
      <c r="A497" s="96" t="s">
        <v>389</v>
      </c>
      <c r="B497" s="96"/>
      <c r="C497" s="96">
        <v>554.0</v>
      </c>
      <c r="D497" s="96" t="s">
        <v>1116</v>
      </c>
      <c r="E497" s="96" t="s">
        <v>26</v>
      </c>
      <c r="F497" s="325">
        <v>45036.0</v>
      </c>
      <c r="G497" s="325">
        <v>45256.0</v>
      </c>
      <c r="H497" s="325">
        <v>45452.0</v>
      </c>
      <c r="I497" s="325">
        <v>45465.0</v>
      </c>
      <c r="J497" s="326">
        <v>14.99</v>
      </c>
      <c r="K497" s="326">
        <v>10.49</v>
      </c>
      <c r="L497" s="326">
        <v>4.5</v>
      </c>
      <c r="M497" s="96">
        <v>6.0</v>
      </c>
      <c r="N497" s="326">
        <v>1.75</v>
      </c>
    </row>
    <row r="498">
      <c r="A498" s="86"/>
      <c r="B498" s="86"/>
      <c r="C498" s="92"/>
      <c r="D498" s="93"/>
      <c r="E498" s="93"/>
      <c r="F498" s="93"/>
      <c r="G498" s="93"/>
      <c r="H498" s="93"/>
      <c r="I498" s="93"/>
      <c r="J498" s="97">
        <f t="shared" ref="J498:M498" si="70">SUM(J496:J497)</f>
        <v>28.98</v>
      </c>
      <c r="K498" s="97">
        <f t="shared" si="70"/>
        <v>24.48</v>
      </c>
      <c r="L498" s="97">
        <f t="shared" si="70"/>
        <v>4.5</v>
      </c>
      <c r="M498" s="93">
        <f t="shared" si="70"/>
        <v>16</v>
      </c>
      <c r="N498" s="97">
        <f>K498/M498</f>
        <v>1.53</v>
      </c>
    </row>
    <row r="499">
      <c r="A499" s="331"/>
      <c r="B499" s="331"/>
      <c r="C499" s="332"/>
      <c r="D499" s="333"/>
      <c r="E499" s="333"/>
      <c r="F499" s="333"/>
      <c r="G499" s="333"/>
      <c r="H499" s="333"/>
      <c r="I499" s="333"/>
      <c r="J499" s="334"/>
      <c r="K499" s="334"/>
      <c r="L499" s="334"/>
      <c r="M499" s="333"/>
      <c r="N499" s="334"/>
    </row>
    <row r="500">
      <c r="A500" s="357" t="s">
        <v>392</v>
      </c>
      <c r="B500" s="357" t="s">
        <v>391</v>
      </c>
      <c r="C500" s="357">
        <v>822.0</v>
      </c>
      <c r="D500" s="357" t="s">
        <v>1117</v>
      </c>
      <c r="E500" s="357" t="s">
        <v>26</v>
      </c>
      <c r="F500" s="365">
        <v>44890.0</v>
      </c>
      <c r="G500" s="365">
        <v>45176.0</v>
      </c>
      <c r="H500" s="365">
        <v>45257.0</v>
      </c>
      <c r="I500" s="365">
        <v>45257.0</v>
      </c>
      <c r="J500" s="366">
        <v>4.99</v>
      </c>
      <c r="K500" s="366">
        <v>0.0</v>
      </c>
      <c r="L500" s="366">
        <v>4.99</v>
      </c>
      <c r="M500" s="357">
        <v>3.0</v>
      </c>
      <c r="N500" s="366">
        <v>0.0</v>
      </c>
    </row>
    <row r="501">
      <c r="A501" s="357"/>
      <c r="B501" s="357"/>
      <c r="C501" s="358"/>
      <c r="D501" s="359"/>
      <c r="E501" s="359"/>
      <c r="F501" s="359"/>
      <c r="G501" s="359"/>
      <c r="H501" s="359"/>
      <c r="I501" s="359"/>
      <c r="J501" s="360"/>
      <c r="K501" s="360"/>
      <c r="L501" s="360"/>
      <c r="M501" s="359"/>
      <c r="N501" s="360"/>
    </row>
    <row r="502">
      <c r="A502" s="384" t="s">
        <v>394</v>
      </c>
      <c r="B502" s="384" t="s">
        <v>393</v>
      </c>
      <c r="C502" s="384">
        <v>1037.0</v>
      </c>
      <c r="D502" s="384" t="s">
        <v>1125</v>
      </c>
      <c r="E502" s="384" t="s">
        <v>27</v>
      </c>
      <c r="F502" s="385">
        <v>44518.0</v>
      </c>
      <c r="G502" s="385">
        <v>44555.0</v>
      </c>
      <c r="H502" s="385">
        <v>44571.0</v>
      </c>
      <c r="I502" s="385">
        <v>44678.0</v>
      </c>
      <c r="J502" s="386">
        <v>9.99</v>
      </c>
      <c r="K502" s="386">
        <v>6.99</v>
      </c>
      <c r="L502" s="386">
        <v>3.0</v>
      </c>
      <c r="M502" s="384">
        <v>9.0</v>
      </c>
      <c r="N502" s="386">
        <v>0.78</v>
      </c>
    </row>
    <row r="503">
      <c r="A503" s="384" t="s">
        <v>394</v>
      </c>
      <c r="B503" s="384" t="s">
        <v>395</v>
      </c>
      <c r="C503" s="384">
        <v>667.0</v>
      </c>
      <c r="D503" s="384" t="s">
        <v>1122</v>
      </c>
      <c r="E503" s="384" t="s">
        <v>26</v>
      </c>
      <c r="F503" s="385">
        <v>44469.0</v>
      </c>
      <c r="G503" s="385">
        <v>44839.0</v>
      </c>
      <c r="H503" s="385">
        <v>44881.0</v>
      </c>
      <c r="I503" s="385">
        <v>44888.0</v>
      </c>
      <c r="J503" s="386">
        <v>49.99</v>
      </c>
      <c r="K503" s="386">
        <v>0.0</v>
      </c>
      <c r="L503" s="386">
        <v>49.99</v>
      </c>
      <c r="M503" s="384">
        <v>29.0</v>
      </c>
      <c r="N503" s="386">
        <v>0.0</v>
      </c>
    </row>
    <row r="504">
      <c r="A504" s="387" t="s">
        <v>394</v>
      </c>
      <c r="B504" s="387" t="s">
        <v>395</v>
      </c>
      <c r="C504" s="384">
        <v>668.0</v>
      </c>
      <c r="D504" s="384" t="s">
        <v>1123</v>
      </c>
      <c r="E504" s="384" t="s">
        <v>26</v>
      </c>
      <c r="F504" s="385">
        <v>45218.0</v>
      </c>
      <c r="G504" s="385">
        <v>45602.0</v>
      </c>
      <c r="H504" s="385">
        <v>45602.0</v>
      </c>
      <c r="I504" s="385">
        <v>45626.0</v>
      </c>
      <c r="J504" s="388">
        <v>49.99</v>
      </c>
      <c r="K504" s="388">
        <v>0.0</v>
      </c>
      <c r="L504" s="388">
        <v>49.99</v>
      </c>
      <c r="M504" s="384">
        <v>25.0</v>
      </c>
      <c r="N504" s="386">
        <v>0.0</v>
      </c>
    </row>
    <row r="505">
      <c r="A505" s="329"/>
      <c r="B505" s="329"/>
      <c r="C505" s="352"/>
      <c r="D505" s="329"/>
      <c r="E505" s="329"/>
      <c r="F505" s="329"/>
      <c r="G505" s="329"/>
      <c r="H505" s="329"/>
      <c r="I505" s="329"/>
      <c r="J505" s="389">
        <f t="shared" ref="J505:M505" si="71">SUM(J503:J504)</f>
        <v>99.98</v>
      </c>
      <c r="K505" s="389">
        <f t="shared" si="71"/>
        <v>0</v>
      </c>
      <c r="L505" s="389">
        <f t="shared" si="71"/>
        <v>99.98</v>
      </c>
      <c r="M505" s="390">
        <f t="shared" si="71"/>
        <v>54</v>
      </c>
      <c r="N505" s="389">
        <f>K505/M505</f>
        <v>0</v>
      </c>
    </row>
    <row r="506">
      <c r="A506" s="384" t="s">
        <v>394</v>
      </c>
      <c r="B506" s="384" t="s">
        <v>396</v>
      </c>
      <c r="C506" s="384">
        <v>442.0</v>
      </c>
      <c r="D506" s="384" t="s">
        <v>1118</v>
      </c>
      <c r="E506" s="384" t="s">
        <v>25</v>
      </c>
      <c r="F506" s="385">
        <v>41913.0</v>
      </c>
      <c r="G506" s="385">
        <v>43937.0</v>
      </c>
      <c r="H506" s="385">
        <v>43937.0</v>
      </c>
      <c r="I506" s="385">
        <v>43937.0</v>
      </c>
      <c r="J506" s="386">
        <v>9.99</v>
      </c>
      <c r="K506" s="386">
        <v>2.99</v>
      </c>
      <c r="L506" s="386">
        <v>7.0</v>
      </c>
      <c r="M506" s="384">
        <v>1.0</v>
      </c>
      <c r="N506" s="386">
        <v>2.99</v>
      </c>
    </row>
    <row r="507">
      <c r="A507" s="384" t="s">
        <v>394</v>
      </c>
      <c r="B507" s="384"/>
      <c r="C507" s="384">
        <v>441.0</v>
      </c>
      <c r="D507" s="384" t="s">
        <v>1120</v>
      </c>
      <c r="E507" s="384" t="s">
        <v>25</v>
      </c>
      <c r="F507" s="385">
        <v>42789.0</v>
      </c>
      <c r="G507" s="385">
        <v>43942.0</v>
      </c>
      <c r="H507" s="385">
        <v>43942.0</v>
      </c>
      <c r="I507" s="385">
        <v>43942.0</v>
      </c>
      <c r="J507" s="386">
        <v>9.99</v>
      </c>
      <c r="K507" s="386">
        <v>2.99</v>
      </c>
      <c r="L507" s="386">
        <v>7.0</v>
      </c>
      <c r="M507" s="384">
        <v>1.0</v>
      </c>
      <c r="N507" s="386">
        <v>2.99</v>
      </c>
    </row>
    <row r="508">
      <c r="A508" s="391"/>
      <c r="B508" s="391"/>
      <c r="C508" s="392"/>
      <c r="D508" s="390"/>
      <c r="E508" s="390"/>
      <c r="F508" s="390"/>
      <c r="G508" s="390"/>
      <c r="H508" s="390"/>
      <c r="I508" s="390"/>
      <c r="J508" s="389">
        <f t="shared" ref="J508:M508" si="72">SUM(J506:J507)</f>
        <v>19.98</v>
      </c>
      <c r="K508" s="389">
        <f t="shared" si="72"/>
        <v>5.98</v>
      </c>
      <c r="L508" s="389">
        <f t="shared" si="72"/>
        <v>14</v>
      </c>
      <c r="M508" s="390">
        <f t="shared" si="72"/>
        <v>2</v>
      </c>
      <c r="N508" s="389">
        <f>K508/M508</f>
        <v>2.99</v>
      </c>
    </row>
    <row r="509">
      <c r="A509" s="384" t="s">
        <v>394</v>
      </c>
      <c r="B509" s="384" t="s">
        <v>397</v>
      </c>
      <c r="C509" s="384">
        <v>1048.0</v>
      </c>
      <c r="D509" s="384" t="s">
        <v>1124</v>
      </c>
      <c r="E509" s="384" t="s">
        <v>27</v>
      </c>
      <c r="F509" s="385">
        <v>42773.0</v>
      </c>
      <c r="G509" s="385">
        <v>43466.0</v>
      </c>
      <c r="H509" s="385">
        <v>43466.0</v>
      </c>
      <c r="I509" s="385">
        <v>43466.0</v>
      </c>
      <c r="J509" s="386">
        <v>14.99</v>
      </c>
      <c r="K509" s="386">
        <v>2.99</v>
      </c>
      <c r="L509" s="386">
        <v>12.0</v>
      </c>
      <c r="M509" s="384">
        <v>1.0</v>
      </c>
      <c r="N509" s="386">
        <v>2.99</v>
      </c>
    </row>
    <row r="510">
      <c r="A510" s="384" t="s">
        <v>394</v>
      </c>
      <c r="B510" s="384" t="s">
        <v>398</v>
      </c>
      <c r="C510" s="384">
        <v>429.0</v>
      </c>
      <c r="D510" s="384" t="s">
        <v>1119</v>
      </c>
      <c r="E510" s="384" t="s">
        <v>25</v>
      </c>
      <c r="F510" s="385">
        <v>42459.0</v>
      </c>
      <c r="G510" s="385">
        <v>42766.0</v>
      </c>
      <c r="H510" s="385">
        <v>42766.0</v>
      </c>
      <c r="I510" s="385">
        <v>44945.0</v>
      </c>
      <c r="J510" s="386">
        <v>9.99</v>
      </c>
      <c r="K510" s="386">
        <v>6.99</v>
      </c>
      <c r="L510" s="386">
        <v>3.0</v>
      </c>
      <c r="M510" s="384">
        <v>1.0</v>
      </c>
      <c r="N510" s="386">
        <v>6.99</v>
      </c>
    </row>
    <row r="511">
      <c r="A511" s="384" t="s">
        <v>394</v>
      </c>
      <c r="B511" s="384" t="s">
        <v>399</v>
      </c>
      <c r="C511" s="384">
        <v>537.0</v>
      </c>
      <c r="D511" s="384" t="s">
        <v>1121</v>
      </c>
      <c r="E511" s="384" t="s">
        <v>26</v>
      </c>
      <c r="F511" s="385">
        <v>43391.0</v>
      </c>
      <c r="G511" s="385">
        <v>45256.0</v>
      </c>
      <c r="H511" s="385">
        <v>45296.0</v>
      </c>
      <c r="I511" s="385">
        <v>45303.0</v>
      </c>
      <c r="J511" s="386">
        <v>19.99</v>
      </c>
      <c r="K511" s="386">
        <v>3.99</v>
      </c>
      <c r="L511" s="386">
        <v>16.0</v>
      </c>
      <c r="M511" s="384">
        <v>8.0</v>
      </c>
      <c r="N511" s="386">
        <v>0.5</v>
      </c>
    </row>
    <row r="512">
      <c r="A512" s="331"/>
      <c r="B512" s="331"/>
      <c r="C512" s="332"/>
      <c r="D512" s="333"/>
      <c r="E512" s="333"/>
      <c r="F512" s="333"/>
      <c r="G512" s="333"/>
      <c r="H512" s="333"/>
      <c r="I512" s="333"/>
      <c r="J512" s="334"/>
      <c r="K512" s="334"/>
      <c r="L512" s="334"/>
      <c r="M512" s="333"/>
      <c r="N512" s="334"/>
    </row>
    <row r="513">
      <c r="A513" s="86" t="s">
        <v>50</v>
      </c>
      <c r="B513" s="86" t="s">
        <v>400</v>
      </c>
      <c r="C513" s="86">
        <v>452.0</v>
      </c>
      <c r="D513" s="86" t="s">
        <v>1228</v>
      </c>
      <c r="E513" s="86" t="s">
        <v>25</v>
      </c>
      <c r="F513" s="87">
        <v>41745.0</v>
      </c>
      <c r="G513" s="87">
        <v>42187.0</v>
      </c>
      <c r="H513" s="87">
        <v>45044.0</v>
      </c>
      <c r="I513" s="87">
        <v>45057.0</v>
      </c>
      <c r="J513" s="88">
        <v>5.99</v>
      </c>
      <c r="K513" s="88">
        <v>5.99</v>
      </c>
      <c r="L513" s="88">
        <v>0.0</v>
      </c>
      <c r="M513" s="86">
        <v>25.0</v>
      </c>
      <c r="N513" s="88">
        <v>0.24</v>
      </c>
    </row>
    <row r="514">
      <c r="A514" s="86" t="s">
        <v>50</v>
      </c>
      <c r="B514" s="86" t="s">
        <v>401</v>
      </c>
      <c r="C514" s="86">
        <v>606.0</v>
      </c>
      <c r="D514" s="86" t="s">
        <v>1274</v>
      </c>
      <c r="E514" s="86" t="s">
        <v>26</v>
      </c>
      <c r="F514" s="87">
        <v>44397.0</v>
      </c>
      <c r="G514" s="87">
        <v>45511.0</v>
      </c>
      <c r="H514" s="87">
        <v>45511.0</v>
      </c>
      <c r="I514" s="87">
        <v>45511.0</v>
      </c>
      <c r="J514" s="88">
        <v>29.99</v>
      </c>
      <c r="K514" s="88">
        <v>0.0</v>
      </c>
      <c r="L514" s="88">
        <v>29.99</v>
      </c>
      <c r="M514" s="86">
        <v>1.0</v>
      </c>
      <c r="N514" s="88">
        <v>0.0</v>
      </c>
    </row>
    <row r="515">
      <c r="A515" s="93" t="s">
        <v>50</v>
      </c>
      <c r="B515" s="86" t="s">
        <v>402</v>
      </c>
      <c r="C515" s="86">
        <v>293.0</v>
      </c>
      <c r="D515" s="86" t="s">
        <v>1202</v>
      </c>
      <c r="E515" s="86" t="s">
        <v>24</v>
      </c>
      <c r="F515" s="87">
        <v>40947.0</v>
      </c>
      <c r="G515" s="87">
        <v>44422.0</v>
      </c>
      <c r="H515" s="87">
        <v>44422.0</v>
      </c>
      <c r="I515" s="87">
        <v>44422.0</v>
      </c>
      <c r="J515" s="88">
        <v>7.99</v>
      </c>
      <c r="K515" s="88">
        <v>7.99</v>
      </c>
      <c r="L515" s="88">
        <v>0.0</v>
      </c>
      <c r="M515" s="86">
        <v>1.0</v>
      </c>
      <c r="N515" s="88">
        <v>7.99</v>
      </c>
    </row>
    <row r="516">
      <c r="A516" s="86" t="s">
        <v>50</v>
      </c>
      <c r="B516" s="86" t="s">
        <v>403</v>
      </c>
      <c r="C516" s="86">
        <v>482.0</v>
      </c>
      <c r="D516" s="86" t="s">
        <v>1232</v>
      </c>
      <c r="E516" s="86" t="s">
        <v>25</v>
      </c>
      <c r="F516" s="87">
        <v>42776.0</v>
      </c>
      <c r="G516" s="87">
        <v>43668.0</v>
      </c>
      <c r="H516" s="87">
        <v>43673.0</v>
      </c>
      <c r="I516" s="87">
        <v>43674.0</v>
      </c>
      <c r="J516" s="88">
        <v>19.99</v>
      </c>
      <c r="K516" s="88">
        <v>4.99</v>
      </c>
      <c r="L516" s="88">
        <v>15.0</v>
      </c>
      <c r="M516" s="86">
        <v>4.0</v>
      </c>
      <c r="N516" s="88">
        <v>1.25</v>
      </c>
    </row>
    <row r="517">
      <c r="A517" s="86" t="s">
        <v>50</v>
      </c>
      <c r="B517" s="86" t="s">
        <v>404</v>
      </c>
      <c r="C517" s="86">
        <v>649.0</v>
      </c>
      <c r="D517" s="86" t="s">
        <v>1264</v>
      </c>
      <c r="E517" s="86" t="s">
        <v>26</v>
      </c>
      <c r="F517" s="87">
        <v>43917.0</v>
      </c>
      <c r="G517" s="87">
        <v>44811.0</v>
      </c>
      <c r="H517" s="87">
        <v>44811.0</v>
      </c>
      <c r="I517" s="87">
        <v>44811.0</v>
      </c>
      <c r="J517" s="88">
        <v>19.99</v>
      </c>
      <c r="K517" s="88">
        <v>0.0</v>
      </c>
      <c r="L517" s="88">
        <v>19.99</v>
      </c>
      <c r="M517" s="86">
        <v>1.0</v>
      </c>
      <c r="N517" s="88">
        <v>0.0</v>
      </c>
    </row>
    <row r="518">
      <c r="A518" s="93" t="s">
        <v>50</v>
      </c>
      <c r="B518" s="86" t="s">
        <v>405</v>
      </c>
      <c r="C518" s="86">
        <v>210.0</v>
      </c>
      <c r="D518" s="86" t="s">
        <v>1203</v>
      </c>
      <c r="E518" s="86" t="s">
        <v>24</v>
      </c>
      <c r="F518" s="87">
        <v>40949.0</v>
      </c>
      <c r="G518" s="87">
        <v>41399.0</v>
      </c>
      <c r="H518" s="87">
        <v>41399.0</v>
      </c>
      <c r="I518" s="87">
        <v>44800.0</v>
      </c>
      <c r="J518" s="88">
        <v>79.98</v>
      </c>
      <c r="K518" s="88">
        <v>79.98</v>
      </c>
      <c r="L518" s="88">
        <v>0.0</v>
      </c>
      <c r="M518" s="86">
        <v>18.0</v>
      </c>
      <c r="N518" s="88">
        <v>4.44</v>
      </c>
    </row>
    <row r="519">
      <c r="A519" s="93" t="s">
        <v>50</v>
      </c>
      <c r="B519" s="86"/>
      <c r="C519" s="86">
        <v>321.0</v>
      </c>
      <c r="D519" s="86" t="s">
        <v>1221</v>
      </c>
      <c r="E519" s="86" t="s">
        <v>24</v>
      </c>
      <c r="F519" s="87">
        <v>42829.0</v>
      </c>
      <c r="G519" s="87">
        <v>43091.0</v>
      </c>
      <c r="H519" s="87">
        <v>43091.0</v>
      </c>
      <c r="I519" s="87">
        <v>43091.0</v>
      </c>
      <c r="J519" s="88">
        <v>69.99</v>
      </c>
      <c r="K519" s="88">
        <v>34.99</v>
      </c>
      <c r="L519" s="88">
        <v>35.0</v>
      </c>
      <c r="M519" s="86">
        <v>1.0</v>
      </c>
      <c r="N519" s="88">
        <v>34.99</v>
      </c>
    </row>
    <row r="520">
      <c r="A520" s="96"/>
      <c r="B520" s="96"/>
      <c r="C520" s="90"/>
      <c r="D520" s="89"/>
      <c r="E520" s="89"/>
      <c r="F520" s="89"/>
      <c r="G520" s="89"/>
      <c r="H520" s="89"/>
      <c r="I520" s="89"/>
      <c r="J520" s="91">
        <f t="shared" ref="J520:M520" si="73">SUM(J518:J519)</f>
        <v>149.97</v>
      </c>
      <c r="K520" s="91">
        <f t="shared" si="73"/>
        <v>114.97</v>
      </c>
      <c r="L520" s="91">
        <f t="shared" si="73"/>
        <v>35</v>
      </c>
      <c r="M520" s="89">
        <f t="shared" si="73"/>
        <v>19</v>
      </c>
      <c r="N520" s="91">
        <f>K520/M520</f>
        <v>6.051052632</v>
      </c>
    </row>
    <row r="521">
      <c r="A521" s="86" t="s">
        <v>50</v>
      </c>
      <c r="B521" s="86" t="s">
        <v>406</v>
      </c>
      <c r="C521" s="86">
        <v>60.0</v>
      </c>
      <c r="D521" s="86" t="s">
        <v>1127</v>
      </c>
      <c r="E521" s="86" t="s">
        <v>21</v>
      </c>
      <c r="F521" s="87">
        <v>35010.0</v>
      </c>
      <c r="G521" s="87">
        <v>41262.0</v>
      </c>
      <c r="H521" s="87">
        <v>41262.0</v>
      </c>
      <c r="I521" s="87">
        <v>41262.0</v>
      </c>
      <c r="J521" s="88">
        <v>4.99</v>
      </c>
      <c r="K521" s="88">
        <v>4.99</v>
      </c>
      <c r="L521" s="88">
        <v>0.0</v>
      </c>
      <c r="M521" s="86">
        <v>5.0</v>
      </c>
      <c r="N521" s="88">
        <v>1.0</v>
      </c>
    </row>
    <row r="522">
      <c r="A522" s="92" t="s">
        <v>50</v>
      </c>
      <c r="B522" s="86"/>
      <c r="C522" s="86">
        <v>61.0</v>
      </c>
      <c r="D522" s="86" t="s">
        <v>1129</v>
      </c>
      <c r="E522" s="86" t="s">
        <v>21</v>
      </c>
      <c r="F522" s="87">
        <v>35340.0</v>
      </c>
      <c r="G522" s="87">
        <v>41261.0</v>
      </c>
      <c r="H522" s="87">
        <v>41261.0</v>
      </c>
      <c r="I522" s="87">
        <v>41261.0</v>
      </c>
      <c r="J522" s="88">
        <v>4.99</v>
      </c>
      <c r="K522" s="88">
        <v>4.99</v>
      </c>
      <c r="L522" s="88">
        <v>0.0</v>
      </c>
      <c r="M522" s="86">
        <v>15.0</v>
      </c>
      <c r="N522" s="88">
        <v>0.33</v>
      </c>
    </row>
    <row r="523">
      <c r="A523" s="92" t="s">
        <v>50</v>
      </c>
      <c r="B523" s="86"/>
      <c r="C523" s="86">
        <v>30.0</v>
      </c>
      <c r="D523" s="86" t="s">
        <v>1136</v>
      </c>
      <c r="E523" s="86" t="s">
        <v>21</v>
      </c>
      <c r="F523" s="87">
        <v>35951.0</v>
      </c>
      <c r="G523" s="87">
        <v>42279.0</v>
      </c>
      <c r="H523" s="87">
        <v>42279.0</v>
      </c>
      <c r="I523" s="87">
        <v>42279.0</v>
      </c>
      <c r="J523" s="88">
        <v>4.99</v>
      </c>
      <c r="K523" s="88">
        <v>2.5</v>
      </c>
      <c r="L523" s="88">
        <v>2.49</v>
      </c>
      <c r="M523" s="86">
        <v>4.0</v>
      </c>
      <c r="N523" s="88">
        <v>0.63</v>
      </c>
    </row>
    <row r="524">
      <c r="A524" s="393" t="s">
        <v>50</v>
      </c>
      <c r="B524" s="393"/>
      <c r="C524" s="393">
        <v>1095.0</v>
      </c>
      <c r="D524" s="393" t="s">
        <v>1138</v>
      </c>
      <c r="E524" s="393" t="s">
        <v>21</v>
      </c>
      <c r="F524" s="394">
        <v>36050.0</v>
      </c>
      <c r="G524" s="394">
        <v>45956.0</v>
      </c>
      <c r="H524" s="394">
        <v>45967.0</v>
      </c>
      <c r="I524" s="394">
        <v>45971.0</v>
      </c>
      <c r="J524" s="395">
        <v>9.99</v>
      </c>
      <c r="K524" s="395">
        <v>9.99</v>
      </c>
      <c r="L524" s="395">
        <v>0.0</v>
      </c>
      <c r="M524" s="393">
        <v>2.0</v>
      </c>
      <c r="N524" s="395">
        <v>4.995</v>
      </c>
    </row>
    <row r="525">
      <c r="A525" s="92" t="s">
        <v>50</v>
      </c>
      <c r="B525" s="86"/>
      <c r="C525" s="86">
        <v>110.0</v>
      </c>
      <c r="D525" s="86" t="s">
        <v>1153</v>
      </c>
      <c r="E525" s="86" t="s">
        <v>22</v>
      </c>
      <c r="F525" s="87">
        <v>37204.0</v>
      </c>
      <c r="G525" s="87">
        <v>44883.0</v>
      </c>
      <c r="H525" s="87">
        <v>44906.0</v>
      </c>
      <c r="I525" s="87">
        <v>44907.0</v>
      </c>
      <c r="J525" s="88">
        <v>24.99</v>
      </c>
      <c r="K525" s="88">
        <v>14.99</v>
      </c>
      <c r="L525" s="88">
        <v>10.0</v>
      </c>
      <c r="M525" s="86">
        <v>6.0</v>
      </c>
      <c r="N525" s="88">
        <v>2.5</v>
      </c>
    </row>
    <row r="526">
      <c r="A526" s="86" t="s">
        <v>50</v>
      </c>
      <c r="B526" s="86"/>
      <c r="C526" s="86">
        <v>178.0</v>
      </c>
      <c r="D526" s="86" t="s">
        <v>1172</v>
      </c>
      <c r="E526" s="86" t="s">
        <v>23</v>
      </c>
      <c r="F526" s="87">
        <v>38975.0</v>
      </c>
      <c r="G526" s="87">
        <v>44422.0</v>
      </c>
      <c r="H526" s="87">
        <v>44422.0</v>
      </c>
      <c r="I526" s="87">
        <v>44422.0</v>
      </c>
      <c r="J526" s="88">
        <v>19.99</v>
      </c>
      <c r="K526" s="88">
        <v>19.99</v>
      </c>
      <c r="L526" s="88">
        <v>0.0</v>
      </c>
      <c r="M526" s="86">
        <v>4.0</v>
      </c>
      <c r="N526" s="88">
        <v>5.0</v>
      </c>
    </row>
    <row r="527">
      <c r="A527" s="93" t="s">
        <v>50</v>
      </c>
      <c r="B527" s="86"/>
      <c r="C527" s="86">
        <v>379.0</v>
      </c>
      <c r="D527" s="86" t="s">
        <v>1206</v>
      </c>
      <c r="E527" s="86" t="s">
        <v>24</v>
      </c>
      <c r="F527" s="87">
        <v>41152.0</v>
      </c>
      <c r="G527" s="87">
        <v>42021.0</v>
      </c>
      <c r="H527" s="87">
        <v>45088.0</v>
      </c>
      <c r="I527" s="87">
        <v>45088.0</v>
      </c>
      <c r="J527" s="88">
        <v>15.0</v>
      </c>
      <c r="K527" s="88">
        <v>15.0</v>
      </c>
      <c r="L527" s="88">
        <v>0.0</v>
      </c>
      <c r="M527" s="86">
        <v>2.0</v>
      </c>
      <c r="N527" s="88">
        <v>7.5</v>
      </c>
    </row>
    <row r="528">
      <c r="A528" s="93" t="s">
        <v>50</v>
      </c>
      <c r="B528" s="86"/>
      <c r="C528" s="86">
        <v>381.0</v>
      </c>
      <c r="D528" s="86" t="s">
        <v>1211</v>
      </c>
      <c r="E528" s="86" t="s">
        <v>24</v>
      </c>
      <c r="F528" s="87">
        <v>41437.0</v>
      </c>
      <c r="G528" s="87">
        <v>41491.0</v>
      </c>
      <c r="H528" s="87">
        <v>41491.0</v>
      </c>
      <c r="I528" s="87">
        <v>41602.0</v>
      </c>
      <c r="J528" s="88">
        <v>0.0</v>
      </c>
      <c r="K528" s="88">
        <v>0.0</v>
      </c>
      <c r="L528" s="88">
        <v>0.0</v>
      </c>
      <c r="M528" s="86">
        <v>5.0</v>
      </c>
      <c r="N528" s="88">
        <v>0.0</v>
      </c>
    </row>
    <row r="529">
      <c r="A529" s="93" t="s">
        <v>50</v>
      </c>
      <c r="B529" s="86"/>
      <c r="C529" s="86">
        <v>380.0</v>
      </c>
      <c r="D529" s="86" t="s">
        <v>1212</v>
      </c>
      <c r="E529" s="86" t="s">
        <v>24</v>
      </c>
      <c r="F529" s="87">
        <v>41495.0</v>
      </c>
      <c r="G529" s="87">
        <v>42021.0</v>
      </c>
      <c r="H529" s="87">
        <v>42021.0</v>
      </c>
      <c r="I529" s="87">
        <v>42021.0</v>
      </c>
      <c r="J529" s="88">
        <v>14.99</v>
      </c>
      <c r="K529" s="88">
        <v>14.99</v>
      </c>
      <c r="L529" s="88">
        <v>0.0</v>
      </c>
      <c r="M529" s="86">
        <v>1.0</v>
      </c>
      <c r="N529" s="88">
        <v>14.99</v>
      </c>
    </row>
    <row r="530">
      <c r="A530" s="86" t="s">
        <v>50</v>
      </c>
      <c r="B530" s="86"/>
      <c r="C530" s="86">
        <v>481.0</v>
      </c>
      <c r="D530" s="86" t="s">
        <v>1224</v>
      </c>
      <c r="E530" s="86" t="s">
        <v>25</v>
      </c>
      <c r="F530" s="87">
        <v>40961.0</v>
      </c>
      <c r="G530" s="87">
        <v>43373.0</v>
      </c>
      <c r="H530" s="87">
        <v>45040.0</v>
      </c>
      <c r="I530" s="87">
        <v>45047.0</v>
      </c>
      <c r="J530" s="88">
        <v>19.99</v>
      </c>
      <c r="K530" s="88">
        <v>19.99</v>
      </c>
      <c r="L530" s="88">
        <v>0.0</v>
      </c>
      <c r="M530" s="86">
        <v>5.0</v>
      </c>
      <c r="N530" s="88">
        <v>4.0</v>
      </c>
    </row>
    <row r="531">
      <c r="A531" s="86" t="s">
        <v>50</v>
      </c>
      <c r="B531" s="86"/>
      <c r="C531" s="86">
        <v>897.0</v>
      </c>
      <c r="D531" s="86" t="s">
        <v>1247</v>
      </c>
      <c r="E531" s="86" t="s">
        <v>26</v>
      </c>
      <c r="F531" s="87">
        <v>42888.0</v>
      </c>
      <c r="G531" s="87">
        <v>43410.0</v>
      </c>
      <c r="H531" s="87">
        <v>43412.0</v>
      </c>
      <c r="I531" s="87">
        <v>44387.0</v>
      </c>
      <c r="J531" s="88">
        <v>74.98</v>
      </c>
      <c r="K531" s="88">
        <v>29.98</v>
      </c>
      <c r="L531" s="88">
        <v>45.0</v>
      </c>
      <c r="M531" s="86">
        <v>2.0</v>
      </c>
      <c r="N531" s="88">
        <v>14.99</v>
      </c>
    </row>
    <row r="532">
      <c r="A532" s="93" t="s">
        <v>50</v>
      </c>
      <c r="B532" s="86"/>
      <c r="C532" s="86">
        <v>847.0</v>
      </c>
      <c r="D532" s="86" t="s">
        <v>1256</v>
      </c>
      <c r="E532" s="86" t="s">
        <v>26</v>
      </c>
      <c r="F532" s="87">
        <v>43392.0</v>
      </c>
      <c r="G532" s="87">
        <v>43392.0</v>
      </c>
      <c r="H532" s="87">
        <v>43392.0</v>
      </c>
      <c r="I532" s="87">
        <v>43392.0</v>
      </c>
      <c r="J532" s="88">
        <v>99.99</v>
      </c>
      <c r="K532" s="88">
        <v>99.99</v>
      </c>
      <c r="L532" s="88">
        <v>0.0</v>
      </c>
      <c r="M532" s="86">
        <v>1.0</v>
      </c>
      <c r="N532" s="88">
        <v>99.99</v>
      </c>
    </row>
    <row r="533">
      <c r="A533" s="86" t="s">
        <v>50</v>
      </c>
      <c r="B533" s="86"/>
      <c r="C533" s="86">
        <v>552.0</v>
      </c>
      <c r="D533" s="86" t="s">
        <v>1261</v>
      </c>
      <c r="E533" s="86" t="s">
        <v>26</v>
      </c>
      <c r="F533" s="87">
        <v>43735.0</v>
      </c>
      <c r="G533" s="87">
        <v>44992.0</v>
      </c>
      <c r="H533" s="87">
        <v>44992.0</v>
      </c>
      <c r="I533" s="87">
        <v>44992.0</v>
      </c>
      <c r="J533" s="88">
        <v>69.99</v>
      </c>
      <c r="K533" s="88">
        <v>0.0</v>
      </c>
      <c r="L533" s="88">
        <v>69.99</v>
      </c>
      <c r="M533" s="86">
        <v>1.0</v>
      </c>
      <c r="N533" s="88">
        <v>0.0</v>
      </c>
    </row>
    <row r="534">
      <c r="A534" s="86" t="s">
        <v>50</v>
      </c>
      <c r="B534" s="86"/>
      <c r="C534" s="86">
        <v>685.0</v>
      </c>
      <c r="D534" s="86" t="s">
        <v>1272</v>
      </c>
      <c r="E534" s="86" t="s">
        <v>26</v>
      </c>
      <c r="F534" s="87">
        <v>44155.0</v>
      </c>
      <c r="G534" s="87">
        <v>44237.0</v>
      </c>
      <c r="H534" s="87">
        <v>44248.0</v>
      </c>
      <c r="I534" s="87">
        <v>44249.0</v>
      </c>
      <c r="J534" s="88">
        <v>29.99</v>
      </c>
      <c r="K534" s="88">
        <v>20.99</v>
      </c>
      <c r="L534" s="88">
        <v>9.0</v>
      </c>
      <c r="M534" s="86">
        <v>7.0</v>
      </c>
      <c r="N534" s="88">
        <v>3.0</v>
      </c>
    </row>
    <row r="535">
      <c r="A535" s="93" t="s">
        <v>50</v>
      </c>
      <c r="B535" s="93"/>
      <c r="C535" s="86">
        <v>1081.0</v>
      </c>
      <c r="D535" s="86" t="s">
        <v>1306</v>
      </c>
      <c r="E535" s="86" t="s">
        <v>28</v>
      </c>
      <c r="F535" s="87">
        <v>45316.0</v>
      </c>
      <c r="G535" s="87">
        <v>45602.0</v>
      </c>
      <c r="H535" s="87">
        <v>45740.0</v>
      </c>
      <c r="I535" s="87">
        <v>45753.0</v>
      </c>
      <c r="J535" s="94">
        <v>79.99</v>
      </c>
      <c r="K535" s="94">
        <v>39.99</v>
      </c>
      <c r="L535" s="94">
        <v>40.0</v>
      </c>
      <c r="M535" s="86">
        <v>14.0</v>
      </c>
      <c r="N535" s="88">
        <v>2.86</v>
      </c>
    </row>
    <row r="536">
      <c r="A536" s="96"/>
      <c r="B536" s="96"/>
      <c r="C536" s="90"/>
      <c r="D536" s="96"/>
      <c r="E536" s="89"/>
      <c r="F536" s="89"/>
      <c r="G536" s="89"/>
      <c r="H536" s="89"/>
      <c r="I536" s="89"/>
      <c r="J536" s="91">
        <f t="shared" ref="J536:M536" si="74">SUM(J521:J535)</f>
        <v>474.86</v>
      </c>
      <c r="K536" s="91">
        <f t="shared" si="74"/>
        <v>298.38</v>
      </c>
      <c r="L536" s="91">
        <f t="shared" si="74"/>
        <v>176.48</v>
      </c>
      <c r="M536" s="89">
        <f t="shared" si="74"/>
        <v>74</v>
      </c>
      <c r="N536" s="91">
        <f>K536/M536</f>
        <v>4.032162162</v>
      </c>
    </row>
    <row r="537">
      <c r="A537" s="86" t="s">
        <v>50</v>
      </c>
      <c r="B537" s="86" t="s">
        <v>407</v>
      </c>
      <c r="C537" s="86">
        <v>820.0</v>
      </c>
      <c r="D537" s="86" t="s">
        <v>1243</v>
      </c>
      <c r="E537" s="86" t="s">
        <v>26</v>
      </c>
      <c r="F537" s="87">
        <v>42724.0</v>
      </c>
      <c r="G537" s="87">
        <v>42724.0</v>
      </c>
      <c r="H537" s="87">
        <v>42724.0</v>
      </c>
      <c r="I537" s="87">
        <v>42724.0</v>
      </c>
      <c r="J537" s="88">
        <v>20.99</v>
      </c>
      <c r="K537" s="88">
        <v>9.99</v>
      </c>
      <c r="L537" s="88">
        <v>11.0</v>
      </c>
      <c r="M537" s="86">
        <v>1.0</v>
      </c>
      <c r="N537" s="88">
        <v>9.99</v>
      </c>
    </row>
    <row r="538">
      <c r="A538" s="86" t="s">
        <v>50</v>
      </c>
      <c r="B538" s="86"/>
      <c r="C538" s="86">
        <v>997.0</v>
      </c>
      <c r="D538" s="86" t="s">
        <v>1301</v>
      </c>
      <c r="E538" s="86" t="s">
        <v>27</v>
      </c>
      <c r="F538" s="87">
        <v>43291.0</v>
      </c>
      <c r="G538" s="87">
        <v>43475.0</v>
      </c>
      <c r="H538" s="87">
        <v>43542.0</v>
      </c>
      <c r="I538" s="87">
        <v>43542.0</v>
      </c>
      <c r="J538" s="88">
        <v>14.99</v>
      </c>
      <c r="K538" s="88">
        <v>14.99</v>
      </c>
      <c r="L538" s="88">
        <v>0.0</v>
      </c>
      <c r="M538" s="86">
        <v>1.0</v>
      </c>
      <c r="N538" s="88">
        <v>14.99</v>
      </c>
    </row>
    <row r="539">
      <c r="A539" s="96"/>
      <c r="B539" s="96"/>
      <c r="C539" s="90"/>
      <c r="D539" s="89"/>
      <c r="E539" s="89"/>
      <c r="F539" s="89"/>
      <c r="G539" s="89"/>
      <c r="H539" s="89"/>
      <c r="I539" s="89"/>
      <c r="J539" s="91">
        <f t="shared" ref="J539:M539" si="75">SUM(J537:J538)</f>
        <v>35.98</v>
      </c>
      <c r="K539" s="91">
        <f t="shared" si="75"/>
        <v>24.98</v>
      </c>
      <c r="L539" s="91">
        <f t="shared" si="75"/>
        <v>11</v>
      </c>
      <c r="M539" s="89">
        <f t="shared" si="75"/>
        <v>2</v>
      </c>
      <c r="N539" s="91">
        <f>K539/M539</f>
        <v>12.49</v>
      </c>
    </row>
    <row r="540">
      <c r="A540" s="92" t="s">
        <v>50</v>
      </c>
      <c r="B540" s="86" t="s">
        <v>408</v>
      </c>
      <c r="C540" s="86">
        <v>595.0</v>
      </c>
      <c r="D540" s="86" t="s">
        <v>1268</v>
      </c>
      <c r="E540" s="86" t="s">
        <v>26</v>
      </c>
      <c r="F540" s="87">
        <v>44078.0</v>
      </c>
      <c r="G540" s="87">
        <v>45518.0</v>
      </c>
      <c r="H540" s="87">
        <v>45518.0</v>
      </c>
      <c r="I540" s="87">
        <v>45518.0</v>
      </c>
      <c r="J540" s="94">
        <v>49.99</v>
      </c>
      <c r="K540" s="94">
        <v>4.99</v>
      </c>
      <c r="L540" s="88">
        <v>45.0</v>
      </c>
      <c r="M540" s="86">
        <v>1.0</v>
      </c>
      <c r="N540" s="88">
        <v>4.99</v>
      </c>
    </row>
    <row r="541">
      <c r="A541" s="92" t="s">
        <v>50</v>
      </c>
      <c r="B541" s="86" t="s">
        <v>51</v>
      </c>
      <c r="C541" s="86">
        <v>54.0</v>
      </c>
      <c r="D541" s="86" t="s">
        <v>69</v>
      </c>
      <c r="E541" s="86" t="s">
        <v>21</v>
      </c>
      <c r="F541" s="87">
        <v>35207.0</v>
      </c>
      <c r="G541" s="87">
        <v>43249.0</v>
      </c>
      <c r="H541" s="87">
        <v>43249.0</v>
      </c>
      <c r="I541" s="87">
        <v>43249.0</v>
      </c>
      <c r="J541" s="88">
        <v>3.33</v>
      </c>
      <c r="K541" s="88">
        <v>1.23</v>
      </c>
      <c r="L541" s="88">
        <v>2.1</v>
      </c>
      <c r="M541" s="86">
        <v>1.0</v>
      </c>
      <c r="N541" s="88">
        <v>1.23</v>
      </c>
    </row>
    <row r="542">
      <c r="A542" s="92" t="s">
        <v>50</v>
      </c>
      <c r="B542" s="86"/>
      <c r="C542" s="86">
        <v>55.0</v>
      </c>
      <c r="D542" s="86" t="s">
        <v>70</v>
      </c>
      <c r="E542" s="86" t="s">
        <v>21</v>
      </c>
      <c r="F542" s="87">
        <v>35385.0</v>
      </c>
      <c r="G542" s="87">
        <v>43249.0</v>
      </c>
      <c r="H542" s="87">
        <v>43249.0</v>
      </c>
      <c r="I542" s="87">
        <v>43249.0</v>
      </c>
      <c r="J542" s="88">
        <v>3.33</v>
      </c>
      <c r="K542" s="88">
        <v>1.23</v>
      </c>
      <c r="L542" s="88">
        <v>2.1</v>
      </c>
      <c r="M542" s="86">
        <v>1.0</v>
      </c>
      <c r="N542" s="88">
        <v>1.23</v>
      </c>
    </row>
    <row r="543">
      <c r="A543" s="92" t="s">
        <v>50</v>
      </c>
      <c r="B543" s="86"/>
      <c r="C543" s="86">
        <v>45.0</v>
      </c>
      <c r="D543" s="86" t="s">
        <v>71</v>
      </c>
      <c r="E543" s="86" t="s">
        <v>21</v>
      </c>
      <c r="F543" s="87">
        <v>35774.0</v>
      </c>
      <c r="G543" s="87">
        <v>42665.0</v>
      </c>
      <c r="H543" s="87">
        <v>42665.0</v>
      </c>
      <c r="I543" s="87">
        <v>42665.0</v>
      </c>
      <c r="J543" s="88">
        <v>9.99</v>
      </c>
      <c r="K543" s="88">
        <v>3.99</v>
      </c>
      <c r="L543" s="88">
        <v>6.0</v>
      </c>
      <c r="M543" s="86">
        <v>1.0</v>
      </c>
      <c r="N543" s="88">
        <v>3.99</v>
      </c>
    </row>
    <row r="544">
      <c r="A544" s="92" t="s">
        <v>50</v>
      </c>
      <c r="B544" s="86"/>
      <c r="C544" s="86">
        <v>46.0</v>
      </c>
      <c r="D544" s="86" t="s">
        <v>72</v>
      </c>
      <c r="E544" s="86" t="s">
        <v>21</v>
      </c>
      <c r="F544" s="87">
        <v>35914.0</v>
      </c>
      <c r="G544" s="87">
        <v>42875.0</v>
      </c>
      <c r="H544" s="87">
        <v>42875.0</v>
      </c>
      <c r="I544" s="87">
        <v>42875.0</v>
      </c>
      <c r="J544" s="88">
        <v>9.99</v>
      </c>
      <c r="K544" s="88">
        <v>3.99</v>
      </c>
      <c r="L544" s="88">
        <v>6.0</v>
      </c>
      <c r="M544" s="86">
        <v>1.0</v>
      </c>
      <c r="N544" s="88">
        <v>3.99</v>
      </c>
    </row>
    <row r="545">
      <c r="A545" s="92" t="s">
        <v>50</v>
      </c>
      <c r="B545" s="86"/>
      <c r="C545" s="86">
        <v>53.0</v>
      </c>
      <c r="D545" s="86" t="s">
        <v>73</v>
      </c>
      <c r="E545" s="86" t="s">
        <v>21</v>
      </c>
      <c r="F545" s="87">
        <v>35977.0</v>
      </c>
      <c r="G545" s="87">
        <v>43249.0</v>
      </c>
      <c r="H545" s="87">
        <v>43249.0</v>
      </c>
      <c r="I545" s="87">
        <v>43249.0</v>
      </c>
      <c r="J545" s="88">
        <v>3.33</v>
      </c>
      <c r="K545" s="88">
        <v>1.23</v>
      </c>
      <c r="L545" s="88">
        <v>2.1</v>
      </c>
      <c r="M545" s="86">
        <v>1.0</v>
      </c>
      <c r="N545" s="88">
        <v>1.23</v>
      </c>
    </row>
    <row r="546">
      <c r="A546" s="92" t="s">
        <v>50</v>
      </c>
      <c r="B546" s="86"/>
      <c r="C546" s="86">
        <v>56.0</v>
      </c>
      <c r="D546" s="86" t="s">
        <v>74</v>
      </c>
      <c r="E546" s="86" t="s">
        <v>21</v>
      </c>
      <c r="F546" s="87">
        <v>36336.0</v>
      </c>
      <c r="G546" s="87">
        <v>43249.0</v>
      </c>
      <c r="H546" s="87">
        <v>43249.0</v>
      </c>
      <c r="I546" s="87">
        <v>43249.0</v>
      </c>
      <c r="J546" s="88">
        <v>3.33</v>
      </c>
      <c r="K546" s="88">
        <v>1.23</v>
      </c>
      <c r="L546" s="88">
        <v>2.1</v>
      </c>
      <c r="M546" s="86">
        <v>1.0</v>
      </c>
      <c r="N546" s="88">
        <v>1.23</v>
      </c>
    </row>
    <row r="547">
      <c r="A547" s="92" t="s">
        <v>50</v>
      </c>
      <c r="B547" s="86"/>
      <c r="C547" s="86">
        <v>47.0</v>
      </c>
      <c r="D547" s="86" t="s">
        <v>75</v>
      </c>
      <c r="E547" s="86" t="s">
        <v>21</v>
      </c>
      <c r="F547" s="87">
        <v>36577.0</v>
      </c>
      <c r="G547" s="87">
        <v>42665.0</v>
      </c>
      <c r="H547" s="87">
        <v>42665.0</v>
      </c>
      <c r="I547" s="87">
        <v>42665.0</v>
      </c>
      <c r="J547" s="88">
        <v>9.99</v>
      </c>
      <c r="K547" s="88">
        <v>3.99</v>
      </c>
      <c r="L547" s="88">
        <v>6.0</v>
      </c>
      <c r="M547" s="86">
        <v>1.0</v>
      </c>
      <c r="N547" s="88">
        <v>3.99</v>
      </c>
    </row>
    <row r="548">
      <c r="A548" s="92" t="s">
        <v>50</v>
      </c>
      <c r="B548" s="86"/>
      <c r="C548" s="86">
        <v>130.0</v>
      </c>
      <c r="D548" s="86" t="s">
        <v>76</v>
      </c>
      <c r="E548" s="86" t="s">
        <v>22</v>
      </c>
      <c r="F548" s="87">
        <v>37148.0</v>
      </c>
      <c r="G548" s="87">
        <v>45224.0</v>
      </c>
      <c r="H548" s="87">
        <v>45227.0</v>
      </c>
      <c r="I548" s="87">
        <v>45229.0</v>
      </c>
      <c r="J548" s="88">
        <v>14.99</v>
      </c>
      <c r="K548" s="88">
        <v>0.99</v>
      </c>
      <c r="L548" s="88">
        <v>14.0</v>
      </c>
      <c r="M548" s="86">
        <v>2.0</v>
      </c>
      <c r="N548" s="88">
        <v>0.5</v>
      </c>
    </row>
    <row r="549">
      <c r="A549" s="92" t="s">
        <v>50</v>
      </c>
      <c r="B549" s="86"/>
      <c r="C549" s="86">
        <v>89.0</v>
      </c>
      <c r="D549" s="86" t="s">
        <v>77</v>
      </c>
      <c r="E549" s="86" t="s">
        <v>22</v>
      </c>
      <c r="F549" s="87">
        <v>37232.0</v>
      </c>
      <c r="G549" s="87">
        <v>43685.0</v>
      </c>
      <c r="H549" s="87">
        <v>44488.0</v>
      </c>
      <c r="I549" s="87">
        <v>44489.0</v>
      </c>
      <c r="J549" s="88">
        <v>7.33</v>
      </c>
      <c r="K549" s="88">
        <v>3.67</v>
      </c>
      <c r="L549" s="88">
        <v>3.66</v>
      </c>
      <c r="M549" s="86">
        <v>13.0</v>
      </c>
      <c r="N549" s="88">
        <v>0.28</v>
      </c>
    </row>
    <row r="550">
      <c r="A550" s="92" t="s">
        <v>50</v>
      </c>
      <c r="B550" s="86"/>
      <c r="C550" s="86">
        <v>90.0</v>
      </c>
      <c r="D550" s="86" t="s">
        <v>78</v>
      </c>
      <c r="E550" s="86" t="s">
        <v>22</v>
      </c>
      <c r="F550" s="87">
        <v>37708.0</v>
      </c>
      <c r="G550" s="87">
        <v>43685.0</v>
      </c>
      <c r="H550" s="87">
        <v>44489.0</v>
      </c>
      <c r="I550" s="87">
        <v>44494.0</v>
      </c>
      <c r="J550" s="88">
        <v>7.33</v>
      </c>
      <c r="K550" s="88">
        <v>3.66</v>
      </c>
      <c r="L550" s="88">
        <v>3.67</v>
      </c>
      <c r="M550" s="86">
        <v>2.0</v>
      </c>
      <c r="N550" s="88">
        <v>1.83</v>
      </c>
    </row>
    <row r="551">
      <c r="A551" s="92" t="s">
        <v>50</v>
      </c>
      <c r="B551" s="86"/>
      <c r="C551" s="86">
        <v>91.0</v>
      </c>
      <c r="D551" s="86" t="s">
        <v>79</v>
      </c>
      <c r="E551" s="86" t="s">
        <v>22</v>
      </c>
      <c r="F551" s="87">
        <v>38436.0</v>
      </c>
      <c r="G551" s="87">
        <v>43685.0</v>
      </c>
      <c r="H551" s="87">
        <v>44494.0</v>
      </c>
      <c r="I551" s="87">
        <v>44494.0</v>
      </c>
      <c r="J551" s="88">
        <v>7.33</v>
      </c>
      <c r="K551" s="88">
        <v>3.66</v>
      </c>
      <c r="L551" s="88">
        <v>3.67</v>
      </c>
      <c r="M551" s="86">
        <v>2.0</v>
      </c>
      <c r="N551" s="88">
        <v>1.83</v>
      </c>
    </row>
    <row r="552">
      <c r="A552" s="92" t="s">
        <v>50</v>
      </c>
      <c r="B552" s="86"/>
      <c r="C552" s="86">
        <v>131.0</v>
      </c>
      <c r="D552" s="86" t="s">
        <v>80</v>
      </c>
      <c r="E552" s="86" t="s">
        <v>22</v>
      </c>
      <c r="F552" s="87">
        <v>38660.0</v>
      </c>
      <c r="G552" s="87">
        <v>43727.0</v>
      </c>
      <c r="H552" s="87">
        <v>43734.0</v>
      </c>
      <c r="I552" s="87">
        <v>43740.0</v>
      </c>
      <c r="J552" s="88">
        <v>19.99</v>
      </c>
      <c r="K552" s="88">
        <v>7.99</v>
      </c>
      <c r="L552" s="88">
        <v>12.0</v>
      </c>
      <c r="M552" s="86">
        <v>17.0</v>
      </c>
      <c r="N552" s="88">
        <v>0.47</v>
      </c>
    </row>
    <row r="553">
      <c r="A553" s="93" t="s">
        <v>50</v>
      </c>
      <c r="B553" s="86"/>
      <c r="C553" s="86">
        <v>226.0</v>
      </c>
      <c r="D553" s="86" t="s">
        <v>81</v>
      </c>
      <c r="E553" s="86" t="s">
        <v>24</v>
      </c>
      <c r="F553" s="87">
        <v>39486.0</v>
      </c>
      <c r="G553" s="87">
        <v>43685.0</v>
      </c>
      <c r="H553" s="87">
        <v>43685.0</v>
      </c>
      <c r="I553" s="87">
        <v>43685.0</v>
      </c>
      <c r="J553" s="88">
        <v>22.99</v>
      </c>
      <c r="K553" s="88">
        <v>10.99</v>
      </c>
      <c r="L553" s="88">
        <v>12.0</v>
      </c>
      <c r="M553" s="86">
        <v>1.0</v>
      </c>
      <c r="N553" s="88">
        <v>10.99</v>
      </c>
    </row>
    <row r="554">
      <c r="A554" s="93" t="s">
        <v>50</v>
      </c>
      <c r="B554" s="86"/>
      <c r="C554" s="86">
        <v>339.0</v>
      </c>
      <c r="D554" s="86" t="s">
        <v>82</v>
      </c>
      <c r="E554" s="86" t="s">
        <v>24</v>
      </c>
      <c r="F554" s="87">
        <v>39885.0</v>
      </c>
      <c r="G554" s="87">
        <v>44510.0</v>
      </c>
      <c r="H554" s="87">
        <v>45209.0</v>
      </c>
      <c r="I554" s="87">
        <v>45227.0</v>
      </c>
      <c r="J554" s="88">
        <v>19.99</v>
      </c>
      <c r="K554" s="88">
        <v>7.99</v>
      </c>
      <c r="L554" s="88">
        <v>12.0</v>
      </c>
      <c r="M554" s="86">
        <v>12.0</v>
      </c>
      <c r="N554" s="88">
        <v>0.67</v>
      </c>
    </row>
    <row r="555">
      <c r="A555" s="93" t="s">
        <v>50</v>
      </c>
      <c r="B555" s="86"/>
      <c r="C555" s="86">
        <v>372.0</v>
      </c>
      <c r="D555" s="86" t="s">
        <v>83</v>
      </c>
      <c r="E555" s="86" t="s">
        <v>24</v>
      </c>
      <c r="F555" s="87">
        <v>40977.0</v>
      </c>
      <c r="G555" s="87">
        <v>42766.0</v>
      </c>
      <c r="H555" s="87">
        <v>43059.0</v>
      </c>
      <c r="I555" s="87">
        <v>45021.0</v>
      </c>
      <c r="J555" s="88">
        <v>24.99</v>
      </c>
      <c r="K555" s="88">
        <v>4.99</v>
      </c>
      <c r="L555" s="88">
        <v>20.0</v>
      </c>
      <c r="M555" s="86">
        <v>5.0</v>
      </c>
      <c r="N555" s="88">
        <v>1.0</v>
      </c>
    </row>
    <row r="556">
      <c r="A556" s="93" t="s">
        <v>50</v>
      </c>
      <c r="B556" s="86"/>
      <c r="C556" s="86">
        <v>340.0</v>
      </c>
      <c r="D556" s="86" t="s">
        <v>84</v>
      </c>
      <c r="E556" s="86" t="s">
        <v>24</v>
      </c>
      <c r="F556" s="87">
        <v>41184.0</v>
      </c>
      <c r="G556" s="87">
        <v>44510.0</v>
      </c>
      <c r="H556" s="87">
        <v>45213.0</v>
      </c>
      <c r="I556" s="87">
        <v>45213.0</v>
      </c>
      <c r="J556" s="88">
        <v>19.99</v>
      </c>
      <c r="K556" s="88">
        <v>7.99</v>
      </c>
      <c r="L556" s="88">
        <v>12.0</v>
      </c>
      <c r="M556" s="86">
        <v>1.0</v>
      </c>
      <c r="N556" s="88">
        <v>7.99</v>
      </c>
    </row>
    <row r="557">
      <c r="A557" s="93" t="s">
        <v>50</v>
      </c>
      <c r="B557" s="86"/>
      <c r="C557" s="86">
        <v>341.0</v>
      </c>
      <c r="D557" s="86" t="s">
        <v>85</v>
      </c>
      <c r="E557" s="86" t="s">
        <v>24</v>
      </c>
      <c r="F557" s="87">
        <v>41418.0</v>
      </c>
      <c r="G557" s="87">
        <v>43638.0</v>
      </c>
      <c r="H557" s="87">
        <v>43645.0</v>
      </c>
      <c r="I557" s="87">
        <v>43647.0</v>
      </c>
      <c r="J557" s="88">
        <v>19.99</v>
      </c>
      <c r="K557" s="88">
        <v>7.49</v>
      </c>
      <c r="L557" s="88">
        <v>12.5</v>
      </c>
      <c r="M557" s="86">
        <v>11.0</v>
      </c>
      <c r="N557" s="88">
        <v>0.68</v>
      </c>
    </row>
    <row r="558">
      <c r="A558" s="93" t="s">
        <v>50</v>
      </c>
      <c r="B558" s="86"/>
      <c r="C558" s="86">
        <v>342.0</v>
      </c>
      <c r="D558" s="86" t="s">
        <v>86</v>
      </c>
      <c r="E558" s="86" t="s">
        <v>24</v>
      </c>
      <c r="F558" s="87">
        <v>42024.0</v>
      </c>
      <c r="G558" s="87">
        <v>43727.0</v>
      </c>
      <c r="H558" s="87">
        <v>43733.0</v>
      </c>
      <c r="I558" s="87">
        <v>43733.0</v>
      </c>
      <c r="J558" s="88">
        <v>19.99</v>
      </c>
      <c r="K558" s="88">
        <v>4.99</v>
      </c>
      <c r="L558" s="88">
        <v>15.0</v>
      </c>
      <c r="M558" s="86">
        <v>18.0</v>
      </c>
      <c r="N558" s="88">
        <v>0.28</v>
      </c>
    </row>
    <row r="559">
      <c r="A559" s="93" t="s">
        <v>50</v>
      </c>
      <c r="B559" s="86"/>
      <c r="C559" s="86">
        <v>343.0</v>
      </c>
      <c r="D559" s="86" t="s">
        <v>87</v>
      </c>
      <c r="E559" s="86" t="s">
        <v>24</v>
      </c>
      <c r="F559" s="87">
        <v>42060.0</v>
      </c>
      <c r="G559" s="87">
        <v>43638.0</v>
      </c>
      <c r="H559" s="87">
        <v>43647.0</v>
      </c>
      <c r="I559" s="87">
        <v>43647.0</v>
      </c>
      <c r="J559" s="88">
        <v>19.99</v>
      </c>
      <c r="K559" s="88">
        <v>7.49</v>
      </c>
      <c r="L559" s="88">
        <v>12.5</v>
      </c>
      <c r="M559" s="86">
        <v>1.0</v>
      </c>
      <c r="N559" s="88">
        <v>7.49</v>
      </c>
    </row>
    <row r="560">
      <c r="A560" s="86" t="s">
        <v>50</v>
      </c>
      <c r="B560" s="86"/>
      <c r="C560" s="86">
        <v>344.0</v>
      </c>
      <c r="D560" s="86" t="s">
        <v>88</v>
      </c>
      <c r="E560" s="86" t="s">
        <v>24</v>
      </c>
      <c r="F560" s="87">
        <v>42388.0</v>
      </c>
      <c r="G560" s="87">
        <v>43727.0</v>
      </c>
      <c r="H560" s="87">
        <v>43775.0</v>
      </c>
      <c r="I560" s="87">
        <v>43775.0</v>
      </c>
      <c r="J560" s="88">
        <v>19.99</v>
      </c>
      <c r="K560" s="88">
        <v>4.99</v>
      </c>
      <c r="L560" s="88">
        <v>15.0</v>
      </c>
      <c r="M560" s="86">
        <v>19.0</v>
      </c>
      <c r="N560" s="88">
        <v>0.26</v>
      </c>
    </row>
    <row r="561">
      <c r="A561" s="86" t="s">
        <v>50</v>
      </c>
      <c r="B561" s="86"/>
      <c r="C561" s="86">
        <v>730.0</v>
      </c>
      <c r="D561" s="86" t="s">
        <v>89</v>
      </c>
      <c r="E561" s="86" t="s">
        <v>26</v>
      </c>
      <c r="F561" s="87">
        <v>42241.0</v>
      </c>
      <c r="G561" s="87">
        <v>42619.0</v>
      </c>
      <c r="H561" s="87">
        <v>42799.0</v>
      </c>
      <c r="I561" s="87">
        <v>42799.0</v>
      </c>
      <c r="J561" s="88">
        <v>2.5</v>
      </c>
      <c r="K561" s="88">
        <v>1.33</v>
      </c>
      <c r="L561" s="88">
        <v>1.17</v>
      </c>
      <c r="M561" s="86">
        <v>3.0</v>
      </c>
      <c r="N561" s="88">
        <v>0.44</v>
      </c>
    </row>
    <row r="562">
      <c r="A562" s="86" t="s">
        <v>50</v>
      </c>
      <c r="B562" s="86"/>
      <c r="C562" s="86">
        <v>731.0</v>
      </c>
      <c r="D562" s="86" t="s">
        <v>90</v>
      </c>
      <c r="E562" s="86" t="s">
        <v>26</v>
      </c>
      <c r="F562" s="87">
        <v>42241.0</v>
      </c>
      <c r="G562" s="87">
        <v>42619.0</v>
      </c>
      <c r="H562" s="87">
        <v>42799.0</v>
      </c>
      <c r="I562" s="87">
        <v>42799.0</v>
      </c>
      <c r="J562" s="88">
        <v>2.5</v>
      </c>
      <c r="K562" s="88">
        <v>1.33</v>
      </c>
      <c r="L562" s="88">
        <v>1.17</v>
      </c>
      <c r="M562" s="86">
        <v>2.0</v>
      </c>
      <c r="N562" s="88">
        <v>0.67</v>
      </c>
    </row>
    <row r="563">
      <c r="A563" s="86" t="s">
        <v>50</v>
      </c>
      <c r="B563" s="86"/>
      <c r="C563" s="86">
        <v>732.0</v>
      </c>
      <c r="D563" s="86" t="s">
        <v>91</v>
      </c>
      <c r="E563" s="86" t="s">
        <v>26</v>
      </c>
      <c r="F563" s="87">
        <v>42241.0</v>
      </c>
      <c r="G563" s="87">
        <v>42619.0</v>
      </c>
      <c r="H563" s="87">
        <v>42799.0</v>
      </c>
      <c r="I563" s="87">
        <v>42799.0</v>
      </c>
      <c r="J563" s="88">
        <v>2.5</v>
      </c>
      <c r="K563" s="88">
        <v>1.33</v>
      </c>
      <c r="L563" s="88">
        <v>1.17</v>
      </c>
      <c r="M563" s="86">
        <v>1.0</v>
      </c>
      <c r="N563" s="88">
        <v>1.33</v>
      </c>
    </row>
    <row r="564">
      <c r="A564" s="86" t="s">
        <v>50</v>
      </c>
      <c r="B564" s="86"/>
      <c r="C564" s="86">
        <v>733.0</v>
      </c>
      <c r="D564" s="86" t="s">
        <v>92</v>
      </c>
      <c r="E564" s="86" t="s">
        <v>26</v>
      </c>
      <c r="F564" s="87">
        <v>42241.0</v>
      </c>
      <c r="G564" s="87">
        <v>42619.0</v>
      </c>
      <c r="H564" s="87">
        <v>42799.0</v>
      </c>
      <c r="I564" s="87">
        <v>42799.0</v>
      </c>
      <c r="J564" s="88">
        <v>2.5</v>
      </c>
      <c r="K564" s="88">
        <v>1.33</v>
      </c>
      <c r="L564" s="88">
        <v>1.17</v>
      </c>
      <c r="M564" s="86">
        <v>1.0</v>
      </c>
      <c r="N564" s="88">
        <v>1.33</v>
      </c>
    </row>
    <row r="565">
      <c r="A565" s="86" t="s">
        <v>50</v>
      </c>
      <c r="B565" s="86"/>
      <c r="C565" s="86">
        <v>734.0</v>
      </c>
      <c r="D565" s="86" t="s">
        <v>93</v>
      </c>
      <c r="E565" s="86" t="s">
        <v>26</v>
      </c>
      <c r="F565" s="87">
        <v>42241.0</v>
      </c>
      <c r="G565" s="87">
        <v>42619.0</v>
      </c>
      <c r="H565" s="87">
        <v>42799.0</v>
      </c>
      <c r="I565" s="87">
        <v>42799.0</v>
      </c>
      <c r="J565" s="88">
        <v>2.5</v>
      </c>
      <c r="K565" s="88">
        <v>1.33</v>
      </c>
      <c r="L565" s="88">
        <v>1.17</v>
      </c>
      <c r="M565" s="86">
        <v>1.0</v>
      </c>
      <c r="N565" s="88">
        <v>1.33</v>
      </c>
    </row>
    <row r="566">
      <c r="A566" s="86" t="s">
        <v>50</v>
      </c>
      <c r="B566" s="86"/>
      <c r="C566" s="86">
        <v>735.0</v>
      </c>
      <c r="D566" s="86" t="s">
        <v>94</v>
      </c>
      <c r="E566" s="86" t="s">
        <v>26</v>
      </c>
      <c r="F566" s="87">
        <v>42241.0</v>
      </c>
      <c r="G566" s="87">
        <v>42619.0</v>
      </c>
      <c r="H566" s="87">
        <v>42799.0</v>
      </c>
      <c r="I566" s="87">
        <v>42799.0</v>
      </c>
      <c r="J566" s="88">
        <v>2.49</v>
      </c>
      <c r="K566" s="88">
        <v>1.34</v>
      </c>
      <c r="L566" s="88">
        <v>1.15</v>
      </c>
      <c r="M566" s="86">
        <v>1.0</v>
      </c>
      <c r="N566" s="88">
        <v>1.34</v>
      </c>
    </row>
    <row r="567">
      <c r="A567" s="86" t="s">
        <v>50</v>
      </c>
      <c r="B567" s="86"/>
      <c r="C567" s="86">
        <v>576.0</v>
      </c>
      <c r="D567" s="86" t="s">
        <v>95</v>
      </c>
      <c r="E567" s="86" t="s">
        <v>26</v>
      </c>
      <c r="F567" s="87">
        <v>42626.0</v>
      </c>
      <c r="G567" s="87">
        <v>43907.0</v>
      </c>
      <c r="H567" s="87">
        <v>43907.0</v>
      </c>
      <c r="I567" s="87">
        <v>43908.0</v>
      </c>
      <c r="J567" s="88">
        <v>19.99</v>
      </c>
      <c r="K567" s="88">
        <v>4.99</v>
      </c>
      <c r="L567" s="88">
        <v>15.0</v>
      </c>
      <c r="M567" s="86">
        <v>5.0</v>
      </c>
      <c r="N567" s="88">
        <v>1.0</v>
      </c>
    </row>
    <row r="568">
      <c r="A568" s="86" t="s">
        <v>50</v>
      </c>
      <c r="B568" s="86"/>
      <c r="C568" s="86">
        <v>807.0</v>
      </c>
      <c r="D568" s="86" t="s">
        <v>96</v>
      </c>
      <c r="E568" s="86" t="s">
        <v>26</v>
      </c>
      <c r="F568" s="87">
        <v>42759.0</v>
      </c>
      <c r="G568" s="87">
        <v>43466.0</v>
      </c>
      <c r="H568" s="87">
        <v>43469.0</v>
      </c>
      <c r="I568" s="87">
        <v>44499.0</v>
      </c>
      <c r="J568" s="88">
        <v>49.98</v>
      </c>
      <c r="K568" s="88">
        <v>26.98</v>
      </c>
      <c r="L568" s="88">
        <v>23.0</v>
      </c>
      <c r="M568" s="86">
        <v>16.0</v>
      </c>
      <c r="N568" s="88">
        <v>1.69</v>
      </c>
    </row>
    <row r="569">
      <c r="A569" s="86" t="s">
        <v>50</v>
      </c>
      <c r="B569" s="86"/>
      <c r="C569" s="86">
        <v>880.0</v>
      </c>
      <c r="D569" s="86" t="s">
        <v>97</v>
      </c>
      <c r="E569" s="86" t="s">
        <v>26</v>
      </c>
      <c r="F569" s="87">
        <v>42843.0</v>
      </c>
      <c r="G569" s="87">
        <v>44203.0</v>
      </c>
      <c r="H569" s="87">
        <v>44203.0</v>
      </c>
      <c r="I569" s="87">
        <v>44203.0</v>
      </c>
      <c r="J569" s="88">
        <v>3.33</v>
      </c>
      <c r="K569" s="88">
        <v>1.0</v>
      </c>
      <c r="L569" s="88">
        <v>2.33</v>
      </c>
      <c r="M569" s="86">
        <v>1.0</v>
      </c>
      <c r="N569" s="88">
        <v>1.0</v>
      </c>
    </row>
    <row r="570">
      <c r="A570" s="86" t="s">
        <v>50</v>
      </c>
      <c r="B570" s="86"/>
      <c r="C570" s="86">
        <v>570.0</v>
      </c>
      <c r="D570" s="86" t="s">
        <v>98</v>
      </c>
      <c r="E570" s="86" t="s">
        <v>26</v>
      </c>
      <c r="F570" s="87">
        <v>42843.0</v>
      </c>
      <c r="G570" s="87">
        <v>44203.0</v>
      </c>
      <c r="H570" s="87">
        <v>44203.0</v>
      </c>
      <c r="I570" s="87">
        <v>44203.0</v>
      </c>
      <c r="J570" s="88">
        <v>3.33</v>
      </c>
      <c r="K570" s="88">
        <v>0.99</v>
      </c>
      <c r="L570" s="88">
        <v>2.34</v>
      </c>
      <c r="M570" s="86">
        <v>1.0</v>
      </c>
      <c r="N570" s="88">
        <v>0.99</v>
      </c>
    </row>
    <row r="571">
      <c r="A571" s="86" t="s">
        <v>50</v>
      </c>
      <c r="B571" s="86"/>
      <c r="C571" s="86">
        <v>599.0</v>
      </c>
      <c r="D571" s="86" t="s">
        <v>99</v>
      </c>
      <c r="E571" s="86" t="s">
        <v>26</v>
      </c>
      <c r="F571" s="87">
        <v>42843.0</v>
      </c>
      <c r="G571" s="87">
        <v>44203.0</v>
      </c>
      <c r="H571" s="87">
        <v>44203.0</v>
      </c>
      <c r="I571" s="87">
        <v>44203.0</v>
      </c>
      <c r="J571" s="88">
        <v>3.34</v>
      </c>
      <c r="K571" s="88">
        <v>1.0</v>
      </c>
      <c r="L571" s="88">
        <v>2.34</v>
      </c>
      <c r="M571" s="86">
        <v>1.0</v>
      </c>
      <c r="N571" s="88">
        <v>1.0</v>
      </c>
    </row>
    <row r="572">
      <c r="A572" s="86" t="s">
        <v>50</v>
      </c>
      <c r="B572" s="86"/>
      <c r="C572" s="86">
        <v>600.0</v>
      </c>
      <c r="D572" s="86" t="s">
        <v>100</v>
      </c>
      <c r="E572" s="86" t="s">
        <v>26</v>
      </c>
      <c r="F572" s="87">
        <v>42843.0</v>
      </c>
      <c r="G572" s="87">
        <v>44203.0</v>
      </c>
      <c r="H572" s="87">
        <v>44203.0</v>
      </c>
      <c r="I572" s="87">
        <v>44203.0</v>
      </c>
      <c r="J572" s="88">
        <v>3.33</v>
      </c>
      <c r="K572" s="88">
        <v>0.5</v>
      </c>
      <c r="L572" s="88">
        <v>2.83</v>
      </c>
      <c r="M572" s="86">
        <v>1.0</v>
      </c>
      <c r="N572" s="88">
        <v>0.5</v>
      </c>
    </row>
    <row r="573">
      <c r="A573" s="86" t="s">
        <v>50</v>
      </c>
      <c r="B573" s="86"/>
      <c r="C573" s="86">
        <v>547.0</v>
      </c>
      <c r="D573" s="86" t="s">
        <v>101</v>
      </c>
      <c r="E573" s="86" t="s">
        <v>26</v>
      </c>
      <c r="F573" s="87">
        <v>42843.0</v>
      </c>
      <c r="G573" s="87">
        <v>44203.0</v>
      </c>
      <c r="H573" s="87">
        <v>44203.0</v>
      </c>
      <c r="I573" s="87">
        <v>44203.0</v>
      </c>
      <c r="J573" s="88">
        <v>3.33</v>
      </c>
      <c r="K573" s="88">
        <v>1.0</v>
      </c>
      <c r="L573" s="88">
        <v>2.33</v>
      </c>
      <c r="M573" s="86">
        <v>1.0</v>
      </c>
      <c r="N573" s="88">
        <v>1.0</v>
      </c>
    </row>
    <row r="574">
      <c r="A574" s="86" t="s">
        <v>50</v>
      </c>
      <c r="B574" s="86"/>
      <c r="C574" s="86">
        <v>548.0</v>
      </c>
      <c r="D574" s="86" t="s">
        <v>102</v>
      </c>
      <c r="E574" s="86" t="s">
        <v>26</v>
      </c>
      <c r="F574" s="87">
        <v>42843.0</v>
      </c>
      <c r="G574" s="87">
        <v>44203.0</v>
      </c>
      <c r="H574" s="87">
        <v>44203.0</v>
      </c>
      <c r="I574" s="87">
        <v>44203.0</v>
      </c>
      <c r="J574" s="88">
        <v>3.33</v>
      </c>
      <c r="K574" s="88">
        <v>0.5</v>
      </c>
      <c r="L574" s="88">
        <v>2.83</v>
      </c>
      <c r="M574" s="86">
        <v>1.0</v>
      </c>
      <c r="N574" s="88">
        <v>0.5</v>
      </c>
    </row>
    <row r="575">
      <c r="A575" s="86" t="s">
        <v>50</v>
      </c>
      <c r="B575" s="86"/>
      <c r="C575" s="86">
        <v>736.0</v>
      </c>
      <c r="D575" s="86" t="s">
        <v>103</v>
      </c>
      <c r="E575" s="86" t="s">
        <v>26</v>
      </c>
      <c r="F575" s="87">
        <v>42955.0</v>
      </c>
      <c r="G575" s="87">
        <v>43091.0</v>
      </c>
      <c r="H575" s="87">
        <v>43135.0</v>
      </c>
      <c r="I575" s="87">
        <v>43144.0</v>
      </c>
      <c r="J575" s="88">
        <v>3.75</v>
      </c>
      <c r="K575" s="88">
        <v>2.0</v>
      </c>
      <c r="L575" s="88">
        <v>1.75</v>
      </c>
      <c r="M575" s="86">
        <v>3.0</v>
      </c>
      <c r="N575" s="88">
        <v>0.67</v>
      </c>
    </row>
    <row r="576">
      <c r="A576" s="86" t="s">
        <v>50</v>
      </c>
      <c r="B576" s="86"/>
      <c r="C576" s="86">
        <v>737.0</v>
      </c>
      <c r="D576" s="86" t="s">
        <v>104</v>
      </c>
      <c r="E576" s="86" t="s">
        <v>26</v>
      </c>
      <c r="F576" s="87">
        <v>42955.0</v>
      </c>
      <c r="G576" s="87">
        <v>43091.0</v>
      </c>
      <c r="H576" s="87">
        <v>43135.0</v>
      </c>
      <c r="I576" s="87">
        <v>43144.0</v>
      </c>
      <c r="J576" s="88">
        <v>3.75</v>
      </c>
      <c r="K576" s="88">
        <v>2.0</v>
      </c>
      <c r="L576" s="88">
        <v>1.75</v>
      </c>
      <c r="M576" s="86">
        <v>2.0</v>
      </c>
      <c r="N576" s="88">
        <v>1.0</v>
      </c>
    </row>
    <row r="577">
      <c r="A577" s="86" t="s">
        <v>50</v>
      </c>
      <c r="B577" s="86"/>
      <c r="C577" s="86">
        <v>738.0</v>
      </c>
      <c r="D577" s="86" t="s">
        <v>105</v>
      </c>
      <c r="E577" s="86" t="s">
        <v>26</v>
      </c>
      <c r="F577" s="87">
        <v>42955.0</v>
      </c>
      <c r="G577" s="87">
        <v>43091.0</v>
      </c>
      <c r="H577" s="87">
        <v>43135.0</v>
      </c>
      <c r="I577" s="87">
        <v>43144.0</v>
      </c>
      <c r="J577" s="88">
        <v>3.75</v>
      </c>
      <c r="K577" s="88">
        <v>2.0</v>
      </c>
      <c r="L577" s="88">
        <v>1.75</v>
      </c>
      <c r="M577" s="86">
        <v>2.0</v>
      </c>
      <c r="N577" s="88">
        <v>1.0</v>
      </c>
    </row>
    <row r="578">
      <c r="A578" s="86" t="s">
        <v>50</v>
      </c>
      <c r="B578" s="86"/>
      <c r="C578" s="86">
        <v>739.0</v>
      </c>
      <c r="D578" s="86" t="s">
        <v>106</v>
      </c>
      <c r="E578" s="86" t="s">
        <v>26</v>
      </c>
      <c r="F578" s="87">
        <v>42955.0</v>
      </c>
      <c r="G578" s="87">
        <v>43091.0</v>
      </c>
      <c r="H578" s="87">
        <v>43135.0</v>
      </c>
      <c r="I578" s="87">
        <v>43144.0</v>
      </c>
      <c r="J578" s="88">
        <v>3.74</v>
      </c>
      <c r="K578" s="88">
        <v>1.99</v>
      </c>
      <c r="L578" s="88">
        <v>1.75</v>
      </c>
      <c r="M578" s="86">
        <v>2.0</v>
      </c>
      <c r="N578" s="88">
        <v>1.0</v>
      </c>
    </row>
    <row r="579">
      <c r="A579" s="86" t="s">
        <v>50</v>
      </c>
      <c r="B579" s="86"/>
      <c r="C579" s="86">
        <v>754.0</v>
      </c>
      <c r="D579" s="86" t="s">
        <v>107</v>
      </c>
      <c r="E579" s="86" t="s">
        <v>26</v>
      </c>
      <c r="F579" s="87">
        <v>43126.0</v>
      </c>
      <c r="G579" s="87">
        <v>44334.0</v>
      </c>
      <c r="H579" s="87">
        <v>44669.0</v>
      </c>
      <c r="I579" s="87">
        <v>44672.0</v>
      </c>
      <c r="J579" s="88">
        <v>19.99</v>
      </c>
      <c r="K579" s="88">
        <v>0.0</v>
      </c>
      <c r="L579" s="88">
        <v>19.99</v>
      </c>
      <c r="M579" s="86">
        <v>2.0</v>
      </c>
      <c r="N579" s="88">
        <v>0.0</v>
      </c>
    </row>
    <row r="580">
      <c r="A580" s="86" t="s">
        <v>50</v>
      </c>
      <c r="B580" s="86"/>
      <c r="C580" s="86">
        <v>863.0</v>
      </c>
      <c r="D580" s="86" t="s">
        <v>108</v>
      </c>
      <c r="E580" s="86" t="s">
        <v>26</v>
      </c>
      <c r="F580" s="87">
        <v>43249.0</v>
      </c>
      <c r="G580" s="87">
        <v>43249.0</v>
      </c>
      <c r="H580" s="87">
        <v>43249.0</v>
      </c>
      <c r="I580" s="87">
        <v>43249.0</v>
      </c>
      <c r="J580" s="88">
        <v>3.34</v>
      </c>
      <c r="K580" s="88">
        <v>1.24</v>
      </c>
      <c r="L580" s="88">
        <v>2.1</v>
      </c>
      <c r="M580" s="86">
        <v>1.0</v>
      </c>
      <c r="N580" s="88">
        <v>1.24</v>
      </c>
    </row>
    <row r="581">
      <c r="A581" s="86" t="s">
        <v>50</v>
      </c>
      <c r="B581" s="86"/>
      <c r="C581" s="86">
        <v>864.0</v>
      </c>
      <c r="D581" s="86" t="s">
        <v>109</v>
      </c>
      <c r="E581" s="86" t="s">
        <v>26</v>
      </c>
      <c r="F581" s="87">
        <v>43249.0</v>
      </c>
      <c r="G581" s="87">
        <v>43249.0</v>
      </c>
      <c r="H581" s="87">
        <v>43249.0</v>
      </c>
      <c r="I581" s="87">
        <v>43249.0</v>
      </c>
      <c r="J581" s="88">
        <v>3.34</v>
      </c>
      <c r="K581" s="88">
        <v>1.24</v>
      </c>
      <c r="L581" s="88">
        <v>2.1</v>
      </c>
      <c r="M581" s="86">
        <v>1.0</v>
      </c>
      <c r="N581" s="88">
        <v>1.24</v>
      </c>
    </row>
    <row r="582">
      <c r="A582" s="86" t="s">
        <v>50</v>
      </c>
      <c r="B582" s="86"/>
      <c r="C582" s="86">
        <v>865.0</v>
      </c>
      <c r="D582" s="86" t="s">
        <v>110</v>
      </c>
      <c r="E582" s="86" t="s">
        <v>26</v>
      </c>
      <c r="F582" s="87">
        <v>43249.0</v>
      </c>
      <c r="G582" s="87">
        <v>43249.0</v>
      </c>
      <c r="H582" s="87">
        <v>43249.0</v>
      </c>
      <c r="I582" s="87">
        <v>43249.0</v>
      </c>
      <c r="J582" s="88">
        <v>3.34</v>
      </c>
      <c r="K582" s="88">
        <v>1.24</v>
      </c>
      <c r="L582" s="88">
        <v>2.1</v>
      </c>
      <c r="M582" s="86">
        <v>1.0</v>
      </c>
      <c r="N582" s="88">
        <v>1.24</v>
      </c>
    </row>
    <row r="583">
      <c r="A583" s="86" t="s">
        <v>50</v>
      </c>
      <c r="B583" s="86"/>
      <c r="C583" s="86">
        <v>866.0</v>
      </c>
      <c r="D583" s="86" t="s">
        <v>111</v>
      </c>
      <c r="E583" s="86" t="s">
        <v>26</v>
      </c>
      <c r="F583" s="87">
        <v>43249.0</v>
      </c>
      <c r="G583" s="87">
        <v>43249.0</v>
      </c>
      <c r="H583" s="87">
        <v>43249.0</v>
      </c>
      <c r="I583" s="87">
        <v>43249.0</v>
      </c>
      <c r="J583" s="88">
        <v>3.33</v>
      </c>
      <c r="K583" s="88">
        <v>1.23</v>
      </c>
      <c r="L583" s="88">
        <v>2.1</v>
      </c>
      <c r="M583" s="86">
        <v>1.0</v>
      </c>
      <c r="N583" s="88">
        <v>1.23</v>
      </c>
    </row>
    <row r="584">
      <c r="A584" s="86" t="s">
        <v>50</v>
      </c>
      <c r="B584" s="86"/>
      <c r="C584" s="86">
        <v>867.0</v>
      </c>
      <c r="D584" s="86" t="s">
        <v>112</v>
      </c>
      <c r="E584" s="86" t="s">
        <v>26</v>
      </c>
      <c r="F584" s="87">
        <v>43249.0</v>
      </c>
      <c r="G584" s="87">
        <v>43249.0</v>
      </c>
      <c r="H584" s="87">
        <v>43249.0</v>
      </c>
      <c r="I584" s="87">
        <v>43249.0</v>
      </c>
      <c r="J584" s="88">
        <v>3.33</v>
      </c>
      <c r="K584" s="88">
        <v>1.23</v>
      </c>
      <c r="L584" s="88">
        <v>2.1</v>
      </c>
      <c r="M584" s="86">
        <v>1.0</v>
      </c>
      <c r="N584" s="88">
        <v>1.23</v>
      </c>
    </row>
    <row r="585">
      <c r="A585" s="86" t="s">
        <v>50</v>
      </c>
      <c r="B585" s="86"/>
      <c r="C585" s="86">
        <v>868.0</v>
      </c>
      <c r="D585" s="86" t="s">
        <v>113</v>
      </c>
      <c r="E585" s="86" t="s">
        <v>26</v>
      </c>
      <c r="F585" s="87">
        <v>43249.0</v>
      </c>
      <c r="G585" s="87">
        <v>43249.0</v>
      </c>
      <c r="H585" s="87">
        <v>43249.0</v>
      </c>
      <c r="I585" s="87">
        <v>43249.0</v>
      </c>
      <c r="J585" s="88">
        <v>3.33</v>
      </c>
      <c r="K585" s="88">
        <v>1.23</v>
      </c>
      <c r="L585" s="88">
        <v>2.1</v>
      </c>
      <c r="M585" s="86">
        <v>1.0</v>
      </c>
      <c r="N585" s="88">
        <v>1.23</v>
      </c>
    </row>
    <row r="586">
      <c r="A586" s="86" t="s">
        <v>50</v>
      </c>
      <c r="B586" s="86"/>
      <c r="C586" s="86">
        <v>869.0</v>
      </c>
      <c r="D586" s="86" t="s">
        <v>114</v>
      </c>
      <c r="E586" s="86" t="s">
        <v>26</v>
      </c>
      <c r="F586" s="87">
        <v>43249.0</v>
      </c>
      <c r="G586" s="87">
        <v>43249.0</v>
      </c>
      <c r="H586" s="87">
        <v>43249.0</v>
      </c>
      <c r="I586" s="87">
        <v>43249.0</v>
      </c>
      <c r="J586" s="88">
        <v>3.33</v>
      </c>
      <c r="K586" s="88">
        <v>1.23</v>
      </c>
      <c r="L586" s="88">
        <v>2.1</v>
      </c>
      <c r="M586" s="86">
        <v>1.0</v>
      </c>
      <c r="N586" s="88">
        <v>1.23</v>
      </c>
    </row>
    <row r="587">
      <c r="A587" s="86" t="s">
        <v>50</v>
      </c>
      <c r="B587" s="86"/>
      <c r="C587" s="86">
        <v>870.0</v>
      </c>
      <c r="D587" s="86" t="s">
        <v>115</v>
      </c>
      <c r="E587" s="86" t="s">
        <v>26</v>
      </c>
      <c r="F587" s="87">
        <v>43249.0</v>
      </c>
      <c r="G587" s="87">
        <v>43249.0</v>
      </c>
      <c r="H587" s="87">
        <v>43249.0</v>
      </c>
      <c r="I587" s="87">
        <v>43249.0</v>
      </c>
      <c r="J587" s="88">
        <v>3.33</v>
      </c>
      <c r="K587" s="88">
        <v>1.23</v>
      </c>
      <c r="L587" s="88">
        <v>2.1</v>
      </c>
      <c r="M587" s="86">
        <v>1.0</v>
      </c>
      <c r="N587" s="88">
        <v>1.23</v>
      </c>
    </row>
    <row r="588">
      <c r="A588" s="86" t="s">
        <v>50</v>
      </c>
      <c r="B588" s="86"/>
      <c r="C588" s="86">
        <v>740.0</v>
      </c>
      <c r="D588" s="86" t="s">
        <v>116</v>
      </c>
      <c r="E588" s="86" t="s">
        <v>26</v>
      </c>
      <c r="F588" s="87">
        <v>43305.0</v>
      </c>
      <c r="G588" s="87">
        <v>43668.0</v>
      </c>
      <c r="H588" s="87">
        <v>43668.0</v>
      </c>
      <c r="I588" s="87">
        <v>43668.0</v>
      </c>
      <c r="J588" s="88">
        <v>5.0</v>
      </c>
      <c r="K588" s="88">
        <v>3.0</v>
      </c>
      <c r="L588" s="88">
        <v>2.0</v>
      </c>
      <c r="M588" s="86">
        <v>1.0</v>
      </c>
      <c r="N588" s="88">
        <v>3.0</v>
      </c>
    </row>
    <row r="589">
      <c r="A589" s="86" t="s">
        <v>50</v>
      </c>
      <c r="B589" s="86"/>
      <c r="C589" s="86">
        <v>741.0</v>
      </c>
      <c r="D589" s="86" t="s">
        <v>117</v>
      </c>
      <c r="E589" s="86" t="s">
        <v>26</v>
      </c>
      <c r="F589" s="87">
        <v>43305.0</v>
      </c>
      <c r="G589" s="87">
        <v>43668.0</v>
      </c>
      <c r="H589" s="87">
        <v>43668.0</v>
      </c>
      <c r="I589" s="87">
        <v>43668.0</v>
      </c>
      <c r="J589" s="88">
        <v>5.0</v>
      </c>
      <c r="K589" s="88">
        <v>3.0</v>
      </c>
      <c r="L589" s="88">
        <v>2.0</v>
      </c>
      <c r="M589" s="86">
        <v>1.0</v>
      </c>
      <c r="N589" s="88">
        <v>3.0</v>
      </c>
    </row>
    <row r="590">
      <c r="A590" s="86" t="s">
        <v>50</v>
      </c>
      <c r="B590" s="86"/>
      <c r="C590" s="86">
        <v>742.0</v>
      </c>
      <c r="D590" s="86" t="s">
        <v>118</v>
      </c>
      <c r="E590" s="86" t="s">
        <v>26</v>
      </c>
      <c r="F590" s="87">
        <v>43305.0</v>
      </c>
      <c r="G590" s="87">
        <v>43668.0</v>
      </c>
      <c r="H590" s="87">
        <v>43668.0</v>
      </c>
      <c r="I590" s="87">
        <v>43668.0</v>
      </c>
      <c r="J590" s="88">
        <v>5.0</v>
      </c>
      <c r="K590" s="88">
        <v>3.0</v>
      </c>
      <c r="L590" s="88">
        <v>2.0</v>
      </c>
      <c r="M590" s="86">
        <v>1.0</v>
      </c>
      <c r="N590" s="88">
        <v>3.0</v>
      </c>
    </row>
    <row r="591">
      <c r="A591" s="86" t="s">
        <v>50</v>
      </c>
      <c r="B591" s="86"/>
      <c r="C591" s="86">
        <v>743.0</v>
      </c>
      <c r="D591" s="86" t="s">
        <v>119</v>
      </c>
      <c r="E591" s="86" t="s">
        <v>26</v>
      </c>
      <c r="F591" s="87">
        <v>43305.0</v>
      </c>
      <c r="G591" s="87">
        <v>43668.0</v>
      </c>
      <c r="H591" s="87">
        <v>43668.0</v>
      </c>
      <c r="I591" s="87">
        <v>43668.0</v>
      </c>
      <c r="J591" s="88">
        <v>4.99</v>
      </c>
      <c r="K591" s="88">
        <v>2.99</v>
      </c>
      <c r="L591" s="88">
        <v>2.0</v>
      </c>
      <c r="M591" s="86">
        <v>1.0</v>
      </c>
      <c r="N591" s="88">
        <v>2.99</v>
      </c>
    </row>
    <row r="592">
      <c r="A592" s="86" t="s">
        <v>50</v>
      </c>
      <c r="B592" s="86"/>
      <c r="C592" s="86">
        <v>744.0</v>
      </c>
      <c r="D592" s="86" t="s">
        <v>120</v>
      </c>
      <c r="E592" s="86" t="s">
        <v>26</v>
      </c>
      <c r="F592" s="87">
        <v>43305.0</v>
      </c>
      <c r="G592" s="87">
        <v>43668.0</v>
      </c>
      <c r="H592" s="87">
        <v>43668.0</v>
      </c>
      <c r="I592" s="87">
        <v>43668.0</v>
      </c>
      <c r="J592" s="88">
        <v>5.0</v>
      </c>
      <c r="K592" s="88">
        <v>3.0</v>
      </c>
      <c r="L592" s="88">
        <v>2.0</v>
      </c>
      <c r="M592" s="86">
        <v>1.0</v>
      </c>
      <c r="N592" s="88">
        <v>3.0</v>
      </c>
    </row>
    <row r="593">
      <c r="A593" s="86" t="s">
        <v>50</v>
      </c>
      <c r="B593" s="86"/>
      <c r="C593" s="86">
        <v>745.0</v>
      </c>
      <c r="D593" s="86" t="s">
        <v>121</v>
      </c>
      <c r="E593" s="86" t="s">
        <v>26</v>
      </c>
      <c r="F593" s="87">
        <v>43305.0</v>
      </c>
      <c r="G593" s="87">
        <v>43668.0</v>
      </c>
      <c r="H593" s="87">
        <v>43668.0</v>
      </c>
      <c r="I593" s="87">
        <v>43668.0</v>
      </c>
      <c r="J593" s="88">
        <v>5.0</v>
      </c>
      <c r="K593" s="88">
        <v>3.0</v>
      </c>
      <c r="L593" s="88">
        <v>2.0</v>
      </c>
      <c r="M593" s="86">
        <v>1.0</v>
      </c>
      <c r="N593" s="88">
        <v>3.0</v>
      </c>
    </row>
    <row r="594">
      <c r="A594" s="86" t="s">
        <v>50</v>
      </c>
      <c r="B594" s="86"/>
      <c r="C594" s="86">
        <v>746.0</v>
      </c>
      <c r="D594" s="86" t="s">
        <v>122</v>
      </c>
      <c r="E594" s="86" t="s">
        <v>26</v>
      </c>
      <c r="F594" s="87">
        <v>43305.0</v>
      </c>
      <c r="G594" s="87">
        <v>43668.0</v>
      </c>
      <c r="H594" s="87">
        <v>43668.0</v>
      </c>
      <c r="I594" s="87">
        <v>43668.0</v>
      </c>
      <c r="J594" s="88">
        <v>5.0</v>
      </c>
      <c r="K594" s="88">
        <v>3.0</v>
      </c>
      <c r="L594" s="88">
        <v>2.0</v>
      </c>
      <c r="M594" s="86">
        <v>1.0</v>
      </c>
      <c r="N594" s="88">
        <v>3.0</v>
      </c>
    </row>
    <row r="595">
      <c r="A595" s="86" t="s">
        <v>50</v>
      </c>
      <c r="B595" s="86"/>
      <c r="C595" s="86">
        <v>747.0</v>
      </c>
      <c r="D595" s="86" t="s">
        <v>123</v>
      </c>
      <c r="E595" s="86" t="s">
        <v>26</v>
      </c>
      <c r="F595" s="87">
        <v>43305.0</v>
      </c>
      <c r="G595" s="87">
        <v>43668.0</v>
      </c>
      <c r="H595" s="87">
        <v>43668.0</v>
      </c>
      <c r="I595" s="87">
        <v>43668.0</v>
      </c>
      <c r="J595" s="88">
        <v>4.99</v>
      </c>
      <c r="K595" s="88">
        <v>2.99</v>
      </c>
      <c r="L595" s="88">
        <v>2.0</v>
      </c>
      <c r="M595" s="86">
        <v>1.0</v>
      </c>
      <c r="N595" s="88">
        <v>2.99</v>
      </c>
    </row>
    <row r="596">
      <c r="A596" s="86" t="s">
        <v>50</v>
      </c>
      <c r="B596" s="86"/>
      <c r="C596" s="86">
        <v>808.0</v>
      </c>
      <c r="D596" s="86" t="s">
        <v>124</v>
      </c>
      <c r="E596" s="86" t="s">
        <v>26</v>
      </c>
      <c r="F596" s="87">
        <v>43490.0</v>
      </c>
      <c r="G596" s="87">
        <v>43490.0</v>
      </c>
      <c r="H596" s="87">
        <v>43491.0</v>
      </c>
      <c r="I596" s="87">
        <v>43505.0</v>
      </c>
      <c r="J596" s="88">
        <v>59.99</v>
      </c>
      <c r="K596" s="88">
        <v>59.99</v>
      </c>
      <c r="L596" s="88">
        <v>0.0</v>
      </c>
      <c r="M596" s="86">
        <v>34.0</v>
      </c>
      <c r="N596" s="88">
        <v>1.76</v>
      </c>
    </row>
    <row r="597">
      <c r="A597" s="86" t="s">
        <v>50</v>
      </c>
      <c r="B597" s="86"/>
      <c r="C597" s="86">
        <v>585.0</v>
      </c>
      <c r="D597" s="86" t="s">
        <v>125</v>
      </c>
      <c r="E597" s="86" t="s">
        <v>26</v>
      </c>
      <c r="F597" s="87">
        <v>43532.0</v>
      </c>
      <c r="G597" s="87">
        <v>43685.0</v>
      </c>
      <c r="H597" s="87">
        <v>43688.0</v>
      </c>
      <c r="I597" s="87">
        <v>43688.0</v>
      </c>
      <c r="J597" s="88">
        <v>49.99</v>
      </c>
      <c r="K597" s="88">
        <v>44.99</v>
      </c>
      <c r="L597" s="88">
        <v>5.0</v>
      </c>
      <c r="M597" s="86">
        <v>1.0</v>
      </c>
      <c r="N597" s="88">
        <v>44.99</v>
      </c>
    </row>
    <row r="598">
      <c r="A598" s="44" t="s">
        <v>50</v>
      </c>
      <c r="B598" s="41"/>
      <c r="C598" s="41">
        <v>1104.0</v>
      </c>
      <c r="D598" s="41" t="s">
        <v>52</v>
      </c>
      <c r="E598" s="41" t="s">
        <v>26</v>
      </c>
      <c r="F598" s="46">
        <v>43564.0</v>
      </c>
      <c r="G598" s="46">
        <v>46027.0</v>
      </c>
      <c r="H598" s="46">
        <v>46033.0</v>
      </c>
      <c r="I598" s="46">
        <v>46052.0</v>
      </c>
      <c r="J598" s="44">
        <v>10.0</v>
      </c>
      <c r="K598" s="44">
        <v>3.3</v>
      </c>
      <c r="L598" s="44">
        <f t="shared" ref="L598:L600" si="76">J598-K598</f>
        <v>6.7</v>
      </c>
      <c r="M598" s="40">
        <v>22.0</v>
      </c>
      <c r="N598" s="44">
        <f t="shared" ref="N598:N600" si="77">K598/M598</f>
        <v>0.15</v>
      </c>
    </row>
    <row r="599">
      <c r="A599" s="396" t="s">
        <v>50</v>
      </c>
      <c r="B599" s="397"/>
      <c r="C599" s="398">
        <v>1105.0</v>
      </c>
      <c r="D599" s="397" t="s">
        <v>126</v>
      </c>
      <c r="E599" s="397" t="s">
        <v>26</v>
      </c>
      <c r="F599" s="399">
        <v>43564.0</v>
      </c>
      <c r="G599" s="399">
        <v>46027.0</v>
      </c>
      <c r="H599" s="399">
        <v>46027.0</v>
      </c>
      <c r="I599" s="399">
        <v>46027.0</v>
      </c>
      <c r="J599" s="400">
        <v>10.0</v>
      </c>
      <c r="K599" s="400">
        <v>3.3</v>
      </c>
      <c r="L599" s="400">
        <f t="shared" si="76"/>
        <v>6.7</v>
      </c>
      <c r="M599" s="396">
        <v>1.0</v>
      </c>
      <c r="N599" s="400">
        <f t="shared" si="77"/>
        <v>3.3</v>
      </c>
    </row>
    <row r="600">
      <c r="A600" s="400" t="s">
        <v>50</v>
      </c>
      <c r="B600" s="397"/>
      <c r="C600" s="398">
        <v>1106.0</v>
      </c>
      <c r="D600" s="397" t="s">
        <v>127</v>
      </c>
      <c r="E600" s="397" t="s">
        <v>26</v>
      </c>
      <c r="F600" s="399">
        <v>43564.0</v>
      </c>
      <c r="G600" s="399">
        <v>46027.0</v>
      </c>
      <c r="H600" s="399">
        <v>46027.0</v>
      </c>
      <c r="I600" s="399">
        <v>46027.0</v>
      </c>
      <c r="J600" s="400">
        <v>9.99</v>
      </c>
      <c r="K600" s="400">
        <v>3.29</v>
      </c>
      <c r="L600" s="400">
        <f t="shared" si="76"/>
        <v>6.7</v>
      </c>
      <c r="M600" s="400">
        <v>1.0</v>
      </c>
      <c r="N600" s="400">
        <f t="shared" si="77"/>
        <v>3.29</v>
      </c>
    </row>
    <row r="601">
      <c r="A601" s="86" t="s">
        <v>50</v>
      </c>
      <c r="B601" s="86"/>
      <c r="C601" s="86">
        <v>809.0</v>
      </c>
      <c r="D601" s="86" t="s">
        <v>128</v>
      </c>
      <c r="E601" s="86" t="s">
        <v>26</v>
      </c>
      <c r="F601" s="87">
        <v>43924.0</v>
      </c>
      <c r="G601" s="87">
        <v>44469.0</v>
      </c>
      <c r="H601" s="87">
        <v>44470.0</v>
      </c>
      <c r="I601" s="87">
        <v>44471.0</v>
      </c>
      <c r="J601" s="88">
        <v>59.99</v>
      </c>
      <c r="K601" s="88">
        <v>19.79</v>
      </c>
      <c r="L601" s="88">
        <v>40.2</v>
      </c>
      <c r="M601" s="86">
        <v>20.0</v>
      </c>
      <c r="N601" s="88">
        <v>0.99</v>
      </c>
    </row>
    <row r="602">
      <c r="A602" s="86" t="s">
        <v>50</v>
      </c>
      <c r="B602" s="86"/>
      <c r="C602" s="86">
        <v>810.0</v>
      </c>
      <c r="D602" s="86" t="s">
        <v>129</v>
      </c>
      <c r="E602" s="86" t="s">
        <v>26</v>
      </c>
      <c r="F602" s="87">
        <v>43924.0</v>
      </c>
      <c r="G602" s="87">
        <v>44469.0</v>
      </c>
      <c r="H602" s="87">
        <v>44469.0</v>
      </c>
      <c r="I602" s="87">
        <v>44469.0</v>
      </c>
      <c r="J602" s="88">
        <v>0.0</v>
      </c>
      <c r="K602" s="88">
        <v>0.0</v>
      </c>
      <c r="L602" s="88">
        <v>0.0</v>
      </c>
      <c r="M602" s="86">
        <v>1.0</v>
      </c>
      <c r="N602" s="88">
        <v>0.0</v>
      </c>
    </row>
    <row r="603">
      <c r="A603" s="86" t="s">
        <v>50</v>
      </c>
      <c r="B603" s="86"/>
      <c r="C603" s="86">
        <v>811.0</v>
      </c>
      <c r="D603" s="86" t="s">
        <v>130</v>
      </c>
      <c r="E603" s="86" t="s">
        <v>26</v>
      </c>
      <c r="F603" s="87">
        <v>44323.0</v>
      </c>
      <c r="G603" s="87">
        <v>44489.0</v>
      </c>
      <c r="H603" s="87">
        <v>44490.0</v>
      </c>
      <c r="I603" s="87">
        <v>44492.0</v>
      </c>
      <c r="J603" s="88">
        <v>69.99</v>
      </c>
      <c r="K603" s="88">
        <v>39.89</v>
      </c>
      <c r="L603" s="88">
        <v>30.1</v>
      </c>
      <c r="M603" s="86">
        <v>15.0</v>
      </c>
      <c r="N603" s="88">
        <v>2.66</v>
      </c>
    </row>
    <row r="604">
      <c r="A604" s="86" t="s">
        <v>50</v>
      </c>
      <c r="B604" s="86"/>
      <c r="C604" s="86">
        <v>812.0</v>
      </c>
      <c r="D604" s="86" t="s">
        <v>131</v>
      </c>
      <c r="E604" s="86" t="s">
        <v>26</v>
      </c>
      <c r="F604" s="87">
        <v>44862.0</v>
      </c>
      <c r="G604" s="87">
        <v>44489.0</v>
      </c>
      <c r="H604" s="87">
        <v>44489.0</v>
      </c>
      <c r="I604" s="87">
        <v>44489.0</v>
      </c>
      <c r="J604" s="88">
        <v>0.0</v>
      </c>
      <c r="K604" s="88">
        <v>0.0</v>
      </c>
      <c r="L604" s="88">
        <v>0.0</v>
      </c>
      <c r="M604" s="86">
        <v>1.0</v>
      </c>
      <c r="N604" s="88">
        <v>0.0</v>
      </c>
    </row>
    <row r="605">
      <c r="A605" s="86" t="s">
        <v>50</v>
      </c>
      <c r="B605" s="86"/>
      <c r="C605" s="86">
        <v>813.0</v>
      </c>
      <c r="D605" s="86" t="s">
        <v>132</v>
      </c>
      <c r="E605" s="86" t="s">
        <v>26</v>
      </c>
      <c r="F605" s="87">
        <v>45009.0</v>
      </c>
      <c r="G605" s="87">
        <v>45195.0</v>
      </c>
      <c r="H605" s="87">
        <v>45199.0</v>
      </c>
      <c r="I605" s="87">
        <v>45209.0</v>
      </c>
      <c r="J605" s="88">
        <v>69.99</v>
      </c>
      <c r="K605" s="88">
        <v>39.89</v>
      </c>
      <c r="L605" s="88">
        <v>30.1</v>
      </c>
      <c r="M605" s="86">
        <v>23.0</v>
      </c>
      <c r="N605" s="88">
        <v>1.73</v>
      </c>
    </row>
    <row r="606">
      <c r="A606" s="96"/>
      <c r="B606" s="96"/>
      <c r="C606" s="90"/>
      <c r="D606" s="89"/>
      <c r="E606" s="95">
        <v>814.7</v>
      </c>
      <c r="F606" s="95">
        <v>395.01</v>
      </c>
      <c r="G606" s="95">
        <v>419.69</v>
      </c>
      <c r="H606" s="96">
        <v>293.0</v>
      </c>
      <c r="I606" s="95">
        <v>1.35</v>
      </c>
      <c r="J606" s="91">
        <f t="shared" ref="J606:M606" si="78">SUM(J541:J605)</f>
        <v>814.7</v>
      </c>
      <c r="K606" s="91">
        <f t="shared" si="78"/>
        <v>395.01</v>
      </c>
      <c r="L606" s="91">
        <f t="shared" si="78"/>
        <v>419.69</v>
      </c>
      <c r="M606" s="89">
        <f t="shared" si="78"/>
        <v>293</v>
      </c>
      <c r="N606" s="91">
        <f>K606/M606</f>
        <v>1.348156997</v>
      </c>
    </row>
    <row r="607">
      <c r="A607" s="86" t="s">
        <v>50</v>
      </c>
      <c r="B607" s="86" t="s">
        <v>409</v>
      </c>
      <c r="C607" s="86">
        <v>159.0</v>
      </c>
      <c r="D607" s="86" t="s">
        <v>1177</v>
      </c>
      <c r="E607" s="86" t="s">
        <v>23</v>
      </c>
      <c r="F607" s="87">
        <v>39610.0</v>
      </c>
      <c r="G607" s="87">
        <v>43014.0</v>
      </c>
      <c r="H607" s="87">
        <v>43014.0</v>
      </c>
      <c r="I607" s="87">
        <v>43014.0</v>
      </c>
      <c r="J607" s="88">
        <v>7.99</v>
      </c>
      <c r="K607" s="88">
        <v>2.99</v>
      </c>
      <c r="L607" s="88">
        <v>5.0</v>
      </c>
      <c r="M607" s="86">
        <v>1.0</v>
      </c>
      <c r="N607" s="88">
        <v>2.99</v>
      </c>
    </row>
    <row r="608">
      <c r="A608" s="86" t="s">
        <v>50</v>
      </c>
      <c r="B608" s="86"/>
      <c r="C608" s="86">
        <v>610.0</v>
      </c>
      <c r="D608" s="86" t="s">
        <v>1249</v>
      </c>
      <c r="E608" s="86" t="s">
        <v>26</v>
      </c>
      <c r="F608" s="87">
        <v>42977.0</v>
      </c>
      <c r="G608" s="87">
        <v>43124.0</v>
      </c>
      <c r="H608" s="87">
        <v>43125.0</v>
      </c>
      <c r="I608" s="87">
        <v>43415.0</v>
      </c>
      <c r="J608" s="88">
        <v>75.93</v>
      </c>
      <c r="K608" s="88">
        <v>55.93</v>
      </c>
      <c r="L608" s="88">
        <v>20.0</v>
      </c>
      <c r="M608" s="86">
        <v>33.0</v>
      </c>
      <c r="N608" s="88">
        <v>1.69</v>
      </c>
    </row>
    <row r="609">
      <c r="A609" s="86" t="s">
        <v>50</v>
      </c>
      <c r="B609" s="86"/>
      <c r="C609" s="86">
        <v>1002.0</v>
      </c>
      <c r="D609" s="86" t="s">
        <v>1300</v>
      </c>
      <c r="E609" s="86" t="s">
        <v>27</v>
      </c>
      <c r="F609" s="87">
        <v>42977.0</v>
      </c>
      <c r="G609" s="87">
        <v>43912.0</v>
      </c>
      <c r="H609" s="87">
        <v>43973.0</v>
      </c>
      <c r="I609" s="87">
        <v>43973.0</v>
      </c>
      <c r="J609" s="88">
        <v>29.99</v>
      </c>
      <c r="K609" s="88">
        <v>14.99</v>
      </c>
      <c r="L609" s="88">
        <v>15.0</v>
      </c>
      <c r="M609" s="86">
        <v>1.0</v>
      </c>
      <c r="N609" s="88">
        <v>14.99</v>
      </c>
    </row>
    <row r="610">
      <c r="A610" s="96"/>
      <c r="B610" s="96"/>
      <c r="C610" s="90"/>
      <c r="D610" s="89"/>
      <c r="E610" s="89"/>
      <c r="F610" s="89"/>
      <c r="G610" s="89"/>
      <c r="H610" s="89"/>
      <c r="I610" s="89"/>
      <c r="J610" s="91">
        <f t="shared" ref="J610:M610" si="79">SUM(J607:J609)</f>
        <v>113.91</v>
      </c>
      <c r="K610" s="91">
        <f t="shared" si="79"/>
        <v>73.91</v>
      </c>
      <c r="L610" s="91">
        <f t="shared" si="79"/>
        <v>40</v>
      </c>
      <c r="M610" s="89">
        <f t="shared" si="79"/>
        <v>35</v>
      </c>
      <c r="N610" s="91">
        <f>K610/M610</f>
        <v>2.111714286</v>
      </c>
    </row>
    <row r="611">
      <c r="A611" s="93" t="s">
        <v>50</v>
      </c>
      <c r="B611" s="86" t="s">
        <v>410</v>
      </c>
      <c r="C611" s="86">
        <v>117.0</v>
      </c>
      <c r="D611" s="86" t="s">
        <v>1169</v>
      </c>
      <c r="E611" s="86" t="s">
        <v>22</v>
      </c>
      <c r="F611" s="87">
        <v>39122.0</v>
      </c>
      <c r="G611" s="87">
        <v>41379.0</v>
      </c>
      <c r="H611" s="87">
        <v>41379.0</v>
      </c>
      <c r="I611" s="87">
        <v>44773.0</v>
      </c>
      <c r="J611" s="88">
        <v>19.99</v>
      </c>
      <c r="K611" s="88">
        <v>13.99</v>
      </c>
      <c r="L611" s="88">
        <v>6.0</v>
      </c>
      <c r="M611" s="86">
        <v>45.0</v>
      </c>
      <c r="N611" s="88">
        <v>0.31</v>
      </c>
    </row>
    <row r="612">
      <c r="A612" s="86" t="s">
        <v>50</v>
      </c>
      <c r="B612" s="86" t="s">
        <v>411</v>
      </c>
      <c r="C612" s="86">
        <v>29.0</v>
      </c>
      <c r="D612" s="86" t="s">
        <v>1126</v>
      </c>
      <c r="E612" s="86" t="s">
        <v>21</v>
      </c>
      <c r="F612" s="87">
        <v>34971.0</v>
      </c>
      <c r="G612" s="87">
        <v>43373.0</v>
      </c>
      <c r="H612" s="87">
        <v>45483.0</v>
      </c>
      <c r="I612" s="87">
        <v>45484.0</v>
      </c>
      <c r="J612" s="88">
        <v>4.99</v>
      </c>
      <c r="K612" s="88">
        <v>4.99</v>
      </c>
      <c r="L612" s="88">
        <v>0.0</v>
      </c>
      <c r="M612" s="86">
        <v>3.0</v>
      </c>
      <c r="N612" s="88">
        <v>1.66</v>
      </c>
    </row>
    <row r="613">
      <c r="A613" s="93" t="s">
        <v>50</v>
      </c>
      <c r="B613" s="86" t="s">
        <v>412</v>
      </c>
      <c r="C613" s="86">
        <v>215.0</v>
      </c>
      <c r="D613" s="86" t="s">
        <v>1196</v>
      </c>
      <c r="E613" s="86" t="s">
        <v>24</v>
      </c>
      <c r="F613" s="87">
        <v>40823.0</v>
      </c>
      <c r="G613" s="87">
        <v>43824.0</v>
      </c>
      <c r="H613" s="87">
        <v>43826.0</v>
      </c>
      <c r="I613" s="87">
        <v>43829.0</v>
      </c>
      <c r="J613" s="88">
        <v>39.99</v>
      </c>
      <c r="K613" s="88">
        <v>14.79</v>
      </c>
      <c r="L613" s="88">
        <v>25.2</v>
      </c>
      <c r="M613" s="86">
        <v>22.0</v>
      </c>
      <c r="N613" s="88">
        <v>0.67</v>
      </c>
    </row>
    <row r="614">
      <c r="A614" s="93" t="s">
        <v>50</v>
      </c>
      <c r="B614" s="86"/>
      <c r="C614" s="86">
        <v>216.0</v>
      </c>
      <c r="D614" s="86" t="s">
        <v>1215</v>
      </c>
      <c r="E614" s="86" t="s">
        <v>24</v>
      </c>
      <c r="F614" s="87">
        <v>41712.0</v>
      </c>
      <c r="G614" s="87">
        <v>43755.0</v>
      </c>
      <c r="H614" s="87">
        <v>43831.0</v>
      </c>
      <c r="I614" s="87">
        <v>43831.0</v>
      </c>
      <c r="J614" s="88">
        <v>19.99</v>
      </c>
      <c r="K614" s="88">
        <v>9.99</v>
      </c>
      <c r="L614" s="88">
        <v>10.0</v>
      </c>
      <c r="M614" s="86">
        <v>2.0</v>
      </c>
      <c r="N614" s="88">
        <v>5.0</v>
      </c>
    </row>
    <row r="615">
      <c r="A615" s="86" t="s">
        <v>50</v>
      </c>
      <c r="B615" s="86"/>
      <c r="C615" s="86">
        <v>533.0</v>
      </c>
      <c r="D615" s="86" t="s">
        <v>1237</v>
      </c>
      <c r="E615" s="86" t="s">
        <v>26</v>
      </c>
      <c r="F615" s="87">
        <v>42089.0</v>
      </c>
      <c r="G615" s="87">
        <v>43623.0</v>
      </c>
      <c r="H615" s="87">
        <v>43627.0</v>
      </c>
      <c r="I615" s="87">
        <v>43672.0</v>
      </c>
      <c r="J615" s="88">
        <v>34.99</v>
      </c>
      <c r="K615" s="88">
        <v>18.24</v>
      </c>
      <c r="L615" s="88">
        <v>16.75</v>
      </c>
      <c r="M615" s="86">
        <v>38.0</v>
      </c>
      <c r="N615" s="88">
        <v>0.48</v>
      </c>
    </row>
    <row r="616">
      <c r="A616" s="92" t="s">
        <v>50</v>
      </c>
      <c r="B616" s="86"/>
      <c r="C616" s="86">
        <v>569.0</v>
      </c>
      <c r="D616" s="86" t="s">
        <v>1240</v>
      </c>
      <c r="E616" s="86" t="s">
        <v>26</v>
      </c>
      <c r="F616" s="87">
        <v>42472.0</v>
      </c>
      <c r="G616" s="87">
        <v>43633.0</v>
      </c>
      <c r="H616" s="87">
        <v>43633.0</v>
      </c>
      <c r="I616" s="87">
        <v>43633.0</v>
      </c>
      <c r="J616" s="88">
        <v>49.99</v>
      </c>
      <c r="K616" s="88">
        <v>11.99</v>
      </c>
      <c r="L616" s="88">
        <v>38.0</v>
      </c>
      <c r="M616" s="86">
        <v>1.0</v>
      </c>
      <c r="N616" s="88">
        <v>11.99</v>
      </c>
    </row>
    <row r="617">
      <c r="A617" s="86" t="s">
        <v>50</v>
      </c>
      <c r="B617" s="86"/>
      <c r="C617" s="86">
        <v>830.0</v>
      </c>
      <c r="D617" s="86" t="s">
        <v>1259</v>
      </c>
      <c r="E617" s="86" t="s">
        <v>26</v>
      </c>
      <c r="F617" s="87">
        <v>43546.0</v>
      </c>
      <c r="G617" s="87">
        <v>43824.0</v>
      </c>
      <c r="H617" s="87">
        <v>44267.0</v>
      </c>
      <c r="I617" s="87">
        <v>44267.0</v>
      </c>
      <c r="J617" s="88">
        <v>69.99</v>
      </c>
      <c r="K617" s="88">
        <v>45.49</v>
      </c>
      <c r="L617" s="88">
        <v>24.5</v>
      </c>
      <c r="M617" s="86">
        <v>5.0</v>
      </c>
      <c r="N617" s="88">
        <v>9.1</v>
      </c>
    </row>
    <row r="618">
      <c r="A618" s="86" t="s">
        <v>50</v>
      </c>
      <c r="B618" s="86"/>
      <c r="C618" s="86">
        <v>604.0</v>
      </c>
      <c r="D618" s="86" t="s">
        <v>1278</v>
      </c>
      <c r="E618" s="86" t="s">
        <v>26</v>
      </c>
      <c r="F618" s="87">
        <v>44617.0</v>
      </c>
      <c r="G618" s="87">
        <v>45491.0</v>
      </c>
      <c r="H618" s="87">
        <v>45491.0</v>
      </c>
      <c r="I618" s="87">
        <v>45491.0</v>
      </c>
      <c r="J618" s="88">
        <v>59.99</v>
      </c>
      <c r="K618" s="88">
        <v>41.99</v>
      </c>
      <c r="L618" s="88">
        <v>18.0</v>
      </c>
      <c r="M618" s="86">
        <v>1.0</v>
      </c>
      <c r="N618" s="88">
        <v>41.99</v>
      </c>
    </row>
    <row r="619">
      <c r="A619" s="96"/>
      <c r="B619" s="96"/>
      <c r="C619" s="90"/>
      <c r="D619" s="89"/>
      <c r="E619" s="89"/>
      <c r="F619" s="89"/>
      <c r="G619" s="89"/>
      <c r="H619" s="89"/>
      <c r="I619" s="89"/>
      <c r="J619" s="91">
        <f t="shared" ref="J619:M619" si="80">SUM(J613:J618)</f>
        <v>274.94</v>
      </c>
      <c r="K619" s="91">
        <f t="shared" si="80"/>
        <v>142.49</v>
      </c>
      <c r="L619" s="91">
        <f t="shared" si="80"/>
        <v>132.45</v>
      </c>
      <c r="M619" s="89">
        <f t="shared" si="80"/>
        <v>69</v>
      </c>
      <c r="N619" s="91">
        <f>K619/M619</f>
        <v>2.065072464</v>
      </c>
    </row>
    <row r="620">
      <c r="A620" s="86" t="s">
        <v>50</v>
      </c>
      <c r="B620" s="86" t="s">
        <v>413</v>
      </c>
      <c r="C620" s="86">
        <v>898.0</v>
      </c>
      <c r="D620" s="86" t="s">
        <v>1238</v>
      </c>
      <c r="E620" s="86" t="s">
        <v>26</v>
      </c>
      <c r="F620" s="87">
        <v>42206.0</v>
      </c>
      <c r="G620" s="87">
        <v>42811.0</v>
      </c>
      <c r="H620" s="87">
        <v>42816.0</v>
      </c>
      <c r="I620" s="87">
        <v>44412.0</v>
      </c>
      <c r="J620" s="88">
        <v>12.99</v>
      </c>
      <c r="K620" s="88">
        <v>3.49</v>
      </c>
      <c r="L620" s="88">
        <v>9.5</v>
      </c>
      <c r="M620" s="86">
        <v>14.0</v>
      </c>
      <c r="N620" s="88">
        <v>0.25</v>
      </c>
    </row>
    <row r="621">
      <c r="A621" s="93" t="s">
        <v>50</v>
      </c>
      <c r="B621" s="86" t="s">
        <v>414</v>
      </c>
      <c r="C621" s="86">
        <v>319.0</v>
      </c>
      <c r="D621" s="86" t="s">
        <v>1216</v>
      </c>
      <c r="E621" s="86" t="s">
        <v>24</v>
      </c>
      <c r="F621" s="87">
        <v>41817.0</v>
      </c>
      <c r="G621" s="87">
        <v>43100.0</v>
      </c>
      <c r="H621" s="87">
        <v>43100.0</v>
      </c>
      <c r="I621" s="87">
        <v>43100.0</v>
      </c>
      <c r="J621" s="88">
        <v>79.98</v>
      </c>
      <c r="K621" s="88">
        <v>18.98</v>
      </c>
      <c r="L621" s="88">
        <v>61.0</v>
      </c>
      <c r="M621" s="86">
        <v>1.0</v>
      </c>
      <c r="N621" s="88">
        <v>18.98</v>
      </c>
    </row>
    <row r="622">
      <c r="A622" s="86" t="s">
        <v>50</v>
      </c>
      <c r="B622" s="86" t="s">
        <v>415</v>
      </c>
      <c r="C622" s="86">
        <v>579.0</v>
      </c>
      <c r="D622" s="86" t="s">
        <v>1277</v>
      </c>
      <c r="E622" s="86" t="s">
        <v>26</v>
      </c>
      <c r="F622" s="87">
        <v>44525.0</v>
      </c>
      <c r="G622" s="87">
        <v>44623.0</v>
      </c>
      <c r="H622" s="87">
        <v>44629.0</v>
      </c>
      <c r="I622" s="87">
        <v>44629.0</v>
      </c>
      <c r="J622" s="88">
        <v>16.99</v>
      </c>
      <c r="K622" s="88">
        <v>13.59</v>
      </c>
      <c r="L622" s="88">
        <v>3.4</v>
      </c>
      <c r="M622" s="86">
        <v>2.0</v>
      </c>
      <c r="N622" s="88">
        <v>6.8</v>
      </c>
    </row>
    <row r="623">
      <c r="A623" s="93" t="s">
        <v>50</v>
      </c>
      <c r="B623" s="86" t="s">
        <v>416</v>
      </c>
      <c r="C623" s="86">
        <v>290.0</v>
      </c>
      <c r="D623" s="86" t="s">
        <v>1205</v>
      </c>
      <c r="E623" s="86" t="s">
        <v>24</v>
      </c>
      <c r="F623" s="87">
        <v>41075.0</v>
      </c>
      <c r="G623" s="87">
        <v>41628.0</v>
      </c>
      <c r="H623" s="87">
        <v>41628.0</v>
      </c>
      <c r="I623" s="87">
        <v>44128.0</v>
      </c>
      <c r="J623" s="88">
        <v>19.99</v>
      </c>
      <c r="K623" s="88">
        <v>12.0</v>
      </c>
      <c r="L623" s="88">
        <v>7.99</v>
      </c>
      <c r="M623" s="86">
        <v>20.0</v>
      </c>
      <c r="N623" s="88">
        <v>0.6</v>
      </c>
    </row>
    <row r="624">
      <c r="A624" s="93" t="s">
        <v>50</v>
      </c>
      <c r="B624" s="86"/>
      <c r="C624" s="86">
        <v>274.0</v>
      </c>
      <c r="D624" s="86" t="s">
        <v>1213</v>
      </c>
      <c r="E624" s="86" t="s">
        <v>24</v>
      </c>
      <c r="F624" s="87">
        <v>41516.0</v>
      </c>
      <c r="G624" s="87">
        <v>42160.0</v>
      </c>
      <c r="H624" s="87">
        <v>42160.0</v>
      </c>
      <c r="I624" s="87">
        <v>44812.0</v>
      </c>
      <c r="J624" s="88">
        <v>29.99</v>
      </c>
      <c r="K624" s="88">
        <v>18.0</v>
      </c>
      <c r="L624" s="88">
        <v>11.99</v>
      </c>
      <c r="M624" s="86">
        <v>15.0</v>
      </c>
      <c r="N624" s="88">
        <v>1.2</v>
      </c>
    </row>
    <row r="625">
      <c r="A625" s="96"/>
      <c r="B625" s="96"/>
      <c r="C625" s="90"/>
      <c r="D625" s="89"/>
      <c r="E625" s="89"/>
      <c r="F625" s="89"/>
      <c r="G625" s="89"/>
      <c r="H625" s="89"/>
      <c r="I625" s="89"/>
      <c r="J625" s="91">
        <f t="shared" ref="J625:M625" si="81">SUM(J623:J624)</f>
        <v>49.98</v>
      </c>
      <c r="K625" s="91">
        <f t="shared" si="81"/>
        <v>30</v>
      </c>
      <c r="L625" s="91">
        <f t="shared" si="81"/>
        <v>19.98</v>
      </c>
      <c r="M625" s="89">
        <f t="shared" si="81"/>
        <v>35</v>
      </c>
      <c r="N625" s="91">
        <f>K625/M625</f>
        <v>0.8571428571</v>
      </c>
    </row>
    <row r="626">
      <c r="A626" s="86" t="s">
        <v>50</v>
      </c>
      <c r="B626" s="86" t="s">
        <v>417</v>
      </c>
      <c r="C626" s="86">
        <v>684.0</v>
      </c>
      <c r="D626" s="86" t="s">
        <v>1266</v>
      </c>
      <c r="E626" s="86" t="s">
        <v>26</v>
      </c>
      <c r="F626" s="87">
        <v>44068.0</v>
      </c>
      <c r="G626" s="87">
        <v>44623.0</v>
      </c>
      <c r="H626" s="87">
        <v>44639.0</v>
      </c>
      <c r="I626" s="87">
        <v>44641.0</v>
      </c>
      <c r="J626" s="88">
        <v>39.99</v>
      </c>
      <c r="K626" s="88">
        <v>14.79</v>
      </c>
      <c r="L626" s="88">
        <v>25.2</v>
      </c>
      <c r="M626" s="86">
        <v>11.0</v>
      </c>
      <c r="N626" s="88">
        <v>1.34</v>
      </c>
    </row>
    <row r="627">
      <c r="A627" s="93" t="s">
        <v>50</v>
      </c>
      <c r="B627" s="86" t="s">
        <v>418</v>
      </c>
      <c r="C627" s="86">
        <v>57.0</v>
      </c>
      <c r="D627" s="86" t="s">
        <v>1131</v>
      </c>
      <c r="E627" s="86" t="s">
        <v>21</v>
      </c>
      <c r="F627" s="87">
        <v>35531.0</v>
      </c>
      <c r="G627" s="87">
        <v>44300.0</v>
      </c>
      <c r="H627" s="87">
        <v>44300.0</v>
      </c>
      <c r="I627" s="87">
        <v>44300.0</v>
      </c>
      <c r="J627" s="88">
        <v>4.99</v>
      </c>
      <c r="K627" s="88">
        <v>4.99</v>
      </c>
      <c r="L627" s="88">
        <v>0.0</v>
      </c>
      <c r="M627" s="86">
        <v>1.0</v>
      </c>
      <c r="N627" s="88">
        <v>4.99</v>
      </c>
    </row>
    <row r="628">
      <c r="A628" s="86" t="s">
        <v>50</v>
      </c>
      <c r="B628" s="86"/>
      <c r="C628" s="86">
        <v>4.0</v>
      </c>
      <c r="D628" s="86" t="s">
        <v>1134</v>
      </c>
      <c r="E628" s="86" t="s">
        <v>21</v>
      </c>
      <c r="F628" s="87">
        <v>35735.0</v>
      </c>
      <c r="G628" s="87">
        <v>42279.0</v>
      </c>
      <c r="H628" s="87">
        <v>42279.0</v>
      </c>
      <c r="I628" s="87">
        <v>42279.0</v>
      </c>
      <c r="J628" s="88">
        <v>14.99</v>
      </c>
      <c r="K628" s="88">
        <v>4.5</v>
      </c>
      <c r="L628" s="88">
        <v>10.49</v>
      </c>
      <c r="M628" s="86">
        <v>1.0</v>
      </c>
      <c r="N628" s="88">
        <v>4.5</v>
      </c>
    </row>
    <row r="629">
      <c r="A629" s="86" t="s">
        <v>50</v>
      </c>
      <c r="B629" s="86"/>
      <c r="C629" s="86">
        <v>34.0</v>
      </c>
      <c r="D629" s="86" t="s">
        <v>1139</v>
      </c>
      <c r="E629" s="86" t="s">
        <v>21</v>
      </c>
      <c r="F629" s="87">
        <v>36213.0</v>
      </c>
      <c r="G629" s="87">
        <v>41261.0</v>
      </c>
      <c r="H629" s="87">
        <v>41261.0</v>
      </c>
      <c r="I629" s="87">
        <v>41274.0</v>
      </c>
      <c r="J629" s="88">
        <v>9.99</v>
      </c>
      <c r="K629" s="88">
        <v>4.99</v>
      </c>
      <c r="L629" s="88">
        <v>5.0</v>
      </c>
      <c r="M629" s="86">
        <v>30.0</v>
      </c>
      <c r="N629" s="88">
        <v>0.17</v>
      </c>
    </row>
    <row r="630">
      <c r="A630" s="92" t="s">
        <v>50</v>
      </c>
      <c r="B630" s="86"/>
      <c r="C630" s="86">
        <v>49.0</v>
      </c>
      <c r="D630" s="86" t="s">
        <v>1140</v>
      </c>
      <c r="E630" s="86" t="s">
        <v>21</v>
      </c>
      <c r="F630" s="87">
        <v>36357.0</v>
      </c>
      <c r="G630" s="87">
        <v>42812.0</v>
      </c>
      <c r="H630" s="87">
        <v>42812.0</v>
      </c>
      <c r="I630" s="87">
        <v>42812.0</v>
      </c>
      <c r="J630" s="88">
        <v>6.99</v>
      </c>
      <c r="K630" s="88">
        <v>2.99</v>
      </c>
      <c r="L630" s="88">
        <v>4.0</v>
      </c>
      <c r="M630" s="86">
        <v>1.0</v>
      </c>
      <c r="N630" s="88">
        <v>2.99</v>
      </c>
    </row>
    <row r="631">
      <c r="A631" s="92" t="s">
        <v>50</v>
      </c>
      <c r="B631" s="86"/>
      <c r="C631" s="86">
        <v>2.0</v>
      </c>
      <c r="D631" s="86" t="s">
        <v>1144</v>
      </c>
      <c r="E631" s="86" t="s">
        <v>21</v>
      </c>
      <c r="F631" s="87">
        <v>36714.0</v>
      </c>
      <c r="G631" s="87">
        <v>43373.0</v>
      </c>
      <c r="H631" s="87">
        <v>43373.0</v>
      </c>
      <c r="I631" s="87">
        <v>43373.0</v>
      </c>
      <c r="J631" s="88">
        <v>4.99</v>
      </c>
      <c r="K631" s="88">
        <v>4.99</v>
      </c>
      <c r="L631" s="88">
        <v>0.0</v>
      </c>
      <c r="M631" s="86">
        <v>1.0</v>
      </c>
      <c r="N631" s="88">
        <v>4.99</v>
      </c>
    </row>
    <row r="632">
      <c r="A632" s="92" t="s">
        <v>50</v>
      </c>
      <c r="B632" s="86"/>
      <c r="C632" s="86">
        <v>58.0</v>
      </c>
      <c r="D632" s="86" t="s">
        <v>1145</v>
      </c>
      <c r="E632" s="86" t="s">
        <v>21</v>
      </c>
      <c r="F632" s="87">
        <v>36735.0</v>
      </c>
      <c r="G632" s="87">
        <v>44300.0</v>
      </c>
      <c r="H632" s="87">
        <v>44300.0</v>
      </c>
      <c r="I632" s="87">
        <v>44300.0</v>
      </c>
      <c r="J632" s="88">
        <v>4.99</v>
      </c>
      <c r="K632" s="88">
        <v>4.99</v>
      </c>
      <c r="L632" s="88">
        <v>0.0</v>
      </c>
      <c r="M632" s="86">
        <v>1.0</v>
      </c>
      <c r="N632" s="88">
        <v>4.99</v>
      </c>
    </row>
    <row r="633">
      <c r="A633" s="92" t="s">
        <v>50</v>
      </c>
      <c r="B633" s="86"/>
      <c r="C633" s="86">
        <v>133.0</v>
      </c>
      <c r="D633" s="86" t="s">
        <v>1154</v>
      </c>
      <c r="E633" s="86" t="s">
        <v>22</v>
      </c>
      <c r="F633" s="87">
        <v>37218.0</v>
      </c>
      <c r="G633" s="87">
        <v>44115.0</v>
      </c>
      <c r="H633" s="87">
        <v>44115.0</v>
      </c>
      <c r="I633" s="87">
        <v>44115.0</v>
      </c>
      <c r="J633" s="88">
        <v>11.0</v>
      </c>
      <c r="K633" s="88">
        <v>11.0</v>
      </c>
      <c r="L633" s="88">
        <v>0.0</v>
      </c>
      <c r="M633" s="86">
        <v>1.0</v>
      </c>
      <c r="N633" s="88">
        <v>11.0</v>
      </c>
    </row>
    <row r="634">
      <c r="A634" s="92" t="s">
        <v>50</v>
      </c>
      <c r="B634" s="86"/>
      <c r="C634" s="86">
        <v>115.0</v>
      </c>
      <c r="D634" s="86" t="s">
        <v>1155</v>
      </c>
      <c r="E634" s="86" t="s">
        <v>22</v>
      </c>
      <c r="F634" s="87">
        <v>37323.0</v>
      </c>
      <c r="G634" s="87">
        <v>42259.0</v>
      </c>
      <c r="H634" s="87">
        <v>42259.0</v>
      </c>
      <c r="I634" s="87">
        <v>42259.0</v>
      </c>
      <c r="J634" s="88">
        <v>23.99</v>
      </c>
      <c r="K634" s="88">
        <v>23.99</v>
      </c>
      <c r="L634" s="88">
        <v>0.0</v>
      </c>
      <c r="M634" s="86">
        <v>2.0</v>
      </c>
      <c r="N634" s="88">
        <v>12.0</v>
      </c>
    </row>
    <row r="635">
      <c r="A635" s="92" t="s">
        <v>50</v>
      </c>
      <c r="B635" s="86"/>
      <c r="C635" s="86">
        <v>134.0</v>
      </c>
      <c r="D635" s="86" t="s">
        <v>1161</v>
      </c>
      <c r="E635" s="86" t="s">
        <v>22</v>
      </c>
      <c r="F635" s="87">
        <v>37764.0</v>
      </c>
      <c r="G635" s="87">
        <v>44115.0</v>
      </c>
      <c r="H635" s="87">
        <v>44115.0</v>
      </c>
      <c r="I635" s="87">
        <v>44115.0</v>
      </c>
      <c r="J635" s="88">
        <v>11.0</v>
      </c>
      <c r="K635" s="88">
        <v>11.0</v>
      </c>
      <c r="L635" s="88">
        <v>0.0</v>
      </c>
      <c r="M635" s="86">
        <v>1.0</v>
      </c>
      <c r="N635" s="88">
        <v>11.0</v>
      </c>
    </row>
    <row r="636">
      <c r="A636" s="92" t="s">
        <v>50</v>
      </c>
      <c r="B636" s="86"/>
      <c r="C636" s="86">
        <v>116.0</v>
      </c>
      <c r="D636" s="86" t="s">
        <v>1165</v>
      </c>
      <c r="E636" s="86" t="s">
        <v>22</v>
      </c>
      <c r="F636" s="87">
        <v>38415.0</v>
      </c>
      <c r="G636" s="87">
        <v>42259.0</v>
      </c>
      <c r="H636" s="87">
        <v>42260.0</v>
      </c>
      <c r="I636" s="87">
        <v>42263.0</v>
      </c>
      <c r="J636" s="88">
        <v>22.99</v>
      </c>
      <c r="K636" s="88">
        <v>22.99</v>
      </c>
      <c r="L636" s="88">
        <v>0.0</v>
      </c>
      <c r="M636" s="86">
        <v>2.0</v>
      </c>
      <c r="N636" s="88">
        <v>11.5</v>
      </c>
    </row>
    <row r="637">
      <c r="A637" s="86" t="s">
        <v>50</v>
      </c>
      <c r="B637" s="86"/>
      <c r="C637" s="86">
        <v>155.0</v>
      </c>
      <c r="D637" s="86" t="s">
        <v>1176</v>
      </c>
      <c r="E637" s="86" t="s">
        <v>23</v>
      </c>
      <c r="F637" s="87">
        <v>39493.0</v>
      </c>
      <c r="G637" s="87">
        <v>42279.0</v>
      </c>
      <c r="H637" s="87">
        <v>42279.0</v>
      </c>
      <c r="I637" s="87">
        <v>42279.0</v>
      </c>
      <c r="J637" s="88">
        <v>14.99</v>
      </c>
      <c r="K637" s="88">
        <v>4.49</v>
      </c>
      <c r="L637" s="88">
        <v>10.5</v>
      </c>
      <c r="M637" s="86">
        <v>1.0</v>
      </c>
      <c r="N637" s="88">
        <v>4.49</v>
      </c>
    </row>
    <row r="638">
      <c r="A638" s="86" t="s">
        <v>50</v>
      </c>
      <c r="B638" s="86"/>
      <c r="C638" s="86">
        <v>174.0</v>
      </c>
      <c r="D638" s="86" t="s">
        <v>1180</v>
      </c>
      <c r="E638" s="86" t="s">
        <v>23</v>
      </c>
      <c r="F638" s="87">
        <v>40347.0</v>
      </c>
      <c r="G638" s="87">
        <v>44292.0</v>
      </c>
      <c r="H638" s="87">
        <v>44292.0</v>
      </c>
      <c r="I638" s="87">
        <v>44292.0</v>
      </c>
      <c r="J638" s="88">
        <v>8.0</v>
      </c>
      <c r="K638" s="88">
        <v>8.0</v>
      </c>
      <c r="L638" s="88">
        <v>0.0</v>
      </c>
      <c r="M638" s="86">
        <v>1.0</v>
      </c>
      <c r="N638" s="88">
        <v>8.0</v>
      </c>
    </row>
    <row r="639">
      <c r="A639" s="93" t="s">
        <v>50</v>
      </c>
      <c r="B639" s="86"/>
      <c r="C639" s="86">
        <v>297.0</v>
      </c>
      <c r="D639" s="86" t="s">
        <v>1185</v>
      </c>
      <c r="E639" s="86" t="s">
        <v>24</v>
      </c>
      <c r="F639" s="87">
        <v>39611.0</v>
      </c>
      <c r="G639" s="87">
        <v>44285.0</v>
      </c>
      <c r="H639" s="87">
        <v>44285.0</v>
      </c>
      <c r="I639" s="87">
        <v>44285.0</v>
      </c>
      <c r="J639" s="88">
        <v>14.99</v>
      </c>
      <c r="K639" s="88">
        <v>14.99</v>
      </c>
      <c r="L639" s="88">
        <v>0.0</v>
      </c>
      <c r="M639" s="86">
        <v>1.0</v>
      </c>
      <c r="N639" s="88">
        <v>14.99</v>
      </c>
    </row>
    <row r="640">
      <c r="A640" s="93" t="s">
        <v>50</v>
      </c>
      <c r="B640" s="86"/>
      <c r="C640" s="86">
        <v>325.0</v>
      </c>
      <c r="D640" s="86" t="s">
        <v>1188</v>
      </c>
      <c r="E640" s="86" t="s">
        <v>24</v>
      </c>
      <c r="F640" s="87">
        <v>40109.0</v>
      </c>
      <c r="G640" s="87">
        <v>40192.0</v>
      </c>
      <c r="H640" s="87">
        <v>40192.0</v>
      </c>
      <c r="I640" s="87">
        <v>44718.0</v>
      </c>
      <c r="J640" s="88">
        <v>19.99</v>
      </c>
      <c r="K640" s="88">
        <v>0.5</v>
      </c>
      <c r="L640" s="88">
        <v>19.49</v>
      </c>
      <c r="M640" s="86">
        <v>30.0</v>
      </c>
      <c r="N640" s="88">
        <v>0.02</v>
      </c>
    </row>
    <row r="641">
      <c r="A641" s="93" t="s">
        <v>50</v>
      </c>
      <c r="B641" s="86"/>
      <c r="C641" s="86">
        <v>393.0</v>
      </c>
      <c r="D641" s="86" t="s">
        <v>1201</v>
      </c>
      <c r="E641" s="86" t="s">
        <v>24</v>
      </c>
      <c r="F641" s="87">
        <v>40947.0</v>
      </c>
      <c r="G641" s="87">
        <v>41607.0</v>
      </c>
      <c r="H641" s="87">
        <v>41607.0</v>
      </c>
      <c r="I641" s="87">
        <v>44795.0</v>
      </c>
      <c r="J641" s="88">
        <v>9.99</v>
      </c>
      <c r="K641" s="88">
        <v>9.99</v>
      </c>
      <c r="L641" s="88">
        <v>0.0</v>
      </c>
      <c r="M641" s="86">
        <v>10.0</v>
      </c>
      <c r="N641" s="88">
        <v>1.0</v>
      </c>
    </row>
    <row r="642">
      <c r="A642" s="93" t="s">
        <v>50</v>
      </c>
      <c r="B642" s="86"/>
      <c r="C642" s="86">
        <v>298.0</v>
      </c>
      <c r="D642" s="86" t="s">
        <v>1218</v>
      </c>
      <c r="E642" s="86" t="s">
        <v>24</v>
      </c>
      <c r="F642" s="87">
        <v>42248.0</v>
      </c>
      <c r="G642" s="87">
        <v>44190.0</v>
      </c>
      <c r="H642" s="87">
        <v>44209.0</v>
      </c>
      <c r="I642" s="87">
        <v>44231.0</v>
      </c>
      <c r="J642" s="88">
        <v>29.99</v>
      </c>
      <c r="K642" s="88">
        <v>7.49</v>
      </c>
      <c r="L642" s="88">
        <v>22.5</v>
      </c>
      <c r="M642" s="86">
        <v>101.0</v>
      </c>
      <c r="N642" s="88">
        <v>0.07</v>
      </c>
    </row>
    <row r="643">
      <c r="A643" s="401" t="s">
        <v>50</v>
      </c>
      <c r="B643" s="401"/>
      <c r="C643" s="402">
        <v>884.0</v>
      </c>
      <c r="D643" s="402" t="s">
        <v>1283</v>
      </c>
      <c r="E643" s="402" t="s">
        <v>26</v>
      </c>
      <c r="F643" s="403">
        <v>44803.0</v>
      </c>
      <c r="G643" s="403">
        <v>45720.0</v>
      </c>
      <c r="H643" s="403">
        <v>45720.0</v>
      </c>
      <c r="I643" s="403">
        <v>45720.0</v>
      </c>
      <c r="J643" s="404">
        <v>3.08</v>
      </c>
      <c r="K643" s="404">
        <v>0.0</v>
      </c>
      <c r="L643" s="88">
        <v>3.08</v>
      </c>
      <c r="M643" s="402">
        <v>1.0</v>
      </c>
      <c r="N643" s="88">
        <v>0.0</v>
      </c>
    </row>
    <row r="644">
      <c r="A644" s="401" t="s">
        <v>50</v>
      </c>
      <c r="B644" s="401"/>
      <c r="C644" s="402">
        <v>885.0</v>
      </c>
      <c r="D644" s="402" t="s">
        <v>1284</v>
      </c>
      <c r="E644" s="402" t="s">
        <v>26</v>
      </c>
      <c r="F644" s="403">
        <v>44803.0</v>
      </c>
      <c r="G644" s="403">
        <v>45720.0</v>
      </c>
      <c r="H644" s="403">
        <v>45720.0</v>
      </c>
      <c r="I644" s="403">
        <v>45720.0</v>
      </c>
      <c r="J644" s="404">
        <v>3.08</v>
      </c>
      <c r="K644" s="404">
        <v>0.0</v>
      </c>
      <c r="L644" s="88">
        <v>3.08</v>
      </c>
      <c r="M644" s="402">
        <v>1.0</v>
      </c>
      <c r="N644" s="88">
        <v>0.0</v>
      </c>
    </row>
    <row r="645">
      <c r="A645" s="401" t="s">
        <v>50</v>
      </c>
      <c r="B645" s="401"/>
      <c r="C645" s="402">
        <v>886.0</v>
      </c>
      <c r="D645" s="402" t="s">
        <v>1285</v>
      </c>
      <c r="E645" s="402" t="s">
        <v>26</v>
      </c>
      <c r="F645" s="403">
        <v>44803.0</v>
      </c>
      <c r="G645" s="403">
        <v>45720.0</v>
      </c>
      <c r="H645" s="403">
        <v>45720.0</v>
      </c>
      <c r="I645" s="403">
        <v>45720.0</v>
      </c>
      <c r="J645" s="404">
        <v>3.08</v>
      </c>
      <c r="K645" s="404">
        <v>0.0</v>
      </c>
      <c r="L645" s="88">
        <v>3.08</v>
      </c>
      <c r="M645" s="402">
        <v>1.0</v>
      </c>
      <c r="N645" s="88">
        <v>0.0</v>
      </c>
    </row>
    <row r="646">
      <c r="A646" s="401" t="s">
        <v>50</v>
      </c>
      <c r="B646" s="401"/>
      <c r="C646" s="402">
        <v>887.0</v>
      </c>
      <c r="D646" s="402" t="s">
        <v>1286</v>
      </c>
      <c r="E646" s="402" t="s">
        <v>26</v>
      </c>
      <c r="F646" s="403">
        <v>44803.0</v>
      </c>
      <c r="G646" s="403">
        <v>45720.0</v>
      </c>
      <c r="H646" s="403">
        <v>45720.0</v>
      </c>
      <c r="I646" s="403">
        <v>45720.0</v>
      </c>
      <c r="J646" s="404">
        <v>3.08</v>
      </c>
      <c r="K646" s="404">
        <v>0.0</v>
      </c>
      <c r="L646" s="88">
        <v>3.08</v>
      </c>
      <c r="M646" s="402">
        <v>1.0</v>
      </c>
      <c r="N646" s="88">
        <v>0.0</v>
      </c>
    </row>
    <row r="647">
      <c r="A647" s="401" t="s">
        <v>50</v>
      </c>
      <c r="B647" s="401"/>
      <c r="C647" s="402">
        <v>888.0</v>
      </c>
      <c r="D647" s="402" t="s">
        <v>1287</v>
      </c>
      <c r="E647" s="402" t="s">
        <v>26</v>
      </c>
      <c r="F647" s="403">
        <v>44803.0</v>
      </c>
      <c r="G647" s="403">
        <v>45720.0</v>
      </c>
      <c r="H647" s="403">
        <v>45720.0</v>
      </c>
      <c r="I647" s="403">
        <v>45720.0</v>
      </c>
      <c r="J647" s="404">
        <v>3.08</v>
      </c>
      <c r="K647" s="404">
        <v>0.0</v>
      </c>
      <c r="L647" s="88">
        <v>3.08</v>
      </c>
      <c r="M647" s="402">
        <v>1.0</v>
      </c>
      <c r="N647" s="88">
        <v>0.0</v>
      </c>
    </row>
    <row r="648">
      <c r="A648" s="401" t="s">
        <v>50</v>
      </c>
      <c r="B648" s="401"/>
      <c r="C648" s="402">
        <v>889.0</v>
      </c>
      <c r="D648" s="402" t="s">
        <v>1288</v>
      </c>
      <c r="E648" s="402" t="s">
        <v>26</v>
      </c>
      <c r="F648" s="403">
        <v>44803.0</v>
      </c>
      <c r="G648" s="403">
        <v>45720.0</v>
      </c>
      <c r="H648" s="403">
        <v>45720.0</v>
      </c>
      <c r="I648" s="403">
        <v>45720.0</v>
      </c>
      <c r="J648" s="404">
        <v>3.08</v>
      </c>
      <c r="K648" s="404">
        <v>0.0</v>
      </c>
      <c r="L648" s="88">
        <v>3.08</v>
      </c>
      <c r="M648" s="402">
        <v>1.0</v>
      </c>
      <c r="N648" s="88">
        <v>0.0</v>
      </c>
    </row>
    <row r="649">
      <c r="A649" s="401" t="s">
        <v>50</v>
      </c>
      <c r="B649" s="401"/>
      <c r="C649" s="402">
        <v>890.0</v>
      </c>
      <c r="D649" s="402" t="s">
        <v>1289</v>
      </c>
      <c r="E649" s="402" t="s">
        <v>26</v>
      </c>
      <c r="F649" s="403">
        <v>44803.0</v>
      </c>
      <c r="G649" s="403">
        <v>45720.0</v>
      </c>
      <c r="H649" s="403">
        <v>45720.0</v>
      </c>
      <c r="I649" s="403">
        <v>45720.0</v>
      </c>
      <c r="J649" s="404">
        <v>3.08</v>
      </c>
      <c r="K649" s="404">
        <v>0.0</v>
      </c>
      <c r="L649" s="88">
        <v>3.08</v>
      </c>
      <c r="M649" s="402">
        <v>1.0</v>
      </c>
      <c r="N649" s="88">
        <v>0.0</v>
      </c>
    </row>
    <row r="650">
      <c r="A650" s="401" t="s">
        <v>50</v>
      </c>
      <c r="B650" s="401"/>
      <c r="C650" s="402">
        <v>891.0</v>
      </c>
      <c r="D650" s="402" t="s">
        <v>1290</v>
      </c>
      <c r="E650" s="402" t="s">
        <v>26</v>
      </c>
      <c r="F650" s="403">
        <v>44803.0</v>
      </c>
      <c r="G650" s="403">
        <v>45720.0</v>
      </c>
      <c r="H650" s="403">
        <v>45720.0</v>
      </c>
      <c r="I650" s="403">
        <v>45720.0</v>
      </c>
      <c r="J650" s="404">
        <v>3.08</v>
      </c>
      <c r="K650" s="404">
        <v>0.0</v>
      </c>
      <c r="L650" s="88">
        <v>3.08</v>
      </c>
      <c r="M650" s="402">
        <v>1.0</v>
      </c>
      <c r="N650" s="88">
        <v>0.0</v>
      </c>
    </row>
    <row r="651">
      <c r="A651" s="401" t="s">
        <v>50</v>
      </c>
      <c r="B651" s="401"/>
      <c r="C651" s="402">
        <v>892.0</v>
      </c>
      <c r="D651" s="402" t="s">
        <v>1291</v>
      </c>
      <c r="E651" s="402" t="s">
        <v>26</v>
      </c>
      <c r="F651" s="403">
        <v>44803.0</v>
      </c>
      <c r="G651" s="403">
        <v>45720.0</v>
      </c>
      <c r="H651" s="403">
        <v>45720.0</v>
      </c>
      <c r="I651" s="403">
        <v>45720.0</v>
      </c>
      <c r="J651" s="404">
        <v>3.07</v>
      </c>
      <c r="K651" s="404">
        <v>0.0</v>
      </c>
      <c r="L651" s="88">
        <v>3.07</v>
      </c>
      <c r="M651" s="402">
        <v>1.0</v>
      </c>
      <c r="N651" s="88">
        <v>0.0</v>
      </c>
    </row>
    <row r="652">
      <c r="A652" s="401" t="s">
        <v>50</v>
      </c>
      <c r="B652" s="401"/>
      <c r="C652" s="402">
        <v>893.0</v>
      </c>
      <c r="D652" s="402" t="s">
        <v>1292</v>
      </c>
      <c r="E652" s="402" t="s">
        <v>26</v>
      </c>
      <c r="F652" s="403">
        <v>44803.0</v>
      </c>
      <c r="G652" s="403">
        <v>45720.0</v>
      </c>
      <c r="H652" s="403">
        <v>45720.0</v>
      </c>
      <c r="I652" s="403">
        <v>45720.0</v>
      </c>
      <c r="J652" s="404">
        <v>3.07</v>
      </c>
      <c r="K652" s="404">
        <v>0.0</v>
      </c>
      <c r="L652" s="88">
        <v>3.07</v>
      </c>
      <c r="M652" s="402">
        <v>1.0</v>
      </c>
      <c r="N652" s="88">
        <v>0.0</v>
      </c>
    </row>
    <row r="653">
      <c r="A653" s="401" t="s">
        <v>50</v>
      </c>
      <c r="B653" s="401"/>
      <c r="C653" s="402">
        <v>894.0</v>
      </c>
      <c r="D653" s="402" t="s">
        <v>1293</v>
      </c>
      <c r="E653" s="402" t="s">
        <v>26</v>
      </c>
      <c r="F653" s="403">
        <v>44803.0</v>
      </c>
      <c r="G653" s="403">
        <v>45720.0</v>
      </c>
      <c r="H653" s="403">
        <v>45720.0</v>
      </c>
      <c r="I653" s="403">
        <v>45720.0</v>
      </c>
      <c r="J653" s="404">
        <v>3.07</v>
      </c>
      <c r="K653" s="404">
        <v>0.0</v>
      </c>
      <c r="L653" s="88">
        <v>3.07</v>
      </c>
      <c r="M653" s="402">
        <v>1.0</v>
      </c>
      <c r="N653" s="88">
        <v>0.0</v>
      </c>
    </row>
    <row r="654">
      <c r="A654" s="401" t="s">
        <v>50</v>
      </c>
      <c r="B654" s="401"/>
      <c r="C654" s="402">
        <v>895.0</v>
      </c>
      <c r="D654" s="402" t="s">
        <v>1294</v>
      </c>
      <c r="E654" s="402" t="s">
        <v>26</v>
      </c>
      <c r="F654" s="403">
        <v>44803.0</v>
      </c>
      <c r="G654" s="403">
        <v>45720.0</v>
      </c>
      <c r="H654" s="403">
        <v>45720.0</v>
      </c>
      <c r="I654" s="403">
        <v>45720.0</v>
      </c>
      <c r="J654" s="404">
        <v>3.07</v>
      </c>
      <c r="K654" s="404">
        <v>0.0</v>
      </c>
      <c r="L654" s="88">
        <v>3.07</v>
      </c>
      <c r="M654" s="402">
        <v>1.0</v>
      </c>
      <c r="N654" s="88">
        <v>0.0</v>
      </c>
    </row>
    <row r="655">
      <c r="A655" s="401" t="s">
        <v>50</v>
      </c>
      <c r="B655" s="401"/>
      <c r="C655" s="402">
        <v>896.0</v>
      </c>
      <c r="D655" s="402" t="s">
        <v>1295</v>
      </c>
      <c r="E655" s="402" t="s">
        <v>26</v>
      </c>
      <c r="F655" s="403">
        <v>44803.0</v>
      </c>
      <c r="G655" s="403">
        <v>45720.0</v>
      </c>
      <c r="H655" s="403">
        <v>45720.0</v>
      </c>
      <c r="I655" s="403">
        <v>45720.0</v>
      </c>
      <c r="J655" s="404">
        <v>3.07</v>
      </c>
      <c r="K655" s="404">
        <v>0.0</v>
      </c>
      <c r="L655" s="88">
        <v>3.07</v>
      </c>
      <c r="M655" s="402">
        <v>1.0</v>
      </c>
      <c r="N655" s="88">
        <v>0.0</v>
      </c>
    </row>
    <row r="656">
      <c r="A656" s="96"/>
      <c r="B656" s="96"/>
      <c r="C656" s="90"/>
      <c r="D656" s="89"/>
      <c r="E656" s="89"/>
      <c r="F656" s="89"/>
      <c r="G656" s="89"/>
      <c r="H656" s="89"/>
      <c r="I656" s="89"/>
      <c r="J656" s="91">
        <f t="shared" ref="J656:M656" si="82">SUM(J627:J655)</f>
        <v>253.86</v>
      </c>
      <c r="K656" s="91">
        <f t="shared" si="82"/>
        <v>141.89</v>
      </c>
      <c r="L656" s="91">
        <f t="shared" si="82"/>
        <v>111.97</v>
      </c>
      <c r="M656" s="89">
        <f t="shared" si="82"/>
        <v>198</v>
      </c>
      <c r="N656" s="91">
        <f>K656/M656</f>
        <v>0.7166161616</v>
      </c>
    </row>
    <row r="657">
      <c r="A657" s="92" t="s">
        <v>50</v>
      </c>
      <c r="B657" s="86" t="s">
        <v>419</v>
      </c>
      <c r="C657" s="86">
        <v>84.0</v>
      </c>
      <c r="D657" s="86" t="s">
        <v>1152</v>
      </c>
      <c r="E657" s="86" t="s">
        <v>22</v>
      </c>
      <c r="F657" s="87">
        <v>37155.0</v>
      </c>
      <c r="G657" s="87">
        <v>42619.0</v>
      </c>
      <c r="H657" s="87">
        <v>42633.0</v>
      </c>
      <c r="I657" s="87">
        <v>45180.0</v>
      </c>
      <c r="J657" s="88">
        <v>14.99</v>
      </c>
      <c r="K657" s="88">
        <v>8.99</v>
      </c>
      <c r="L657" s="88">
        <v>6.0</v>
      </c>
      <c r="M657" s="86">
        <v>66.0</v>
      </c>
      <c r="N657" s="88">
        <v>0.14</v>
      </c>
    </row>
    <row r="658">
      <c r="A658" s="92" t="s">
        <v>50</v>
      </c>
      <c r="B658" s="86"/>
      <c r="C658" s="86">
        <v>85.0</v>
      </c>
      <c r="D658" s="86" t="s">
        <v>1162</v>
      </c>
      <c r="E658" s="86" t="s">
        <v>22</v>
      </c>
      <c r="F658" s="87">
        <v>37876.0</v>
      </c>
      <c r="G658" s="87">
        <v>42650.0</v>
      </c>
      <c r="H658" s="87">
        <v>45181.0</v>
      </c>
      <c r="I658" s="87">
        <v>45182.0</v>
      </c>
      <c r="J658" s="88">
        <v>14.99</v>
      </c>
      <c r="K658" s="88">
        <v>14.99</v>
      </c>
      <c r="L658" s="88">
        <v>0.0</v>
      </c>
      <c r="M658" s="86">
        <v>3.0</v>
      </c>
      <c r="N658" s="88">
        <v>5.0</v>
      </c>
    </row>
    <row r="659">
      <c r="A659" s="93" t="s">
        <v>50</v>
      </c>
      <c r="B659" s="86"/>
      <c r="C659" s="86">
        <v>315.0</v>
      </c>
      <c r="D659" s="86" t="s">
        <v>1210</v>
      </c>
      <c r="E659" s="86" t="s">
        <v>24</v>
      </c>
      <c r="F659" s="87">
        <v>41306.0</v>
      </c>
      <c r="G659" s="87">
        <v>45182.0</v>
      </c>
      <c r="H659" s="87">
        <v>45451.0</v>
      </c>
      <c r="I659" s="87">
        <v>45464.0</v>
      </c>
      <c r="J659" s="88">
        <v>49.99</v>
      </c>
      <c r="K659" s="88">
        <v>0.0</v>
      </c>
      <c r="L659" s="88">
        <v>49.99</v>
      </c>
      <c r="M659" s="86">
        <v>18.0</v>
      </c>
      <c r="N659" s="88">
        <v>0.0</v>
      </c>
    </row>
    <row r="660">
      <c r="A660" s="86" t="s">
        <v>50</v>
      </c>
      <c r="B660" s="86"/>
      <c r="C660" s="86">
        <v>768.0</v>
      </c>
      <c r="D660" s="86" t="s">
        <v>1251</v>
      </c>
      <c r="E660" s="86" t="s">
        <v>26</v>
      </c>
      <c r="F660" s="87">
        <v>43182.0</v>
      </c>
      <c r="G660" s="87">
        <v>45177.0</v>
      </c>
      <c r="H660" s="87">
        <v>45177.0</v>
      </c>
      <c r="I660" s="87">
        <v>45177.0</v>
      </c>
      <c r="J660" s="88">
        <v>69.99</v>
      </c>
      <c r="K660" s="88">
        <v>0.0</v>
      </c>
      <c r="L660" s="88">
        <v>69.99</v>
      </c>
      <c r="M660" s="86">
        <v>1.0</v>
      </c>
      <c r="N660" s="88">
        <v>0.0</v>
      </c>
    </row>
    <row r="661">
      <c r="A661" s="96"/>
      <c r="B661" s="96"/>
      <c r="C661" s="90"/>
      <c r="D661" s="89"/>
      <c r="E661" s="89"/>
      <c r="F661" s="89"/>
      <c r="G661" s="89"/>
      <c r="H661" s="89"/>
      <c r="I661" s="89"/>
      <c r="J661" s="91">
        <f t="shared" ref="J661:M661" si="83">SUM(J657:J660)</f>
        <v>149.96</v>
      </c>
      <c r="K661" s="91">
        <f t="shared" si="83"/>
        <v>23.98</v>
      </c>
      <c r="L661" s="91">
        <f t="shared" si="83"/>
        <v>125.98</v>
      </c>
      <c r="M661" s="89">
        <f t="shared" si="83"/>
        <v>88</v>
      </c>
      <c r="N661" s="91">
        <f t="shared" ref="N661:N662" si="84">K661/M661</f>
        <v>0.2725</v>
      </c>
    </row>
    <row r="662">
      <c r="A662" s="393" t="s">
        <v>50</v>
      </c>
      <c r="B662" s="393" t="s">
        <v>420</v>
      </c>
      <c r="C662" s="405">
        <v>1094.0</v>
      </c>
      <c r="D662" s="393" t="s">
        <v>1133</v>
      </c>
      <c r="E662" s="393" t="s">
        <v>21</v>
      </c>
      <c r="F662" s="406">
        <v>35719.0</v>
      </c>
      <c r="G662" s="406">
        <v>45949.0</v>
      </c>
      <c r="H662" s="406">
        <v>45949.0</v>
      </c>
      <c r="I662" s="406">
        <v>45949.0</v>
      </c>
      <c r="J662" s="395">
        <v>15.99</v>
      </c>
      <c r="K662" s="395">
        <v>7.99</v>
      </c>
      <c r="L662" s="395">
        <f>J662-K662</f>
        <v>8</v>
      </c>
      <c r="M662" s="393">
        <v>1.0</v>
      </c>
      <c r="N662" s="395">
        <f t="shared" si="84"/>
        <v>7.99</v>
      </c>
    </row>
    <row r="663">
      <c r="A663" s="92" t="s">
        <v>50</v>
      </c>
      <c r="B663" s="86" t="s">
        <v>421</v>
      </c>
      <c r="C663" s="86">
        <v>101.0</v>
      </c>
      <c r="D663" s="86" t="s">
        <v>1166</v>
      </c>
      <c r="E663" s="86" t="s">
        <v>22</v>
      </c>
      <c r="F663" s="87">
        <v>38672.0</v>
      </c>
      <c r="G663" s="87">
        <v>43275.0</v>
      </c>
      <c r="H663" s="87">
        <v>43407.0</v>
      </c>
      <c r="I663" s="87">
        <v>43407.0</v>
      </c>
      <c r="J663" s="88">
        <v>14.99</v>
      </c>
      <c r="K663" s="88">
        <v>4.99</v>
      </c>
      <c r="L663" s="88">
        <v>10.0</v>
      </c>
      <c r="M663" s="86">
        <v>2.0</v>
      </c>
      <c r="N663" s="88">
        <v>2.5</v>
      </c>
    </row>
    <row r="664">
      <c r="A664" s="86" t="s">
        <v>50</v>
      </c>
      <c r="B664" s="86" t="s">
        <v>422</v>
      </c>
      <c r="C664" s="86">
        <v>5.0</v>
      </c>
      <c r="D664" s="86" t="s">
        <v>1128</v>
      </c>
      <c r="E664" s="86" t="s">
        <v>21</v>
      </c>
      <c r="F664" s="87">
        <v>35062.0</v>
      </c>
      <c r="G664" s="87">
        <v>43373.0</v>
      </c>
      <c r="H664" s="87">
        <v>43373.0</v>
      </c>
      <c r="I664" s="87">
        <v>43373.0</v>
      </c>
      <c r="J664" s="88">
        <v>4.99</v>
      </c>
      <c r="K664" s="88">
        <v>4.99</v>
      </c>
      <c r="L664" s="88">
        <v>0.0</v>
      </c>
      <c r="M664" s="86">
        <v>1.0</v>
      </c>
      <c r="N664" s="88">
        <v>4.99</v>
      </c>
    </row>
    <row r="665">
      <c r="A665" s="86" t="s">
        <v>50</v>
      </c>
      <c r="B665" s="86" t="s">
        <v>423</v>
      </c>
      <c r="C665" s="86">
        <v>903.0</v>
      </c>
      <c r="D665" s="86" t="s">
        <v>1257</v>
      </c>
      <c r="E665" s="86" t="s">
        <v>26</v>
      </c>
      <c r="F665" s="87">
        <v>43413.0</v>
      </c>
      <c r="G665" s="87">
        <v>43475.0</v>
      </c>
      <c r="H665" s="87">
        <v>43476.0</v>
      </c>
      <c r="I665" s="87">
        <v>44528.0</v>
      </c>
      <c r="J665" s="88">
        <v>39.99</v>
      </c>
      <c r="K665" s="88">
        <v>39.99</v>
      </c>
      <c r="L665" s="88">
        <v>0.0</v>
      </c>
      <c r="M665" s="86">
        <v>14.0</v>
      </c>
      <c r="N665" s="88">
        <v>2.86</v>
      </c>
    </row>
    <row r="666">
      <c r="A666" s="86" t="s">
        <v>50</v>
      </c>
      <c r="B666" s="86" t="s">
        <v>424</v>
      </c>
      <c r="C666" s="86">
        <v>436.0</v>
      </c>
      <c r="D666" s="86" t="s">
        <v>1229</v>
      </c>
      <c r="E666" s="86" t="s">
        <v>25</v>
      </c>
      <c r="F666" s="87">
        <v>42514.0</v>
      </c>
      <c r="G666" s="87">
        <v>42766.0</v>
      </c>
      <c r="H666" s="87">
        <v>42767.0</v>
      </c>
      <c r="I666" s="87">
        <v>43099.0</v>
      </c>
      <c r="J666" s="88">
        <v>4.99</v>
      </c>
      <c r="K666" s="88">
        <v>1.99</v>
      </c>
      <c r="L666" s="88">
        <v>3.0</v>
      </c>
      <c r="M666" s="86">
        <v>7.0</v>
      </c>
      <c r="N666" s="88">
        <v>0.28</v>
      </c>
    </row>
    <row r="667">
      <c r="A667" s="86" t="s">
        <v>50</v>
      </c>
      <c r="B667" s="86" t="s">
        <v>425</v>
      </c>
      <c r="C667" s="86">
        <v>40.0</v>
      </c>
      <c r="D667" s="86" t="s">
        <v>1132</v>
      </c>
      <c r="E667" s="86" t="s">
        <v>21</v>
      </c>
      <c r="F667" s="87">
        <v>35699.0</v>
      </c>
      <c r="G667" s="87">
        <v>42927.0</v>
      </c>
      <c r="H667" s="87">
        <v>42927.0</v>
      </c>
      <c r="I667" s="87">
        <v>45163.0</v>
      </c>
      <c r="J667" s="88">
        <v>14.99</v>
      </c>
      <c r="K667" s="88">
        <v>14.99</v>
      </c>
      <c r="L667" s="88">
        <v>0.0</v>
      </c>
      <c r="M667" s="86">
        <v>4.0</v>
      </c>
      <c r="N667" s="88">
        <v>3.75</v>
      </c>
    </row>
    <row r="668">
      <c r="A668" s="92" t="s">
        <v>50</v>
      </c>
      <c r="B668" s="86"/>
      <c r="C668" s="86">
        <v>73.0</v>
      </c>
      <c r="D668" s="86" t="s">
        <v>1141</v>
      </c>
      <c r="E668" s="86" t="s">
        <v>21</v>
      </c>
      <c r="F668" s="87">
        <v>36413.0</v>
      </c>
      <c r="G668" s="87">
        <v>43014.0</v>
      </c>
      <c r="H668" s="87">
        <v>43014.0</v>
      </c>
      <c r="I668" s="87">
        <v>43014.0</v>
      </c>
      <c r="J668" s="88">
        <v>4.99</v>
      </c>
      <c r="K668" s="88">
        <v>4.99</v>
      </c>
      <c r="L668" s="88">
        <v>0.0</v>
      </c>
      <c r="M668" s="86">
        <v>1.0</v>
      </c>
      <c r="N668" s="88">
        <v>4.99</v>
      </c>
    </row>
    <row r="669">
      <c r="A669" s="92" t="s">
        <v>50</v>
      </c>
      <c r="B669" s="86"/>
      <c r="C669" s="86">
        <v>74.0</v>
      </c>
      <c r="D669" s="86" t="s">
        <v>1146</v>
      </c>
      <c r="E669" s="86" t="s">
        <v>21</v>
      </c>
      <c r="F669" s="87">
        <v>36768.0</v>
      </c>
      <c r="G669" s="87">
        <v>43014.0</v>
      </c>
      <c r="H669" s="87">
        <v>43014.0</v>
      </c>
      <c r="I669" s="87">
        <v>43014.0</v>
      </c>
      <c r="J669" s="88">
        <v>4.99</v>
      </c>
      <c r="K669" s="88">
        <v>1.99</v>
      </c>
      <c r="L669" s="88">
        <v>3.0</v>
      </c>
      <c r="M669" s="86">
        <v>1.0</v>
      </c>
      <c r="N669" s="88">
        <v>1.99</v>
      </c>
    </row>
    <row r="670">
      <c r="A670" s="92" t="s">
        <v>50</v>
      </c>
      <c r="B670" s="86"/>
      <c r="C670" s="86">
        <v>118.0</v>
      </c>
      <c r="D670" s="86" t="s">
        <v>1157</v>
      </c>
      <c r="E670" s="86" t="s">
        <v>22</v>
      </c>
      <c r="F670" s="87">
        <v>37351.0</v>
      </c>
      <c r="G670" s="87">
        <v>42619.0</v>
      </c>
      <c r="H670" s="87">
        <v>42632.0</v>
      </c>
      <c r="I670" s="87">
        <v>45163.0</v>
      </c>
      <c r="J670" s="88">
        <v>9.99</v>
      </c>
      <c r="K670" s="88">
        <v>5.99</v>
      </c>
      <c r="L670" s="88">
        <v>4.0</v>
      </c>
      <c r="M670" s="86">
        <v>8.0</v>
      </c>
      <c r="N670" s="88">
        <v>0.75</v>
      </c>
    </row>
    <row r="671">
      <c r="A671" s="96"/>
      <c r="B671" s="96"/>
      <c r="C671" s="90"/>
      <c r="D671" s="89"/>
      <c r="E671" s="89"/>
      <c r="F671" s="89"/>
      <c r="G671" s="89"/>
      <c r="H671" s="89"/>
      <c r="I671" s="89"/>
      <c r="J671" s="91">
        <f t="shared" ref="J671:M671" si="85">SUM(J667:J670)</f>
        <v>34.96</v>
      </c>
      <c r="K671" s="91">
        <f t="shared" si="85"/>
        <v>27.96</v>
      </c>
      <c r="L671" s="91">
        <f t="shared" si="85"/>
        <v>7</v>
      </c>
      <c r="M671" s="89">
        <f t="shared" si="85"/>
        <v>14</v>
      </c>
      <c r="N671" s="91">
        <f>K671/M671</f>
        <v>1.997142857</v>
      </c>
    </row>
    <row r="672">
      <c r="A672" s="86" t="s">
        <v>50</v>
      </c>
      <c r="B672" s="86" t="s">
        <v>426</v>
      </c>
      <c r="C672" s="86">
        <v>175.0</v>
      </c>
      <c r="D672" s="86" t="s">
        <v>1178</v>
      </c>
      <c r="E672" s="86" t="s">
        <v>23</v>
      </c>
      <c r="F672" s="87">
        <v>39990.0</v>
      </c>
      <c r="G672" s="87">
        <v>43373.0</v>
      </c>
      <c r="H672" s="87">
        <v>43373.0</v>
      </c>
      <c r="I672" s="87">
        <v>43373.0</v>
      </c>
      <c r="J672" s="88">
        <v>9.99</v>
      </c>
      <c r="K672" s="88">
        <v>9.99</v>
      </c>
      <c r="L672" s="88">
        <v>0.0</v>
      </c>
      <c r="M672" s="86">
        <v>1.0</v>
      </c>
      <c r="N672" s="88">
        <v>9.99</v>
      </c>
    </row>
    <row r="673">
      <c r="A673" s="93" t="s">
        <v>50</v>
      </c>
      <c r="B673" s="86"/>
      <c r="C673" s="86">
        <v>496.0</v>
      </c>
      <c r="D673" s="86" t="s">
        <v>1231</v>
      </c>
      <c r="E673" s="86" t="s">
        <v>25</v>
      </c>
      <c r="F673" s="87">
        <v>42671.0</v>
      </c>
      <c r="G673" s="87">
        <v>42840.0</v>
      </c>
      <c r="H673" s="87">
        <v>45064.0</v>
      </c>
      <c r="I673" s="87">
        <v>45070.0</v>
      </c>
      <c r="J673" s="88">
        <v>19.99</v>
      </c>
      <c r="K673" s="88">
        <v>9.99</v>
      </c>
      <c r="L673" s="88">
        <v>10.0</v>
      </c>
      <c r="M673" s="86">
        <v>10.0</v>
      </c>
      <c r="N673" s="88">
        <v>1.0</v>
      </c>
    </row>
    <row r="674">
      <c r="A674" s="93" t="s">
        <v>50</v>
      </c>
      <c r="B674" s="86"/>
      <c r="C674" s="86">
        <v>497.0</v>
      </c>
      <c r="D674" s="86" t="s">
        <v>1233</v>
      </c>
      <c r="E674" s="86" t="s">
        <v>25</v>
      </c>
      <c r="F674" s="87">
        <v>43035.0</v>
      </c>
      <c r="G674" s="87">
        <v>43992.0</v>
      </c>
      <c r="H674" s="87">
        <v>44001.0</v>
      </c>
      <c r="I674" s="87">
        <v>44001.0</v>
      </c>
      <c r="J674" s="88">
        <v>29.99</v>
      </c>
      <c r="K674" s="88">
        <v>14.99</v>
      </c>
      <c r="L674" s="88">
        <v>15.0</v>
      </c>
      <c r="M674" s="86">
        <v>2.0</v>
      </c>
      <c r="N674" s="88">
        <v>7.5</v>
      </c>
    </row>
    <row r="675">
      <c r="A675" s="96"/>
      <c r="B675" s="96"/>
      <c r="C675" s="90"/>
      <c r="D675" s="89"/>
      <c r="E675" s="89"/>
      <c r="F675" s="89"/>
      <c r="G675" s="89"/>
      <c r="H675" s="89"/>
      <c r="I675" s="89"/>
      <c r="J675" s="91">
        <f t="shared" ref="J675:M675" si="86">SUM(J672:J674)</f>
        <v>59.97</v>
      </c>
      <c r="K675" s="91">
        <f t="shared" si="86"/>
        <v>34.97</v>
      </c>
      <c r="L675" s="91">
        <f t="shared" si="86"/>
        <v>25</v>
      </c>
      <c r="M675" s="89">
        <f t="shared" si="86"/>
        <v>13</v>
      </c>
      <c r="N675" s="91">
        <f>K675/M675</f>
        <v>2.69</v>
      </c>
    </row>
    <row r="676">
      <c r="A676" s="93" t="s">
        <v>50</v>
      </c>
      <c r="B676" s="93" t="s">
        <v>427</v>
      </c>
      <c r="C676" s="86">
        <v>788.0</v>
      </c>
      <c r="D676" s="86" t="s">
        <v>1282</v>
      </c>
      <c r="E676" s="86" t="s">
        <v>26</v>
      </c>
      <c r="F676" s="87">
        <v>44798.0</v>
      </c>
      <c r="G676" s="87">
        <v>45692.0</v>
      </c>
      <c r="H676" s="87">
        <v>45692.0</v>
      </c>
      <c r="I676" s="87">
        <v>45692.0</v>
      </c>
      <c r="J676" s="94">
        <v>39.99</v>
      </c>
      <c r="K676" s="94">
        <v>0.0</v>
      </c>
      <c r="L676" s="94">
        <v>39.99</v>
      </c>
      <c r="M676" s="86">
        <v>1.0</v>
      </c>
      <c r="N676" s="94">
        <v>0.0</v>
      </c>
    </row>
    <row r="677">
      <c r="A677" s="86" t="s">
        <v>50</v>
      </c>
      <c r="B677" s="86" t="s">
        <v>428</v>
      </c>
      <c r="C677" s="86">
        <v>791.0</v>
      </c>
      <c r="D677" s="86" t="s">
        <v>1273</v>
      </c>
      <c r="E677" s="86" t="s">
        <v>26</v>
      </c>
      <c r="F677" s="87">
        <v>44250.0</v>
      </c>
      <c r="G677" s="87">
        <v>44565.0</v>
      </c>
      <c r="H677" s="87">
        <v>44565.0</v>
      </c>
      <c r="I677" s="87">
        <v>44565.0</v>
      </c>
      <c r="J677" s="88">
        <v>59.99</v>
      </c>
      <c r="K677" s="88">
        <v>0.0</v>
      </c>
      <c r="L677" s="94">
        <v>59.99</v>
      </c>
      <c r="M677" s="86">
        <v>1.0</v>
      </c>
      <c r="N677" s="88">
        <v>0.0</v>
      </c>
    </row>
    <row r="678">
      <c r="A678" s="86" t="s">
        <v>50</v>
      </c>
      <c r="B678" s="86" t="s">
        <v>429</v>
      </c>
      <c r="C678" s="86">
        <v>692.0</v>
      </c>
      <c r="D678" s="86" t="s">
        <v>1234</v>
      </c>
      <c r="E678" s="86" t="s">
        <v>26</v>
      </c>
      <c r="F678" s="87">
        <v>39955.0</v>
      </c>
      <c r="G678" s="87">
        <v>44883.0</v>
      </c>
      <c r="H678" s="87">
        <v>44906.0</v>
      </c>
      <c r="I678" s="87">
        <v>44907.0</v>
      </c>
      <c r="J678" s="88">
        <v>25.0</v>
      </c>
      <c r="K678" s="88">
        <v>15.0</v>
      </c>
      <c r="L678" s="94">
        <v>10.0</v>
      </c>
      <c r="M678" s="86">
        <v>6.0</v>
      </c>
      <c r="N678" s="88">
        <v>2.5</v>
      </c>
    </row>
    <row r="679">
      <c r="A679" s="93" t="s">
        <v>50</v>
      </c>
      <c r="B679" s="86" t="s">
        <v>430</v>
      </c>
      <c r="C679" s="86">
        <v>193.0</v>
      </c>
      <c r="D679" s="86" t="s">
        <v>1190</v>
      </c>
      <c r="E679" s="86" t="s">
        <v>24</v>
      </c>
      <c r="F679" s="87">
        <v>40186.0</v>
      </c>
      <c r="G679" s="87">
        <v>44091.0</v>
      </c>
      <c r="H679" s="87">
        <v>45111.0</v>
      </c>
      <c r="I679" s="87">
        <v>45121.0</v>
      </c>
      <c r="J679" s="88">
        <v>14.99</v>
      </c>
      <c r="K679" s="88">
        <v>4.0</v>
      </c>
      <c r="L679" s="94">
        <v>10.99</v>
      </c>
      <c r="M679" s="86">
        <v>5.0</v>
      </c>
      <c r="N679" s="88">
        <v>0.8</v>
      </c>
    </row>
    <row r="680">
      <c r="A680" s="93" t="s">
        <v>50</v>
      </c>
      <c r="B680" s="93" t="s">
        <v>431</v>
      </c>
      <c r="C680" s="86">
        <v>1070.0</v>
      </c>
      <c r="D680" s="86" t="s">
        <v>1309</v>
      </c>
      <c r="E680" s="86" t="s">
        <v>28</v>
      </c>
      <c r="F680" s="87">
        <v>45560.0</v>
      </c>
      <c r="G680" s="87">
        <v>45586.0</v>
      </c>
      <c r="H680" s="87">
        <v>45586.0</v>
      </c>
      <c r="I680" s="87">
        <v>45820.0</v>
      </c>
      <c r="J680" s="94">
        <v>28.99</v>
      </c>
      <c r="K680" s="94">
        <v>28.99</v>
      </c>
      <c r="L680" s="88">
        <v>0.0</v>
      </c>
      <c r="M680" s="86">
        <v>22.0</v>
      </c>
      <c r="N680" s="88">
        <v>1.32</v>
      </c>
    </row>
    <row r="681">
      <c r="A681" s="86" t="s">
        <v>50</v>
      </c>
      <c r="B681" s="86" t="s">
        <v>432</v>
      </c>
      <c r="C681" s="86">
        <v>37.0</v>
      </c>
      <c r="D681" s="86" t="s">
        <v>1130</v>
      </c>
      <c r="E681" s="86" t="s">
        <v>21</v>
      </c>
      <c r="F681" s="87">
        <v>35370.0</v>
      </c>
      <c r="G681" s="87">
        <v>43014.0</v>
      </c>
      <c r="H681" s="87">
        <v>43014.0</v>
      </c>
      <c r="I681" s="87">
        <v>43014.0</v>
      </c>
      <c r="J681" s="88">
        <v>4.99</v>
      </c>
      <c r="K681" s="88">
        <v>2.49</v>
      </c>
      <c r="L681" s="94">
        <v>2.5</v>
      </c>
      <c r="M681" s="86">
        <v>3.0</v>
      </c>
      <c r="N681" s="88">
        <v>0.83</v>
      </c>
    </row>
    <row r="682">
      <c r="A682" s="93" t="s">
        <v>50</v>
      </c>
      <c r="B682" s="86"/>
      <c r="C682" s="86">
        <v>255.0</v>
      </c>
      <c r="D682" s="86" t="s">
        <v>1193</v>
      </c>
      <c r="E682" s="86" t="s">
        <v>24</v>
      </c>
      <c r="F682" s="87">
        <v>40506.0</v>
      </c>
      <c r="G682" s="87">
        <v>40537.0</v>
      </c>
      <c r="H682" s="87">
        <v>40537.0</v>
      </c>
      <c r="I682" s="87">
        <v>44325.0</v>
      </c>
      <c r="J682" s="88">
        <v>29.99</v>
      </c>
      <c r="K682" s="88">
        <v>5.0</v>
      </c>
      <c r="L682" s="94">
        <v>24.99</v>
      </c>
      <c r="M682" s="86">
        <v>80.0</v>
      </c>
      <c r="N682" s="88">
        <v>0.06</v>
      </c>
    </row>
    <row r="683">
      <c r="A683" s="96"/>
      <c r="B683" s="96"/>
      <c r="C683" s="90"/>
      <c r="D683" s="89"/>
      <c r="E683" s="89"/>
      <c r="F683" s="89"/>
      <c r="G683" s="89"/>
      <c r="H683" s="89"/>
      <c r="I683" s="89"/>
      <c r="J683" s="91">
        <f t="shared" ref="J683:M683" si="87">SUM(J681:J682)</f>
        <v>34.98</v>
      </c>
      <c r="K683" s="91">
        <f t="shared" si="87"/>
        <v>7.49</v>
      </c>
      <c r="L683" s="91">
        <f t="shared" si="87"/>
        <v>27.49</v>
      </c>
      <c r="M683" s="89">
        <f t="shared" si="87"/>
        <v>83</v>
      </c>
      <c r="N683" s="91">
        <f>K683/M683</f>
        <v>0.09024096386</v>
      </c>
    </row>
    <row r="684">
      <c r="A684" s="93" t="s">
        <v>50</v>
      </c>
      <c r="B684" s="86" t="s">
        <v>433</v>
      </c>
      <c r="C684" s="86">
        <v>322.0</v>
      </c>
      <c r="D684" s="86" t="s">
        <v>1189</v>
      </c>
      <c r="E684" s="86" t="s">
        <v>24</v>
      </c>
      <c r="F684" s="87">
        <v>40157.0</v>
      </c>
      <c r="G684" s="87">
        <v>42811.0</v>
      </c>
      <c r="H684" s="87">
        <v>42811.0</v>
      </c>
      <c r="I684" s="87">
        <v>42811.0</v>
      </c>
      <c r="J684" s="88">
        <v>11.99</v>
      </c>
      <c r="K684" s="88">
        <v>2.99</v>
      </c>
      <c r="L684" s="88">
        <v>9.0</v>
      </c>
      <c r="M684" s="86">
        <v>1.0</v>
      </c>
      <c r="N684" s="88">
        <v>2.99</v>
      </c>
    </row>
    <row r="685">
      <c r="A685" s="93" t="s">
        <v>50</v>
      </c>
      <c r="B685" s="93" t="s">
        <v>434</v>
      </c>
      <c r="C685" s="93">
        <v>285.0</v>
      </c>
      <c r="D685" s="93" t="s">
        <v>1219</v>
      </c>
      <c r="E685" s="93" t="s">
        <v>24</v>
      </c>
      <c r="F685" s="87">
        <v>42346.0</v>
      </c>
      <c r="G685" s="87">
        <v>44482.0</v>
      </c>
      <c r="H685" s="87">
        <v>44622.0</v>
      </c>
      <c r="I685" s="87">
        <v>45907.0</v>
      </c>
      <c r="J685" s="97">
        <v>13.33</v>
      </c>
      <c r="K685" s="97">
        <v>7.99</v>
      </c>
      <c r="L685" s="97">
        <f>J685-K685</f>
        <v>5.34</v>
      </c>
      <c r="M685" s="93">
        <v>274.0</v>
      </c>
      <c r="N685" s="97">
        <f>K685/M685</f>
        <v>0.02916058394</v>
      </c>
    </row>
    <row r="686">
      <c r="A686" s="86" t="s">
        <v>50</v>
      </c>
      <c r="B686" s="86"/>
      <c r="C686" s="86">
        <v>704.0</v>
      </c>
      <c r="D686" s="86" t="s">
        <v>1246</v>
      </c>
      <c r="E686" s="86" t="s">
        <v>26</v>
      </c>
      <c r="F686" s="87">
        <v>42759.0</v>
      </c>
      <c r="G686" s="87">
        <v>44474.0</v>
      </c>
      <c r="H686" s="87">
        <v>44501.0</v>
      </c>
      <c r="I686" s="87">
        <v>45582.0</v>
      </c>
      <c r="J686" s="88">
        <v>19.99</v>
      </c>
      <c r="K686" s="88">
        <v>8.99</v>
      </c>
      <c r="L686" s="88">
        <v>11.0</v>
      </c>
      <c r="M686" s="86">
        <v>198.0</v>
      </c>
      <c r="N686" s="88">
        <v>0.05</v>
      </c>
    </row>
    <row r="687">
      <c r="A687" s="93" t="s">
        <v>50</v>
      </c>
      <c r="B687" s="86"/>
      <c r="C687" s="86">
        <v>705.0</v>
      </c>
      <c r="D687" s="86" t="s">
        <v>1248</v>
      </c>
      <c r="E687" s="86" t="s">
        <v>26</v>
      </c>
      <c r="F687" s="87">
        <v>42976.0</v>
      </c>
      <c r="G687" s="87">
        <v>44474.0</v>
      </c>
      <c r="H687" s="87">
        <v>44571.0</v>
      </c>
      <c r="I687" s="87">
        <v>45601.0</v>
      </c>
      <c r="J687" s="88">
        <v>19.99</v>
      </c>
      <c r="K687" s="88">
        <v>7.99</v>
      </c>
      <c r="L687" s="88">
        <v>12.0</v>
      </c>
      <c r="M687" s="86">
        <v>119.0</v>
      </c>
      <c r="N687" s="88">
        <v>0.07</v>
      </c>
    </row>
    <row r="688">
      <c r="A688" s="93" t="s">
        <v>50</v>
      </c>
      <c r="B688" s="86"/>
      <c r="C688" s="86">
        <v>707.0</v>
      </c>
      <c r="D688" s="86" t="s">
        <v>1252</v>
      </c>
      <c r="E688" s="86" t="s">
        <v>26</v>
      </c>
      <c r="F688" s="87">
        <v>43207.0</v>
      </c>
      <c r="G688" s="87">
        <v>44474.0</v>
      </c>
      <c r="H688" s="87">
        <v>44656.0</v>
      </c>
      <c r="I688" s="87">
        <v>44662.0</v>
      </c>
      <c r="J688" s="88">
        <v>19.99</v>
      </c>
      <c r="K688" s="88">
        <v>8.99</v>
      </c>
      <c r="L688" s="88">
        <v>11.0</v>
      </c>
      <c r="M688" s="86">
        <v>42.0</v>
      </c>
      <c r="N688" s="88">
        <v>0.21</v>
      </c>
    </row>
    <row r="689">
      <c r="A689" s="93" t="s">
        <v>50</v>
      </c>
      <c r="B689" s="86"/>
      <c r="C689" s="86">
        <v>706.0</v>
      </c>
      <c r="D689" s="86" t="s">
        <v>1255</v>
      </c>
      <c r="E689" s="86" t="s">
        <v>26</v>
      </c>
      <c r="F689" s="87">
        <v>43340.0</v>
      </c>
      <c r="G689" s="87">
        <v>44474.0</v>
      </c>
      <c r="H689" s="87">
        <v>44576.0</v>
      </c>
      <c r="I689" s="87">
        <v>45616.0</v>
      </c>
      <c r="J689" s="88">
        <v>19.99</v>
      </c>
      <c r="K689" s="88">
        <v>6.99</v>
      </c>
      <c r="L689" s="88">
        <v>13.0</v>
      </c>
      <c r="M689" s="86">
        <v>174.0</v>
      </c>
      <c r="N689" s="88">
        <v>0.04</v>
      </c>
    </row>
    <row r="690">
      <c r="A690" s="93" t="s">
        <v>50</v>
      </c>
      <c r="B690" s="93"/>
      <c r="C690" s="86">
        <v>680.0</v>
      </c>
      <c r="D690" s="86" t="s">
        <v>1260</v>
      </c>
      <c r="E690" s="86" t="s">
        <v>26</v>
      </c>
      <c r="F690" s="87">
        <v>43641.0</v>
      </c>
      <c r="G690" s="87">
        <v>44983.0</v>
      </c>
      <c r="H690" s="87">
        <v>45371.0</v>
      </c>
      <c r="I690" s="87">
        <v>45768.0</v>
      </c>
      <c r="J690" s="88">
        <v>39.99</v>
      </c>
      <c r="K690" s="88">
        <v>15.97</v>
      </c>
      <c r="L690" s="88">
        <v>24.02</v>
      </c>
      <c r="M690" s="86">
        <v>150.0</v>
      </c>
      <c r="N690" s="88">
        <v>0.11</v>
      </c>
    </row>
    <row r="691">
      <c r="A691" s="93" t="s">
        <v>50</v>
      </c>
      <c r="B691" s="86"/>
      <c r="C691" s="86">
        <v>708.0</v>
      </c>
      <c r="D691" s="86" t="s">
        <v>1271</v>
      </c>
      <c r="E691" s="86" t="s">
        <v>26</v>
      </c>
      <c r="F691" s="87">
        <v>44145.0</v>
      </c>
      <c r="G691" s="87">
        <v>44356.0</v>
      </c>
      <c r="H691" s="87">
        <v>44359.0</v>
      </c>
      <c r="I691" s="87">
        <v>44370.0</v>
      </c>
      <c r="J691" s="88">
        <v>99.98</v>
      </c>
      <c r="K691" s="88">
        <v>56.98</v>
      </c>
      <c r="L691" s="88">
        <v>43.0</v>
      </c>
      <c r="M691" s="86">
        <v>130.0</v>
      </c>
      <c r="N691" s="88">
        <v>0.44</v>
      </c>
    </row>
    <row r="692">
      <c r="A692" s="93" t="s">
        <v>50</v>
      </c>
      <c r="B692" s="93"/>
      <c r="C692" s="86">
        <v>717.0</v>
      </c>
      <c r="D692" s="86" t="s">
        <v>1276</v>
      </c>
      <c r="E692" s="86" t="s">
        <v>26</v>
      </c>
      <c r="F692" s="87">
        <v>44463.0</v>
      </c>
      <c r="G692" s="87">
        <v>45262.0</v>
      </c>
      <c r="H692" s="87">
        <v>45413.0</v>
      </c>
      <c r="I692" s="87">
        <v>45771.0</v>
      </c>
      <c r="J692" s="88">
        <v>89.99</v>
      </c>
      <c r="K692" s="88">
        <v>22.49</v>
      </c>
      <c r="L692" s="88">
        <v>67.5</v>
      </c>
      <c r="M692" s="86">
        <v>57.0</v>
      </c>
      <c r="N692" s="88">
        <v>0.39</v>
      </c>
    </row>
    <row r="693">
      <c r="A693" s="93" t="s">
        <v>50</v>
      </c>
      <c r="B693" s="93"/>
      <c r="C693" s="93">
        <v>709.0</v>
      </c>
      <c r="D693" s="93" t="s">
        <v>1296</v>
      </c>
      <c r="E693" s="93" t="s">
        <v>26</v>
      </c>
      <c r="F693" s="98">
        <v>44978.0</v>
      </c>
      <c r="G693" s="98">
        <v>45176.0</v>
      </c>
      <c r="H693" s="98">
        <v>45242.0</v>
      </c>
      <c r="I693" s="98">
        <v>45982.0</v>
      </c>
      <c r="J693" s="97">
        <v>59.99</v>
      </c>
      <c r="K693" s="97">
        <v>0.0</v>
      </c>
      <c r="L693" s="97">
        <v>59.99</v>
      </c>
      <c r="M693" s="93">
        <v>99.0</v>
      </c>
      <c r="N693" s="97">
        <v>0.0</v>
      </c>
    </row>
    <row r="694">
      <c r="A694" s="93" t="s">
        <v>50</v>
      </c>
      <c r="B694" s="86"/>
      <c r="C694" s="86">
        <v>710.0</v>
      </c>
      <c r="D694" s="94" t="s">
        <v>1297</v>
      </c>
      <c r="E694" s="94" t="s">
        <v>26</v>
      </c>
      <c r="F694" s="87">
        <v>45239.0</v>
      </c>
      <c r="G694" s="87">
        <v>45285.0</v>
      </c>
      <c r="H694" s="87">
        <v>45289.0</v>
      </c>
      <c r="I694" s="87">
        <v>45296.0</v>
      </c>
      <c r="J694" s="88">
        <v>54.99</v>
      </c>
      <c r="K694" s="88">
        <v>0.0</v>
      </c>
      <c r="L694" s="88">
        <v>54.99</v>
      </c>
      <c r="M694" s="86">
        <v>47.0</v>
      </c>
      <c r="N694" s="88">
        <v>0.0</v>
      </c>
    </row>
    <row r="695">
      <c r="A695" s="93" t="s">
        <v>50</v>
      </c>
      <c r="B695" s="86"/>
      <c r="C695" s="86">
        <v>711.0</v>
      </c>
      <c r="D695" s="86" t="s">
        <v>1298</v>
      </c>
      <c r="E695" s="86" t="s">
        <v>26</v>
      </c>
      <c r="F695" s="87">
        <v>45317.0</v>
      </c>
      <c r="G695" s="87">
        <v>45285.0</v>
      </c>
      <c r="H695" s="87">
        <v>45317.0</v>
      </c>
      <c r="I695" s="87">
        <v>45338.0</v>
      </c>
      <c r="J695" s="88">
        <v>69.99</v>
      </c>
      <c r="K695" s="88">
        <v>46.23</v>
      </c>
      <c r="L695" s="88">
        <v>23.76</v>
      </c>
      <c r="M695" s="86">
        <v>154.0</v>
      </c>
      <c r="N695" s="88">
        <v>0.3</v>
      </c>
    </row>
    <row r="696">
      <c r="A696" s="93" t="s">
        <v>50</v>
      </c>
      <c r="B696" s="93"/>
      <c r="C696" s="86">
        <v>1066.0</v>
      </c>
      <c r="D696" s="94" t="s">
        <v>1310</v>
      </c>
      <c r="E696" s="94" t="s">
        <v>28</v>
      </c>
      <c r="F696" s="87">
        <v>45709.0</v>
      </c>
      <c r="G696" s="87">
        <v>45651.0</v>
      </c>
      <c r="H696" s="87">
        <v>45709.0</v>
      </c>
      <c r="I696" s="87">
        <v>45718.0</v>
      </c>
      <c r="J696" s="94">
        <v>59.99</v>
      </c>
      <c r="K696" s="94">
        <v>0.0</v>
      </c>
      <c r="L696" s="88">
        <v>59.99</v>
      </c>
      <c r="M696" s="86">
        <v>56.0</v>
      </c>
      <c r="N696" s="88">
        <v>0.0</v>
      </c>
    </row>
    <row r="697">
      <c r="A697" s="96"/>
      <c r="B697" s="96"/>
      <c r="C697" s="90"/>
      <c r="D697" s="89"/>
      <c r="E697" s="95">
        <v>568.21</v>
      </c>
      <c r="F697" s="95">
        <v>182.62</v>
      </c>
      <c r="G697" s="95">
        <v>385.59</v>
      </c>
      <c r="H697" s="96">
        <v>1500.0</v>
      </c>
      <c r="I697" s="95">
        <v>0.12</v>
      </c>
      <c r="J697" s="173">
        <f t="shared" ref="J697:M697" si="88">SUM(J685:J696)</f>
        <v>568.21</v>
      </c>
      <c r="K697" s="173">
        <f t="shared" si="88"/>
        <v>182.62</v>
      </c>
      <c r="L697" s="173">
        <f t="shared" si="88"/>
        <v>385.59</v>
      </c>
      <c r="M697" s="58">
        <f t="shared" si="88"/>
        <v>1500</v>
      </c>
      <c r="N697" s="91">
        <f>K697/M697</f>
        <v>0.1217466667</v>
      </c>
    </row>
    <row r="698">
      <c r="A698" s="40" t="s">
        <v>50</v>
      </c>
      <c r="B698" s="40" t="s">
        <v>435</v>
      </c>
      <c r="C698" s="40">
        <v>83.0</v>
      </c>
      <c r="D698" s="40" t="s">
        <v>1151</v>
      </c>
      <c r="E698" s="40" t="s">
        <v>22</v>
      </c>
      <c r="F698" s="197">
        <v>37043.0</v>
      </c>
      <c r="G698" s="197">
        <v>43373.0</v>
      </c>
      <c r="H698" s="197">
        <v>43373.0</v>
      </c>
      <c r="I698" s="197">
        <v>43373.0</v>
      </c>
      <c r="J698" s="196">
        <v>2.25</v>
      </c>
      <c r="K698" s="196">
        <v>2.25</v>
      </c>
      <c r="L698" s="196">
        <v>0.0</v>
      </c>
      <c r="M698" s="40">
        <v>1.0</v>
      </c>
      <c r="N698" s="196">
        <v>2.25</v>
      </c>
    </row>
    <row r="699">
      <c r="A699" s="45" t="s">
        <v>50</v>
      </c>
      <c r="B699" s="40"/>
      <c r="C699" s="40">
        <v>138.0</v>
      </c>
      <c r="D699" s="40" t="s">
        <v>1163</v>
      </c>
      <c r="E699" s="40" t="s">
        <v>22</v>
      </c>
      <c r="F699" s="197">
        <v>38019.0</v>
      </c>
      <c r="G699" s="197">
        <v>41578.0</v>
      </c>
      <c r="H699" s="197">
        <v>41578.0</v>
      </c>
      <c r="I699" s="197">
        <v>41578.0</v>
      </c>
      <c r="J699" s="196">
        <v>9.99</v>
      </c>
      <c r="K699" s="196">
        <v>9.99</v>
      </c>
      <c r="L699" s="196">
        <v>0.0</v>
      </c>
      <c r="M699" s="40">
        <v>30.0</v>
      </c>
      <c r="N699" s="196">
        <v>0.33</v>
      </c>
    </row>
    <row r="700">
      <c r="A700" s="40" t="s">
        <v>50</v>
      </c>
      <c r="B700" s="40"/>
      <c r="C700" s="40">
        <v>156.0</v>
      </c>
      <c r="D700" s="40" t="s">
        <v>1173</v>
      </c>
      <c r="E700" s="40" t="s">
        <v>23</v>
      </c>
      <c r="F700" s="197">
        <v>39353.0</v>
      </c>
      <c r="G700" s="197">
        <v>43373.0</v>
      </c>
      <c r="H700" s="197">
        <v>43373.0</v>
      </c>
      <c r="I700" s="197">
        <v>43373.0</v>
      </c>
      <c r="J700" s="196">
        <v>2.24</v>
      </c>
      <c r="K700" s="196">
        <v>2.24</v>
      </c>
      <c r="L700" s="196">
        <v>0.0</v>
      </c>
      <c r="M700" s="40">
        <v>1.0</v>
      </c>
      <c r="N700" s="196">
        <v>2.24</v>
      </c>
    </row>
    <row r="701">
      <c r="A701" s="41" t="s">
        <v>50</v>
      </c>
      <c r="B701" s="40"/>
      <c r="C701" s="40">
        <v>418.0</v>
      </c>
      <c r="D701" s="40" t="s">
        <v>1184</v>
      </c>
      <c r="E701" s="40" t="s">
        <v>24</v>
      </c>
      <c r="F701" s="197">
        <v>39164.0</v>
      </c>
      <c r="G701" s="197">
        <v>44378.0</v>
      </c>
      <c r="H701" s="197">
        <v>44378.0</v>
      </c>
      <c r="I701" s="197">
        <v>44378.0</v>
      </c>
      <c r="J701" s="196">
        <v>29.99</v>
      </c>
      <c r="K701" s="196">
        <v>0.0</v>
      </c>
      <c r="L701" s="196">
        <v>29.99</v>
      </c>
      <c r="M701" s="40">
        <v>1.0</v>
      </c>
      <c r="N701" s="196">
        <v>0.0</v>
      </c>
    </row>
    <row r="702">
      <c r="A702" s="40" t="s">
        <v>50</v>
      </c>
      <c r="B702" s="40"/>
      <c r="C702" s="40">
        <v>283.0</v>
      </c>
      <c r="D702" s="40" t="s">
        <v>1192</v>
      </c>
      <c r="E702" s="40" t="s">
        <v>24</v>
      </c>
      <c r="F702" s="197">
        <v>40249.0</v>
      </c>
      <c r="G702" s="197">
        <v>44482.0</v>
      </c>
      <c r="H702" s="197">
        <v>44583.0</v>
      </c>
      <c r="I702" s="197">
        <v>45846.0</v>
      </c>
      <c r="J702" s="196">
        <v>13.33</v>
      </c>
      <c r="K702" s="196">
        <v>8.0</v>
      </c>
      <c r="L702" s="196">
        <v>5.33</v>
      </c>
      <c r="M702" s="40">
        <v>147.0</v>
      </c>
      <c r="N702" s="196">
        <v>0.05</v>
      </c>
    </row>
    <row r="703">
      <c r="A703" s="44" t="s">
        <v>50</v>
      </c>
      <c r="B703" s="45"/>
      <c r="C703" s="40">
        <v>284.0</v>
      </c>
      <c r="D703" s="196" t="s">
        <v>1194</v>
      </c>
      <c r="E703" s="40" t="s">
        <v>24</v>
      </c>
      <c r="F703" s="197">
        <v>40620.0</v>
      </c>
      <c r="G703" s="197">
        <v>44482.0</v>
      </c>
      <c r="H703" s="197">
        <v>44617.0</v>
      </c>
      <c r="I703" s="197">
        <v>45859.0</v>
      </c>
      <c r="J703" s="196">
        <v>13.33</v>
      </c>
      <c r="K703" s="196">
        <v>8.0</v>
      </c>
      <c r="L703" s="196">
        <v>5.33</v>
      </c>
      <c r="M703" s="40">
        <v>126.0</v>
      </c>
      <c r="N703" s="196">
        <v>0.06</v>
      </c>
    </row>
    <row r="704">
      <c r="A704" s="41" t="s">
        <v>50</v>
      </c>
      <c r="B704" s="40"/>
      <c r="C704" s="40">
        <v>373.0</v>
      </c>
      <c r="D704" s="40" t="s">
        <v>1195</v>
      </c>
      <c r="E704" s="40" t="s">
        <v>24</v>
      </c>
      <c r="F704" s="197">
        <v>40696.0</v>
      </c>
      <c r="G704" s="197">
        <v>40719.0</v>
      </c>
      <c r="H704" s="197">
        <v>40720.0</v>
      </c>
      <c r="I704" s="197">
        <v>44742.0</v>
      </c>
      <c r="J704" s="196">
        <v>4.49</v>
      </c>
      <c r="K704" s="196">
        <v>4.49</v>
      </c>
      <c r="L704" s="196">
        <v>0.0</v>
      </c>
      <c r="M704" s="40">
        <v>5.0</v>
      </c>
      <c r="N704" s="196">
        <v>0.9</v>
      </c>
    </row>
    <row r="705">
      <c r="A705" s="41" t="s">
        <v>50</v>
      </c>
      <c r="B705" s="40"/>
      <c r="C705" s="40">
        <v>390.0</v>
      </c>
      <c r="D705" s="40" t="s">
        <v>1197</v>
      </c>
      <c r="E705" s="40" t="s">
        <v>24</v>
      </c>
      <c r="F705" s="197">
        <v>40844.0</v>
      </c>
      <c r="G705" s="197">
        <v>44115.0</v>
      </c>
      <c r="H705" s="197">
        <v>44424.0</v>
      </c>
      <c r="I705" s="197">
        <v>44425.0</v>
      </c>
      <c r="J705" s="196">
        <v>19.99</v>
      </c>
      <c r="K705" s="196">
        <v>5.0</v>
      </c>
      <c r="L705" s="196">
        <v>14.99</v>
      </c>
      <c r="M705" s="40">
        <v>25.0</v>
      </c>
      <c r="N705" s="196">
        <v>0.2</v>
      </c>
    </row>
    <row r="706">
      <c r="A706" s="41" t="s">
        <v>50</v>
      </c>
      <c r="B706" s="40"/>
      <c r="C706" s="40">
        <v>365.0</v>
      </c>
      <c r="D706" s="40" t="s">
        <v>1198</v>
      </c>
      <c r="E706" s="40" t="s">
        <v>24</v>
      </c>
      <c r="F706" s="197">
        <v>40851.0</v>
      </c>
      <c r="G706" s="197">
        <v>44285.0</v>
      </c>
      <c r="H706" s="197">
        <v>45106.0</v>
      </c>
      <c r="I706" s="197">
        <v>45114.0</v>
      </c>
      <c r="J706" s="196">
        <v>14.99</v>
      </c>
      <c r="K706" s="196">
        <v>14.99</v>
      </c>
      <c r="L706" s="196">
        <v>0.0</v>
      </c>
      <c r="M706" s="40">
        <v>25.0</v>
      </c>
      <c r="N706" s="196">
        <v>0.6</v>
      </c>
    </row>
    <row r="707">
      <c r="A707" s="41" t="s">
        <v>50</v>
      </c>
      <c r="B707" s="40"/>
      <c r="C707" s="40">
        <v>217.0</v>
      </c>
      <c r="D707" s="40" t="s">
        <v>1199</v>
      </c>
      <c r="E707" s="40" t="s">
        <v>24</v>
      </c>
      <c r="F707" s="197">
        <v>40870.0</v>
      </c>
      <c r="G707" s="197">
        <v>44237.0</v>
      </c>
      <c r="H707" s="197">
        <v>45108.0</v>
      </c>
      <c r="I707" s="197">
        <v>45108.0</v>
      </c>
      <c r="J707" s="196">
        <v>7.99</v>
      </c>
      <c r="K707" s="196">
        <v>7.99</v>
      </c>
      <c r="L707" s="196">
        <v>0.0</v>
      </c>
      <c r="M707" s="40">
        <v>2.0</v>
      </c>
      <c r="N707" s="196">
        <v>4.0</v>
      </c>
    </row>
    <row r="708">
      <c r="A708" s="41" t="s">
        <v>50</v>
      </c>
      <c r="B708" s="40"/>
      <c r="C708" s="40">
        <v>364.0</v>
      </c>
      <c r="D708" s="40" t="s">
        <v>1200</v>
      </c>
      <c r="E708" s="40" t="s">
        <v>24</v>
      </c>
      <c r="F708" s="197">
        <v>40891.0</v>
      </c>
      <c r="G708" s="197">
        <v>44817.0</v>
      </c>
      <c r="H708" s="197">
        <v>44818.0</v>
      </c>
      <c r="I708" s="197">
        <v>44824.0</v>
      </c>
      <c r="J708" s="196">
        <v>11.25</v>
      </c>
      <c r="K708" s="196">
        <v>0.0</v>
      </c>
      <c r="L708" s="196">
        <v>11.25</v>
      </c>
      <c r="M708" s="40">
        <v>3.0</v>
      </c>
      <c r="N708" s="196">
        <v>0.0</v>
      </c>
    </row>
    <row r="709">
      <c r="A709" s="47" t="s">
        <v>50</v>
      </c>
      <c r="B709" s="45"/>
      <c r="C709" s="45">
        <v>425.0</v>
      </c>
      <c r="D709" s="41" t="s">
        <v>1204</v>
      </c>
      <c r="E709" s="41" t="s">
        <v>24</v>
      </c>
      <c r="F709" s="46">
        <v>40984.0</v>
      </c>
      <c r="G709" s="46">
        <v>44971.0</v>
      </c>
      <c r="H709" s="46">
        <v>45000.0</v>
      </c>
      <c r="I709" s="46">
        <v>45967.0</v>
      </c>
      <c r="J709" s="47">
        <v>19.99</v>
      </c>
      <c r="K709" s="47">
        <v>0.0</v>
      </c>
      <c r="L709" s="47">
        <v>19.99</v>
      </c>
      <c r="M709" s="45">
        <v>118.0</v>
      </c>
      <c r="N709" s="47">
        <v>0.0</v>
      </c>
    </row>
    <row r="710">
      <c r="A710" s="40" t="s">
        <v>50</v>
      </c>
      <c r="B710" s="40"/>
      <c r="C710" s="40">
        <v>269.0</v>
      </c>
      <c r="D710" s="40" t="s">
        <v>1207</v>
      </c>
      <c r="E710" s="40" t="s">
        <v>24</v>
      </c>
      <c r="F710" s="197">
        <v>41171.0</v>
      </c>
      <c r="G710" s="197">
        <v>43373.0</v>
      </c>
      <c r="H710" s="197">
        <v>43423.0</v>
      </c>
      <c r="I710" s="197">
        <v>45005.0</v>
      </c>
      <c r="J710" s="196">
        <v>7.99</v>
      </c>
      <c r="K710" s="196">
        <v>7.99</v>
      </c>
      <c r="L710" s="196">
        <v>0.0</v>
      </c>
      <c r="M710" s="40">
        <v>5.0</v>
      </c>
      <c r="N710" s="196">
        <v>1.6</v>
      </c>
    </row>
    <row r="711">
      <c r="A711" s="198" t="s">
        <v>50</v>
      </c>
      <c r="B711" s="201"/>
      <c r="C711" s="228">
        <v>1096.0</v>
      </c>
      <c r="D711" s="201" t="s">
        <v>1253</v>
      </c>
      <c r="E711" s="201" t="s">
        <v>26</v>
      </c>
      <c r="F711" s="202">
        <v>43333.0</v>
      </c>
      <c r="G711" s="202">
        <v>45999.0</v>
      </c>
      <c r="H711" s="202">
        <v>45999.0</v>
      </c>
      <c r="I711" s="202">
        <v>45999.0</v>
      </c>
      <c r="J711" s="198">
        <v>17.5</v>
      </c>
      <c r="K711" s="198">
        <v>2.62</v>
      </c>
      <c r="L711" s="198">
        <f t="shared" ref="L711:L712" si="89">J711-K711</f>
        <v>14.88</v>
      </c>
      <c r="M711" s="199">
        <v>1.0</v>
      </c>
      <c r="N711" s="198">
        <f t="shared" ref="N711:N712" si="90">K711/M711</f>
        <v>2.62</v>
      </c>
    </row>
    <row r="712">
      <c r="A712" s="203" t="s">
        <v>50</v>
      </c>
      <c r="B712" s="206"/>
      <c r="C712" s="229">
        <v>1097.0</v>
      </c>
      <c r="D712" s="206" t="s">
        <v>1254</v>
      </c>
      <c r="E712" s="206" t="s">
        <v>26</v>
      </c>
      <c r="F712" s="207">
        <v>43333.0</v>
      </c>
      <c r="G712" s="207">
        <v>45999.0</v>
      </c>
      <c r="H712" s="207">
        <v>45999.0</v>
      </c>
      <c r="I712" s="207">
        <v>45999.0</v>
      </c>
      <c r="J712" s="203">
        <v>17.49</v>
      </c>
      <c r="K712" s="203">
        <v>2.62</v>
      </c>
      <c r="L712" s="203">
        <f t="shared" si="89"/>
        <v>14.87</v>
      </c>
      <c r="M712" s="204">
        <v>1.0</v>
      </c>
      <c r="N712" s="203">
        <f t="shared" si="90"/>
        <v>2.62</v>
      </c>
    </row>
    <row r="713">
      <c r="A713" s="40" t="s">
        <v>50</v>
      </c>
      <c r="B713" s="40"/>
      <c r="C713" s="40">
        <v>875.0</v>
      </c>
      <c r="D713" s="40" t="s">
        <v>1262</v>
      </c>
      <c r="E713" s="40" t="s">
        <v>26</v>
      </c>
      <c r="F713" s="197">
        <v>43767.0</v>
      </c>
      <c r="G713" s="197">
        <v>44377.0</v>
      </c>
      <c r="H713" s="197">
        <v>44377.0</v>
      </c>
      <c r="I713" s="197">
        <v>44465.0</v>
      </c>
      <c r="J713" s="196">
        <v>39.99</v>
      </c>
      <c r="K713" s="196">
        <v>19.99</v>
      </c>
      <c r="L713" s="196">
        <v>20.0</v>
      </c>
      <c r="M713" s="40">
        <v>6.0</v>
      </c>
      <c r="N713" s="196">
        <v>3.33</v>
      </c>
    </row>
    <row r="714">
      <c r="A714" s="40" t="s">
        <v>50</v>
      </c>
      <c r="B714" s="40"/>
      <c r="C714" s="40">
        <v>846.0</v>
      </c>
      <c r="D714" s="40" t="s">
        <v>1275</v>
      </c>
      <c r="E714" s="40" t="s">
        <v>26</v>
      </c>
      <c r="F714" s="197">
        <v>44446.0</v>
      </c>
      <c r="G714" s="197">
        <v>45720.0</v>
      </c>
      <c r="H714" s="197">
        <v>45720.0</v>
      </c>
      <c r="I714" s="197">
        <v>45720.0</v>
      </c>
      <c r="J714" s="196">
        <v>39.99</v>
      </c>
      <c r="K714" s="196">
        <v>0.0</v>
      </c>
      <c r="L714" s="196">
        <v>39.99</v>
      </c>
      <c r="M714" s="40">
        <v>1.0</v>
      </c>
      <c r="N714" s="196">
        <v>0.0</v>
      </c>
    </row>
    <row r="715">
      <c r="A715" s="40" t="s">
        <v>50</v>
      </c>
      <c r="B715" s="40"/>
      <c r="C715" s="40">
        <v>842.0</v>
      </c>
      <c r="D715" s="40" t="s">
        <v>1279</v>
      </c>
      <c r="E715" s="40" t="s">
        <v>26</v>
      </c>
      <c r="F715" s="197">
        <v>44735.0</v>
      </c>
      <c r="G715" s="197">
        <v>44817.0</v>
      </c>
      <c r="H715" s="197">
        <v>44818.0</v>
      </c>
      <c r="I715" s="197">
        <v>44824.0</v>
      </c>
      <c r="J715" s="196">
        <v>11.25</v>
      </c>
      <c r="K715" s="196">
        <v>0.0</v>
      </c>
      <c r="L715" s="196">
        <v>11.25</v>
      </c>
      <c r="M715" s="40">
        <v>3.0</v>
      </c>
      <c r="N715" s="196">
        <v>0.0</v>
      </c>
    </row>
    <row r="716">
      <c r="A716" s="40" t="s">
        <v>50</v>
      </c>
      <c r="B716" s="40"/>
      <c r="C716" s="40">
        <v>843.0</v>
      </c>
      <c r="D716" s="40" t="s">
        <v>1280</v>
      </c>
      <c r="E716" s="40" t="s">
        <v>26</v>
      </c>
      <c r="F716" s="197">
        <v>44735.0</v>
      </c>
      <c r="G716" s="197">
        <v>44817.0</v>
      </c>
      <c r="H716" s="197">
        <v>44818.0</v>
      </c>
      <c r="I716" s="197">
        <v>44824.0</v>
      </c>
      <c r="J716" s="196">
        <v>11.25</v>
      </c>
      <c r="K716" s="196">
        <v>0.0</v>
      </c>
      <c r="L716" s="196">
        <v>11.25</v>
      </c>
      <c r="M716" s="40">
        <v>3.0</v>
      </c>
      <c r="N716" s="196">
        <v>0.0</v>
      </c>
    </row>
    <row r="717">
      <c r="A717" s="41" t="s">
        <v>50</v>
      </c>
      <c r="B717" s="41"/>
      <c r="C717" s="40">
        <v>844.0</v>
      </c>
      <c r="D717" s="40" t="s">
        <v>1281</v>
      </c>
      <c r="E717" s="40" t="s">
        <v>26</v>
      </c>
      <c r="F717" s="197">
        <v>44735.0</v>
      </c>
      <c r="G717" s="197">
        <v>44817.0</v>
      </c>
      <c r="H717" s="197">
        <v>44818.0</v>
      </c>
      <c r="I717" s="197">
        <v>44824.0</v>
      </c>
      <c r="J717" s="43">
        <v>11.24</v>
      </c>
      <c r="K717" s="43">
        <v>0.0</v>
      </c>
      <c r="L717" s="196">
        <v>11.24</v>
      </c>
      <c r="M717" s="40">
        <v>3.0</v>
      </c>
      <c r="N717" s="196">
        <v>0.0</v>
      </c>
    </row>
    <row r="718">
      <c r="A718" s="96"/>
      <c r="B718" s="96"/>
      <c r="C718" s="90"/>
      <c r="D718" s="89"/>
      <c r="E718" s="95">
        <v>306.53</v>
      </c>
      <c r="F718" s="95">
        <v>96.17</v>
      </c>
      <c r="G718" s="95">
        <v>210.36</v>
      </c>
      <c r="H718" s="96">
        <v>507.0</v>
      </c>
      <c r="I718" s="95">
        <v>0.19</v>
      </c>
      <c r="J718" s="91">
        <f t="shared" ref="J718:M718" si="91">SUM(J698:J717)</f>
        <v>306.53</v>
      </c>
      <c r="K718" s="91">
        <f t="shared" si="91"/>
        <v>96.17</v>
      </c>
      <c r="L718" s="91">
        <f t="shared" si="91"/>
        <v>210.36</v>
      </c>
      <c r="M718" s="89">
        <f t="shared" si="91"/>
        <v>507</v>
      </c>
      <c r="N718" s="91">
        <f>K718/M718</f>
        <v>0.1896844181</v>
      </c>
    </row>
    <row r="719">
      <c r="A719" s="86" t="s">
        <v>50</v>
      </c>
      <c r="B719" s="86" t="s">
        <v>436</v>
      </c>
      <c r="C719" s="86">
        <v>492.0</v>
      </c>
      <c r="D719" s="86" t="s">
        <v>1222</v>
      </c>
      <c r="E719" s="86" t="s">
        <v>25</v>
      </c>
      <c r="F719" s="87">
        <v>40954.0</v>
      </c>
      <c r="G719" s="87">
        <v>42036.0</v>
      </c>
      <c r="H719" s="87">
        <v>45040.0</v>
      </c>
      <c r="I719" s="87">
        <v>45040.0</v>
      </c>
      <c r="J719" s="88">
        <v>0.0</v>
      </c>
      <c r="K719" s="88">
        <v>0.0</v>
      </c>
      <c r="L719" s="88">
        <v>0.0</v>
      </c>
      <c r="M719" s="86">
        <v>5.0</v>
      </c>
      <c r="N719" s="88">
        <v>0.0</v>
      </c>
    </row>
    <row r="720">
      <c r="A720" s="86" t="s">
        <v>50</v>
      </c>
      <c r="B720" s="86"/>
      <c r="C720" s="86">
        <v>478.0</v>
      </c>
      <c r="D720" s="86" t="s">
        <v>1223</v>
      </c>
      <c r="E720" s="86" t="s">
        <v>25</v>
      </c>
      <c r="F720" s="87">
        <v>40961.0</v>
      </c>
      <c r="G720" s="87">
        <v>42187.0</v>
      </c>
      <c r="H720" s="87">
        <v>42187.0</v>
      </c>
      <c r="I720" s="87">
        <v>42187.0</v>
      </c>
      <c r="J720" s="88">
        <v>0.0</v>
      </c>
      <c r="K720" s="88">
        <v>0.0</v>
      </c>
      <c r="L720" s="88">
        <v>0.0</v>
      </c>
      <c r="M720" s="86">
        <v>1.0</v>
      </c>
      <c r="N720" s="88">
        <v>0.0</v>
      </c>
    </row>
    <row r="721">
      <c r="A721" s="86" t="s">
        <v>50</v>
      </c>
      <c r="B721" s="86"/>
      <c r="C721" s="86">
        <v>455.0</v>
      </c>
      <c r="D721" s="86" t="s">
        <v>1227</v>
      </c>
      <c r="E721" s="86" t="s">
        <v>25</v>
      </c>
      <c r="F721" s="87">
        <v>41429.0</v>
      </c>
      <c r="G721" s="87">
        <v>42187.0</v>
      </c>
      <c r="H721" s="87">
        <v>42193.0</v>
      </c>
      <c r="I721" s="87">
        <v>44945.0</v>
      </c>
      <c r="J721" s="88">
        <v>0.0</v>
      </c>
      <c r="K721" s="88">
        <v>0.0</v>
      </c>
      <c r="L721" s="88">
        <v>0.0</v>
      </c>
      <c r="M721" s="86">
        <v>5.0</v>
      </c>
      <c r="N721" s="88">
        <v>0.0</v>
      </c>
    </row>
    <row r="722">
      <c r="A722" s="96"/>
      <c r="B722" s="96"/>
      <c r="C722" s="90"/>
      <c r="D722" s="89"/>
      <c r="E722" s="89"/>
      <c r="F722" s="89"/>
      <c r="G722" s="89"/>
      <c r="H722" s="89"/>
      <c r="I722" s="89"/>
      <c r="J722" s="91">
        <f t="shared" ref="J722:M722" si="92">SUM(J719:J721)</f>
        <v>0</v>
      </c>
      <c r="K722" s="91">
        <f t="shared" si="92"/>
        <v>0</v>
      </c>
      <c r="L722" s="91">
        <f t="shared" si="92"/>
        <v>0</v>
      </c>
      <c r="M722" s="89">
        <f t="shared" si="92"/>
        <v>11</v>
      </c>
      <c r="N722" s="91">
        <f>K722/M722</f>
        <v>0</v>
      </c>
    </row>
    <row r="723">
      <c r="A723" s="86" t="s">
        <v>50</v>
      </c>
      <c r="B723" s="86" t="s">
        <v>437</v>
      </c>
      <c r="C723" s="86">
        <v>562.0</v>
      </c>
      <c r="D723" s="86" t="s">
        <v>1239</v>
      </c>
      <c r="E723" s="86" t="s">
        <v>26</v>
      </c>
      <c r="F723" s="87">
        <v>42388.0</v>
      </c>
      <c r="G723" s="87">
        <v>43069.0</v>
      </c>
      <c r="H723" s="87">
        <v>43069.0</v>
      </c>
      <c r="I723" s="87">
        <v>44999.0</v>
      </c>
      <c r="J723" s="88">
        <v>13.99</v>
      </c>
      <c r="K723" s="88">
        <v>4.99</v>
      </c>
      <c r="L723" s="88">
        <v>9.0</v>
      </c>
      <c r="M723" s="86">
        <v>3.0</v>
      </c>
      <c r="N723" s="88">
        <v>1.66</v>
      </c>
    </row>
    <row r="724">
      <c r="A724" s="93" t="s">
        <v>50</v>
      </c>
      <c r="B724" s="86" t="s">
        <v>438</v>
      </c>
      <c r="C724" s="86">
        <v>498.0</v>
      </c>
      <c r="D724" s="86" t="s">
        <v>1226</v>
      </c>
      <c r="E724" s="86" t="s">
        <v>25</v>
      </c>
      <c r="F724" s="87">
        <v>41236.0</v>
      </c>
      <c r="G724" s="87">
        <v>42187.0</v>
      </c>
      <c r="H724" s="87">
        <v>45059.0</v>
      </c>
      <c r="I724" s="87">
        <v>45059.0</v>
      </c>
      <c r="J724" s="88">
        <v>19.99</v>
      </c>
      <c r="K724" s="88">
        <v>19.99</v>
      </c>
      <c r="L724" s="88">
        <v>0.0</v>
      </c>
      <c r="M724" s="86">
        <v>10.0</v>
      </c>
      <c r="N724" s="88">
        <v>2.0</v>
      </c>
    </row>
    <row r="725">
      <c r="A725" s="86" t="s">
        <v>50</v>
      </c>
      <c r="B725" s="86" t="s">
        <v>439</v>
      </c>
      <c r="C725" s="86">
        <v>21.0</v>
      </c>
      <c r="D725" s="86" t="s">
        <v>1135</v>
      </c>
      <c r="E725" s="86" t="s">
        <v>21</v>
      </c>
      <c r="F725" s="87">
        <v>35751.0</v>
      </c>
      <c r="G725" s="87">
        <v>41572.0</v>
      </c>
      <c r="H725" s="87">
        <v>41572.0</v>
      </c>
      <c r="I725" s="87">
        <v>41586.0</v>
      </c>
      <c r="J725" s="88">
        <v>9.99</v>
      </c>
      <c r="K725" s="88">
        <v>4.99</v>
      </c>
      <c r="L725" s="88">
        <v>5.0</v>
      </c>
      <c r="M725" s="86">
        <v>40.0</v>
      </c>
      <c r="N725" s="88">
        <v>0.12</v>
      </c>
    </row>
    <row r="726">
      <c r="A726" s="86" t="s">
        <v>50</v>
      </c>
      <c r="B726" s="86"/>
      <c r="C726" s="86">
        <v>22.0</v>
      </c>
      <c r="D726" s="86" t="s">
        <v>1142</v>
      </c>
      <c r="E726" s="86" t="s">
        <v>21</v>
      </c>
      <c r="F726" s="87">
        <v>36460.0</v>
      </c>
      <c r="G726" s="87">
        <v>42784.0</v>
      </c>
      <c r="H726" s="87">
        <v>42784.0</v>
      </c>
      <c r="I726" s="87">
        <v>42784.0</v>
      </c>
      <c r="J726" s="88">
        <v>9.99</v>
      </c>
      <c r="K726" s="88">
        <v>4.99</v>
      </c>
      <c r="L726" s="88">
        <v>5.0</v>
      </c>
      <c r="M726" s="86">
        <v>1.0</v>
      </c>
      <c r="N726" s="88">
        <v>4.99</v>
      </c>
    </row>
    <row r="727">
      <c r="A727" s="86" t="s">
        <v>50</v>
      </c>
      <c r="B727" s="86"/>
      <c r="C727" s="86">
        <v>23.0</v>
      </c>
      <c r="D727" s="86" t="s">
        <v>1148</v>
      </c>
      <c r="E727" s="86" t="s">
        <v>21</v>
      </c>
      <c r="F727" s="87">
        <v>36938.0</v>
      </c>
      <c r="G727" s="87">
        <v>42784.0</v>
      </c>
      <c r="H727" s="87">
        <v>42784.0</v>
      </c>
      <c r="I727" s="87">
        <v>42784.0</v>
      </c>
      <c r="J727" s="88">
        <v>9.99</v>
      </c>
      <c r="K727" s="88">
        <v>4.99</v>
      </c>
      <c r="L727" s="88">
        <v>5.0</v>
      </c>
      <c r="M727" s="86">
        <v>1.0</v>
      </c>
      <c r="N727" s="88">
        <v>4.99</v>
      </c>
    </row>
    <row r="728">
      <c r="A728" s="86" t="s">
        <v>50</v>
      </c>
      <c r="B728" s="86"/>
      <c r="C728" s="86">
        <v>19.0</v>
      </c>
      <c r="D728" s="86" t="s">
        <v>1149</v>
      </c>
      <c r="E728" s="86" t="s">
        <v>21</v>
      </c>
      <c r="F728" s="87">
        <v>37316.0</v>
      </c>
      <c r="G728" s="87">
        <v>42784.0</v>
      </c>
      <c r="H728" s="87">
        <v>42784.0</v>
      </c>
      <c r="I728" s="87">
        <v>42784.0</v>
      </c>
      <c r="J728" s="88">
        <v>9.99</v>
      </c>
      <c r="K728" s="88">
        <v>4.99</v>
      </c>
      <c r="L728" s="88">
        <v>5.0</v>
      </c>
      <c r="M728" s="86">
        <v>1.0</v>
      </c>
      <c r="N728" s="88">
        <v>4.99</v>
      </c>
    </row>
    <row r="729">
      <c r="A729" s="86" t="s">
        <v>50</v>
      </c>
      <c r="B729" s="86"/>
      <c r="C729" s="86">
        <v>20.0</v>
      </c>
      <c r="D729" s="86" t="s">
        <v>1150</v>
      </c>
      <c r="E729" s="86" t="s">
        <v>21</v>
      </c>
      <c r="F729" s="87">
        <v>37316.0</v>
      </c>
      <c r="G729" s="87">
        <v>42784.0</v>
      </c>
      <c r="H729" s="87">
        <v>42784.0</v>
      </c>
      <c r="I729" s="87">
        <v>42784.0</v>
      </c>
      <c r="J729" s="88">
        <v>9.99</v>
      </c>
      <c r="K729" s="88">
        <v>4.99</v>
      </c>
      <c r="L729" s="88">
        <v>5.0</v>
      </c>
      <c r="M729" s="86">
        <v>1.0</v>
      </c>
      <c r="N729" s="88">
        <v>4.99</v>
      </c>
    </row>
    <row r="730">
      <c r="A730" s="92" t="s">
        <v>50</v>
      </c>
      <c r="B730" s="86"/>
      <c r="C730" s="86">
        <v>94.0</v>
      </c>
      <c r="D730" s="86" t="s">
        <v>1158</v>
      </c>
      <c r="E730" s="86" t="s">
        <v>22</v>
      </c>
      <c r="F730" s="87">
        <v>37400.0</v>
      </c>
      <c r="G730" s="87">
        <v>43377.0</v>
      </c>
      <c r="H730" s="87">
        <v>43377.0</v>
      </c>
      <c r="I730" s="87">
        <v>43377.0</v>
      </c>
      <c r="J730" s="88">
        <v>15.0</v>
      </c>
      <c r="K730" s="88">
        <v>7.5</v>
      </c>
      <c r="L730" s="88">
        <v>7.5</v>
      </c>
      <c r="M730" s="86">
        <v>1.0</v>
      </c>
      <c r="N730" s="88">
        <v>7.5</v>
      </c>
    </row>
    <row r="731">
      <c r="A731" s="92" t="s">
        <v>50</v>
      </c>
      <c r="B731" s="86"/>
      <c r="C731" s="86">
        <v>108.0</v>
      </c>
      <c r="D731" s="86" t="s">
        <v>1159</v>
      </c>
      <c r="E731" s="86" t="s">
        <v>22</v>
      </c>
      <c r="F731" s="87">
        <v>37575.0</v>
      </c>
      <c r="G731" s="87">
        <v>43786.0</v>
      </c>
      <c r="H731" s="87">
        <v>43952.0</v>
      </c>
      <c r="I731" s="87">
        <v>43956.0</v>
      </c>
      <c r="J731" s="88">
        <v>9.25</v>
      </c>
      <c r="K731" s="88">
        <v>3.03</v>
      </c>
      <c r="L731" s="88">
        <v>6.22</v>
      </c>
      <c r="M731" s="86">
        <v>35.0</v>
      </c>
      <c r="N731" s="88">
        <v>0.09</v>
      </c>
    </row>
    <row r="732">
      <c r="A732" s="92" t="s">
        <v>50</v>
      </c>
      <c r="B732" s="86"/>
      <c r="C732" s="86">
        <v>95.0</v>
      </c>
      <c r="D732" s="86" t="s">
        <v>1164</v>
      </c>
      <c r="E732" s="86" t="s">
        <v>22</v>
      </c>
      <c r="F732" s="87">
        <v>38037.0</v>
      </c>
      <c r="G732" s="87">
        <v>43377.0</v>
      </c>
      <c r="H732" s="87">
        <v>43377.0</v>
      </c>
      <c r="I732" s="87">
        <v>43377.0</v>
      </c>
      <c r="J732" s="88">
        <v>14.99</v>
      </c>
      <c r="K732" s="88">
        <v>7.49</v>
      </c>
      <c r="L732" s="88">
        <v>7.5</v>
      </c>
      <c r="M732" s="86">
        <v>1.0</v>
      </c>
      <c r="N732" s="88">
        <v>7.49</v>
      </c>
    </row>
    <row r="733">
      <c r="A733" s="92" t="s">
        <v>50</v>
      </c>
      <c r="B733" s="86"/>
      <c r="C733" s="86">
        <v>109.0</v>
      </c>
      <c r="D733" s="86" t="s">
        <v>1168</v>
      </c>
      <c r="E733" s="86" t="s">
        <v>22</v>
      </c>
      <c r="F733" s="87">
        <v>38989.0</v>
      </c>
      <c r="G733" s="87">
        <v>43786.0</v>
      </c>
      <c r="H733" s="87">
        <v>43958.0</v>
      </c>
      <c r="I733" s="87">
        <v>43964.0</v>
      </c>
      <c r="J733" s="88">
        <v>9.25</v>
      </c>
      <c r="K733" s="88">
        <v>3.02</v>
      </c>
      <c r="L733" s="88">
        <v>6.23</v>
      </c>
      <c r="M733" s="86">
        <v>30.0</v>
      </c>
      <c r="N733" s="88">
        <v>0.1</v>
      </c>
    </row>
    <row r="734">
      <c r="A734" s="86" t="s">
        <v>50</v>
      </c>
      <c r="B734" s="86"/>
      <c r="C734" s="86">
        <v>160.0</v>
      </c>
      <c r="D734" s="86" t="s">
        <v>1174</v>
      </c>
      <c r="E734" s="86" t="s">
        <v>23</v>
      </c>
      <c r="F734" s="87">
        <v>39486.0</v>
      </c>
      <c r="G734" s="87">
        <v>42784.0</v>
      </c>
      <c r="H734" s="87">
        <v>42784.0</v>
      </c>
      <c r="I734" s="87">
        <v>42784.0</v>
      </c>
      <c r="J734" s="88">
        <v>9.99</v>
      </c>
      <c r="K734" s="88">
        <v>4.99</v>
      </c>
      <c r="L734" s="88">
        <v>5.0</v>
      </c>
      <c r="M734" s="86">
        <v>1.0</v>
      </c>
      <c r="N734" s="88">
        <v>4.99</v>
      </c>
    </row>
    <row r="735">
      <c r="A735" s="86" t="s">
        <v>50</v>
      </c>
      <c r="B735" s="86"/>
      <c r="C735" s="86">
        <v>161.0</v>
      </c>
      <c r="D735" s="86" t="s">
        <v>1175</v>
      </c>
      <c r="E735" s="86" t="s">
        <v>23</v>
      </c>
      <c r="F735" s="87">
        <v>39486.0</v>
      </c>
      <c r="G735" s="87">
        <v>42784.0</v>
      </c>
      <c r="H735" s="87">
        <v>42784.0</v>
      </c>
      <c r="I735" s="87">
        <v>42784.0</v>
      </c>
      <c r="J735" s="88">
        <v>9.99</v>
      </c>
      <c r="K735" s="88">
        <v>4.99</v>
      </c>
      <c r="L735" s="88">
        <v>5.0</v>
      </c>
      <c r="M735" s="86">
        <v>1.0</v>
      </c>
      <c r="N735" s="88">
        <v>4.99</v>
      </c>
    </row>
    <row r="736">
      <c r="A736" s="86" t="s">
        <v>50</v>
      </c>
      <c r="B736" s="86"/>
      <c r="C736" s="86">
        <v>169.0</v>
      </c>
      <c r="D736" s="86" t="s">
        <v>1181</v>
      </c>
      <c r="E736" s="86" t="s">
        <v>23</v>
      </c>
      <c r="F736" s="87">
        <v>40431.0</v>
      </c>
      <c r="G736" s="87">
        <v>43786.0</v>
      </c>
      <c r="H736" s="87">
        <v>43965.0</v>
      </c>
      <c r="I736" s="87">
        <v>43965.0</v>
      </c>
      <c r="J736" s="88">
        <v>9.24</v>
      </c>
      <c r="K736" s="88">
        <v>3.02</v>
      </c>
      <c r="L736" s="88">
        <v>6.22</v>
      </c>
      <c r="M736" s="86">
        <v>1.0</v>
      </c>
      <c r="N736" s="88">
        <v>3.02</v>
      </c>
    </row>
    <row r="737">
      <c r="A737" s="86" t="s">
        <v>50</v>
      </c>
      <c r="B737" s="86"/>
      <c r="C737" s="86">
        <v>163.0</v>
      </c>
      <c r="D737" s="86" t="s">
        <v>1182</v>
      </c>
      <c r="E737" s="86" t="s">
        <v>23</v>
      </c>
      <c r="F737" s="87">
        <v>40655.0</v>
      </c>
      <c r="G737" s="87">
        <v>42784.0</v>
      </c>
      <c r="H737" s="87">
        <v>42784.0</v>
      </c>
      <c r="I737" s="87">
        <v>42784.0</v>
      </c>
      <c r="J737" s="88">
        <v>14.99</v>
      </c>
      <c r="K737" s="88">
        <v>7.49</v>
      </c>
      <c r="L737" s="88">
        <v>7.5</v>
      </c>
      <c r="M737" s="86">
        <v>1.0</v>
      </c>
      <c r="N737" s="88">
        <v>7.49</v>
      </c>
    </row>
    <row r="738">
      <c r="A738" s="86" t="s">
        <v>50</v>
      </c>
      <c r="B738" s="86"/>
      <c r="C738" s="86">
        <v>162.0</v>
      </c>
      <c r="D738" s="86" t="s">
        <v>1183</v>
      </c>
      <c r="E738" s="86" t="s">
        <v>23</v>
      </c>
      <c r="F738" s="87">
        <v>41178.0</v>
      </c>
      <c r="G738" s="87">
        <v>42784.0</v>
      </c>
      <c r="H738" s="87">
        <v>42784.0</v>
      </c>
      <c r="I738" s="87">
        <v>42784.0</v>
      </c>
      <c r="J738" s="88">
        <v>9.99</v>
      </c>
      <c r="K738" s="88">
        <v>4.99</v>
      </c>
      <c r="L738" s="88">
        <v>5.0</v>
      </c>
      <c r="M738" s="86">
        <v>1.0</v>
      </c>
      <c r="N738" s="88">
        <v>4.99</v>
      </c>
    </row>
    <row r="739">
      <c r="A739" s="93" t="s">
        <v>50</v>
      </c>
      <c r="B739" s="86"/>
      <c r="C739" s="86">
        <v>248.0</v>
      </c>
      <c r="D739" s="86" t="s">
        <v>1191</v>
      </c>
      <c r="E739" s="86" t="s">
        <v>24</v>
      </c>
      <c r="F739" s="87">
        <v>40246.0</v>
      </c>
      <c r="G739" s="87">
        <v>41427.0</v>
      </c>
      <c r="H739" s="87">
        <v>41427.0</v>
      </c>
      <c r="I739" s="87">
        <v>41501.0</v>
      </c>
      <c r="J739" s="88">
        <v>19.99</v>
      </c>
      <c r="K739" s="88">
        <v>4.0</v>
      </c>
      <c r="L739" s="88">
        <v>15.99</v>
      </c>
      <c r="M739" s="86">
        <v>45.0</v>
      </c>
      <c r="N739" s="88">
        <v>0.09</v>
      </c>
    </row>
    <row r="740">
      <c r="A740" s="93" t="s">
        <v>50</v>
      </c>
      <c r="B740" s="86"/>
      <c r="C740" s="86">
        <v>275.0</v>
      </c>
      <c r="D740" s="86" t="s">
        <v>1214</v>
      </c>
      <c r="E740" s="86" t="s">
        <v>24</v>
      </c>
      <c r="F740" s="87">
        <v>41530.0</v>
      </c>
      <c r="G740" s="87">
        <v>43786.0</v>
      </c>
      <c r="H740" s="87">
        <v>43956.0</v>
      </c>
      <c r="I740" s="87">
        <v>43957.0</v>
      </c>
      <c r="J740" s="88">
        <v>9.25</v>
      </c>
      <c r="K740" s="88">
        <v>3.03</v>
      </c>
      <c r="L740" s="88">
        <v>6.22</v>
      </c>
      <c r="M740" s="86">
        <v>1.0</v>
      </c>
      <c r="N740" s="88">
        <v>3.03</v>
      </c>
    </row>
    <row r="741">
      <c r="A741" s="86" t="s">
        <v>50</v>
      </c>
      <c r="B741" s="86"/>
      <c r="C741" s="86">
        <v>629.0</v>
      </c>
      <c r="D741" s="86" t="s">
        <v>1241</v>
      </c>
      <c r="E741" s="86" t="s">
        <v>26</v>
      </c>
      <c r="F741" s="87">
        <v>42703.0</v>
      </c>
      <c r="G741" s="87">
        <v>44334.0</v>
      </c>
      <c r="H741" s="87">
        <v>44334.0</v>
      </c>
      <c r="I741" s="87">
        <v>44334.0</v>
      </c>
      <c r="J741" s="88">
        <v>34.99</v>
      </c>
      <c r="K741" s="88">
        <v>0.0</v>
      </c>
      <c r="L741" s="88">
        <v>34.99</v>
      </c>
      <c r="M741" s="86">
        <v>1.0</v>
      </c>
      <c r="N741" s="88">
        <v>0.0</v>
      </c>
    </row>
    <row r="742">
      <c r="A742" s="86" t="s">
        <v>50</v>
      </c>
      <c r="B742" s="86"/>
      <c r="C742" s="86">
        <v>689.0</v>
      </c>
      <c r="D742" s="86" t="s">
        <v>1244</v>
      </c>
      <c r="E742" s="86" t="s">
        <v>26</v>
      </c>
      <c r="F742" s="87">
        <v>42759.0</v>
      </c>
      <c r="G742" s="87">
        <v>43786.0</v>
      </c>
      <c r="H742" s="87">
        <v>43786.0</v>
      </c>
      <c r="I742" s="87">
        <v>43786.0</v>
      </c>
      <c r="J742" s="88">
        <v>18.5</v>
      </c>
      <c r="K742" s="88">
        <v>6.05</v>
      </c>
      <c r="L742" s="88">
        <v>12.45</v>
      </c>
      <c r="M742" s="86">
        <v>1.0</v>
      </c>
      <c r="N742" s="88">
        <v>6.05</v>
      </c>
    </row>
    <row r="743">
      <c r="A743" s="93" t="s">
        <v>50</v>
      </c>
      <c r="B743" s="86"/>
      <c r="C743" s="86">
        <v>690.0</v>
      </c>
      <c r="D743" s="86" t="s">
        <v>1245</v>
      </c>
      <c r="E743" s="86" t="s">
        <v>26</v>
      </c>
      <c r="F743" s="87">
        <v>42759.0</v>
      </c>
      <c r="G743" s="87">
        <v>43786.0</v>
      </c>
      <c r="H743" s="87">
        <v>43786.0</v>
      </c>
      <c r="I743" s="87">
        <v>43786.0</v>
      </c>
      <c r="J743" s="88">
        <v>18.49</v>
      </c>
      <c r="K743" s="88">
        <v>6.05</v>
      </c>
      <c r="L743" s="88">
        <v>12.44</v>
      </c>
      <c r="M743" s="86">
        <v>1.0</v>
      </c>
      <c r="N743" s="88">
        <v>6.05</v>
      </c>
    </row>
    <row r="744">
      <c r="A744" s="93" t="s">
        <v>50</v>
      </c>
      <c r="B744" s="86"/>
      <c r="C744" s="86">
        <v>691.0</v>
      </c>
      <c r="D744" s="86" t="s">
        <v>1258</v>
      </c>
      <c r="E744" s="86" t="s">
        <v>26</v>
      </c>
      <c r="F744" s="87">
        <v>43494.0</v>
      </c>
      <c r="G744" s="87">
        <v>43786.0</v>
      </c>
      <c r="H744" s="87">
        <v>43965.0</v>
      </c>
      <c r="I744" s="87">
        <v>43973.0</v>
      </c>
      <c r="J744" s="88">
        <v>35.99</v>
      </c>
      <c r="K744" s="88">
        <v>12.09</v>
      </c>
      <c r="L744" s="88">
        <v>23.9</v>
      </c>
      <c r="M744" s="86">
        <v>31.0</v>
      </c>
      <c r="N744" s="88">
        <v>0.39</v>
      </c>
    </row>
    <row r="745">
      <c r="A745" s="93" t="s">
        <v>50</v>
      </c>
      <c r="B745" s="86"/>
      <c r="C745" s="86">
        <v>630.0</v>
      </c>
      <c r="D745" s="86" t="s">
        <v>1265</v>
      </c>
      <c r="E745" s="86" t="s">
        <v>26</v>
      </c>
      <c r="F745" s="87">
        <v>43931.0</v>
      </c>
      <c r="G745" s="87">
        <v>44776.0</v>
      </c>
      <c r="H745" s="87">
        <v>44830.0</v>
      </c>
      <c r="I745" s="87">
        <v>44835.0</v>
      </c>
      <c r="J745" s="88">
        <v>79.99</v>
      </c>
      <c r="K745" s="88">
        <v>45.59</v>
      </c>
      <c r="L745" s="88">
        <v>34.4</v>
      </c>
      <c r="M745" s="86">
        <v>38.0</v>
      </c>
      <c r="N745" s="88">
        <v>1.2</v>
      </c>
    </row>
    <row r="746">
      <c r="A746" s="86" t="s">
        <v>50</v>
      </c>
      <c r="B746" s="86"/>
      <c r="C746" s="86">
        <v>1015.0</v>
      </c>
      <c r="D746" s="86" t="s">
        <v>1303</v>
      </c>
      <c r="E746" s="86" t="s">
        <v>27</v>
      </c>
      <c r="F746" s="87">
        <v>43488.0</v>
      </c>
      <c r="G746" s="87">
        <v>44502.0</v>
      </c>
      <c r="H746" s="87">
        <v>44502.0</v>
      </c>
      <c r="I746" s="87">
        <v>44502.0</v>
      </c>
      <c r="J746" s="88">
        <v>0.0</v>
      </c>
      <c r="K746" s="88">
        <v>0.0</v>
      </c>
      <c r="L746" s="88">
        <v>0.0</v>
      </c>
      <c r="M746" s="86">
        <v>1.0</v>
      </c>
      <c r="N746" s="88">
        <v>0.0</v>
      </c>
    </row>
    <row r="747">
      <c r="A747" s="86" t="s">
        <v>50</v>
      </c>
      <c r="B747" s="86"/>
      <c r="C747" s="86">
        <v>1059.0</v>
      </c>
      <c r="D747" s="86" t="s">
        <v>1307</v>
      </c>
      <c r="E747" s="86" t="s">
        <v>28</v>
      </c>
      <c r="F747" s="87">
        <v>45351.0</v>
      </c>
      <c r="G747" s="87">
        <v>45542.0</v>
      </c>
      <c r="H747" s="87">
        <v>45546.0</v>
      </c>
      <c r="I747" s="87">
        <v>45568.0</v>
      </c>
      <c r="J747" s="94">
        <v>79.99</v>
      </c>
      <c r="K747" s="94">
        <v>0.0</v>
      </c>
      <c r="L747" s="88">
        <v>79.99</v>
      </c>
      <c r="M747" s="86">
        <v>89.0</v>
      </c>
      <c r="N747" s="88">
        <v>0.0</v>
      </c>
    </row>
    <row r="748">
      <c r="A748" s="96"/>
      <c r="B748" s="96"/>
      <c r="C748" s="90"/>
      <c r="D748" s="89"/>
      <c r="E748" s="95">
        <v>449.83</v>
      </c>
      <c r="F748" s="95">
        <v>148.28</v>
      </c>
      <c r="G748" s="95">
        <v>301.55</v>
      </c>
      <c r="H748" s="96">
        <v>324.0</v>
      </c>
      <c r="I748" s="95">
        <v>0.46</v>
      </c>
      <c r="J748" s="91">
        <f t="shared" ref="J748:M748" si="93">SUM(J725:J747)</f>
        <v>449.83</v>
      </c>
      <c r="K748" s="91">
        <f t="shared" si="93"/>
        <v>148.28</v>
      </c>
      <c r="L748" s="91">
        <f t="shared" si="93"/>
        <v>301.55</v>
      </c>
      <c r="M748" s="89">
        <f t="shared" si="93"/>
        <v>324</v>
      </c>
      <c r="N748" s="91">
        <f>K748/M748</f>
        <v>0.457654321</v>
      </c>
    </row>
    <row r="749">
      <c r="A749" s="93" t="s">
        <v>50</v>
      </c>
      <c r="B749" s="93" t="s">
        <v>440</v>
      </c>
      <c r="C749" s="86">
        <v>542.0</v>
      </c>
      <c r="D749" s="86" t="s">
        <v>1267</v>
      </c>
      <c r="E749" s="86" t="s">
        <v>26</v>
      </c>
      <c r="F749" s="87">
        <v>44071.0</v>
      </c>
      <c r="G749" s="87">
        <v>44539.0</v>
      </c>
      <c r="H749" s="87">
        <v>45749.0</v>
      </c>
      <c r="I749" s="87">
        <v>45749.0</v>
      </c>
      <c r="J749" s="88">
        <v>59.99</v>
      </c>
      <c r="K749" s="88">
        <v>19.79</v>
      </c>
      <c r="L749" s="88">
        <v>40.2</v>
      </c>
      <c r="M749" s="86">
        <v>2.0</v>
      </c>
      <c r="N749" s="94">
        <v>9.9</v>
      </c>
    </row>
    <row r="750">
      <c r="A750" s="86" t="s">
        <v>50</v>
      </c>
      <c r="B750" s="86"/>
      <c r="C750" s="86">
        <v>980.0</v>
      </c>
      <c r="D750" s="86" t="s">
        <v>1269</v>
      </c>
      <c r="E750" s="86" t="s">
        <v>26</v>
      </c>
      <c r="F750" s="87">
        <v>44118.0</v>
      </c>
      <c r="G750" s="87">
        <v>44923.0</v>
      </c>
      <c r="H750" s="87">
        <v>44923.0</v>
      </c>
      <c r="I750" s="87">
        <v>44923.0</v>
      </c>
      <c r="J750" s="88">
        <v>25.0</v>
      </c>
      <c r="K750" s="88">
        <v>11.25</v>
      </c>
      <c r="L750" s="88">
        <v>13.75</v>
      </c>
      <c r="M750" s="86">
        <v>1.0</v>
      </c>
      <c r="N750" s="88">
        <v>11.25</v>
      </c>
    </row>
    <row r="751">
      <c r="A751" s="86" t="s">
        <v>50</v>
      </c>
      <c r="B751" s="86"/>
      <c r="C751" s="86">
        <v>981.0</v>
      </c>
      <c r="D751" s="86" t="s">
        <v>1270</v>
      </c>
      <c r="E751" s="86" t="s">
        <v>26</v>
      </c>
      <c r="F751" s="87">
        <v>44118.0</v>
      </c>
      <c r="G751" s="87">
        <v>44923.0</v>
      </c>
      <c r="H751" s="87">
        <v>44923.0</v>
      </c>
      <c r="I751" s="87">
        <v>44923.0</v>
      </c>
      <c r="J751" s="88">
        <v>24.99</v>
      </c>
      <c r="K751" s="88">
        <v>11.24</v>
      </c>
      <c r="L751" s="88">
        <v>13.75</v>
      </c>
      <c r="M751" s="86">
        <v>1.0</v>
      </c>
      <c r="N751" s="88">
        <v>11.24</v>
      </c>
    </row>
    <row r="752">
      <c r="A752" s="96"/>
      <c r="B752" s="96"/>
      <c r="C752" s="90"/>
      <c r="D752" s="89"/>
      <c r="E752" s="89"/>
      <c r="F752" s="89"/>
      <c r="G752" s="89"/>
      <c r="H752" s="89"/>
      <c r="I752" s="89"/>
      <c r="J752" s="91">
        <f t="shared" ref="J752:M752" si="94">SUM(J749:J751)</f>
        <v>109.98</v>
      </c>
      <c r="K752" s="91">
        <f t="shared" si="94"/>
        <v>42.28</v>
      </c>
      <c r="L752" s="91">
        <f t="shared" si="94"/>
        <v>67.7</v>
      </c>
      <c r="M752" s="89">
        <f t="shared" si="94"/>
        <v>4</v>
      </c>
      <c r="N752" s="91">
        <f>K752/M752</f>
        <v>10.57</v>
      </c>
    </row>
    <row r="753">
      <c r="A753" s="93" t="s">
        <v>50</v>
      </c>
      <c r="B753" s="86" t="s">
        <v>441</v>
      </c>
      <c r="C753" s="86">
        <v>389.0</v>
      </c>
      <c r="D753" s="86" t="s">
        <v>1217</v>
      </c>
      <c r="E753" s="86" t="s">
        <v>24</v>
      </c>
      <c r="F753" s="87">
        <v>41926.0</v>
      </c>
      <c r="G753" s="87">
        <v>42386.0</v>
      </c>
      <c r="H753" s="87">
        <v>42386.0</v>
      </c>
      <c r="I753" s="87">
        <v>42386.0</v>
      </c>
      <c r="J753" s="88">
        <v>19.99</v>
      </c>
      <c r="K753" s="88">
        <v>5.99</v>
      </c>
      <c r="L753" s="88">
        <v>14.0</v>
      </c>
      <c r="M753" s="86">
        <v>29.0</v>
      </c>
      <c r="N753" s="88">
        <v>0.21</v>
      </c>
    </row>
    <row r="754">
      <c r="A754" s="93" t="s">
        <v>50</v>
      </c>
      <c r="B754" s="86"/>
      <c r="C754" s="86">
        <v>1061.0</v>
      </c>
      <c r="D754" s="86" t="s">
        <v>1305</v>
      </c>
      <c r="E754" s="86" t="s">
        <v>28</v>
      </c>
      <c r="F754" s="87">
        <v>44645.0</v>
      </c>
      <c r="G754" s="87">
        <v>44708.0</v>
      </c>
      <c r="H754" s="87">
        <v>44710.0</v>
      </c>
      <c r="I754" s="87">
        <v>44719.0</v>
      </c>
      <c r="J754" s="94">
        <v>69.99</v>
      </c>
      <c r="K754" s="94">
        <v>34.99</v>
      </c>
      <c r="L754" s="94">
        <v>35.0</v>
      </c>
      <c r="M754" s="86">
        <v>49.0</v>
      </c>
      <c r="N754" s="88">
        <v>0.71</v>
      </c>
    </row>
    <row r="755">
      <c r="A755" s="96"/>
      <c r="B755" s="96"/>
      <c r="C755" s="90"/>
      <c r="D755" s="89"/>
      <c r="E755" s="89"/>
      <c r="F755" s="89"/>
      <c r="G755" s="89"/>
      <c r="H755" s="89"/>
      <c r="I755" s="89"/>
      <c r="J755" s="91">
        <f t="shared" ref="J755:M755" si="95">SUM(J753:J754)</f>
        <v>89.98</v>
      </c>
      <c r="K755" s="91">
        <f t="shared" si="95"/>
        <v>40.98</v>
      </c>
      <c r="L755" s="91">
        <f t="shared" si="95"/>
        <v>49</v>
      </c>
      <c r="M755" s="89">
        <f t="shared" si="95"/>
        <v>78</v>
      </c>
      <c r="N755" s="91">
        <f>K755/M755</f>
        <v>0.5253846154</v>
      </c>
    </row>
    <row r="756">
      <c r="A756" s="86" t="s">
        <v>50</v>
      </c>
      <c r="B756" s="86" t="s">
        <v>442</v>
      </c>
      <c r="C756" s="86">
        <v>316.0</v>
      </c>
      <c r="D756" s="86" t="s">
        <v>1220</v>
      </c>
      <c r="E756" s="86" t="s">
        <v>24</v>
      </c>
      <c r="F756" s="87">
        <v>42467.0</v>
      </c>
      <c r="G756" s="87">
        <v>42754.0</v>
      </c>
      <c r="H756" s="87">
        <v>42771.0</v>
      </c>
      <c r="I756" s="87">
        <v>44092.0</v>
      </c>
      <c r="J756" s="88">
        <v>19.99</v>
      </c>
      <c r="K756" s="88">
        <v>14.99</v>
      </c>
      <c r="L756" s="88">
        <v>5.0</v>
      </c>
      <c r="M756" s="86">
        <v>4.0</v>
      </c>
      <c r="N756" s="88">
        <v>3.75</v>
      </c>
    </row>
    <row r="757">
      <c r="A757" s="92" t="s">
        <v>50</v>
      </c>
      <c r="B757" s="86" t="s">
        <v>443</v>
      </c>
      <c r="C757" s="86">
        <v>102.0</v>
      </c>
      <c r="D757" s="86" t="s">
        <v>1156</v>
      </c>
      <c r="E757" s="86" t="s">
        <v>22</v>
      </c>
      <c r="F757" s="87">
        <v>37337.0</v>
      </c>
      <c r="G757" s="87">
        <v>44422.0</v>
      </c>
      <c r="H757" s="87">
        <v>44422.0</v>
      </c>
      <c r="I757" s="87">
        <v>44422.0</v>
      </c>
      <c r="J757" s="88">
        <v>10.0</v>
      </c>
      <c r="K757" s="88">
        <v>10.0</v>
      </c>
      <c r="L757" s="88">
        <v>0.0</v>
      </c>
      <c r="M757" s="86">
        <v>1.0</v>
      </c>
      <c r="N757" s="88">
        <v>10.0</v>
      </c>
    </row>
    <row r="758">
      <c r="A758" s="92" t="s">
        <v>50</v>
      </c>
      <c r="B758" s="86"/>
      <c r="C758" s="86">
        <v>77.0</v>
      </c>
      <c r="D758" s="86" t="s">
        <v>1160</v>
      </c>
      <c r="E758" s="86" t="s">
        <v>22</v>
      </c>
      <c r="F758" s="87">
        <v>37694.0</v>
      </c>
      <c r="G758" s="87">
        <v>43115.0</v>
      </c>
      <c r="H758" s="87">
        <v>43124.0</v>
      </c>
      <c r="I758" s="87">
        <v>43124.0</v>
      </c>
      <c r="J758" s="88">
        <v>9.99</v>
      </c>
      <c r="K758" s="88">
        <v>3.99</v>
      </c>
      <c r="L758" s="88">
        <v>6.0</v>
      </c>
      <c r="M758" s="86">
        <v>2.0</v>
      </c>
      <c r="N758" s="88">
        <v>2.0</v>
      </c>
    </row>
    <row r="759">
      <c r="A759" s="92" t="s">
        <v>50</v>
      </c>
      <c r="B759" s="86"/>
      <c r="C759" s="86">
        <v>132.0</v>
      </c>
      <c r="D759" s="86" t="s">
        <v>1167</v>
      </c>
      <c r="E759" s="86" t="s">
        <v>22</v>
      </c>
      <c r="F759" s="87">
        <v>38765.0</v>
      </c>
      <c r="G759" s="87">
        <v>44422.0</v>
      </c>
      <c r="H759" s="87">
        <v>44422.0</v>
      </c>
      <c r="I759" s="87">
        <v>44422.0</v>
      </c>
      <c r="J759" s="88">
        <v>9.99</v>
      </c>
      <c r="K759" s="88">
        <v>9.99</v>
      </c>
      <c r="L759" s="88">
        <v>0.0</v>
      </c>
      <c r="M759" s="86">
        <v>1.0</v>
      </c>
      <c r="N759" s="88">
        <v>9.99</v>
      </c>
    </row>
    <row r="760">
      <c r="A760" s="92" t="s">
        <v>50</v>
      </c>
      <c r="B760" s="86"/>
      <c r="C760" s="86">
        <v>153.0</v>
      </c>
      <c r="D760" s="86" t="s">
        <v>1170</v>
      </c>
      <c r="E760" s="86" t="s">
        <v>23</v>
      </c>
      <c r="F760" s="87">
        <v>38842.0</v>
      </c>
      <c r="G760" s="87">
        <v>42778.0</v>
      </c>
      <c r="H760" s="87">
        <v>42778.0</v>
      </c>
      <c r="I760" s="87">
        <v>42778.0</v>
      </c>
      <c r="J760" s="88">
        <v>7.99</v>
      </c>
      <c r="K760" s="88">
        <v>7.99</v>
      </c>
      <c r="L760" s="88">
        <v>0.0</v>
      </c>
      <c r="M760" s="86">
        <v>1.0</v>
      </c>
      <c r="N760" s="88">
        <v>7.99</v>
      </c>
    </row>
    <row r="761">
      <c r="A761" s="86" t="s">
        <v>50</v>
      </c>
      <c r="B761" s="86"/>
      <c r="C761" s="86">
        <v>173.0</v>
      </c>
      <c r="D761" s="86" t="s">
        <v>1171</v>
      </c>
      <c r="E761" s="86" t="s">
        <v>23</v>
      </c>
      <c r="F761" s="87">
        <v>38891.0</v>
      </c>
      <c r="G761" s="87">
        <v>42945.0</v>
      </c>
      <c r="H761" s="87">
        <v>42945.0</v>
      </c>
      <c r="I761" s="87">
        <v>45351.0</v>
      </c>
      <c r="J761" s="88">
        <v>14.99</v>
      </c>
      <c r="K761" s="88">
        <v>14.99</v>
      </c>
      <c r="L761" s="88">
        <v>0.0</v>
      </c>
      <c r="M761" s="86">
        <v>7.0</v>
      </c>
      <c r="N761" s="88">
        <v>2.14</v>
      </c>
    </row>
    <row r="762">
      <c r="A762" s="93" t="s">
        <v>50</v>
      </c>
      <c r="B762" s="86"/>
      <c r="C762" s="86">
        <v>358.0</v>
      </c>
      <c r="D762" s="86" t="s">
        <v>1186</v>
      </c>
      <c r="E762" s="86" t="s">
        <v>24</v>
      </c>
      <c r="F762" s="87">
        <v>39653.0</v>
      </c>
      <c r="G762" s="87">
        <v>44285.0</v>
      </c>
      <c r="H762" s="87">
        <v>44285.0</v>
      </c>
      <c r="I762" s="87">
        <v>44285.0</v>
      </c>
      <c r="J762" s="88">
        <v>12.99</v>
      </c>
      <c r="K762" s="88">
        <v>12.99</v>
      </c>
      <c r="L762" s="88">
        <v>0.0</v>
      </c>
      <c r="M762" s="86">
        <v>1.0</v>
      </c>
      <c r="N762" s="88">
        <v>12.99</v>
      </c>
    </row>
    <row r="763">
      <c r="A763" s="93" t="s">
        <v>50</v>
      </c>
      <c r="B763" s="86"/>
      <c r="C763" s="86">
        <v>406.0</v>
      </c>
      <c r="D763" s="86" t="s">
        <v>1208</v>
      </c>
      <c r="E763" s="86" t="s">
        <v>24</v>
      </c>
      <c r="F763" s="87">
        <v>41178.0</v>
      </c>
      <c r="G763" s="87">
        <v>41599.0</v>
      </c>
      <c r="H763" s="87">
        <v>41599.0</v>
      </c>
      <c r="I763" s="87">
        <v>44795.0</v>
      </c>
      <c r="J763" s="88">
        <v>12.99</v>
      </c>
      <c r="K763" s="88">
        <v>12.99</v>
      </c>
      <c r="L763" s="88">
        <v>0.0</v>
      </c>
      <c r="M763" s="86">
        <v>25.0</v>
      </c>
      <c r="N763" s="88">
        <v>0.52</v>
      </c>
    </row>
    <row r="764">
      <c r="A764" s="86" t="s">
        <v>50</v>
      </c>
      <c r="B764" s="86"/>
      <c r="C764" s="86">
        <v>444.0</v>
      </c>
      <c r="D764" s="86" t="s">
        <v>1225</v>
      </c>
      <c r="E764" s="86" t="s">
        <v>25</v>
      </c>
      <c r="F764" s="87">
        <v>41075.0</v>
      </c>
      <c r="G764" s="87">
        <v>45545.0</v>
      </c>
      <c r="H764" s="87">
        <v>45545.0</v>
      </c>
      <c r="I764" s="87">
        <v>45545.0</v>
      </c>
      <c r="J764" s="88">
        <v>29.99</v>
      </c>
      <c r="K764" s="88">
        <v>14.99</v>
      </c>
      <c r="L764" s="88">
        <v>15.0</v>
      </c>
      <c r="M764" s="86">
        <v>1.0</v>
      </c>
      <c r="N764" s="88">
        <v>14.99</v>
      </c>
    </row>
    <row r="765">
      <c r="A765" s="86" t="s">
        <v>50</v>
      </c>
      <c r="B765" s="86"/>
      <c r="C765" s="86">
        <v>921.0</v>
      </c>
      <c r="D765" s="86" t="s">
        <v>1236</v>
      </c>
      <c r="E765" s="86" t="s">
        <v>26</v>
      </c>
      <c r="F765" s="87">
        <v>41607.0</v>
      </c>
      <c r="G765" s="87">
        <v>43469.0</v>
      </c>
      <c r="H765" s="87">
        <v>43481.0</v>
      </c>
      <c r="I765" s="87">
        <v>43483.0</v>
      </c>
      <c r="J765" s="88">
        <v>0.0</v>
      </c>
      <c r="K765" s="88">
        <v>0.0</v>
      </c>
      <c r="L765" s="88">
        <v>0.0</v>
      </c>
      <c r="M765" s="86">
        <v>1.0</v>
      </c>
      <c r="N765" s="88">
        <v>0.0</v>
      </c>
    </row>
    <row r="766">
      <c r="A766" s="86" t="s">
        <v>50</v>
      </c>
      <c r="B766" s="86"/>
      <c r="C766" s="86">
        <v>693.0</v>
      </c>
      <c r="D766" s="86" t="s">
        <v>1235</v>
      </c>
      <c r="E766" s="86" t="s">
        <v>26</v>
      </c>
      <c r="F766" s="87">
        <v>41607.0</v>
      </c>
      <c r="G766" s="87">
        <v>44581.0</v>
      </c>
      <c r="H766" s="87">
        <v>44590.0</v>
      </c>
      <c r="I766" s="87">
        <v>44899.0</v>
      </c>
      <c r="J766" s="88">
        <v>19.99</v>
      </c>
      <c r="K766" s="88">
        <v>7.99</v>
      </c>
      <c r="L766" s="88">
        <v>12.0</v>
      </c>
      <c r="M766" s="86">
        <v>45.0</v>
      </c>
      <c r="N766" s="88">
        <v>0.18</v>
      </c>
    </row>
    <row r="767">
      <c r="A767" s="86" t="s">
        <v>50</v>
      </c>
      <c r="B767" s="86"/>
      <c r="C767" s="86">
        <v>915.0</v>
      </c>
      <c r="D767" s="86" t="s">
        <v>1242</v>
      </c>
      <c r="E767" s="86" t="s">
        <v>26</v>
      </c>
      <c r="F767" s="87">
        <v>42710.0</v>
      </c>
      <c r="G767" s="87">
        <v>44389.0</v>
      </c>
      <c r="H767" s="87">
        <v>44389.0</v>
      </c>
      <c r="I767" s="87">
        <v>44389.0</v>
      </c>
      <c r="J767" s="88">
        <v>34.99</v>
      </c>
      <c r="K767" s="88">
        <v>0.0</v>
      </c>
      <c r="L767" s="88">
        <v>34.99</v>
      </c>
      <c r="M767" s="86">
        <v>1.0</v>
      </c>
      <c r="N767" s="88">
        <v>0.0</v>
      </c>
    </row>
    <row r="768">
      <c r="A768" s="86" t="s">
        <v>50</v>
      </c>
      <c r="B768" s="86"/>
      <c r="C768" s="86">
        <v>694.0</v>
      </c>
      <c r="D768" s="86" t="s">
        <v>1250</v>
      </c>
      <c r="E768" s="86" t="s">
        <v>26</v>
      </c>
      <c r="F768" s="87">
        <v>42984.0</v>
      </c>
      <c r="G768" s="87">
        <v>44581.0</v>
      </c>
      <c r="H768" s="87">
        <v>44899.0</v>
      </c>
      <c r="I768" s="87">
        <v>44903.0</v>
      </c>
      <c r="J768" s="88">
        <v>39.99</v>
      </c>
      <c r="K768" s="88">
        <v>13.99</v>
      </c>
      <c r="L768" s="88">
        <v>26.0</v>
      </c>
      <c r="M768" s="86">
        <v>20.0</v>
      </c>
      <c r="N768" s="88">
        <v>0.7</v>
      </c>
    </row>
    <row r="769">
      <c r="A769" s="86" t="s">
        <v>50</v>
      </c>
      <c r="B769" s="86"/>
      <c r="C769" s="86">
        <v>1038.0</v>
      </c>
      <c r="D769" s="86" t="s">
        <v>1299</v>
      </c>
      <c r="E769" s="86" t="s">
        <v>27</v>
      </c>
      <c r="F769" s="87">
        <v>42656.0</v>
      </c>
      <c r="G769" s="87">
        <v>43462.0</v>
      </c>
      <c r="H769" s="87">
        <v>43469.0</v>
      </c>
      <c r="I769" s="87">
        <v>43483.0</v>
      </c>
      <c r="J769" s="88">
        <v>0.0</v>
      </c>
      <c r="K769" s="88">
        <v>0.0</v>
      </c>
      <c r="L769" s="88">
        <v>0.0</v>
      </c>
      <c r="M769" s="86">
        <v>1.0</v>
      </c>
      <c r="N769" s="88">
        <v>0.0</v>
      </c>
    </row>
    <row r="770">
      <c r="A770" s="86" t="s">
        <v>50</v>
      </c>
      <c r="B770" s="86"/>
      <c r="C770" s="86">
        <v>987.0</v>
      </c>
      <c r="D770" s="94" t="s">
        <v>1302</v>
      </c>
      <c r="E770" s="94" t="s">
        <v>27</v>
      </c>
      <c r="F770" s="87">
        <v>43375.0</v>
      </c>
      <c r="G770" s="87">
        <v>43477.0</v>
      </c>
      <c r="H770" s="87">
        <v>43477.0</v>
      </c>
      <c r="I770" s="87">
        <v>44236.0</v>
      </c>
      <c r="J770" s="94">
        <v>39.99</v>
      </c>
      <c r="K770" s="94">
        <v>4.79</v>
      </c>
      <c r="L770" s="88">
        <v>35.2</v>
      </c>
      <c r="M770" s="86">
        <v>15.0</v>
      </c>
      <c r="N770" s="88">
        <v>0.32</v>
      </c>
    </row>
    <row r="771">
      <c r="A771" s="93" t="s">
        <v>50</v>
      </c>
      <c r="B771" s="86"/>
      <c r="C771" s="86">
        <v>1054.0</v>
      </c>
      <c r="D771" s="86" t="s">
        <v>1304</v>
      </c>
      <c r="E771" s="86" t="s">
        <v>28</v>
      </c>
      <c r="F771" s="87">
        <v>44147.0</v>
      </c>
      <c r="G771" s="87">
        <v>44332.0</v>
      </c>
      <c r="H771" s="87">
        <v>44332.0</v>
      </c>
      <c r="I771" s="87">
        <v>44333.0</v>
      </c>
      <c r="J771" s="94">
        <v>0.0</v>
      </c>
      <c r="K771" s="94">
        <v>0.0</v>
      </c>
      <c r="L771" s="88">
        <v>0.0</v>
      </c>
      <c r="M771" s="86">
        <v>7.0</v>
      </c>
      <c r="N771" s="88">
        <v>0.0</v>
      </c>
    </row>
    <row r="772">
      <c r="A772" s="99" t="s">
        <v>50</v>
      </c>
      <c r="B772" s="92"/>
      <c r="C772" s="86">
        <v>1055.0</v>
      </c>
      <c r="D772" s="88" t="s">
        <v>1308</v>
      </c>
      <c r="E772" s="86" t="s">
        <v>28</v>
      </c>
      <c r="F772" s="87">
        <v>45541.0</v>
      </c>
      <c r="G772" s="87">
        <v>45506.0</v>
      </c>
      <c r="H772" s="87">
        <v>45541.0</v>
      </c>
      <c r="I772" s="87">
        <v>45852.0</v>
      </c>
      <c r="J772" s="94">
        <v>69.99</v>
      </c>
      <c r="K772" s="94">
        <v>0.0</v>
      </c>
      <c r="L772" s="88">
        <v>69.99</v>
      </c>
      <c r="M772" s="402">
        <v>21.0</v>
      </c>
      <c r="N772" s="88">
        <v>0.0</v>
      </c>
    </row>
    <row r="773">
      <c r="A773" s="96"/>
      <c r="B773" s="96"/>
      <c r="C773" s="90"/>
      <c r="D773" s="89"/>
      <c r="E773" s="89"/>
      <c r="F773" s="89"/>
      <c r="G773" s="89"/>
      <c r="H773" s="89"/>
      <c r="I773" s="89"/>
      <c r="J773" s="91">
        <f t="shared" ref="J773:M773" si="96">SUM(J757:J772)</f>
        <v>313.88</v>
      </c>
      <c r="K773" s="91">
        <f t="shared" si="96"/>
        <v>114.7</v>
      </c>
      <c r="L773" s="91">
        <f t="shared" si="96"/>
        <v>199.18</v>
      </c>
      <c r="M773" s="89">
        <f t="shared" si="96"/>
        <v>150</v>
      </c>
      <c r="N773" s="91">
        <f>K773/M773</f>
        <v>0.7646666667</v>
      </c>
    </row>
    <row r="774">
      <c r="A774" s="86" t="s">
        <v>50</v>
      </c>
      <c r="B774" s="86" t="s">
        <v>444</v>
      </c>
      <c r="C774" s="86">
        <v>158.0</v>
      </c>
      <c r="D774" s="86" t="s">
        <v>1179</v>
      </c>
      <c r="E774" s="86" t="s">
        <v>23</v>
      </c>
      <c r="F774" s="87">
        <v>40269.0</v>
      </c>
      <c r="G774" s="87">
        <v>42321.0</v>
      </c>
      <c r="H774" s="87">
        <v>42321.0</v>
      </c>
      <c r="I774" s="87">
        <v>42321.0</v>
      </c>
      <c r="J774" s="88">
        <v>14.99</v>
      </c>
      <c r="K774" s="88">
        <v>14.99</v>
      </c>
      <c r="L774" s="88">
        <v>0.0</v>
      </c>
      <c r="M774" s="86">
        <v>1.0</v>
      </c>
      <c r="N774" s="88">
        <v>14.99</v>
      </c>
    </row>
    <row r="775">
      <c r="A775" s="93" t="s">
        <v>50</v>
      </c>
      <c r="B775" s="86"/>
      <c r="C775" s="86">
        <v>219.0</v>
      </c>
      <c r="D775" s="86" t="s">
        <v>1209</v>
      </c>
      <c r="E775" s="86" t="s">
        <v>24</v>
      </c>
      <c r="F775" s="87">
        <v>41180.0</v>
      </c>
      <c r="G775" s="87">
        <v>41374.0</v>
      </c>
      <c r="H775" s="87">
        <v>41374.0</v>
      </c>
      <c r="I775" s="87">
        <v>43897.0</v>
      </c>
      <c r="J775" s="88">
        <v>59.98</v>
      </c>
      <c r="K775" s="88">
        <v>33.98</v>
      </c>
      <c r="L775" s="88">
        <v>26.0</v>
      </c>
      <c r="M775" s="86">
        <v>3.0</v>
      </c>
      <c r="N775" s="88">
        <v>11.33</v>
      </c>
    </row>
    <row r="776">
      <c r="A776" s="86" t="s">
        <v>50</v>
      </c>
      <c r="B776" s="86"/>
      <c r="C776" s="86">
        <v>771.0</v>
      </c>
      <c r="D776" s="86" t="s">
        <v>1263</v>
      </c>
      <c r="E776" s="86" t="s">
        <v>26</v>
      </c>
      <c r="F776" s="87">
        <v>43903.0</v>
      </c>
      <c r="G776" s="87">
        <v>44867.0</v>
      </c>
      <c r="H776" s="87">
        <v>44867.0</v>
      </c>
      <c r="I776" s="87">
        <v>44867.0</v>
      </c>
      <c r="J776" s="88">
        <v>59.99</v>
      </c>
      <c r="K776" s="88">
        <v>0.0</v>
      </c>
      <c r="L776" s="88">
        <v>59.99</v>
      </c>
      <c r="M776" s="86">
        <v>1.0</v>
      </c>
      <c r="N776" s="88">
        <v>0.0</v>
      </c>
    </row>
    <row r="777">
      <c r="A777" s="96"/>
      <c r="B777" s="96"/>
      <c r="C777" s="90"/>
      <c r="D777" s="89"/>
      <c r="E777" s="89"/>
      <c r="F777" s="89"/>
      <c r="G777" s="89"/>
      <c r="H777" s="89"/>
      <c r="I777" s="89"/>
      <c r="J777" s="91">
        <f t="shared" ref="J777:M777" si="97">SUM(J774:J776)</f>
        <v>134.96</v>
      </c>
      <c r="K777" s="91">
        <f t="shared" si="97"/>
        <v>48.97</v>
      </c>
      <c r="L777" s="91">
        <f t="shared" si="97"/>
        <v>85.99</v>
      </c>
      <c r="M777" s="89">
        <f t="shared" si="97"/>
        <v>5</v>
      </c>
      <c r="N777" s="91">
        <f>K777/M777</f>
        <v>9.794</v>
      </c>
    </row>
    <row r="778">
      <c r="A778" s="92" t="s">
        <v>50</v>
      </c>
      <c r="B778" s="92" t="s">
        <v>445</v>
      </c>
      <c r="C778" s="86">
        <v>68.0</v>
      </c>
      <c r="D778" s="86" t="s">
        <v>1137</v>
      </c>
      <c r="E778" s="86" t="s">
        <v>21</v>
      </c>
      <c r="F778" s="87">
        <v>36035.0</v>
      </c>
      <c r="G778" s="87">
        <v>41568.0</v>
      </c>
      <c r="H778" s="87">
        <v>45655.0</v>
      </c>
      <c r="I778" s="87">
        <v>45662.0</v>
      </c>
      <c r="J778" s="88">
        <v>27.98</v>
      </c>
      <c r="K778" s="88">
        <v>4.99</v>
      </c>
      <c r="L778" s="88">
        <v>22.99</v>
      </c>
      <c r="M778" s="86">
        <v>18.0</v>
      </c>
      <c r="N778" s="88">
        <v>0.28</v>
      </c>
    </row>
    <row r="779">
      <c r="A779" s="92" t="s">
        <v>50</v>
      </c>
      <c r="B779" s="86"/>
      <c r="C779" s="86">
        <v>69.0</v>
      </c>
      <c r="D779" s="86" t="s">
        <v>1143</v>
      </c>
      <c r="E779" s="86" t="s">
        <v>21</v>
      </c>
      <c r="F779" s="87">
        <v>36693.0</v>
      </c>
      <c r="G779" s="87">
        <v>43373.0</v>
      </c>
      <c r="H779" s="87">
        <v>45793.0</v>
      </c>
      <c r="I779" s="87">
        <v>45793.0</v>
      </c>
      <c r="J779" s="88">
        <v>7.99</v>
      </c>
      <c r="K779" s="88">
        <v>7.99</v>
      </c>
      <c r="L779" s="88">
        <v>0.0</v>
      </c>
      <c r="M779" s="86">
        <v>2.0</v>
      </c>
      <c r="N779" s="88">
        <v>4.0</v>
      </c>
    </row>
    <row r="780">
      <c r="A780" s="96"/>
      <c r="B780" s="96"/>
      <c r="C780" s="90"/>
      <c r="D780" s="89"/>
      <c r="E780" s="89"/>
      <c r="F780" s="89"/>
      <c r="G780" s="89"/>
      <c r="H780" s="89"/>
      <c r="I780" s="89"/>
      <c r="J780" s="91">
        <f t="shared" ref="J780:M780" si="98">SUM(J778:J779)</f>
        <v>35.97</v>
      </c>
      <c r="K780" s="91">
        <f t="shared" si="98"/>
        <v>12.98</v>
      </c>
      <c r="L780" s="91">
        <f t="shared" si="98"/>
        <v>22.99</v>
      </c>
      <c r="M780" s="89">
        <f t="shared" si="98"/>
        <v>20</v>
      </c>
      <c r="N780" s="91">
        <f>K780/M780</f>
        <v>0.649</v>
      </c>
    </row>
    <row r="781">
      <c r="A781" s="93" t="s">
        <v>50</v>
      </c>
      <c r="B781" s="86" t="s">
        <v>446</v>
      </c>
      <c r="C781" s="86">
        <v>491.0</v>
      </c>
      <c r="D781" s="86" t="s">
        <v>1230</v>
      </c>
      <c r="E781" s="86" t="s">
        <v>25</v>
      </c>
      <c r="F781" s="87">
        <v>42613.0</v>
      </c>
      <c r="G781" s="87">
        <v>43373.0</v>
      </c>
      <c r="H781" s="87">
        <v>43373.0</v>
      </c>
      <c r="I781" s="87">
        <v>43373.0</v>
      </c>
      <c r="J781" s="88">
        <v>9.99</v>
      </c>
      <c r="K781" s="88">
        <v>9.99</v>
      </c>
      <c r="L781" s="88">
        <v>0.0</v>
      </c>
      <c r="M781" s="86">
        <v>5.0</v>
      </c>
      <c r="N781" s="88">
        <v>2.0</v>
      </c>
    </row>
    <row r="782">
      <c r="A782" s="92" t="s">
        <v>50</v>
      </c>
      <c r="B782" s="86" t="s">
        <v>447</v>
      </c>
      <c r="C782" s="86">
        <v>76.0</v>
      </c>
      <c r="D782" s="86" t="s">
        <v>1147</v>
      </c>
      <c r="E782" s="86" t="s">
        <v>21</v>
      </c>
      <c r="F782" s="87">
        <v>36861.0</v>
      </c>
      <c r="G782" s="87">
        <v>40538.0</v>
      </c>
      <c r="H782" s="87">
        <v>40538.0</v>
      </c>
      <c r="I782" s="87">
        <v>40538.0</v>
      </c>
      <c r="J782" s="88">
        <v>9.99</v>
      </c>
      <c r="K782" s="88">
        <v>9.99</v>
      </c>
      <c r="L782" s="88">
        <v>0.0</v>
      </c>
      <c r="M782" s="86">
        <v>45.0</v>
      </c>
      <c r="N782" s="88">
        <v>0.22</v>
      </c>
    </row>
    <row r="783">
      <c r="A783" s="93" t="s">
        <v>50</v>
      </c>
      <c r="B783" s="86"/>
      <c r="C783" s="86">
        <v>412.0</v>
      </c>
      <c r="D783" s="86" t="s">
        <v>1187</v>
      </c>
      <c r="E783" s="86" t="s">
        <v>24</v>
      </c>
      <c r="F783" s="87">
        <v>39955.0</v>
      </c>
      <c r="G783" s="87">
        <v>44115.0</v>
      </c>
      <c r="H783" s="87">
        <v>44425.0</v>
      </c>
      <c r="I783" s="87">
        <v>44425.0</v>
      </c>
      <c r="J783" s="88">
        <v>19.99</v>
      </c>
      <c r="K783" s="88">
        <v>2.0</v>
      </c>
      <c r="L783" s="88">
        <v>17.99</v>
      </c>
      <c r="M783" s="86">
        <v>12.0</v>
      </c>
      <c r="N783" s="88">
        <v>0.17</v>
      </c>
    </row>
    <row r="784">
      <c r="A784" s="96"/>
      <c r="B784" s="96"/>
      <c r="C784" s="90"/>
      <c r="D784" s="89"/>
      <c r="E784" s="89"/>
      <c r="F784" s="89"/>
      <c r="G784" s="89"/>
      <c r="H784" s="89"/>
      <c r="I784" s="89"/>
      <c r="J784" s="91">
        <f t="shared" ref="J784:M784" si="99">SUM(J782:J783)</f>
        <v>29.98</v>
      </c>
      <c r="K784" s="91">
        <f t="shared" si="99"/>
        <v>11.99</v>
      </c>
      <c r="L784" s="91">
        <f t="shared" si="99"/>
        <v>17.99</v>
      </c>
      <c r="M784" s="89">
        <f t="shared" si="99"/>
        <v>57</v>
      </c>
      <c r="N784" s="91">
        <f>K784/M784</f>
        <v>0.2103508772</v>
      </c>
    </row>
    <row r="785">
      <c r="A785" s="333"/>
      <c r="B785" s="331"/>
      <c r="C785" s="332"/>
      <c r="D785" s="333"/>
      <c r="E785" s="333"/>
      <c r="F785" s="333"/>
      <c r="G785" s="333"/>
      <c r="H785" s="333"/>
      <c r="I785" s="333"/>
      <c r="J785" s="334"/>
      <c r="K785" s="334"/>
      <c r="L785" s="334"/>
      <c r="M785" s="333"/>
      <c r="N785" s="334"/>
    </row>
    <row r="786">
      <c r="A786" s="357" t="s">
        <v>449</v>
      </c>
      <c r="B786" s="357" t="s">
        <v>448</v>
      </c>
      <c r="C786" s="357">
        <v>474.0</v>
      </c>
      <c r="D786" s="357" t="s">
        <v>1311</v>
      </c>
      <c r="E786" s="357" t="s">
        <v>25</v>
      </c>
      <c r="F786" s="365">
        <v>42318.0</v>
      </c>
      <c r="G786" s="365">
        <v>42875.0</v>
      </c>
      <c r="H786" s="365">
        <v>45062.0</v>
      </c>
      <c r="I786" s="365">
        <v>45069.0</v>
      </c>
      <c r="J786" s="366">
        <v>49.98</v>
      </c>
      <c r="K786" s="366">
        <v>12.98</v>
      </c>
      <c r="L786" s="366">
        <v>37.0</v>
      </c>
      <c r="M786" s="357">
        <v>20.0</v>
      </c>
      <c r="N786" s="366">
        <v>0.65</v>
      </c>
    </row>
    <row r="787">
      <c r="A787" s="357" t="s">
        <v>449</v>
      </c>
      <c r="B787" s="357" t="s">
        <v>450</v>
      </c>
      <c r="C787" s="357">
        <v>840.0</v>
      </c>
      <c r="D787" s="357" t="s">
        <v>1312</v>
      </c>
      <c r="E787" s="357" t="s">
        <v>26</v>
      </c>
      <c r="F787" s="365">
        <v>44490.0</v>
      </c>
      <c r="G787" s="365">
        <v>45385.0</v>
      </c>
      <c r="H787" s="365">
        <v>45385.0</v>
      </c>
      <c r="I787" s="365">
        <v>45385.0</v>
      </c>
      <c r="J787" s="366">
        <v>16.99</v>
      </c>
      <c r="K787" s="366">
        <v>0.0</v>
      </c>
      <c r="L787" s="366">
        <v>16.99</v>
      </c>
      <c r="M787" s="357">
        <v>1.0</v>
      </c>
      <c r="N787" s="366">
        <v>0.0</v>
      </c>
    </row>
    <row r="788">
      <c r="A788" s="357"/>
      <c r="B788" s="357"/>
      <c r="C788" s="358"/>
      <c r="D788" s="359"/>
      <c r="E788" s="359"/>
      <c r="F788" s="359"/>
      <c r="G788" s="359"/>
      <c r="H788" s="359"/>
      <c r="I788" s="359"/>
      <c r="J788" s="360"/>
      <c r="K788" s="360"/>
      <c r="L788" s="360"/>
      <c r="M788" s="359"/>
      <c r="N788" s="360"/>
    </row>
    <row r="789">
      <c r="A789" s="407" t="s">
        <v>452</v>
      </c>
      <c r="B789" s="407" t="s">
        <v>451</v>
      </c>
      <c r="C789" s="407">
        <v>670.0</v>
      </c>
      <c r="D789" s="407" t="s">
        <v>1313</v>
      </c>
      <c r="E789" s="407" t="s">
        <v>26</v>
      </c>
      <c r="F789" s="408">
        <v>42864.0</v>
      </c>
      <c r="G789" s="408">
        <v>42954.0</v>
      </c>
      <c r="H789" s="408">
        <v>42959.0</v>
      </c>
      <c r="I789" s="408">
        <v>44433.0</v>
      </c>
      <c r="J789" s="409">
        <v>14.99</v>
      </c>
      <c r="K789" s="409">
        <v>9.99</v>
      </c>
      <c r="L789" s="409">
        <v>5.0</v>
      </c>
      <c r="M789" s="407">
        <v>8.0</v>
      </c>
      <c r="N789" s="409">
        <v>1.25</v>
      </c>
    </row>
    <row r="790">
      <c r="A790" s="321"/>
      <c r="B790" s="321"/>
      <c r="C790" s="321"/>
      <c r="D790" s="321"/>
      <c r="E790" s="323"/>
      <c r="F790" s="323"/>
      <c r="G790" s="323"/>
      <c r="H790" s="323"/>
      <c r="I790" s="323"/>
      <c r="J790" s="324"/>
      <c r="K790" s="324"/>
      <c r="L790" s="324"/>
      <c r="M790" s="323"/>
      <c r="N790" s="324"/>
    </row>
    <row r="791">
      <c r="A791" s="86" t="s">
        <v>454</v>
      </c>
      <c r="B791" s="410" t="s">
        <v>453</v>
      </c>
      <c r="C791" s="86">
        <v>839.0</v>
      </c>
      <c r="D791" s="86" t="s">
        <v>1314</v>
      </c>
      <c r="E791" s="86" t="s">
        <v>26</v>
      </c>
      <c r="F791" s="87">
        <v>44258.0</v>
      </c>
      <c r="G791" s="87">
        <v>44351.0</v>
      </c>
      <c r="H791" s="87">
        <v>44351.0</v>
      </c>
      <c r="I791" s="87">
        <v>44354.0</v>
      </c>
      <c r="J791" s="88">
        <v>9.99</v>
      </c>
      <c r="K791" s="88">
        <v>6.99</v>
      </c>
      <c r="L791" s="88">
        <v>3.0</v>
      </c>
      <c r="M791" s="86">
        <v>3.0</v>
      </c>
      <c r="N791" s="88">
        <v>2.33</v>
      </c>
    </row>
    <row r="792">
      <c r="A792" s="331"/>
      <c r="B792" s="331"/>
      <c r="C792" s="332"/>
      <c r="D792" s="333"/>
      <c r="E792" s="331"/>
      <c r="F792" s="331"/>
      <c r="G792" s="331"/>
      <c r="H792" s="331"/>
      <c r="I792" s="331"/>
      <c r="J792" s="334"/>
      <c r="K792" s="334"/>
      <c r="L792" s="334"/>
      <c r="M792" s="333"/>
      <c r="N792" s="334"/>
    </row>
    <row r="793">
      <c r="A793" s="411" t="s">
        <v>456</v>
      </c>
      <c r="B793" s="335" t="s">
        <v>455</v>
      </c>
      <c r="C793" s="335">
        <v>687.0</v>
      </c>
      <c r="D793" s="335" t="s">
        <v>1315</v>
      </c>
      <c r="E793" s="335" t="s">
        <v>26</v>
      </c>
      <c r="F793" s="336">
        <v>43116.0</v>
      </c>
      <c r="G793" s="336">
        <v>43548.0</v>
      </c>
      <c r="H793" s="336">
        <v>43548.0</v>
      </c>
      <c r="I793" s="336">
        <v>43548.0</v>
      </c>
      <c r="J793" s="337">
        <v>39.99</v>
      </c>
      <c r="K793" s="337">
        <v>19.99</v>
      </c>
      <c r="L793" s="337">
        <v>20.0</v>
      </c>
      <c r="M793" s="335">
        <v>2.0</v>
      </c>
      <c r="N793" s="337">
        <v>10.0</v>
      </c>
    </row>
    <row r="794">
      <c r="A794" s="329"/>
      <c r="B794" s="328"/>
      <c r="C794" s="328"/>
      <c r="D794" s="328"/>
      <c r="E794" s="328"/>
      <c r="F794" s="328"/>
      <c r="G794" s="328"/>
      <c r="H794" s="328"/>
      <c r="I794" s="328"/>
      <c r="J794" s="353"/>
      <c r="K794" s="353"/>
      <c r="L794" s="353"/>
      <c r="M794" s="329"/>
      <c r="N794" s="353"/>
    </row>
    <row r="795">
      <c r="A795" s="101" t="s">
        <v>53</v>
      </c>
      <c r="B795" s="101" t="s">
        <v>457</v>
      </c>
      <c r="C795" s="101">
        <v>446.0</v>
      </c>
      <c r="D795" s="101" t="s">
        <v>1317</v>
      </c>
      <c r="E795" s="101" t="s">
        <v>25</v>
      </c>
      <c r="F795" s="102">
        <v>41689.0</v>
      </c>
      <c r="G795" s="102">
        <v>42832.0</v>
      </c>
      <c r="H795" s="102">
        <v>45054.0</v>
      </c>
      <c r="I795" s="102">
        <v>45054.0</v>
      </c>
      <c r="J795" s="103">
        <v>2.49</v>
      </c>
      <c r="K795" s="103">
        <v>2.49</v>
      </c>
      <c r="L795" s="103">
        <v>0.0</v>
      </c>
      <c r="M795" s="101">
        <v>5.0</v>
      </c>
      <c r="N795" s="103">
        <v>0.5</v>
      </c>
    </row>
    <row r="796">
      <c r="A796" s="412" t="s">
        <v>53</v>
      </c>
      <c r="B796" s="101" t="s">
        <v>458</v>
      </c>
      <c r="C796" s="101">
        <v>107.0</v>
      </c>
      <c r="D796" s="101" t="s">
        <v>1316</v>
      </c>
      <c r="E796" s="101" t="s">
        <v>22</v>
      </c>
      <c r="F796" s="102">
        <v>38317.0</v>
      </c>
      <c r="G796" s="102">
        <v>44292.0</v>
      </c>
      <c r="H796" s="102">
        <v>44292.0</v>
      </c>
      <c r="I796" s="102">
        <v>44292.0</v>
      </c>
      <c r="J796" s="103">
        <v>12.99</v>
      </c>
      <c r="K796" s="103">
        <v>12.99</v>
      </c>
      <c r="L796" s="103">
        <v>0.0</v>
      </c>
      <c r="M796" s="101">
        <v>2.0</v>
      </c>
      <c r="N796" s="103">
        <v>6.5</v>
      </c>
    </row>
    <row r="797">
      <c r="A797" s="101" t="s">
        <v>53</v>
      </c>
      <c r="B797" s="101"/>
      <c r="C797" s="101">
        <v>665.0</v>
      </c>
      <c r="D797" s="101" t="s">
        <v>1320</v>
      </c>
      <c r="E797" s="101" t="s">
        <v>26</v>
      </c>
      <c r="F797" s="102">
        <v>42795.0</v>
      </c>
      <c r="G797" s="102">
        <v>42870.0</v>
      </c>
      <c r="H797" s="102">
        <v>42870.0</v>
      </c>
      <c r="I797" s="102">
        <v>44943.0</v>
      </c>
      <c r="J797" s="103">
        <v>34.98</v>
      </c>
      <c r="K797" s="103">
        <v>27.98</v>
      </c>
      <c r="L797" s="103">
        <v>7.0</v>
      </c>
      <c r="M797" s="101">
        <v>100.0</v>
      </c>
      <c r="N797" s="103">
        <v>0.28</v>
      </c>
    </row>
    <row r="798">
      <c r="A798" s="100" t="s">
        <v>53</v>
      </c>
      <c r="B798" s="100"/>
      <c r="C798" s="101">
        <v>666.0</v>
      </c>
      <c r="D798" s="101" t="s">
        <v>1321</v>
      </c>
      <c r="E798" s="101" t="s">
        <v>26</v>
      </c>
      <c r="F798" s="102">
        <v>44610.0</v>
      </c>
      <c r="G798" s="102">
        <v>44923.0</v>
      </c>
      <c r="H798" s="102">
        <v>44946.0</v>
      </c>
      <c r="I798" s="102">
        <v>45630.0</v>
      </c>
      <c r="J798" s="103">
        <v>79.99</v>
      </c>
      <c r="K798" s="103">
        <v>49.59</v>
      </c>
      <c r="L798" s="103">
        <v>30.4</v>
      </c>
      <c r="M798" s="101">
        <v>67.0</v>
      </c>
      <c r="N798" s="103">
        <v>0.74</v>
      </c>
    </row>
    <row r="799">
      <c r="A799" s="104"/>
      <c r="B799" s="104"/>
      <c r="C799" s="105"/>
      <c r="D799" s="106"/>
      <c r="E799" s="1"/>
      <c r="F799" s="1"/>
      <c r="G799" s="1"/>
      <c r="H799" s="1"/>
      <c r="I799" s="1"/>
      <c r="J799" s="107">
        <f t="shared" ref="J799:M799" si="100">SUM(J796:J798)</f>
        <v>127.96</v>
      </c>
      <c r="K799" s="107">
        <f t="shared" si="100"/>
        <v>90.56</v>
      </c>
      <c r="L799" s="107">
        <f t="shared" si="100"/>
        <v>37.4</v>
      </c>
      <c r="M799" s="106">
        <f t="shared" si="100"/>
        <v>169</v>
      </c>
      <c r="N799" s="107">
        <f>K799/M799</f>
        <v>0.5358579882</v>
      </c>
    </row>
    <row r="800">
      <c r="A800" s="101" t="s">
        <v>53</v>
      </c>
      <c r="B800" s="101" t="s">
        <v>459</v>
      </c>
      <c r="C800" s="101">
        <v>1041.0</v>
      </c>
      <c r="D800" s="101" t="s">
        <v>1323</v>
      </c>
      <c r="E800" s="101" t="s">
        <v>27</v>
      </c>
      <c r="F800" s="102">
        <v>43333.0</v>
      </c>
      <c r="G800" s="102">
        <v>43804.0</v>
      </c>
      <c r="H800" s="102">
        <v>43804.0</v>
      </c>
      <c r="I800" s="102">
        <v>43804.0</v>
      </c>
      <c r="J800" s="103">
        <v>19.99</v>
      </c>
      <c r="K800" s="103">
        <v>8.99</v>
      </c>
      <c r="L800" s="103">
        <v>11.0</v>
      </c>
      <c r="M800" s="101">
        <v>1.0</v>
      </c>
      <c r="N800" s="103">
        <v>8.99</v>
      </c>
    </row>
    <row r="801">
      <c r="A801" s="101" t="s">
        <v>53</v>
      </c>
      <c r="B801" s="101"/>
      <c r="C801" s="101">
        <v>1042.0</v>
      </c>
      <c r="D801" s="101" t="s">
        <v>1324</v>
      </c>
      <c r="E801" s="101" t="s">
        <v>27</v>
      </c>
      <c r="F801" s="102">
        <v>44434.0</v>
      </c>
      <c r="G801" s="102">
        <v>44517.0</v>
      </c>
      <c r="H801" s="102">
        <v>44630.0</v>
      </c>
      <c r="I801" s="102">
        <v>44678.0</v>
      </c>
      <c r="J801" s="103">
        <v>19.99</v>
      </c>
      <c r="K801" s="103">
        <v>12.99</v>
      </c>
      <c r="L801" s="103">
        <v>7.0</v>
      </c>
      <c r="M801" s="101">
        <v>1.0</v>
      </c>
      <c r="N801" s="103">
        <v>12.99</v>
      </c>
    </row>
    <row r="802">
      <c r="A802" s="104"/>
      <c r="B802" s="104"/>
      <c r="C802" s="105"/>
      <c r="D802" s="106"/>
      <c r="E802" s="106"/>
      <c r="F802" s="106"/>
      <c r="G802" s="106"/>
      <c r="H802" s="106"/>
      <c r="I802" s="106"/>
      <c r="J802" s="107">
        <f t="shared" ref="J802:M802" si="101">SUM(J800:J801)</f>
        <v>39.98</v>
      </c>
      <c r="K802" s="107">
        <f t="shared" si="101"/>
        <v>21.98</v>
      </c>
      <c r="L802" s="107">
        <f t="shared" si="101"/>
        <v>18</v>
      </c>
      <c r="M802" s="106">
        <f t="shared" si="101"/>
        <v>2</v>
      </c>
      <c r="N802" s="107">
        <f t="shared" ref="N802:N803" si="102">K802/M802</f>
        <v>10.99</v>
      </c>
    </row>
    <row r="803">
      <c r="A803" s="59" t="s">
        <v>53</v>
      </c>
      <c r="B803" s="59" t="s">
        <v>54</v>
      </c>
      <c r="C803" s="59">
        <v>180.0</v>
      </c>
      <c r="D803" s="59" t="s">
        <v>55</v>
      </c>
      <c r="E803" s="59" t="s">
        <v>24</v>
      </c>
      <c r="F803" s="60">
        <v>41770.0</v>
      </c>
      <c r="G803" s="60">
        <v>45048.0</v>
      </c>
      <c r="H803" s="60">
        <v>46047.0</v>
      </c>
      <c r="I803" s="60">
        <v>46047.0</v>
      </c>
      <c r="J803" s="61">
        <v>14.99</v>
      </c>
      <c r="K803" s="61">
        <v>1.49</v>
      </c>
      <c r="L803" s="61">
        <v>13.5</v>
      </c>
      <c r="M803" s="59">
        <v>2.0</v>
      </c>
      <c r="N803" s="61">
        <f t="shared" si="102"/>
        <v>0.745</v>
      </c>
    </row>
    <row r="804">
      <c r="A804" s="100" t="s">
        <v>53</v>
      </c>
      <c r="B804" s="100"/>
      <c r="C804" s="101">
        <v>581.0</v>
      </c>
      <c r="D804" s="101" t="s">
        <v>133</v>
      </c>
      <c r="E804" s="101" t="s">
        <v>26</v>
      </c>
      <c r="F804" s="102">
        <v>44068.0</v>
      </c>
      <c r="G804" s="102">
        <v>45048.0</v>
      </c>
      <c r="H804" s="102">
        <v>45737.0</v>
      </c>
      <c r="I804" s="102">
        <v>45753.0</v>
      </c>
      <c r="J804" s="103">
        <v>21.99</v>
      </c>
      <c r="K804" s="103">
        <v>0.0</v>
      </c>
      <c r="L804" s="103">
        <v>21.99</v>
      </c>
      <c r="M804" s="101">
        <v>19.0</v>
      </c>
      <c r="N804" s="103">
        <v>0.0</v>
      </c>
    </row>
    <row r="805">
      <c r="A805" s="104"/>
      <c r="B805" s="104"/>
      <c r="C805" s="105"/>
      <c r="D805" s="106"/>
      <c r="E805" s="106"/>
      <c r="F805" s="106"/>
      <c r="G805" s="106"/>
      <c r="H805" s="106"/>
      <c r="I805" s="106"/>
      <c r="J805" s="107">
        <f t="shared" ref="J805:M805" si="103">SUM(J803:J804)</f>
        <v>36.98</v>
      </c>
      <c r="K805" s="107">
        <f t="shared" si="103"/>
        <v>1.49</v>
      </c>
      <c r="L805" s="107">
        <f t="shared" si="103"/>
        <v>35.49</v>
      </c>
      <c r="M805" s="106">
        <f t="shared" si="103"/>
        <v>21</v>
      </c>
      <c r="N805" s="107">
        <f>K805/M805</f>
        <v>0.07095238095</v>
      </c>
    </row>
    <row r="806">
      <c r="A806" s="101" t="s">
        <v>53</v>
      </c>
      <c r="B806" s="101" t="s">
        <v>460</v>
      </c>
      <c r="C806" s="101">
        <v>528.0</v>
      </c>
      <c r="D806" s="101" t="s">
        <v>1318</v>
      </c>
      <c r="E806" s="101" t="s">
        <v>26</v>
      </c>
      <c r="F806" s="102">
        <v>42255.0</v>
      </c>
      <c r="G806" s="102">
        <v>42939.0</v>
      </c>
      <c r="H806" s="102">
        <v>42939.0</v>
      </c>
      <c r="I806" s="102">
        <v>42939.0</v>
      </c>
      <c r="J806" s="103">
        <v>12.99</v>
      </c>
      <c r="K806" s="103">
        <v>3.99</v>
      </c>
      <c r="L806" s="103">
        <v>9.0</v>
      </c>
      <c r="M806" s="101">
        <v>1.0</v>
      </c>
      <c r="N806" s="103">
        <v>3.99</v>
      </c>
    </row>
    <row r="807">
      <c r="A807" s="101" t="s">
        <v>53</v>
      </c>
      <c r="B807" s="101" t="s">
        <v>461</v>
      </c>
      <c r="C807" s="101">
        <v>986.0</v>
      </c>
      <c r="D807" s="101" t="s">
        <v>1322</v>
      </c>
      <c r="E807" s="101" t="s">
        <v>27</v>
      </c>
      <c r="F807" s="102">
        <v>42710.0</v>
      </c>
      <c r="G807" s="102">
        <v>44516.0</v>
      </c>
      <c r="H807" s="102">
        <v>44860.0</v>
      </c>
      <c r="I807" s="102">
        <v>44860.0</v>
      </c>
      <c r="J807" s="103">
        <v>44.99</v>
      </c>
      <c r="K807" s="103">
        <v>11.24</v>
      </c>
      <c r="L807" s="103">
        <v>33.75</v>
      </c>
      <c r="M807" s="101">
        <v>1.0</v>
      </c>
      <c r="N807" s="103">
        <v>11.24</v>
      </c>
    </row>
    <row r="808">
      <c r="A808" s="101" t="s">
        <v>53</v>
      </c>
      <c r="B808" s="101" t="s">
        <v>462</v>
      </c>
      <c r="C808" s="101">
        <v>942.0</v>
      </c>
      <c r="D808" s="101" t="s">
        <v>1319</v>
      </c>
      <c r="E808" s="101" t="s">
        <v>26</v>
      </c>
      <c r="F808" s="102">
        <v>42584.0</v>
      </c>
      <c r="G808" s="102">
        <v>42754.0</v>
      </c>
      <c r="H808" s="102">
        <v>42757.0</v>
      </c>
      <c r="I808" s="102">
        <v>44664.0</v>
      </c>
      <c r="J808" s="103">
        <v>14.99</v>
      </c>
      <c r="K808" s="103">
        <v>5.99</v>
      </c>
      <c r="L808" s="103">
        <v>9.0</v>
      </c>
      <c r="M808" s="101">
        <v>2.0</v>
      </c>
      <c r="N808" s="103">
        <v>3.0</v>
      </c>
    </row>
    <row r="809">
      <c r="A809" s="413"/>
      <c r="B809" s="413"/>
      <c r="C809" s="414"/>
      <c r="D809" s="415"/>
      <c r="E809" s="415"/>
      <c r="F809" s="415"/>
      <c r="G809" s="415"/>
      <c r="H809" s="415"/>
      <c r="I809" s="415"/>
      <c r="J809" s="416"/>
      <c r="K809" s="416"/>
      <c r="L809" s="416"/>
      <c r="M809" s="415"/>
      <c r="N809" s="416"/>
    </row>
    <row r="810">
      <c r="A810" s="12" t="s">
        <v>464</v>
      </c>
      <c r="B810" s="12" t="s">
        <v>463</v>
      </c>
      <c r="C810" s="12">
        <v>1050.0</v>
      </c>
      <c r="D810" s="12" t="s">
        <v>1325</v>
      </c>
      <c r="E810" s="12" t="s">
        <v>27</v>
      </c>
      <c r="F810" s="379">
        <v>44588.0</v>
      </c>
      <c r="G810" s="379">
        <v>44678.0</v>
      </c>
      <c r="H810" s="379">
        <v>44678.0</v>
      </c>
      <c r="I810" s="379">
        <v>44678.0</v>
      </c>
      <c r="J810" s="380">
        <v>39.99</v>
      </c>
      <c r="K810" s="380">
        <v>19.99</v>
      </c>
      <c r="L810" s="380">
        <v>20.0</v>
      </c>
      <c r="M810" s="12">
        <v>1.0</v>
      </c>
      <c r="N810" s="380">
        <v>19.99</v>
      </c>
    </row>
    <row r="811">
      <c r="A811" s="34"/>
      <c r="B811" s="34"/>
      <c r="C811" s="382"/>
      <c r="D811" s="24"/>
      <c r="E811" s="24"/>
      <c r="F811" s="24"/>
      <c r="G811" s="24"/>
      <c r="H811" s="24"/>
      <c r="I811" s="24"/>
      <c r="J811" s="383"/>
      <c r="K811" s="383"/>
      <c r="L811" s="383"/>
      <c r="M811" s="24"/>
      <c r="N811" s="383"/>
    </row>
    <row r="812">
      <c r="A812" s="86" t="s">
        <v>466</v>
      </c>
      <c r="B812" s="86" t="s">
        <v>465</v>
      </c>
      <c r="C812" s="86">
        <v>876.0</v>
      </c>
      <c r="D812" s="86" t="s">
        <v>1326</v>
      </c>
      <c r="E812" s="86" t="s">
        <v>26</v>
      </c>
      <c r="F812" s="87">
        <v>43625.0</v>
      </c>
      <c r="G812" s="87">
        <v>44431.0</v>
      </c>
      <c r="H812" s="87">
        <v>44436.0</v>
      </c>
      <c r="I812" s="87">
        <v>44446.0</v>
      </c>
      <c r="J812" s="88">
        <v>19.99</v>
      </c>
      <c r="K812" s="88">
        <v>11.99</v>
      </c>
      <c r="L812" s="88">
        <v>8.0</v>
      </c>
      <c r="M812" s="86">
        <v>8.0</v>
      </c>
      <c r="N812" s="88">
        <v>1.5</v>
      </c>
    </row>
    <row r="813">
      <c r="A813" s="417" t="s">
        <v>466</v>
      </c>
      <c r="B813" s="93"/>
      <c r="C813" s="86">
        <v>1071.0</v>
      </c>
      <c r="D813" s="86" t="s">
        <v>1327</v>
      </c>
      <c r="E813" s="86" t="s">
        <v>28</v>
      </c>
      <c r="F813" s="87">
        <v>45568.0</v>
      </c>
      <c r="G813" s="87">
        <v>45602.0</v>
      </c>
      <c r="H813" s="87">
        <v>45604.0</v>
      </c>
      <c r="I813" s="87">
        <v>45623.0</v>
      </c>
      <c r="J813" s="94">
        <v>34.99</v>
      </c>
      <c r="K813" s="94">
        <v>23.44</v>
      </c>
      <c r="L813" s="94">
        <v>11.55</v>
      </c>
      <c r="M813" s="86">
        <v>34.0</v>
      </c>
      <c r="N813" s="88">
        <v>0.69</v>
      </c>
    </row>
    <row r="814">
      <c r="A814" s="96"/>
      <c r="B814" s="96"/>
      <c r="C814" s="90"/>
      <c r="D814" s="89"/>
      <c r="E814" s="89"/>
      <c r="F814" s="89"/>
      <c r="G814" s="89"/>
      <c r="H814" s="89"/>
      <c r="I814" s="89"/>
      <c r="J814" s="91">
        <f t="shared" ref="J814:M814" si="104">SUM(J812:J813)</f>
        <v>54.98</v>
      </c>
      <c r="K814" s="91">
        <f t="shared" si="104"/>
        <v>35.43</v>
      </c>
      <c r="L814" s="91">
        <f t="shared" si="104"/>
        <v>19.55</v>
      </c>
      <c r="M814" s="89">
        <f t="shared" si="104"/>
        <v>42</v>
      </c>
      <c r="N814" s="91">
        <f>K814/M814</f>
        <v>0.8435714286</v>
      </c>
    </row>
    <row r="815">
      <c r="A815" s="331"/>
      <c r="B815" s="331"/>
      <c r="C815" s="332"/>
      <c r="D815" s="333"/>
      <c r="E815" s="333"/>
      <c r="F815" s="333"/>
      <c r="G815" s="333"/>
      <c r="H815" s="333"/>
      <c r="I815" s="333"/>
      <c r="J815" s="334"/>
      <c r="K815" s="334"/>
      <c r="L815" s="334"/>
      <c r="M815" s="333"/>
      <c r="N815" s="334"/>
    </row>
    <row r="816">
      <c r="A816" s="96" t="s">
        <v>468</v>
      </c>
      <c r="B816" s="96" t="s">
        <v>467</v>
      </c>
      <c r="C816" s="96">
        <v>723.0</v>
      </c>
      <c r="D816" s="96" t="s">
        <v>1328</v>
      </c>
      <c r="E816" s="96" t="s">
        <v>26</v>
      </c>
      <c r="F816" s="325">
        <v>42654.0</v>
      </c>
      <c r="G816" s="325">
        <v>42951.0</v>
      </c>
      <c r="H816" s="325">
        <v>42998.0</v>
      </c>
      <c r="I816" s="325">
        <v>44385.0</v>
      </c>
      <c r="J816" s="326">
        <v>9.99</v>
      </c>
      <c r="K816" s="326">
        <v>4.99</v>
      </c>
      <c r="L816" s="326">
        <v>5.0</v>
      </c>
      <c r="M816" s="96">
        <v>10.0</v>
      </c>
      <c r="N816" s="326">
        <v>0.5</v>
      </c>
    </row>
    <row r="817">
      <c r="A817" s="89" t="s">
        <v>468</v>
      </c>
      <c r="B817" s="89"/>
      <c r="C817" s="96">
        <v>914.0</v>
      </c>
      <c r="D817" s="96" t="s">
        <v>1329</v>
      </c>
      <c r="E817" s="96" t="s">
        <v>26</v>
      </c>
      <c r="F817" s="325">
        <v>45561.0</v>
      </c>
      <c r="G817" s="325">
        <v>45651.0</v>
      </c>
      <c r="H817" s="325">
        <v>45694.0</v>
      </c>
      <c r="I817" s="325">
        <v>45697.0</v>
      </c>
      <c r="J817" s="95">
        <v>19.99</v>
      </c>
      <c r="K817" s="95">
        <v>0.0</v>
      </c>
      <c r="L817" s="95">
        <v>19.99</v>
      </c>
      <c r="M817" s="96">
        <v>13.0</v>
      </c>
      <c r="N817" s="95">
        <v>0.0</v>
      </c>
    </row>
    <row r="818">
      <c r="A818" s="22"/>
      <c r="B818" s="22"/>
      <c r="C818" s="361"/>
      <c r="D818" s="22"/>
      <c r="E818" s="22"/>
      <c r="F818" s="22"/>
      <c r="G818" s="22"/>
      <c r="H818" s="22"/>
      <c r="I818" s="22"/>
      <c r="J818" s="378">
        <f t="shared" ref="J818:M818" si="105">SUM(J816:J817)</f>
        <v>29.98</v>
      </c>
      <c r="K818" s="378">
        <f t="shared" si="105"/>
        <v>4.99</v>
      </c>
      <c r="L818" s="378">
        <f t="shared" si="105"/>
        <v>24.99</v>
      </c>
      <c r="M818" s="22">
        <f t="shared" si="105"/>
        <v>23</v>
      </c>
      <c r="N818" s="378">
        <f>K818/M818</f>
        <v>0.2169565217</v>
      </c>
    </row>
    <row r="819">
      <c r="A819" s="357"/>
      <c r="B819" s="357"/>
      <c r="C819" s="358"/>
      <c r="D819" s="359"/>
      <c r="E819" s="359"/>
      <c r="F819" s="359"/>
      <c r="G819" s="359"/>
      <c r="H819" s="359"/>
      <c r="I819" s="359"/>
      <c r="J819" s="360"/>
      <c r="K819" s="360"/>
      <c r="L819" s="360"/>
      <c r="M819" s="359"/>
      <c r="N819" s="360"/>
    </row>
    <row r="820">
      <c r="A820" s="96" t="s">
        <v>470</v>
      </c>
      <c r="B820" s="96" t="s">
        <v>469</v>
      </c>
      <c r="C820" s="96">
        <v>824.0</v>
      </c>
      <c r="D820" s="96" t="s">
        <v>1330</v>
      </c>
      <c r="E820" s="96" t="s">
        <v>26</v>
      </c>
      <c r="F820" s="325">
        <v>42752.0</v>
      </c>
      <c r="G820" s="325">
        <v>43519.0</v>
      </c>
      <c r="H820" s="325">
        <v>43520.0</v>
      </c>
      <c r="I820" s="325">
        <v>43520.0</v>
      </c>
      <c r="J820" s="326">
        <v>19.99</v>
      </c>
      <c r="K820" s="326">
        <v>3.99</v>
      </c>
      <c r="L820" s="326">
        <v>16.0</v>
      </c>
      <c r="M820" s="96">
        <v>3.0</v>
      </c>
      <c r="N820" s="326">
        <v>1.33</v>
      </c>
    </row>
    <row r="821">
      <c r="A821" s="89" t="s">
        <v>470</v>
      </c>
      <c r="B821" s="89"/>
      <c r="C821" s="89">
        <v>716.0</v>
      </c>
      <c r="D821" s="89" t="s">
        <v>1331</v>
      </c>
      <c r="E821" s="89" t="s">
        <v>26</v>
      </c>
      <c r="F821" s="325">
        <v>45562.0</v>
      </c>
      <c r="G821" s="325">
        <v>45878.0</v>
      </c>
      <c r="H821" s="325">
        <v>45919.0</v>
      </c>
      <c r="I821" s="325">
        <v>45921.0</v>
      </c>
      <c r="J821" s="175">
        <v>49.99</v>
      </c>
      <c r="K821" s="175">
        <v>17.49</v>
      </c>
      <c r="L821" s="175">
        <f>J821-K821</f>
        <v>32.5</v>
      </c>
      <c r="M821" s="89">
        <v>14.0</v>
      </c>
      <c r="N821" s="175">
        <f t="shared" ref="N821:N822" si="107">K821/M821</f>
        <v>1.249285714</v>
      </c>
    </row>
    <row r="822">
      <c r="A822" s="86"/>
      <c r="B822" s="86"/>
      <c r="C822" s="86"/>
      <c r="D822" s="86"/>
      <c r="E822" s="93"/>
      <c r="F822" s="93"/>
      <c r="G822" s="93"/>
      <c r="H822" s="93"/>
      <c r="I822" s="93"/>
      <c r="J822" s="97">
        <f t="shared" ref="J822:M822" si="106">SUM(J820:J821)</f>
        <v>69.98</v>
      </c>
      <c r="K822" s="97">
        <f t="shared" si="106"/>
        <v>21.48</v>
      </c>
      <c r="L822" s="97">
        <f t="shared" si="106"/>
        <v>48.5</v>
      </c>
      <c r="M822" s="93">
        <f t="shared" si="106"/>
        <v>17</v>
      </c>
      <c r="N822" s="97">
        <f t="shared" si="107"/>
        <v>1.263529412</v>
      </c>
    </row>
    <row r="823">
      <c r="A823" s="331"/>
      <c r="B823" s="331"/>
      <c r="C823" s="331"/>
      <c r="D823" s="331"/>
      <c r="E823" s="333"/>
      <c r="F823" s="333"/>
      <c r="G823" s="333"/>
      <c r="H823" s="333"/>
      <c r="I823" s="333"/>
      <c r="J823" s="334"/>
      <c r="K823" s="334"/>
      <c r="L823" s="334"/>
      <c r="M823" s="333"/>
      <c r="N823" s="334"/>
    </row>
    <row r="824">
      <c r="A824" s="86" t="s">
        <v>472</v>
      </c>
      <c r="B824" s="86" t="s">
        <v>471</v>
      </c>
      <c r="C824" s="86">
        <v>223.0</v>
      </c>
      <c r="D824" s="86" t="s">
        <v>1333</v>
      </c>
      <c r="E824" s="86" t="s">
        <v>24</v>
      </c>
      <c r="F824" s="87">
        <v>41493.0</v>
      </c>
      <c r="G824" s="87">
        <v>42187.0</v>
      </c>
      <c r="H824" s="87">
        <v>42187.0</v>
      </c>
      <c r="I824" s="87">
        <v>42187.0</v>
      </c>
      <c r="J824" s="88">
        <v>0.0</v>
      </c>
      <c r="K824" s="88">
        <v>0.0</v>
      </c>
      <c r="L824" s="88">
        <v>0.0</v>
      </c>
      <c r="M824" s="86">
        <v>1.0</v>
      </c>
      <c r="N824" s="88">
        <v>0.0</v>
      </c>
    </row>
    <row r="825">
      <c r="A825" s="86" t="s">
        <v>472</v>
      </c>
      <c r="B825" s="86" t="s">
        <v>473</v>
      </c>
      <c r="C825" s="86">
        <v>929.0</v>
      </c>
      <c r="D825" s="86" t="s">
        <v>1334</v>
      </c>
      <c r="E825" s="86" t="s">
        <v>26</v>
      </c>
      <c r="F825" s="87">
        <v>42143.0</v>
      </c>
      <c r="G825" s="87">
        <v>43564.0</v>
      </c>
      <c r="H825" s="87">
        <v>43835.0</v>
      </c>
      <c r="I825" s="87">
        <v>43835.0</v>
      </c>
      <c r="J825" s="88">
        <v>74.98</v>
      </c>
      <c r="K825" s="88">
        <v>24.98</v>
      </c>
      <c r="L825" s="88">
        <v>50.0</v>
      </c>
      <c r="M825" s="86">
        <v>10.0</v>
      </c>
      <c r="N825" s="88">
        <v>2.5</v>
      </c>
    </row>
    <row r="826">
      <c r="A826" s="86" t="s">
        <v>472</v>
      </c>
      <c r="B826" s="86"/>
      <c r="C826" s="86">
        <v>565.0</v>
      </c>
      <c r="D826" s="86" t="s">
        <v>1340</v>
      </c>
      <c r="E826" s="86" t="s">
        <v>26</v>
      </c>
      <c r="F826" s="87">
        <v>44175.0</v>
      </c>
      <c r="G826" s="87">
        <v>44607.0</v>
      </c>
      <c r="H826" s="87">
        <v>44609.0</v>
      </c>
      <c r="I826" s="87">
        <v>44652.0</v>
      </c>
      <c r="J826" s="88">
        <v>49.99</v>
      </c>
      <c r="K826" s="88">
        <v>33.49</v>
      </c>
      <c r="L826" s="88">
        <v>16.5</v>
      </c>
      <c r="M826" s="86">
        <v>83.0</v>
      </c>
      <c r="N826" s="88">
        <v>0.4</v>
      </c>
    </row>
    <row r="827">
      <c r="A827" s="96"/>
      <c r="B827" s="96"/>
      <c r="C827" s="90"/>
      <c r="D827" s="89"/>
      <c r="E827" s="89"/>
      <c r="F827" s="89"/>
      <c r="G827" s="89"/>
      <c r="H827" s="89"/>
      <c r="I827" s="89"/>
      <c r="J827" s="91">
        <f t="shared" ref="J827:M827" si="108">SUM(J825:J826)</f>
        <v>124.97</v>
      </c>
      <c r="K827" s="91">
        <f t="shared" si="108"/>
        <v>58.47</v>
      </c>
      <c r="L827" s="91">
        <f t="shared" si="108"/>
        <v>66.5</v>
      </c>
      <c r="M827" s="89">
        <f t="shared" si="108"/>
        <v>93</v>
      </c>
      <c r="N827" s="91">
        <f>K827/M827</f>
        <v>0.6287096774</v>
      </c>
    </row>
    <row r="828">
      <c r="A828" s="86" t="s">
        <v>472</v>
      </c>
      <c r="B828" s="86" t="s">
        <v>474</v>
      </c>
      <c r="C828" s="86">
        <v>939.0</v>
      </c>
      <c r="D828" s="86" t="s">
        <v>1343</v>
      </c>
      <c r="E828" s="86" t="s">
        <v>26</v>
      </c>
      <c r="F828" s="87">
        <v>44686.0</v>
      </c>
      <c r="G828" s="87">
        <v>45083.0</v>
      </c>
      <c r="H828" s="87">
        <v>45083.0</v>
      </c>
      <c r="I828" s="87">
        <v>45083.0</v>
      </c>
      <c r="J828" s="88">
        <v>19.99</v>
      </c>
      <c r="K828" s="88">
        <v>0.0</v>
      </c>
      <c r="L828" s="88">
        <v>19.99</v>
      </c>
      <c r="M828" s="86">
        <v>1.0</v>
      </c>
      <c r="N828" s="88">
        <v>0.0</v>
      </c>
    </row>
    <row r="829">
      <c r="A829" s="86" t="s">
        <v>472</v>
      </c>
      <c r="B829" s="86" t="s">
        <v>475</v>
      </c>
      <c r="C829" s="86">
        <v>905.0</v>
      </c>
      <c r="D829" s="86" t="s">
        <v>1342</v>
      </c>
      <c r="E829" s="86" t="s">
        <v>26</v>
      </c>
      <c r="F829" s="87">
        <v>44455.0</v>
      </c>
      <c r="G829" s="87">
        <v>45176.0</v>
      </c>
      <c r="H829" s="87">
        <v>45176.0</v>
      </c>
      <c r="I829" s="87">
        <v>45176.0</v>
      </c>
      <c r="J829" s="88">
        <v>19.99</v>
      </c>
      <c r="K829" s="88">
        <v>0.0</v>
      </c>
      <c r="L829" s="88">
        <v>19.99</v>
      </c>
      <c r="M829" s="86">
        <v>1.0</v>
      </c>
      <c r="N829" s="88">
        <v>0.0</v>
      </c>
    </row>
    <row r="830">
      <c r="A830" s="86" t="s">
        <v>472</v>
      </c>
      <c r="B830" s="86" t="s">
        <v>476</v>
      </c>
      <c r="C830" s="86">
        <v>823.0</v>
      </c>
      <c r="D830" s="86" t="s">
        <v>1341</v>
      </c>
      <c r="E830" s="86" t="s">
        <v>26</v>
      </c>
      <c r="F830" s="87">
        <v>44439.0</v>
      </c>
      <c r="G830" s="87">
        <v>44708.0</v>
      </c>
      <c r="H830" s="87">
        <v>44817.0</v>
      </c>
      <c r="I830" s="87">
        <v>45451.0</v>
      </c>
      <c r="J830" s="88">
        <v>29.99</v>
      </c>
      <c r="K830" s="88">
        <v>14.99</v>
      </c>
      <c r="L830" s="88">
        <v>15.0</v>
      </c>
      <c r="M830" s="86">
        <v>24.0</v>
      </c>
      <c r="N830" s="88">
        <v>0.62</v>
      </c>
    </row>
    <row r="831">
      <c r="A831" s="86" t="s">
        <v>472</v>
      </c>
      <c r="B831" s="86" t="s">
        <v>477</v>
      </c>
      <c r="C831" s="86">
        <v>756.0</v>
      </c>
      <c r="D831" s="86" t="s">
        <v>1345</v>
      </c>
      <c r="E831" s="86" t="s">
        <v>26</v>
      </c>
      <c r="F831" s="87">
        <v>44861.0</v>
      </c>
      <c r="G831" s="87">
        <v>45542.0</v>
      </c>
      <c r="H831" s="87">
        <v>45549.0</v>
      </c>
      <c r="I831" s="87">
        <v>45549.0</v>
      </c>
      <c r="J831" s="94">
        <v>19.99</v>
      </c>
      <c r="K831" s="94">
        <v>0.0</v>
      </c>
      <c r="L831" s="88">
        <v>19.99</v>
      </c>
      <c r="M831" s="86">
        <v>2.0</v>
      </c>
      <c r="N831" s="88">
        <v>0.0</v>
      </c>
    </row>
    <row r="832">
      <c r="A832" s="86" t="s">
        <v>472</v>
      </c>
      <c r="B832" s="86" t="s">
        <v>478</v>
      </c>
      <c r="C832" s="86">
        <v>703.0</v>
      </c>
      <c r="D832" s="86" t="s">
        <v>1335</v>
      </c>
      <c r="E832" s="86" t="s">
        <v>26</v>
      </c>
      <c r="F832" s="87">
        <v>42640.0</v>
      </c>
      <c r="G832" s="87">
        <v>42950.0</v>
      </c>
      <c r="H832" s="87">
        <v>43059.0</v>
      </c>
      <c r="I832" s="87">
        <v>44917.0</v>
      </c>
      <c r="J832" s="88">
        <v>9.99</v>
      </c>
      <c r="K832" s="88">
        <v>5.99</v>
      </c>
      <c r="L832" s="88">
        <v>4.0</v>
      </c>
      <c r="M832" s="86">
        <v>5.0</v>
      </c>
      <c r="N832" s="88">
        <v>1.2</v>
      </c>
    </row>
    <row r="833">
      <c r="A833" s="86" t="s">
        <v>472</v>
      </c>
      <c r="B833" s="86" t="s">
        <v>479</v>
      </c>
      <c r="C833" s="86">
        <v>835.0</v>
      </c>
      <c r="D833" s="86" t="s">
        <v>1339</v>
      </c>
      <c r="E833" s="86" t="s">
        <v>26</v>
      </c>
      <c r="F833" s="87">
        <v>44070.0</v>
      </c>
      <c r="G833" s="87">
        <v>44398.0</v>
      </c>
      <c r="H833" s="87">
        <v>44445.0</v>
      </c>
      <c r="I833" s="87">
        <v>44448.0</v>
      </c>
      <c r="J833" s="88">
        <v>19.99</v>
      </c>
      <c r="K833" s="88">
        <v>4.99</v>
      </c>
      <c r="L833" s="88">
        <v>15.0</v>
      </c>
      <c r="M833" s="86">
        <v>11.0</v>
      </c>
      <c r="N833" s="88">
        <v>0.45</v>
      </c>
    </row>
    <row r="834">
      <c r="A834" s="86" t="s">
        <v>472</v>
      </c>
      <c r="B834" s="86" t="s">
        <v>480</v>
      </c>
      <c r="C834" s="86">
        <v>527.0</v>
      </c>
      <c r="D834" s="86" t="s">
        <v>1336</v>
      </c>
      <c r="E834" s="86" t="s">
        <v>26</v>
      </c>
      <c r="F834" s="87">
        <v>42824.0</v>
      </c>
      <c r="G834" s="87">
        <v>44431.0</v>
      </c>
      <c r="H834" s="87">
        <v>44566.0</v>
      </c>
      <c r="I834" s="87">
        <v>44569.0</v>
      </c>
      <c r="J834" s="88">
        <v>14.99</v>
      </c>
      <c r="K834" s="88">
        <v>1.49</v>
      </c>
      <c r="L834" s="88">
        <v>13.5</v>
      </c>
      <c r="M834" s="86">
        <v>20.0</v>
      </c>
      <c r="N834" s="88">
        <v>0.07</v>
      </c>
    </row>
    <row r="835">
      <c r="A835" s="86" t="s">
        <v>472</v>
      </c>
      <c r="B835" s="86" t="s">
        <v>481</v>
      </c>
      <c r="C835" s="86">
        <v>500.0</v>
      </c>
      <c r="D835" s="86" t="s">
        <v>1338</v>
      </c>
      <c r="E835" s="86" t="s">
        <v>26</v>
      </c>
      <c r="F835" s="87">
        <v>43896.0</v>
      </c>
      <c r="G835" s="87">
        <v>44915.0</v>
      </c>
      <c r="H835" s="87">
        <v>44933.0</v>
      </c>
      <c r="I835" s="87">
        <v>44936.0</v>
      </c>
      <c r="J835" s="88">
        <v>9.99</v>
      </c>
      <c r="K835" s="88">
        <v>0.0</v>
      </c>
      <c r="L835" s="88">
        <v>9.99</v>
      </c>
      <c r="M835" s="86">
        <v>3.0</v>
      </c>
      <c r="N835" s="88">
        <v>0.0</v>
      </c>
    </row>
    <row r="836">
      <c r="A836" s="86" t="s">
        <v>472</v>
      </c>
      <c r="B836" s="86" t="s">
        <v>482</v>
      </c>
      <c r="C836" s="86">
        <v>1034.0</v>
      </c>
      <c r="D836" s="86" t="s">
        <v>1346</v>
      </c>
      <c r="E836" s="86" t="s">
        <v>27</v>
      </c>
      <c r="F836" s="87">
        <v>42935.0</v>
      </c>
      <c r="G836" s="87">
        <v>43472.0</v>
      </c>
      <c r="H836" s="87">
        <v>43543.0</v>
      </c>
      <c r="I836" s="87">
        <v>43543.0</v>
      </c>
      <c r="J836" s="88">
        <v>24.99</v>
      </c>
      <c r="K836" s="88">
        <v>14.99</v>
      </c>
      <c r="L836" s="88">
        <v>10.0</v>
      </c>
      <c r="M836" s="86">
        <v>1.0</v>
      </c>
      <c r="N836" s="88">
        <v>14.99</v>
      </c>
    </row>
    <row r="837">
      <c r="A837" s="93" t="s">
        <v>472</v>
      </c>
      <c r="B837" s="93" t="s">
        <v>483</v>
      </c>
      <c r="C837" s="86">
        <v>218.0</v>
      </c>
      <c r="D837" s="86" t="s">
        <v>1332</v>
      </c>
      <c r="E837" s="86" t="s">
        <v>24</v>
      </c>
      <c r="F837" s="87">
        <v>40795.0</v>
      </c>
      <c r="G837" s="87">
        <v>45734.0</v>
      </c>
      <c r="H837" s="87">
        <v>45742.0</v>
      </c>
      <c r="I837" s="87">
        <v>45751.0</v>
      </c>
      <c r="J837" s="94">
        <v>19.99</v>
      </c>
      <c r="K837" s="94">
        <v>2.99</v>
      </c>
      <c r="L837" s="94">
        <v>17.0</v>
      </c>
      <c r="M837" s="86">
        <v>23.0</v>
      </c>
      <c r="N837" s="94">
        <v>0.13</v>
      </c>
    </row>
    <row r="838">
      <c r="A838" s="86" t="s">
        <v>472</v>
      </c>
      <c r="B838" s="86" t="s">
        <v>484</v>
      </c>
      <c r="C838" s="86">
        <v>900.0</v>
      </c>
      <c r="D838" s="86" t="s">
        <v>1337</v>
      </c>
      <c r="E838" s="86" t="s">
        <v>26</v>
      </c>
      <c r="F838" s="87">
        <v>43784.0</v>
      </c>
      <c r="G838" s="87">
        <v>44455.0</v>
      </c>
      <c r="H838" s="87">
        <v>44455.0</v>
      </c>
      <c r="I838" s="87">
        <v>44455.0</v>
      </c>
      <c r="J838" s="88">
        <v>44.99</v>
      </c>
      <c r="K838" s="88">
        <v>26.99</v>
      </c>
      <c r="L838" s="88">
        <v>18.0</v>
      </c>
      <c r="M838" s="86">
        <v>1.0</v>
      </c>
      <c r="N838" s="88">
        <v>26.99</v>
      </c>
    </row>
    <row r="839">
      <c r="A839" s="93" t="s">
        <v>472</v>
      </c>
      <c r="B839" s="86"/>
      <c r="C839" s="86">
        <v>1075.0</v>
      </c>
      <c r="D839" s="86" t="s">
        <v>1348</v>
      </c>
      <c r="E839" s="86" t="s">
        <v>28</v>
      </c>
      <c r="F839" s="87">
        <v>45232.0</v>
      </c>
      <c r="G839" s="87">
        <v>45337.0</v>
      </c>
      <c r="H839" s="87">
        <v>45350.0</v>
      </c>
      <c r="I839" s="87">
        <v>45354.0</v>
      </c>
      <c r="J839" s="94">
        <v>59.99</v>
      </c>
      <c r="K839" s="94">
        <v>15.99</v>
      </c>
      <c r="L839" s="94">
        <v>44.0</v>
      </c>
      <c r="M839" s="86">
        <v>17.0</v>
      </c>
      <c r="N839" s="88">
        <v>0.94</v>
      </c>
    </row>
    <row r="840">
      <c r="A840" s="96"/>
      <c r="B840" s="96"/>
      <c r="C840" s="90"/>
      <c r="D840" s="89"/>
      <c r="E840" s="89"/>
      <c r="F840" s="89"/>
      <c r="G840" s="89"/>
      <c r="H840" s="89"/>
      <c r="I840" s="89"/>
      <c r="J840" s="91">
        <f t="shared" ref="J840:M840" si="109">SUM(J838:J839)</f>
        <v>104.98</v>
      </c>
      <c r="K840" s="91">
        <f t="shared" si="109"/>
        <v>42.98</v>
      </c>
      <c r="L840" s="91">
        <f t="shared" si="109"/>
        <v>62</v>
      </c>
      <c r="M840" s="89">
        <f t="shared" si="109"/>
        <v>18</v>
      </c>
      <c r="N840" s="91">
        <f>K840/M840</f>
        <v>2.387777778</v>
      </c>
    </row>
    <row r="841">
      <c r="A841" s="86" t="s">
        <v>472</v>
      </c>
      <c r="B841" s="86" t="s">
        <v>485</v>
      </c>
      <c r="C841" s="86">
        <v>962.0</v>
      </c>
      <c r="D841" s="86" t="s">
        <v>1344</v>
      </c>
      <c r="E841" s="86" t="s">
        <v>26</v>
      </c>
      <c r="F841" s="87">
        <v>44833.0</v>
      </c>
      <c r="G841" s="87">
        <v>45482.0</v>
      </c>
      <c r="H841" s="87">
        <v>45484.0</v>
      </c>
      <c r="I841" s="87">
        <v>45484.0</v>
      </c>
      <c r="J841" s="88">
        <v>24.99</v>
      </c>
      <c r="K841" s="88">
        <v>9.9</v>
      </c>
      <c r="L841" s="88">
        <v>15.09</v>
      </c>
      <c r="M841" s="86">
        <v>2.0</v>
      </c>
      <c r="N841" s="88">
        <v>4.95</v>
      </c>
    </row>
    <row r="842">
      <c r="A842" s="86" t="s">
        <v>472</v>
      </c>
      <c r="B842" s="86" t="s">
        <v>486</v>
      </c>
      <c r="C842" s="86">
        <v>1008.0</v>
      </c>
      <c r="D842" s="86" t="s">
        <v>1347</v>
      </c>
      <c r="E842" s="86" t="s">
        <v>27</v>
      </c>
      <c r="F842" s="87">
        <v>44693.0</v>
      </c>
      <c r="G842" s="87">
        <v>45048.0</v>
      </c>
      <c r="H842" s="87">
        <v>45048.0</v>
      </c>
      <c r="I842" s="87">
        <v>45048.0</v>
      </c>
      <c r="J842" s="88">
        <v>19.99</v>
      </c>
      <c r="K842" s="88">
        <v>12.99</v>
      </c>
      <c r="L842" s="88">
        <v>7.0</v>
      </c>
      <c r="M842" s="86">
        <v>1.0</v>
      </c>
      <c r="N842" s="88">
        <v>12.99</v>
      </c>
    </row>
    <row r="843">
      <c r="A843" s="331"/>
      <c r="B843" s="331"/>
      <c r="C843" s="332"/>
      <c r="D843" s="333"/>
      <c r="E843" s="333"/>
      <c r="F843" s="333"/>
      <c r="G843" s="333"/>
      <c r="H843" s="333"/>
      <c r="I843" s="333"/>
      <c r="J843" s="334"/>
      <c r="K843" s="334"/>
      <c r="L843" s="334"/>
      <c r="M843" s="333"/>
      <c r="N843" s="334"/>
    </row>
    <row r="844">
      <c r="A844" s="418" t="s">
        <v>488</v>
      </c>
      <c r="B844" s="418" t="s">
        <v>487</v>
      </c>
      <c r="C844" s="418">
        <v>1067.0</v>
      </c>
      <c r="D844" s="418" t="s">
        <v>1350</v>
      </c>
      <c r="E844" s="418" t="s">
        <v>28</v>
      </c>
      <c r="F844" s="419">
        <v>45230.0</v>
      </c>
      <c r="G844" s="419">
        <v>45725.0</v>
      </c>
      <c r="H844" s="419">
        <v>45812.0</v>
      </c>
      <c r="I844" s="419">
        <v>45812.0</v>
      </c>
      <c r="J844" s="420">
        <v>19.99</v>
      </c>
      <c r="K844" s="420">
        <v>11.99</v>
      </c>
      <c r="L844" s="420">
        <v>8.0</v>
      </c>
      <c r="M844" s="418">
        <v>2.0</v>
      </c>
      <c r="N844" s="420">
        <v>6.0</v>
      </c>
    </row>
    <row r="845">
      <c r="A845" s="418" t="s">
        <v>488</v>
      </c>
      <c r="B845" s="418" t="s">
        <v>489</v>
      </c>
      <c r="C845" s="418">
        <v>804.0</v>
      </c>
      <c r="D845" s="418" t="s">
        <v>1349</v>
      </c>
      <c r="E845" s="418" t="s">
        <v>26</v>
      </c>
      <c r="F845" s="419">
        <v>42752.0</v>
      </c>
      <c r="G845" s="419">
        <v>42859.0</v>
      </c>
      <c r="H845" s="419">
        <v>45641.0</v>
      </c>
      <c r="I845" s="419">
        <v>45641.0</v>
      </c>
      <c r="J845" s="421">
        <v>8.99</v>
      </c>
      <c r="K845" s="421">
        <v>3.99</v>
      </c>
      <c r="L845" s="421">
        <v>5.0</v>
      </c>
      <c r="M845" s="418">
        <v>3.0</v>
      </c>
      <c r="N845" s="421">
        <v>1.33</v>
      </c>
    </row>
    <row r="846">
      <c r="A846" s="422"/>
      <c r="B846" s="422"/>
      <c r="C846" s="423"/>
      <c r="D846" s="327"/>
      <c r="E846" s="327"/>
      <c r="F846" s="327"/>
      <c r="G846" s="327"/>
      <c r="H846" s="327"/>
      <c r="I846" s="327"/>
      <c r="J846" s="330"/>
      <c r="K846" s="330"/>
      <c r="L846" s="330"/>
      <c r="M846" s="327"/>
      <c r="N846" s="330"/>
    </row>
    <row r="847">
      <c r="A847" s="250" t="s">
        <v>491</v>
      </c>
      <c r="B847" s="250" t="s">
        <v>490</v>
      </c>
      <c r="C847" s="250">
        <v>605.0</v>
      </c>
      <c r="D847" s="250" t="s">
        <v>1351</v>
      </c>
      <c r="E847" s="250" t="s">
        <v>26</v>
      </c>
      <c r="F847" s="251">
        <v>44166.0</v>
      </c>
      <c r="G847" s="251">
        <v>44967.0</v>
      </c>
      <c r="H847" s="251">
        <v>45718.0</v>
      </c>
      <c r="I847" s="251">
        <v>45989.0</v>
      </c>
      <c r="J847" s="252">
        <v>64.98</v>
      </c>
      <c r="K847" s="252">
        <v>19.23</v>
      </c>
      <c r="L847" s="252">
        <v>45.75</v>
      </c>
      <c r="M847" s="250">
        <v>126.0</v>
      </c>
      <c r="N847" s="252">
        <v>0.15261904761904763</v>
      </c>
    </row>
    <row r="848">
      <c r="A848" s="424" t="s">
        <v>491</v>
      </c>
      <c r="B848" s="424" t="s">
        <v>492</v>
      </c>
      <c r="C848" s="424">
        <v>910.0</v>
      </c>
      <c r="D848" s="424" t="s">
        <v>1352</v>
      </c>
      <c r="E848" s="424" t="s">
        <v>26</v>
      </c>
      <c r="F848" s="425">
        <v>44294.0</v>
      </c>
      <c r="G848" s="425">
        <v>44398.0</v>
      </c>
      <c r="H848" s="425">
        <v>44852.0</v>
      </c>
      <c r="I848" s="425">
        <v>44854.0</v>
      </c>
      <c r="J848" s="426">
        <v>12.99</v>
      </c>
      <c r="K848" s="426">
        <v>9.74</v>
      </c>
      <c r="L848" s="426">
        <v>3.25</v>
      </c>
      <c r="M848" s="424">
        <v>12.0</v>
      </c>
      <c r="N848" s="426">
        <v>0.81</v>
      </c>
    </row>
    <row r="849">
      <c r="A849" s="424" t="s">
        <v>491</v>
      </c>
      <c r="B849" s="424"/>
      <c r="C849" s="424">
        <v>911.0</v>
      </c>
      <c r="D849" s="424" t="s">
        <v>1353</v>
      </c>
      <c r="E849" s="424" t="s">
        <v>26</v>
      </c>
      <c r="F849" s="425">
        <v>44301.0</v>
      </c>
      <c r="G849" s="425">
        <v>44854.0</v>
      </c>
      <c r="H849" s="425">
        <v>44854.0</v>
      </c>
      <c r="I849" s="425">
        <v>44858.0</v>
      </c>
      <c r="J849" s="426">
        <v>12.99</v>
      </c>
      <c r="K849" s="426">
        <v>12.99</v>
      </c>
      <c r="L849" s="426">
        <v>0.0</v>
      </c>
      <c r="M849" s="424">
        <v>15.0</v>
      </c>
      <c r="N849" s="426">
        <v>0.87</v>
      </c>
    </row>
    <row r="850">
      <c r="A850" s="321"/>
      <c r="B850" s="321"/>
      <c r="C850" s="321"/>
      <c r="D850" s="321"/>
      <c r="E850" s="321"/>
      <c r="F850" s="321"/>
      <c r="G850" s="321"/>
      <c r="H850" s="321"/>
      <c r="I850" s="321"/>
      <c r="J850" s="324">
        <f t="shared" ref="J850:M850" si="110">SUM(J848:J849)</f>
        <v>25.98</v>
      </c>
      <c r="K850" s="324">
        <f t="shared" si="110"/>
        <v>22.73</v>
      </c>
      <c r="L850" s="324">
        <f t="shared" si="110"/>
        <v>3.25</v>
      </c>
      <c r="M850" s="323">
        <f t="shared" si="110"/>
        <v>27</v>
      </c>
      <c r="N850" s="324">
        <f>K850/M850</f>
        <v>0.8418518519</v>
      </c>
    </row>
    <row r="851">
      <c r="A851" s="321"/>
      <c r="B851" s="321"/>
      <c r="C851" s="321"/>
      <c r="D851" s="321"/>
      <c r="E851" s="321"/>
      <c r="F851" s="321"/>
      <c r="G851" s="321"/>
      <c r="H851" s="321"/>
      <c r="I851" s="321"/>
      <c r="J851" s="324"/>
      <c r="K851" s="324"/>
      <c r="L851" s="324"/>
      <c r="M851" s="323"/>
      <c r="N851" s="324"/>
    </row>
    <row r="852">
      <c r="A852" s="357" t="s">
        <v>494</v>
      </c>
      <c r="B852" s="357" t="s">
        <v>493</v>
      </c>
      <c r="C852" s="357">
        <v>779.0</v>
      </c>
      <c r="D852" s="357" t="s">
        <v>1359</v>
      </c>
      <c r="E852" s="357" t="s">
        <v>26</v>
      </c>
      <c r="F852" s="365">
        <v>44281.0</v>
      </c>
      <c r="G852" s="365">
        <v>44335.0</v>
      </c>
      <c r="H852" s="365">
        <v>44335.0</v>
      </c>
      <c r="I852" s="365">
        <v>44335.0</v>
      </c>
      <c r="J852" s="366">
        <v>4.99</v>
      </c>
      <c r="K852" s="366">
        <v>3.49</v>
      </c>
      <c r="L852" s="366">
        <v>1.5</v>
      </c>
      <c r="M852" s="357">
        <v>2.0</v>
      </c>
      <c r="N852" s="366">
        <v>1.75</v>
      </c>
    </row>
    <row r="853">
      <c r="A853" s="357" t="s">
        <v>494</v>
      </c>
      <c r="B853" s="357" t="s">
        <v>495</v>
      </c>
      <c r="C853" s="357">
        <v>795.0</v>
      </c>
      <c r="D853" s="357" t="s">
        <v>1355</v>
      </c>
      <c r="E853" s="357" t="s">
        <v>26</v>
      </c>
      <c r="F853" s="365">
        <v>43643.0</v>
      </c>
      <c r="G853" s="365">
        <v>44431.0</v>
      </c>
      <c r="H853" s="365">
        <v>44438.0</v>
      </c>
      <c r="I853" s="365">
        <v>44438.0</v>
      </c>
      <c r="J853" s="366">
        <v>9.99</v>
      </c>
      <c r="K853" s="366">
        <v>4.99</v>
      </c>
      <c r="L853" s="366">
        <v>5.0</v>
      </c>
      <c r="M853" s="357">
        <v>1.0</v>
      </c>
      <c r="N853" s="366">
        <v>4.99</v>
      </c>
    </row>
    <row r="854">
      <c r="A854" s="357" t="s">
        <v>494</v>
      </c>
      <c r="B854" s="357" t="s">
        <v>496</v>
      </c>
      <c r="C854" s="357">
        <v>784.0</v>
      </c>
      <c r="D854" s="357" t="s">
        <v>1356</v>
      </c>
      <c r="E854" s="357" t="s">
        <v>26</v>
      </c>
      <c r="F854" s="365">
        <v>43649.0</v>
      </c>
      <c r="G854" s="365">
        <v>44351.0</v>
      </c>
      <c r="H854" s="365">
        <v>44539.0</v>
      </c>
      <c r="I854" s="365">
        <v>44544.0</v>
      </c>
      <c r="J854" s="366">
        <v>6.99</v>
      </c>
      <c r="K854" s="366">
        <v>2.79</v>
      </c>
      <c r="L854" s="366">
        <v>4.2</v>
      </c>
      <c r="M854" s="357">
        <v>2.0</v>
      </c>
      <c r="N854" s="366">
        <v>1.4</v>
      </c>
    </row>
    <row r="855">
      <c r="A855" s="357" t="s">
        <v>494</v>
      </c>
      <c r="B855" s="427" t="s">
        <v>497</v>
      </c>
      <c r="C855" s="357">
        <v>964.0</v>
      </c>
      <c r="D855" s="357" t="s">
        <v>1358</v>
      </c>
      <c r="E855" s="357" t="s">
        <v>26</v>
      </c>
      <c r="F855" s="365">
        <v>44019.0</v>
      </c>
      <c r="G855" s="365">
        <v>44431.0</v>
      </c>
      <c r="H855" s="365">
        <v>45471.0</v>
      </c>
      <c r="I855" s="365">
        <v>45471.0</v>
      </c>
      <c r="J855" s="366">
        <v>14.99</v>
      </c>
      <c r="K855" s="366">
        <v>9.74</v>
      </c>
      <c r="L855" s="366">
        <v>5.25</v>
      </c>
      <c r="M855" s="357">
        <v>2.0</v>
      </c>
      <c r="N855" s="366">
        <v>4.87</v>
      </c>
    </row>
    <row r="856">
      <c r="A856" s="357" t="s">
        <v>494</v>
      </c>
      <c r="B856" s="428" t="s">
        <v>498</v>
      </c>
      <c r="C856" s="357">
        <v>494.0</v>
      </c>
      <c r="D856" s="357" t="s">
        <v>1354</v>
      </c>
      <c r="E856" s="357" t="s">
        <v>25</v>
      </c>
      <c r="F856" s="365">
        <v>44397.0</v>
      </c>
      <c r="G856" s="365">
        <v>45730.0</v>
      </c>
      <c r="H856" s="365">
        <v>45730.0</v>
      </c>
      <c r="I856" s="365">
        <v>45730.0</v>
      </c>
      <c r="J856" s="367">
        <v>9.99</v>
      </c>
      <c r="K856" s="367">
        <v>3.99</v>
      </c>
      <c r="L856" s="366">
        <v>6.0</v>
      </c>
      <c r="M856" s="429">
        <v>1.0</v>
      </c>
      <c r="N856" s="366">
        <v>3.99</v>
      </c>
    </row>
    <row r="857">
      <c r="A857" s="357" t="s">
        <v>494</v>
      </c>
      <c r="B857" s="357" t="s">
        <v>499</v>
      </c>
      <c r="C857" s="357">
        <v>672.0</v>
      </c>
      <c r="D857" s="357" t="s">
        <v>1357</v>
      </c>
      <c r="E857" s="357" t="s">
        <v>26</v>
      </c>
      <c r="F857" s="365">
        <v>43986.0</v>
      </c>
      <c r="G857" s="365">
        <v>44351.0</v>
      </c>
      <c r="H857" s="365">
        <v>44673.0</v>
      </c>
      <c r="I857" s="365">
        <v>44673.0</v>
      </c>
      <c r="J857" s="366">
        <v>7.99</v>
      </c>
      <c r="K857" s="366">
        <v>5.59</v>
      </c>
      <c r="L857" s="366">
        <v>2.4</v>
      </c>
      <c r="M857" s="357">
        <v>5.0</v>
      </c>
      <c r="N857" s="366">
        <v>1.12</v>
      </c>
    </row>
    <row r="858">
      <c r="A858" s="357" t="s">
        <v>494</v>
      </c>
      <c r="B858" s="357" t="s">
        <v>500</v>
      </c>
      <c r="C858" s="357">
        <v>760.0</v>
      </c>
      <c r="D858" s="357" t="s">
        <v>1360</v>
      </c>
      <c r="E858" s="357" t="s">
        <v>26</v>
      </c>
      <c r="F858" s="365">
        <v>44623.0</v>
      </c>
      <c r="G858" s="365">
        <v>45176.0</v>
      </c>
      <c r="H858" s="365">
        <v>45176.0</v>
      </c>
      <c r="I858" s="365">
        <v>45176.0</v>
      </c>
      <c r="J858" s="366">
        <v>6.99</v>
      </c>
      <c r="K858" s="366">
        <v>0.0</v>
      </c>
      <c r="L858" s="366">
        <v>6.99</v>
      </c>
      <c r="M858" s="357">
        <v>1.0</v>
      </c>
      <c r="N858" s="366">
        <v>0.0</v>
      </c>
    </row>
    <row r="859">
      <c r="A859" s="357"/>
      <c r="B859" s="357"/>
      <c r="C859" s="358"/>
      <c r="D859" s="359"/>
      <c r="E859" s="357"/>
      <c r="F859" s="357"/>
      <c r="G859" s="357"/>
      <c r="H859" s="357"/>
      <c r="I859" s="357"/>
      <c r="J859" s="360"/>
      <c r="K859" s="360"/>
      <c r="L859" s="360"/>
      <c r="M859" s="359"/>
      <c r="N859" s="360"/>
    </row>
    <row r="860">
      <c r="A860" s="430" t="s">
        <v>502</v>
      </c>
      <c r="B860" s="431" t="s">
        <v>501</v>
      </c>
      <c r="C860" s="431">
        <v>573.0</v>
      </c>
      <c r="D860" s="431" t="s">
        <v>1368</v>
      </c>
      <c r="E860" s="431" t="s">
        <v>26</v>
      </c>
      <c r="F860" s="432">
        <v>43830.0</v>
      </c>
      <c r="G860" s="432">
        <v>44431.0</v>
      </c>
      <c r="H860" s="432">
        <v>44433.0</v>
      </c>
      <c r="I860" s="432">
        <v>44440.0</v>
      </c>
      <c r="J860" s="433">
        <v>14.99</v>
      </c>
      <c r="K860" s="433">
        <v>2.99</v>
      </c>
      <c r="L860" s="433">
        <v>12.0</v>
      </c>
      <c r="M860" s="431">
        <v>50.0</v>
      </c>
      <c r="N860" s="433">
        <v>0.06</v>
      </c>
    </row>
    <row r="861">
      <c r="A861" s="431" t="s">
        <v>502</v>
      </c>
      <c r="B861" s="431" t="s">
        <v>503</v>
      </c>
      <c r="C861" s="431">
        <v>837.0</v>
      </c>
      <c r="D861" s="431" t="s">
        <v>1367</v>
      </c>
      <c r="E861" s="431" t="s">
        <v>26</v>
      </c>
      <c r="F861" s="432">
        <v>42824.0</v>
      </c>
      <c r="G861" s="432">
        <v>42951.0</v>
      </c>
      <c r="H861" s="432">
        <v>43080.0</v>
      </c>
      <c r="I861" s="432">
        <v>43324.0</v>
      </c>
      <c r="J861" s="433">
        <v>8.99</v>
      </c>
      <c r="K861" s="433">
        <v>5.49</v>
      </c>
      <c r="L861" s="433">
        <v>3.5</v>
      </c>
      <c r="M861" s="431">
        <v>5.0</v>
      </c>
      <c r="N861" s="433">
        <v>1.1</v>
      </c>
    </row>
    <row r="862">
      <c r="A862" s="430" t="s">
        <v>502</v>
      </c>
      <c r="B862" s="431" t="s">
        <v>504</v>
      </c>
      <c r="C862" s="431">
        <v>98.0</v>
      </c>
      <c r="D862" s="431" t="s">
        <v>1361</v>
      </c>
      <c r="E862" s="431" t="s">
        <v>22</v>
      </c>
      <c r="F862" s="432">
        <v>37190.0</v>
      </c>
      <c r="G862" s="432">
        <v>42619.0</v>
      </c>
      <c r="H862" s="432">
        <v>42624.0</v>
      </c>
      <c r="I862" s="432">
        <v>43935.0</v>
      </c>
      <c r="J862" s="433">
        <v>10.99</v>
      </c>
      <c r="K862" s="433">
        <v>5.99</v>
      </c>
      <c r="L862" s="433">
        <v>5.0</v>
      </c>
      <c r="M862" s="431">
        <v>55.0</v>
      </c>
      <c r="N862" s="433">
        <v>0.11</v>
      </c>
    </row>
    <row r="863">
      <c r="A863" s="430" t="s">
        <v>502</v>
      </c>
      <c r="B863" s="430"/>
      <c r="C863" s="431">
        <v>99.0</v>
      </c>
      <c r="D863" s="431" t="s">
        <v>1362</v>
      </c>
      <c r="E863" s="431" t="s">
        <v>22</v>
      </c>
      <c r="F863" s="432">
        <v>37568.0</v>
      </c>
      <c r="G863" s="432">
        <v>42619.0</v>
      </c>
      <c r="H863" s="432">
        <v>43935.0</v>
      </c>
      <c r="I863" s="432">
        <v>45694.0</v>
      </c>
      <c r="J863" s="433">
        <v>12.0</v>
      </c>
      <c r="K863" s="433">
        <v>7.0</v>
      </c>
      <c r="L863" s="433">
        <v>5.0</v>
      </c>
      <c r="M863" s="431">
        <v>60.0</v>
      </c>
      <c r="N863" s="433">
        <v>0.12</v>
      </c>
    </row>
    <row r="864">
      <c r="A864" s="430" t="s">
        <v>502</v>
      </c>
      <c r="B864" s="431"/>
      <c r="C864" s="431">
        <v>113.0</v>
      </c>
      <c r="D864" s="431" t="s">
        <v>1363</v>
      </c>
      <c r="E864" s="431" t="s">
        <v>22</v>
      </c>
      <c r="F864" s="432">
        <v>37946.0</v>
      </c>
      <c r="G864" s="432">
        <v>42950.0</v>
      </c>
      <c r="H864" s="432">
        <v>44471.0</v>
      </c>
      <c r="I864" s="432">
        <v>44475.0</v>
      </c>
      <c r="J864" s="433">
        <v>13.99</v>
      </c>
      <c r="K864" s="433">
        <v>5.99</v>
      </c>
      <c r="L864" s="433">
        <v>8.0</v>
      </c>
      <c r="M864" s="431">
        <v>25.0</v>
      </c>
      <c r="N864" s="433">
        <v>0.24</v>
      </c>
    </row>
    <row r="865">
      <c r="A865" s="430" t="s">
        <v>502</v>
      </c>
      <c r="B865" s="431"/>
      <c r="C865" s="431">
        <v>100.0</v>
      </c>
      <c r="D865" s="431" t="s">
        <v>1364</v>
      </c>
      <c r="E865" s="431" t="s">
        <v>22</v>
      </c>
      <c r="F865" s="432">
        <v>38289.0</v>
      </c>
      <c r="G865" s="432">
        <v>42619.0</v>
      </c>
      <c r="H865" s="432">
        <v>42917.0</v>
      </c>
      <c r="I865" s="432">
        <v>44324.0</v>
      </c>
      <c r="J865" s="433">
        <v>12.0</v>
      </c>
      <c r="K865" s="433">
        <v>7.0</v>
      </c>
      <c r="L865" s="433">
        <v>5.0</v>
      </c>
      <c r="M865" s="431">
        <v>110.0</v>
      </c>
      <c r="N865" s="433">
        <v>0.06</v>
      </c>
    </row>
    <row r="866">
      <c r="A866" s="434" t="s">
        <v>502</v>
      </c>
      <c r="B866" s="431"/>
      <c r="C866" s="431">
        <v>256.0</v>
      </c>
      <c r="D866" s="431" t="s">
        <v>1365</v>
      </c>
      <c r="E866" s="431" t="s">
        <v>24</v>
      </c>
      <c r="F866" s="432">
        <v>39567.0</v>
      </c>
      <c r="G866" s="432">
        <v>40342.0</v>
      </c>
      <c r="H866" s="432">
        <v>40342.0</v>
      </c>
      <c r="I866" s="432">
        <v>45468.0</v>
      </c>
      <c r="J866" s="433">
        <v>59.99</v>
      </c>
      <c r="K866" s="433">
        <v>59.99</v>
      </c>
      <c r="L866" s="433">
        <v>0.0</v>
      </c>
      <c r="M866" s="431">
        <v>60.0</v>
      </c>
      <c r="N866" s="433">
        <v>1.0</v>
      </c>
    </row>
    <row r="867">
      <c r="A867" s="434" t="s">
        <v>502</v>
      </c>
      <c r="B867" s="431"/>
      <c r="C867" s="431">
        <v>257.0</v>
      </c>
      <c r="D867" s="431" t="s">
        <v>1366</v>
      </c>
      <c r="E867" s="431" t="s">
        <v>24</v>
      </c>
      <c r="F867" s="432">
        <v>41534.0</v>
      </c>
      <c r="G867" s="432">
        <v>41551.0</v>
      </c>
      <c r="H867" s="432">
        <v>41551.0</v>
      </c>
      <c r="I867" s="432">
        <v>44672.0</v>
      </c>
      <c r="J867" s="433">
        <v>109.98</v>
      </c>
      <c r="K867" s="433">
        <v>34.98</v>
      </c>
      <c r="L867" s="433">
        <v>75.0</v>
      </c>
      <c r="M867" s="431">
        <v>170.0</v>
      </c>
      <c r="N867" s="433">
        <v>0.21</v>
      </c>
    </row>
    <row r="868">
      <c r="A868" s="435"/>
      <c r="B868" s="435"/>
      <c r="C868" s="436"/>
      <c r="D868" s="437"/>
      <c r="E868" s="438">
        <v>218.95</v>
      </c>
      <c r="F868" s="438">
        <v>120.95</v>
      </c>
      <c r="G868" s="438">
        <v>98.0</v>
      </c>
      <c r="H868" s="435">
        <v>480.0</v>
      </c>
      <c r="I868" s="438">
        <v>0.25</v>
      </c>
      <c r="J868" s="439">
        <f t="shared" ref="J868:M868" si="111">SUM(J862:J867)</f>
        <v>218.95</v>
      </c>
      <c r="K868" s="439">
        <f t="shared" si="111"/>
        <v>120.95</v>
      </c>
      <c r="L868" s="439">
        <f t="shared" si="111"/>
        <v>98</v>
      </c>
      <c r="M868" s="437">
        <f t="shared" si="111"/>
        <v>480</v>
      </c>
      <c r="N868" s="439">
        <f t="shared" ref="N868:N869" si="112">K868/M868</f>
        <v>0.2519791667</v>
      </c>
    </row>
    <row r="869">
      <c r="A869" s="434" t="s">
        <v>502</v>
      </c>
      <c r="B869" s="434" t="s">
        <v>505</v>
      </c>
      <c r="C869" s="434">
        <v>1085.0</v>
      </c>
      <c r="D869" s="434" t="s">
        <v>1370</v>
      </c>
      <c r="E869" s="434" t="s">
        <v>28</v>
      </c>
      <c r="F869" s="432">
        <v>45125.0</v>
      </c>
      <c r="G869" s="432">
        <v>45902.0</v>
      </c>
      <c r="H869" s="432">
        <v>45907.0</v>
      </c>
      <c r="I869" s="432">
        <v>45911.0</v>
      </c>
      <c r="J869" s="440">
        <v>24.99</v>
      </c>
      <c r="K869" s="440">
        <v>0.0</v>
      </c>
      <c r="L869" s="440">
        <f>J869-K869</f>
        <v>24.99</v>
      </c>
      <c r="M869" s="434">
        <v>13.0</v>
      </c>
      <c r="N869" s="440">
        <f t="shared" si="112"/>
        <v>0</v>
      </c>
    </row>
    <row r="870">
      <c r="A870" s="431" t="s">
        <v>502</v>
      </c>
      <c r="B870" s="431" t="s">
        <v>506</v>
      </c>
      <c r="C870" s="431">
        <v>1051.0</v>
      </c>
      <c r="D870" s="431" t="s">
        <v>1369</v>
      </c>
      <c r="E870" s="431" t="s">
        <v>27</v>
      </c>
      <c r="F870" s="432">
        <v>44358.0</v>
      </c>
      <c r="G870" s="432">
        <v>44383.0</v>
      </c>
      <c r="H870" s="432">
        <v>44383.0</v>
      </c>
      <c r="I870" s="432">
        <v>44383.0</v>
      </c>
      <c r="J870" s="433">
        <v>0.0</v>
      </c>
      <c r="K870" s="433">
        <v>0.0</v>
      </c>
      <c r="L870" s="433">
        <v>0.0</v>
      </c>
      <c r="M870" s="431">
        <v>1.0</v>
      </c>
      <c r="N870" s="433">
        <v>0.0</v>
      </c>
    </row>
    <row r="871">
      <c r="A871" s="328"/>
      <c r="B871" s="328"/>
      <c r="C871" s="352"/>
      <c r="D871" s="329"/>
      <c r="E871" s="329"/>
      <c r="F871" s="329"/>
      <c r="G871" s="329"/>
      <c r="H871" s="329"/>
      <c r="I871" s="329"/>
      <c r="J871" s="353"/>
      <c r="K871" s="353"/>
      <c r="L871" s="353"/>
      <c r="M871" s="329"/>
      <c r="N871" s="353"/>
    </row>
    <row r="872">
      <c r="A872" s="89" t="s">
        <v>508</v>
      </c>
      <c r="B872" s="89" t="s">
        <v>507</v>
      </c>
      <c r="C872" s="89">
        <v>661.0</v>
      </c>
      <c r="D872" s="89" t="s">
        <v>1372</v>
      </c>
      <c r="E872" s="89" t="s">
        <v>26</v>
      </c>
      <c r="F872" s="325">
        <v>42198.0</v>
      </c>
      <c r="G872" s="325">
        <v>45256.0</v>
      </c>
      <c r="H872" s="325">
        <v>45911.0</v>
      </c>
      <c r="I872" s="325">
        <v>45916.0</v>
      </c>
      <c r="J872" s="91">
        <v>14.99</v>
      </c>
      <c r="K872" s="91">
        <v>1.49</v>
      </c>
      <c r="L872" s="91">
        <f>J872-K872</f>
        <v>13.5</v>
      </c>
      <c r="M872" s="89">
        <v>33.0</v>
      </c>
      <c r="N872" s="91">
        <f>K872/M872</f>
        <v>0.04515151515</v>
      </c>
    </row>
    <row r="873">
      <c r="A873" s="96" t="s">
        <v>508</v>
      </c>
      <c r="B873" s="96"/>
      <c r="C873" s="96">
        <v>662.0</v>
      </c>
      <c r="D873" s="96" t="s">
        <v>1373</v>
      </c>
      <c r="E873" s="96" t="s">
        <v>26</v>
      </c>
      <c r="F873" s="325">
        <v>42780.0</v>
      </c>
      <c r="G873" s="325">
        <v>45256.0</v>
      </c>
      <c r="H873" s="325">
        <v>45256.0</v>
      </c>
      <c r="I873" s="325">
        <v>45256.0</v>
      </c>
      <c r="J873" s="326">
        <v>14.99</v>
      </c>
      <c r="K873" s="326">
        <v>1.49</v>
      </c>
      <c r="L873" s="326">
        <v>13.5</v>
      </c>
      <c r="M873" s="96">
        <v>1.0</v>
      </c>
      <c r="N873" s="326">
        <v>1.49</v>
      </c>
    </row>
    <row r="874">
      <c r="A874" s="96" t="s">
        <v>508</v>
      </c>
      <c r="B874" s="96"/>
      <c r="C874" s="96">
        <v>663.0</v>
      </c>
      <c r="D874" s="96" t="s">
        <v>1374</v>
      </c>
      <c r="E874" s="96" t="s">
        <v>26</v>
      </c>
      <c r="F874" s="325">
        <v>43006.0</v>
      </c>
      <c r="G874" s="325">
        <v>45256.0</v>
      </c>
      <c r="H874" s="325">
        <v>45256.0</v>
      </c>
      <c r="I874" s="325">
        <v>45256.0</v>
      </c>
      <c r="J874" s="326">
        <v>14.99</v>
      </c>
      <c r="K874" s="326">
        <v>1.49</v>
      </c>
      <c r="L874" s="326">
        <v>13.5</v>
      </c>
      <c r="M874" s="96">
        <v>1.0</v>
      </c>
      <c r="N874" s="326">
        <v>1.49</v>
      </c>
    </row>
    <row r="875">
      <c r="A875" s="86"/>
      <c r="B875" s="86"/>
      <c r="C875" s="92"/>
      <c r="D875" s="93"/>
      <c r="E875" s="93"/>
      <c r="F875" s="93"/>
      <c r="G875" s="93"/>
      <c r="H875" s="93"/>
      <c r="I875" s="93"/>
      <c r="J875" s="97">
        <f t="shared" ref="J875:M875" si="113">SUM(J872:J874)</f>
        <v>44.97</v>
      </c>
      <c r="K875" s="97">
        <f t="shared" si="113"/>
        <v>4.47</v>
      </c>
      <c r="L875" s="97">
        <f t="shared" si="113"/>
        <v>40.5</v>
      </c>
      <c r="M875" s="93">
        <f t="shared" si="113"/>
        <v>35</v>
      </c>
      <c r="N875" s="97">
        <f>K875/M875</f>
        <v>0.1277142857</v>
      </c>
    </row>
    <row r="876">
      <c r="A876" s="96" t="s">
        <v>508</v>
      </c>
      <c r="B876" s="96" t="s">
        <v>509</v>
      </c>
      <c r="C876" s="96">
        <v>463.0</v>
      </c>
      <c r="D876" s="96" t="s">
        <v>1371</v>
      </c>
      <c r="E876" s="96" t="s">
        <v>25</v>
      </c>
      <c r="F876" s="325">
        <v>42486.0</v>
      </c>
      <c r="G876" s="325">
        <v>42619.0</v>
      </c>
      <c r="H876" s="325">
        <v>44049.0</v>
      </c>
      <c r="I876" s="325">
        <v>44049.0</v>
      </c>
      <c r="J876" s="326">
        <v>12.99</v>
      </c>
      <c r="K876" s="326">
        <v>12.99</v>
      </c>
      <c r="L876" s="326">
        <v>0.0</v>
      </c>
      <c r="M876" s="96">
        <v>3.0</v>
      </c>
      <c r="N876" s="326">
        <v>4.33</v>
      </c>
    </row>
    <row r="877">
      <c r="A877" s="331"/>
      <c r="B877" s="331"/>
      <c r="C877" s="332"/>
      <c r="D877" s="333"/>
      <c r="E877" s="333"/>
      <c r="F877" s="333"/>
      <c r="G877" s="333"/>
      <c r="H877" s="333"/>
      <c r="I877" s="333"/>
      <c r="J877" s="334"/>
      <c r="K877" s="334"/>
      <c r="L877" s="334"/>
      <c r="M877" s="333"/>
      <c r="N877" s="334"/>
    </row>
    <row r="878">
      <c r="A878" s="357" t="s">
        <v>511</v>
      </c>
      <c r="B878" s="357" t="s">
        <v>510</v>
      </c>
      <c r="C878" s="357">
        <v>765.0</v>
      </c>
      <c r="D878" s="357" t="s">
        <v>1375</v>
      </c>
      <c r="E878" s="357" t="s">
        <v>26</v>
      </c>
      <c r="F878" s="365">
        <v>42955.0</v>
      </c>
      <c r="G878" s="365">
        <v>44708.0</v>
      </c>
      <c r="H878" s="365">
        <v>44708.0</v>
      </c>
      <c r="I878" s="365">
        <v>44708.0</v>
      </c>
      <c r="J878" s="366">
        <v>9.99</v>
      </c>
      <c r="K878" s="366">
        <v>4.99</v>
      </c>
      <c r="L878" s="366">
        <v>5.0</v>
      </c>
      <c r="M878" s="357">
        <v>1.0</v>
      </c>
      <c r="N878" s="366">
        <v>4.99</v>
      </c>
    </row>
    <row r="879">
      <c r="A879" s="357"/>
      <c r="B879" s="357"/>
      <c r="C879" s="358"/>
      <c r="D879" s="359"/>
      <c r="E879" s="359"/>
      <c r="F879" s="359"/>
      <c r="G879" s="359"/>
      <c r="H879" s="359"/>
      <c r="I879" s="359"/>
      <c r="J879" s="360"/>
      <c r="K879" s="360"/>
      <c r="L879" s="360"/>
      <c r="M879" s="359"/>
      <c r="N879" s="360"/>
    </row>
    <row r="880">
      <c r="A880" s="311" t="s">
        <v>513</v>
      </c>
      <c r="B880" s="311" t="s">
        <v>512</v>
      </c>
      <c r="C880" s="312">
        <v>536.0</v>
      </c>
      <c r="D880" s="312" t="s">
        <v>1376</v>
      </c>
      <c r="E880" s="312" t="s">
        <v>26</v>
      </c>
      <c r="F880" s="313">
        <v>42430.0</v>
      </c>
      <c r="G880" s="313">
        <v>42750.0</v>
      </c>
      <c r="H880" s="313">
        <v>42753.0</v>
      </c>
      <c r="I880" s="313">
        <v>44009.0</v>
      </c>
      <c r="J880" s="314">
        <v>14.99</v>
      </c>
      <c r="K880" s="314">
        <v>4.99</v>
      </c>
      <c r="L880" s="314">
        <v>10.0</v>
      </c>
      <c r="M880" s="312">
        <v>18.0</v>
      </c>
      <c r="N880" s="314">
        <v>0.28</v>
      </c>
    </row>
    <row r="881">
      <c r="A881" s="311" t="s">
        <v>513</v>
      </c>
      <c r="B881" s="311"/>
      <c r="C881" s="311">
        <v>1092.0</v>
      </c>
      <c r="D881" s="311" t="s">
        <v>1377</v>
      </c>
      <c r="E881" s="311" t="s">
        <v>28</v>
      </c>
      <c r="F881" s="313">
        <v>45839.0</v>
      </c>
      <c r="G881" s="313">
        <v>45920.0</v>
      </c>
      <c r="H881" s="313">
        <v>45921.0</v>
      </c>
      <c r="I881" s="313">
        <v>45921.0</v>
      </c>
      <c r="J881" s="441">
        <v>19.99</v>
      </c>
      <c r="K881" s="441">
        <v>0.0</v>
      </c>
      <c r="L881" s="441">
        <f>J881-K881</f>
        <v>19.99</v>
      </c>
      <c r="M881" s="311">
        <v>2.0</v>
      </c>
      <c r="N881" s="441">
        <f t="shared" ref="N881:N882" si="115">K881/M881</f>
        <v>0</v>
      </c>
    </row>
    <row r="882">
      <c r="A882" s="317"/>
      <c r="B882" s="317"/>
      <c r="C882" s="319"/>
      <c r="D882" s="319"/>
      <c r="E882" s="319"/>
      <c r="F882" s="319"/>
      <c r="G882" s="319"/>
      <c r="H882" s="319"/>
      <c r="I882" s="319"/>
      <c r="J882" s="442">
        <f t="shared" ref="J882:M882" si="114">SUM(J880:J881)</f>
        <v>34.98</v>
      </c>
      <c r="K882" s="442">
        <f t="shared" si="114"/>
        <v>4.99</v>
      </c>
      <c r="L882" s="442">
        <f t="shared" si="114"/>
        <v>29.99</v>
      </c>
      <c r="M882" s="317">
        <f t="shared" si="114"/>
        <v>20</v>
      </c>
      <c r="N882" s="442">
        <f t="shared" si="115"/>
        <v>0.2495</v>
      </c>
    </row>
    <row r="883">
      <c r="A883" s="321"/>
      <c r="B883" s="321"/>
      <c r="C883" s="322"/>
      <c r="D883" s="323"/>
      <c r="E883" s="323"/>
      <c r="F883" s="323"/>
      <c r="G883" s="323"/>
      <c r="H883" s="323"/>
      <c r="I883" s="323"/>
      <c r="J883" s="324"/>
      <c r="K883" s="324"/>
      <c r="L883" s="324"/>
      <c r="M883" s="323"/>
      <c r="N883" s="324"/>
    </row>
    <row r="884">
      <c r="A884" s="443" t="s">
        <v>515</v>
      </c>
      <c r="B884" s="443" t="s">
        <v>514</v>
      </c>
      <c r="C884" s="443">
        <v>655.0</v>
      </c>
      <c r="D884" s="443" t="s">
        <v>1380</v>
      </c>
      <c r="E884" s="443" t="s">
        <v>26</v>
      </c>
      <c r="F884" s="444">
        <v>42545.0</v>
      </c>
      <c r="G884" s="444">
        <v>42925.0</v>
      </c>
      <c r="H884" s="444">
        <v>43047.0</v>
      </c>
      <c r="I884" s="444">
        <v>45235.0</v>
      </c>
      <c r="J884" s="445">
        <v>19.99</v>
      </c>
      <c r="K884" s="445">
        <v>3.99</v>
      </c>
      <c r="L884" s="445">
        <v>16.0</v>
      </c>
      <c r="M884" s="443">
        <v>4.0</v>
      </c>
      <c r="N884" s="445">
        <v>1.0</v>
      </c>
    </row>
    <row r="885">
      <c r="A885" s="443" t="s">
        <v>515</v>
      </c>
      <c r="B885" s="443" t="s">
        <v>516</v>
      </c>
      <c r="C885" s="443">
        <v>755.0</v>
      </c>
      <c r="D885" s="443" t="s">
        <v>1385</v>
      </c>
      <c r="E885" s="443" t="s">
        <v>26</v>
      </c>
      <c r="F885" s="444">
        <v>44118.0</v>
      </c>
      <c r="G885" s="444">
        <v>45176.0</v>
      </c>
      <c r="H885" s="444">
        <v>45225.0</v>
      </c>
      <c r="I885" s="444">
        <v>45228.0</v>
      </c>
      <c r="J885" s="445">
        <v>15.99</v>
      </c>
      <c r="K885" s="445">
        <v>0.0</v>
      </c>
      <c r="L885" s="445">
        <v>15.99</v>
      </c>
      <c r="M885" s="443">
        <v>5.0</v>
      </c>
      <c r="N885" s="445">
        <v>0.0</v>
      </c>
    </row>
    <row r="886">
      <c r="A886" s="443" t="s">
        <v>515</v>
      </c>
      <c r="B886" s="443" t="s">
        <v>517</v>
      </c>
      <c r="C886" s="443">
        <v>607.0</v>
      </c>
      <c r="D886" s="443" t="s">
        <v>1387</v>
      </c>
      <c r="E886" s="443" t="s">
        <v>26</v>
      </c>
      <c r="F886" s="444">
        <v>44761.0</v>
      </c>
      <c r="G886" s="444">
        <v>45111.0</v>
      </c>
      <c r="H886" s="444">
        <v>45111.0</v>
      </c>
      <c r="I886" s="444">
        <v>45111.0</v>
      </c>
      <c r="J886" s="445">
        <v>29.99</v>
      </c>
      <c r="K886" s="445">
        <v>0.0</v>
      </c>
      <c r="L886" s="445">
        <v>29.99</v>
      </c>
      <c r="M886" s="443">
        <v>1.0</v>
      </c>
      <c r="N886" s="445">
        <v>0.0</v>
      </c>
    </row>
    <row r="887">
      <c r="A887" s="443" t="s">
        <v>515</v>
      </c>
      <c r="B887" s="443" t="s">
        <v>518</v>
      </c>
      <c r="C887" s="443">
        <v>611.0</v>
      </c>
      <c r="D887" s="443" t="s">
        <v>1386</v>
      </c>
      <c r="E887" s="443" t="s">
        <v>26</v>
      </c>
      <c r="F887" s="444">
        <v>44280.0</v>
      </c>
      <c r="G887" s="444">
        <v>44351.0</v>
      </c>
      <c r="H887" s="444">
        <v>44371.0</v>
      </c>
      <c r="I887" s="444">
        <v>44371.0</v>
      </c>
      <c r="J887" s="445">
        <v>12.99</v>
      </c>
      <c r="K887" s="445">
        <v>9.09</v>
      </c>
      <c r="L887" s="445">
        <v>3.9</v>
      </c>
      <c r="M887" s="443">
        <v>1.0</v>
      </c>
      <c r="N887" s="445">
        <v>9.09</v>
      </c>
    </row>
    <row r="888">
      <c r="A888" s="443" t="s">
        <v>515</v>
      </c>
      <c r="B888" s="443" t="s">
        <v>519</v>
      </c>
      <c r="C888" s="443">
        <v>531.0</v>
      </c>
      <c r="D888" s="443" t="s">
        <v>1381</v>
      </c>
      <c r="E888" s="443" t="s">
        <v>26</v>
      </c>
      <c r="F888" s="444">
        <v>43783.0</v>
      </c>
      <c r="G888" s="444">
        <v>44708.0</v>
      </c>
      <c r="H888" s="444">
        <v>44708.0</v>
      </c>
      <c r="I888" s="444">
        <v>44708.0</v>
      </c>
      <c r="J888" s="445">
        <v>39.99</v>
      </c>
      <c r="K888" s="445">
        <v>7.99</v>
      </c>
      <c r="L888" s="445">
        <v>32.0</v>
      </c>
      <c r="M888" s="443">
        <v>1.0</v>
      </c>
      <c r="N888" s="445">
        <v>7.99</v>
      </c>
    </row>
    <row r="889">
      <c r="A889" s="443" t="s">
        <v>515</v>
      </c>
      <c r="B889" s="443" t="s">
        <v>520</v>
      </c>
      <c r="C889" s="443">
        <v>597.0</v>
      </c>
      <c r="D889" s="443" t="s">
        <v>1382</v>
      </c>
      <c r="E889" s="443" t="s">
        <v>26</v>
      </c>
      <c r="F889" s="444">
        <v>43822.0</v>
      </c>
      <c r="G889" s="444">
        <v>43824.0</v>
      </c>
      <c r="H889" s="444">
        <v>44836.0</v>
      </c>
      <c r="I889" s="444">
        <v>44839.0</v>
      </c>
      <c r="J889" s="445">
        <v>5.99</v>
      </c>
      <c r="K889" s="445">
        <v>5.99</v>
      </c>
      <c r="L889" s="445">
        <v>0.0</v>
      </c>
      <c r="M889" s="443">
        <v>5.0</v>
      </c>
      <c r="N889" s="445">
        <v>1.2</v>
      </c>
    </row>
    <row r="890">
      <c r="A890" s="443" t="s">
        <v>515</v>
      </c>
      <c r="B890" s="443" t="s">
        <v>521</v>
      </c>
      <c r="C890" s="443">
        <v>1005.0</v>
      </c>
      <c r="D890" s="443" t="s">
        <v>1389</v>
      </c>
      <c r="E890" s="443" t="s">
        <v>27</v>
      </c>
      <c r="F890" s="444">
        <v>43725.0</v>
      </c>
      <c r="G890" s="444">
        <v>43804.0</v>
      </c>
      <c r="H890" s="444">
        <v>43810.0</v>
      </c>
      <c r="I890" s="444">
        <v>43810.0</v>
      </c>
      <c r="J890" s="445">
        <v>19.99</v>
      </c>
      <c r="K890" s="445">
        <v>19.99</v>
      </c>
      <c r="L890" s="445">
        <v>0.0</v>
      </c>
      <c r="M890" s="443">
        <v>2.0</v>
      </c>
      <c r="N890" s="445">
        <v>10.0</v>
      </c>
    </row>
    <row r="891">
      <c r="A891" s="275" t="s">
        <v>515</v>
      </c>
      <c r="B891" s="443" t="s">
        <v>522</v>
      </c>
      <c r="C891" s="443">
        <v>483.0</v>
      </c>
      <c r="D891" s="443" t="s">
        <v>1379</v>
      </c>
      <c r="E891" s="443" t="s">
        <v>25</v>
      </c>
      <c r="F891" s="444">
        <v>43018.0</v>
      </c>
      <c r="G891" s="444">
        <v>44335.0</v>
      </c>
      <c r="H891" s="444">
        <v>44335.0</v>
      </c>
      <c r="I891" s="444">
        <v>44466.0</v>
      </c>
      <c r="J891" s="445">
        <v>7.99</v>
      </c>
      <c r="K891" s="445">
        <v>5.99</v>
      </c>
      <c r="L891" s="445">
        <v>2.0</v>
      </c>
      <c r="M891" s="443">
        <v>2.0</v>
      </c>
      <c r="N891" s="445">
        <v>3.0</v>
      </c>
    </row>
    <row r="892">
      <c r="A892" s="443" t="s">
        <v>515</v>
      </c>
      <c r="B892" s="443"/>
      <c r="C892" s="443">
        <v>555.0</v>
      </c>
      <c r="D892" s="443" t="s">
        <v>1384</v>
      </c>
      <c r="E892" s="443" t="s">
        <v>26</v>
      </c>
      <c r="F892" s="444">
        <v>43970.0</v>
      </c>
      <c r="G892" s="444">
        <v>44351.0</v>
      </c>
      <c r="H892" s="444">
        <v>44351.0</v>
      </c>
      <c r="I892" s="444">
        <v>44351.0</v>
      </c>
      <c r="J892" s="445">
        <v>4.99</v>
      </c>
      <c r="K892" s="445">
        <v>3.24</v>
      </c>
      <c r="L892" s="445">
        <v>1.75</v>
      </c>
      <c r="M892" s="443">
        <v>1.0</v>
      </c>
      <c r="N892" s="445">
        <v>3.24</v>
      </c>
    </row>
    <row r="893">
      <c r="A893" s="446"/>
      <c r="B893" s="446"/>
      <c r="C893" s="447"/>
      <c r="D893" s="448"/>
      <c r="E893" s="448"/>
      <c r="F893" s="448"/>
      <c r="G893" s="448"/>
      <c r="H893" s="448"/>
      <c r="I893" s="448"/>
      <c r="J893" s="449">
        <f t="shared" ref="J893:M893" si="116">SUM(J891:J892)</f>
        <v>12.98</v>
      </c>
      <c r="K893" s="449">
        <f t="shared" si="116"/>
        <v>9.23</v>
      </c>
      <c r="L893" s="449">
        <f t="shared" si="116"/>
        <v>3.75</v>
      </c>
      <c r="M893" s="448">
        <f t="shared" si="116"/>
        <v>3</v>
      </c>
      <c r="N893" s="449">
        <f>K893/M893</f>
        <v>3.076666667</v>
      </c>
    </row>
    <row r="894">
      <c r="A894" s="443" t="s">
        <v>515</v>
      </c>
      <c r="B894" s="443" t="s">
        <v>523</v>
      </c>
      <c r="C894" s="443">
        <v>467.0</v>
      </c>
      <c r="D894" s="443" t="s">
        <v>1378</v>
      </c>
      <c r="E894" s="443" t="s">
        <v>25</v>
      </c>
      <c r="F894" s="444">
        <v>42572.0</v>
      </c>
      <c r="G894" s="444">
        <v>42832.0</v>
      </c>
      <c r="H894" s="444">
        <v>42834.0</v>
      </c>
      <c r="I894" s="444">
        <v>44613.0</v>
      </c>
      <c r="J894" s="445">
        <v>4.99</v>
      </c>
      <c r="K894" s="445">
        <v>1.99</v>
      </c>
      <c r="L894" s="445">
        <v>3.0</v>
      </c>
      <c r="M894" s="443">
        <v>15.0</v>
      </c>
      <c r="N894" s="445">
        <v>0.13</v>
      </c>
    </row>
    <row r="895">
      <c r="A895" s="443" t="s">
        <v>515</v>
      </c>
      <c r="B895" s="443" t="s">
        <v>524</v>
      </c>
      <c r="C895" s="443">
        <v>994.0</v>
      </c>
      <c r="D895" s="443" t="s">
        <v>1388</v>
      </c>
      <c r="E895" s="443" t="s">
        <v>27</v>
      </c>
      <c r="F895" s="444">
        <v>43229.0</v>
      </c>
      <c r="G895" s="444">
        <v>43472.0</v>
      </c>
      <c r="H895" s="444">
        <v>43472.0</v>
      </c>
      <c r="I895" s="444">
        <v>43472.0</v>
      </c>
      <c r="J895" s="445">
        <v>19.99</v>
      </c>
      <c r="K895" s="445">
        <v>6.99</v>
      </c>
      <c r="L895" s="445">
        <v>13.0</v>
      </c>
      <c r="M895" s="443">
        <v>1.0</v>
      </c>
      <c r="N895" s="445">
        <v>6.99</v>
      </c>
    </row>
    <row r="896">
      <c r="A896" s="443" t="s">
        <v>515</v>
      </c>
      <c r="B896" s="443" t="s">
        <v>525</v>
      </c>
      <c r="C896" s="443">
        <v>874.0</v>
      </c>
      <c r="D896" s="443" t="s">
        <v>1383</v>
      </c>
      <c r="E896" s="443" t="s">
        <v>26</v>
      </c>
      <c r="F896" s="444">
        <v>43857.0</v>
      </c>
      <c r="G896" s="444">
        <v>44384.0</v>
      </c>
      <c r="H896" s="444">
        <v>44393.0</v>
      </c>
      <c r="I896" s="444">
        <v>44393.0</v>
      </c>
      <c r="J896" s="445">
        <v>19.99</v>
      </c>
      <c r="K896" s="445">
        <v>5.99</v>
      </c>
      <c r="L896" s="445">
        <v>14.0</v>
      </c>
      <c r="M896" s="443">
        <v>1.0</v>
      </c>
      <c r="N896" s="445">
        <v>5.99</v>
      </c>
    </row>
    <row r="897">
      <c r="A897" s="345"/>
      <c r="B897" s="345"/>
      <c r="C897" s="346"/>
      <c r="D897" s="347"/>
      <c r="E897" s="347"/>
      <c r="F897" s="347"/>
      <c r="G897" s="347"/>
      <c r="H897" s="347"/>
      <c r="I897" s="347"/>
      <c r="J897" s="348"/>
      <c r="K897" s="348"/>
      <c r="L897" s="348"/>
      <c r="M897" s="347"/>
      <c r="N897" s="348"/>
    </row>
    <row r="898">
      <c r="A898" s="354" t="s">
        <v>527</v>
      </c>
      <c r="B898" s="354" t="s">
        <v>526</v>
      </c>
      <c r="C898" s="354">
        <v>657.0</v>
      </c>
      <c r="D898" s="354" t="s">
        <v>1404</v>
      </c>
      <c r="E898" s="354" t="s">
        <v>26</v>
      </c>
      <c r="F898" s="355">
        <v>42067.0</v>
      </c>
      <c r="G898" s="355">
        <v>43016.0</v>
      </c>
      <c r="H898" s="355">
        <v>43017.0</v>
      </c>
      <c r="I898" s="355">
        <v>45051.0</v>
      </c>
      <c r="J898" s="356">
        <v>29.99</v>
      </c>
      <c r="K898" s="356">
        <v>29.99</v>
      </c>
      <c r="L898" s="356">
        <v>0.0</v>
      </c>
      <c r="M898" s="354">
        <v>3.0</v>
      </c>
      <c r="N898" s="356">
        <v>10.0</v>
      </c>
    </row>
    <row r="899">
      <c r="A899" s="450" t="s">
        <v>527</v>
      </c>
      <c r="B899" s="354" t="s">
        <v>528</v>
      </c>
      <c r="C899" s="354">
        <v>253.0</v>
      </c>
      <c r="D899" s="354" t="s">
        <v>1400</v>
      </c>
      <c r="E899" s="354" t="s">
        <v>24</v>
      </c>
      <c r="F899" s="355">
        <v>42228.0</v>
      </c>
      <c r="G899" s="355">
        <v>42650.0</v>
      </c>
      <c r="H899" s="355">
        <v>42655.0</v>
      </c>
      <c r="I899" s="355">
        <v>44037.0</v>
      </c>
      <c r="J899" s="356">
        <v>31.95</v>
      </c>
      <c r="K899" s="356">
        <v>18.55</v>
      </c>
      <c r="L899" s="356">
        <v>13.4</v>
      </c>
      <c r="M899" s="354">
        <v>20.0</v>
      </c>
      <c r="N899" s="356">
        <v>0.93</v>
      </c>
    </row>
    <row r="900">
      <c r="A900" s="450" t="s">
        <v>527</v>
      </c>
      <c r="B900" s="450"/>
      <c r="C900" s="354">
        <v>1062.0</v>
      </c>
      <c r="D900" s="354" t="s">
        <v>1429</v>
      </c>
      <c r="E900" s="354" t="s">
        <v>28</v>
      </c>
      <c r="F900" s="355">
        <v>44882.0</v>
      </c>
      <c r="G900" s="355">
        <v>45362.0</v>
      </c>
      <c r="H900" s="355">
        <v>45365.0</v>
      </c>
      <c r="I900" s="355">
        <v>45761.0</v>
      </c>
      <c r="J900" s="451">
        <v>29.99</v>
      </c>
      <c r="K900" s="451">
        <v>14.99</v>
      </c>
      <c r="L900" s="356">
        <v>15.0</v>
      </c>
      <c r="M900" s="354">
        <v>14.0</v>
      </c>
      <c r="N900" s="356">
        <v>1.07</v>
      </c>
    </row>
    <row r="901">
      <c r="A901" s="452"/>
      <c r="B901" s="452"/>
      <c r="C901" s="453"/>
      <c r="D901" s="454"/>
      <c r="E901" s="454"/>
      <c r="F901" s="454"/>
      <c r="G901" s="454"/>
      <c r="H901" s="454"/>
      <c r="I901" s="454"/>
      <c r="J901" s="455">
        <f t="shared" ref="J901:M901" si="117">SUM(J899:J900)</f>
        <v>61.94</v>
      </c>
      <c r="K901" s="455">
        <f t="shared" si="117"/>
        <v>33.54</v>
      </c>
      <c r="L901" s="455">
        <f t="shared" si="117"/>
        <v>28.4</v>
      </c>
      <c r="M901" s="454">
        <f t="shared" si="117"/>
        <v>34</v>
      </c>
      <c r="N901" s="455">
        <f>K901/M901</f>
        <v>0.9864705882</v>
      </c>
    </row>
    <row r="902">
      <c r="A902" s="354" t="s">
        <v>527</v>
      </c>
      <c r="B902" s="354" t="s">
        <v>529</v>
      </c>
      <c r="C902" s="354">
        <v>954.0</v>
      </c>
      <c r="D902" s="354" t="s">
        <v>1406</v>
      </c>
      <c r="E902" s="354" t="s">
        <v>26</v>
      </c>
      <c r="F902" s="355">
        <v>42409.0</v>
      </c>
      <c r="G902" s="355">
        <v>42754.0</v>
      </c>
      <c r="H902" s="355">
        <v>42754.0</v>
      </c>
      <c r="I902" s="355">
        <v>42754.0</v>
      </c>
      <c r="J902" s="356">
        <v>19.99</v>
      </c>
      <c r="K902" s="356">
        <v>7.99</v>
      </c>
      <c r="L902" s="356">
        <v>12.0</v>
      </c>
      <c r="M902" s="354">
        <v>1.0</v>
      </c>
      <c r="N902" s="356">
        <v>7.99</v>
      </c>
    </row>
    <row r="903">
      <c r="A903" s="450" t="s">
        <v>527</v>
      </c>
      <c r="B903" s="354" t="s">
        <v>530</v>
      </c>
      <c r="C903" s="354">
        <v>262.0</v>
      </c>
      <c r="D903" s="354" t="s">
        <v>1395</v>
      </c>
      <c r="E903" s="354" t="s">
        <v>24</v>
      </c>
      <c r="F903" s="355">
        <v>41451.0</v>
      </c>
      <c r="G903" s="355">
        <v>41748.0</v>
      </c>
      <c r="H903" s="355">
        <v>41748.0</v>
      </c>
      <c r="I903" s="355">
        <v>44869.0</v>
      </c>
      <c r="J903" s="356">
        <v>9.99</v>
      </c>
      <c r="K903" s="356">
        <v>9.99</v>
      </c>
      <c r="L903" s="356">
        <v>0.0</v>
      </c>
      <c r="M903" s="354">
        <v>8.0</v>
      </c>
      <c r="N903" s="356">
        <v>1.25</v>
      </c>
    </row>
    <row r="904">
      <c r="A904" s="354" t="s">
        <v>527</v>
      </c>
      <c r="B904" s="354"/>
      <c r="C904" s="354">
        <v>263.0</v>
      </c>
      <c r="D904" s="354" t="s">
        <v>1399</v>
      </c>
      <c r="E904" s="354" t="s">
        <v>24</v>
      </c>
      <c r="F904" s="355">
        <v>42073.0</v>
      </c>
      <c r="G904" s="355">
        <v>42750.0</v>
      </c>
      <c r="H904" s="355">
        <v>44430.0</v>
      </c>
      <c r="I904" s="355">
        <v>44430.0</v>
      </c>
      <c r="J904" s="356">
        <v>14.99</v>
      </c>
      <c r="K904" s="356">
        <v>3.59</v>
      </c>
      <c r="L904" s="356">
        <v>11.4</v>
      </c>
      <c r="M904" s="354">
        <v>2.0</v>
      </c>
      <c r="N904" s="356">
        <v>1.8</v>
      </c>
    </row>
    <row r="905">
      <c r="A905" s="452"/>
      <c r="B905" s="452"/>
      <c r="C905" s="453"/>
      <c r="D905" s="454"/>
      <c r="E905" s="454"/>
      <c r="F905" s="454"/>
      <c r="G905" s="454"/>
      <c r="H905" s="454"/>
      <c r="I905" s="454"/>
      <c r="J905" s="455">
        <f t="shared" ref="J905:M905" si="118">SUM(J903:J904)</f>
        <v>24.98</v>
      </c>
      <c r="K905" s="455">
        <f t="shared" si="118"/>
        <v>13.58</v>
      </c>
      <c r="L905" s="455">
        <f t="shared" si="118"/>
        <v>11.4</v>
      </c>
      <c r="M905" s="454">
        <f t="shared" si="118"/>
        <v>10</v>
      </c>
      <c r="N905" s="455">
        <f>K905/M905</f>
        <v>1.358</v>
      </c>
    </row>
    <row r="906">
      <c r="A906" s="354" t="s">
        <v>527</v>
      </c>
      <c r="B906" s="354" t="s">
        <v>531</v>
      </c>
      <c r="C906" s="354">
        <v>683.0</v>
      </c>
      <c r="D906" s="354" t="s">
        <v>1419</v>
      </c>
      <c r="E906" s="354" t="s">
        <v>26</v>
      </c>
      <c r="F906" s="355">
        <v>44336.0</v>
      </c>
      <c r="G906" s="355">
        <v>44678.0</v>
      </c>
      <c r="H906" s="355">
        <v>44679.0</v>
      </c>
      <c r="I906" s="355">
        <v>44686.0</v>
      </c>
      <c r="J906" s="356">
        <v>13.99</v>
      </c>
      <c r="K906" s="356">
        <v>6.29</v>
      </c>
      <c r="L906" s="356">
        <v>7.7</v>
      </c>
      <c r="M906" s="354">
        <v>14.0</v>
      </c>
      <c r="N906" s="356">
        <v>0.45</v>
      </c>
    </row>
    <row r="907">
      <c r="A907" s="450" t="s">
        <v>527</v>
      </c>
      <c r="B907" s="354" t="s">
        <v>532</v>
      </c>
      <c r="C907" s="354">
        <v>192.0</v>
      </c>
      <c r="D907" s="354" t="s">
        <v>1392</v>
      </c>
      <c r="E907" s="354" t="s">
        <v>24</v>
      </c>
      <c r="F907" s="355">
        <v>40844.0</v>
      </c>
      <c r="G907" s="355">
        <v>44422.0</v>
      </c>
      <c r="H907" s="355">
        <v>44422.0</v>
      </c>
      <c r="I907" s="355">
        <v>44422.0</v>
      </c>
      <c r="J907" s="356">
        <v>19.99</v>
      </c>
      <c r="K907" s="356">
        <v>0.0</v>
      </c>
      <c r="L907" s="356">
        <v>19.99</v>
      </c>
      <c r="M907" s="354">
        <v>1.0</v>
      </c>
      <c r="N907" s="356">
        <v>0.0</v>
      </c>
    </row>
    <row r="908">
      <c r="A908" s="354" t="s">
        <v>527</v>
      </c>
      <c r="B908" s="354"/>
      <c r="C908" s="354">
        <v>524.0</v>
      </c>
      <c r="D908" s="354" t="s">
        <v>1408</v>
      </c>
      <c r="E908" s="354" t="s">
        <v>26</v>
      </c>
      <c r="F908" s="355">
        <v>42664.0</v>
      </c>
      <c r="G908" s="355">
        <v>44334.0</v>
      </c>
      <c r="H908" s="355">
        <v>44334.0</v>
      </c>
      <c r="I908" s="355">
        <v>44334.0</v>
      </c>
      <c r="J908" s="356">
        <v>19.99</v>
      </c>
      <c r="K908" s="356">
        <v>0.0</v>
      </c>
      <c r="L908" s="356">
        <v>19.99</v>
      </c>
      <c r="M908" s="354">
        <v>1.0</v>
      </c>
      <c r="N908" s="356">
        <v>0.0</v>
      </c>
    </row>
    <row r="909">
      <c r="A909" s="354" t="s">
        <v>527</v>
      </c>
      <c r="B909" s="354"/>
      <c r="C909" s="354">
        <v>525.0</v>
      </c>
      <c r="D909" s="354" t="s">
        <v>1422</v>
      </c>
      <c r="E909" s="354" t="s">
        <v>26</v>
      </c>
      <c r="F909" s="355">
        <v>44519.0</v>
      </c>
      <c r="G909" s="355">
        <v>44992.0</v>
      </c>
      <c r="H909" s="355">
        <v>44992.0</v>
      </c>
      <c r="I909" s="355">
        <v>44992.0</v>
      </c>
      <c r="J909" s="356">
        <v>79.99</v>
      </c>
      <c r="K909" s="356">
        <v>0.0</v>
      </c>
      <c r="L909" s="356">
        <v>79.99</v>
      </c>
      <c r="M909" s="354">
        <v>1.0</v>
      </c>
      <c r="N909" s="356">
        <v>0.0</v>
      </c>
    </row>
    <row r="910">
      <c r="A910" s="452"/>
      <c r="B910" s="452"/>
      <c r="C910" s="453"/>
      <c r="D910" s="454"/>
      <c r="E910" s="454"/>
      <c r="F910" s="454"/>
      <c r="G910" s="454"/>
      <c r="H910" s="454"/>
      <c r="I910" s="454"/>
      <c r="J910" s="455">
        <f t="shared" ref="J910:M910" si="119">SUM(J907:J909)</f>
        <v>119.97</v>
      </c>
      <c r="K910" s="455">
        <f t="shared" si="119"/>
        <v>0</v>
      </c>
      <c r="L910" s="455">
        <f t="shared" si="119"/>
        <v>119.97</v>
      </c>
      <c r="M910" s="454">
        <f t="shared" si="119"/>
        <v>3</v>
      </c>
      <c r="N910" s="455">
        <f>K910/M910</f>
        <v>0</v>
      </c>
    </row>
    <row r="911">
      <c r="A911" s="354" t="s">
        <v>527</v>
      </c>
      <c r="B911" s="354" t="s">
        <v>533</v>
      </c>
      <c r="C911" s="354">
        <v>763.0</v>
      </c>
      <c r="D911" s="354" t="s">
        <v>1414</v>
      </c>
      <c r="E911" s="354" t="s">
        <v>26</v>
      </c>
      <c r="F911" s="355">
        <v>43777.0</v>
      </c>
      <c r="G911" s="355">
        <v>44811.0</v>
      </c>
      <c r="H911" s="355">
        <v>44830.0</v>
      </c>
      <c r="I911" s="355">
        <v>44917.0</v>
      </c>
      <c r="J911" s="356">
        <v>69.99</v>
      </c>
      <c r="K911" s="356">
        <v>0.0</v>
      </c>
      <c r="L911" s="356">
        <v>69.99</v>
      </c>
      <c r="M911" s="354">
        <v>11.0</v>
      </c>
      <c r="N911" s="356">
        <v>0.0</v>
      </c>
    </row>
    <row r="912">
      <c r="A912" s="354" t="s">
        <v>527</v>
      </c>
      <c r="B912" s="354" t="s">
        <v>534</v>
      </c>
      <c r="C912" s="354">
        <v>530.0</v>
      </c>
      <c r="D912" s="354" t="s">
        <v>1420</v>
      </c>
      <c r="E912" s="354" t="s">
        <v>26</v>
      </c>
      <c r="F912" s="355">
        <v>44341.0</v>
      </c>
      <c r="G912" s="355">
        <v>44813.0</v>
      </c>
      <c r="H912" s="355">
        <v>44824.0</v>
      </c>
      <c r="I912" s="355">
        <v>44883.0</v>
      </c>
      <c r="J912" s="356">
        <v>59.99</v>
      </c>
      <c r="K912" s="356">
        <v>29.99</v>
      </c>
      <c r="L912" s="356">
        <v>30.0</v>
      </c>
      <c r="M912" s="354">
        <v>49.0</v>
      </c>
      <c r="N912" s="356">
        <v>0.61</v>
      </c>
    </row>
    <row r="913">
      <c r="A913" s="354" t="s">
        <v>527</v>
      </c>
      <c r="B913" s="354" t="s">
        <v>535</v>
      </c>
      <c r="C913" s="354">
        <v>984.0</v>
      </c>
      <c r="D913" s="354" t="s">
        <v>1426</v>
      </c>
      <c r="E913" s="354" t="s">
        <v>27</v>
      </c>
      <c r="F913" s="355">
        <v>43151.0</v>
      </c>
      <c r="G913" s="355">
        <v>43472.0</v>
      </c>
      <c r="H913" s="355">
        <v>43472.0</v>
      </c>
      <c r="I913" s="355">
        <v>43472.0</v>
      </c>
      <c r="J913" s="356">
        <v>19.99</v>
      </c>
      <c r="K913" s="356">
        <v>14.99</v>
      </c>
      <c r="L913" s="356">
        <v>5.0</v>
      </c>
      <c r="M913" s="354">
        <v>1.0</v>
      </c>
      <c r="N913" s="356">
        <v>14.99</v>
      </c>
    </row>
    <row r="914">
      <c r="A914" s="354" t="s">
        <v>527</v>
      </c>
      <c r="B914" s="354" t="s">
        <v>536</v>
      </c>
      <c r="C914" s="354">
        <v>507.0</v>
      </c>
      <c r="D914" s="354" t="s">
        <v>1409</v>
      </c>
      <c r="E914" s="354" t="s">
        <v>26</v>
      </c>
      <c r="F914" s="355">
        <v>42696.0</v>
      </c>
      <c r="G914" s="355">
        <v>44139.0</v>
      </c>
      <c r="H914" s="355">
        <v>44139.0</v>
      </c>
      <c r="I914" s="355">
        <v>44139.0</v>
      </c>
      <c r="J914" s="356">
        <v>14.25</v>
      </c>
      <c r="K914" s="356">
        <v>1.57</v>
      </c>
      <c r="L914" s="356">
        <v>12.68</v>
      </c>
      <c r="M914" s="354">
        <v>1.0</v>
      </c>
      <c r="N914" s="356">
        <v>1.57</v>
      </c>
    </row>
    <row r="915">
      <c r="A915" s="354" t="s">
        <v>527</v>
      </c>
      <c r="B915" s="354" t="s">
        <v>537</v>
      </c>
      <c r="C915" s="354">
        <v>31.0</v>
      </c>
      <c r="D915" s="354" t="s">
        <v>1390</v>
      </c>
      <c r="E915" s="354" t="s">
        <v>21</v>
      </c>
      <c r="F915" s="355">
        <v>35986.0</v>
      </c>
      <c r="G915" s="355">
        <v>40794.0</v>
      </c>
      <c r="H915" s="355">
        <v>40794.0</v>
      </c>
      <c r="I915" s="355">
        <v>40794.0</v>
      </c>
      <c r="J915" s="356">
        <v>4.99</v>
      </c>
      <c r="K915" s="356">
        <v>4.99</v>
      </c>
      <c r="L915" s="356">
        <v>0.0</v>
      </c>
      <c r="M915" s="354">
        <v>3.0</v>
      </c>
      <c r="N915" s="356">
        <v>1.66</v>
      </c>
    </row>
    <row r="916">
      <c r="A916" s="354" t="s">
        <v>527</v>
      </c>
      <c r="B916" s="354" t="s">
        <v>538</v>
      </c>
      <c r="C916" s="354">
        <v>678.0</v>
      </c>
      <c r="D916" s="354" t="s">
        <v>1418</v>
      </c>
      <c r="E916" s="354" t="s">
        <v>26</v>
      </c>
      <c r="F916" s="355">
        <v>44281.0</v>
      </c>
      <c r="G916" s="355">
        <v>44567.0</v>
      </c>
      <c r="H916" s="355">
        <v>44567.0</v>
      </c>
      <c r="I916" s="355">
        <v>44567.0</v>
      </c>
      <c r="J916" s="356">
        <v>39.99</v>
      </c>
      <c r="K916" s="356">
        <v>19.99</v>
      </c>
      <c r="L916" s="356">
        <v>20.0</v>
      </c>
      <c r="M916" s="354">
        <v>1.0</v>
      </c>
      <c r="N916" s="356">
        <v>19.99</v>
      </c>
    </row>
    <row r="917">
      <c r="A917" s="354" t="s">
        <v>527</v>
      </c>
      <c r="B917" s="354" t="s">
        <v>539</v>
      </c>
      <c r="C917" s="354">
        <v>469.0</v>
      </c>
      <c r="D917" s="354" t="s">
        <v>1401</v>
      </c>
      <c r="E917" s="354" t="s">
        <v>25</v>
      </c>
      <c r="F917" s="355">
        <v>41717.0</v>
      </c>
      <c r="G917" s="355">
        <v>42750.0</v>
      </c>
      <c r="H917" s="355">
        <v>42753.0</v>
      </c>
      <c r="I917" s="355">
        <v>44585.0</v>
      </c>
      <c r="J917" s="356">
        <v>8.99</v>
      </c>
      <c r="K917" s="356">
        <v>1.99</v>
      </c>
      <c r="L917" s="356">
        <v>7.0</v>
      </c>
      <c r="M917" s="354">
        <v>10.0</v>
      </c>
      <c r="N917" s="356">
        <v>0.2</v>
      </c>
    </row>
    <row r="918">
      <c r="A918" s="354" t="s">
        <v>527</v>
      </c>
      <c r="B918" s="354"/>
      <c r="C918" s="354">
        <v>470.0</v>
      </c>
      <c r="D918" s="354" t="s">
        <v>1402</v>
      </c>
      <c r="E918" s="354" t="s">
        <v>25</v>
      </c>
      <c r="F918" s="355">
        <v>42529.0</v>
      </c>
      <c r="G918" s="355">
        <v>42754.0</v>
      </c>
      <c r="H918" s="355">
        <v>43004.0</v>
      </c>
      <c r="I918" s="355">
        <v>45183.0</v>
      </c>
      <c r="J918" s="356">
        <v>14.99</v>
      </c>
      <c r="K918" s="356">
        <v>9.99</v>
      </c>
      <c r="L918" s="356">
        <v>5.0</v>
      </c>
      <c r="M918" s="354">
        <v>9.0</v>
      </c>
      <c r="N918" s="356">
        <v>1.11</v>
      </c>
    </row>
    <row r="919">
      <c r="A919" s="354" t="s">
        <v>527</v>
      </c>
      <c r="B919" s="354"/>
      <c r="C919" s="354">
        <v>471.0</v>
      </c>
      <c r="D919" s="354" t="s">
        <v>1403</v>
      </c>
      <c r="E919" s="354" t="s">
        <v>25</v>
      </c>
      <c r="F919" s="355">
        <v>43005.0</v>
      </c>
      <c r="G919" s="355">
        <v>44567.0</v>
      </c>
      <c r="H919" s="355">
        <v>44569.0</v>
      </c>
      <c r="I919" s="355">
        <v>44576.0</v>
      </c>
      <c r="J919" s="356">
        <v>19.99</v>
      </c>
      <c r="K919" s="356">
        <v>4.99</v>
      </c>
      <c r="L919" s="356">
        <v>15.0</v>
      </c>
      <c r="M919" s="354">
        <v>4.0</v>
      </c>
      <c r="N919" s="356">
        <v>1.25</v>
      </c>
    </row>
    <row r="920">
      <c r="A920" s="450" t="s">
        <v>527</v>
      </c>
      <c r="B920" s="450"/>
      <c r="C920" s="354">
        <v>859.0</v>
      </c>
      <c r="D920" s="354" t="s">
        <v>1424</v>
      </c>
      <c r="E920" s="354" t="s">
        <v>26</v>
      </c>
      <c r="F920" s="355">
        <v>45261.0</v>
      </c>
      <c r="G920" s="355">
        <v>45586.0</v>
      </c>
      <c r="H920" s="355">
        <v>45586.0</v>
      </c>
      <c r="I920" s="355">
        <v>45586.0</v>
      </c>
      <c r="J920" s="451">
        <v>29.99</v>
      </c>
      <c r="K920" s="451">
        <v>15.74</v>
      </c>
      <c r="L920" s="451">
        <v>14.25</v>
      </c>
      <c r="M920" s="354">
        <v>1.0</v>
      </c>
      <c r="N920" s="356">
        <v>15.74</v>
      </c>
    </row>
    <row r="921">
      <c r="A921" s="452"/>
      <c r="B921" s="452"/>
      <c r="C921" s="453"/>
      <c r="D921" s="454"/>
      <c r="E921" s="454"/>
      <c r="F921" s="454"/>
      <c r="G921" s="454"/>
      <c r="H921" s="454"/>
      <c r="I921" s="454"/>
      <c r="J921" s="455">
        <f t="shared" ref="J921:M921" si="120">SUM(J917:J920)</f>
        <v>73.96</v>
      </c>
      <c r="K921" s="455">
        <f t="shared" si="120"/>
        <v>32.71</v>
      </c>
      <c r="L921" s="455">
        <f t="shared" si="120"/>
        <v>41.25</v>
      </c>
      <c r="M921" s="454">
        <f t="shared" si="120"/>
        <v>24</v>
      </c>
      <c r="N921" s="455">
        <f>K921/M921</f>
        <v>1.362916667</v>
      </c>
    </row>
    <row r="922">
      <c r="A922" s="354" t="s">
        <v>527</v>
      </c>
      <c r="B922" s="354" t="s">
        <v>540</v>
      </c>
      <c r="C922" s="354">
        <v>551.0</v>
      </c>
      <c r="D922" s="354" t="s">
        <v>1407</v>
      </c>
      <c r="E922" s="354" t="s">
        <v>26</v>
      </c>
      <c r="F922" s="355">
        <v>42640.0</v>
      </c>
      <c r="G922" s="355">
        <v>44067.0</v>
      </c>
      <c r="H922" s="355">
        <v>44393.0</v>
      </c>
      <c r="I922" s="355">
        <v>44393.0</v>
      </c>
      <c r="J922" s="356">
        <v>14.99</v>
      </c>
      <c r="K922" s="356">
        <v>4.49</v>
      </c>
      <c r="L922" s="356">
        <v>10.5</v>
      </c>
      <c r="M922" s="354">
        <v>2.0</v>
      </c>
      <c r="N922" s="356">
        <v>2.25</v>
      </c>
    </row>
    <row r="923">
      <c r="A923" s="354" t="s">
        <v>527</v>
      </c>
      <c r="B923" s="354" t="s">
        <v>541</v>
      </c>
      <c r="C923" s="354">
        <v>769.0</v>
      </c>
      <c r="D923" s="354" t="s">
        <v>1421</v>
      </c>
      <c r="E923" s="354" t="s">
        <v>26</v>
      </c>
      <c r="F923" s="355">
        <v>44474.0</v>
      </c>
      <c r="G923" s="355">
        <v>44720.0</v>
      </c>
      <c r="H923" s="355">
        <v>44814.0</v>
      </c>
      <c r="I923" s="355">
        <v>44815.0</v>
      </c>
      <c r="J923" s="356">
        <v>49.99</v>
      </c>
      <c r="K923" s="356">
        <v>0.0</v>
      </c>
      <c r="L923" s="356">
        <v>49.99</v>
      </c>
      <c r="M923" s="354">
        <v>11.0</v>
      </c>
      <c r="N923" s="356">
        <v>0.0</v>
      </c>
    </row>
    <row r="924">
      <c r="A924" s="450" t="s">
        <v>527</v>
      </c>
      <c r="B924" s="354" t="s">
        <v>542</v>
      </c>
      <c r="C924" s="354">
        <v>422.0</v>
      </c>
      <c r="D924" s="354" t="s">
        <v>1398</v>
      </c>
      <c r="E924" s="354" t="s">
        <v>24</v>
      </c>
      <c r="F924" s="355">
        <v>41779.0</v>
      </c>
      <c r="G924" s="355">
        <v>45058.0</v>
      </c>
      <c r="H924" s="355">
        <v>45058.0</v>
      </c>
      <c r="I924" s="355">
        <v>45058.0</v>
      </c>
      <c r="J924" s="356">
        <v>19.99</v>
      </c>
      <c r="K924" s="356">
        <v>3.5</v>
      </c>
      <c r="L924" s="356">
        <v>16.49</v>
      </c>
      <c r="M924" s="354">
        <v>1.0</v>
      </c>
      <c r="N924" s="356">
        <v>3.5</v>
      </c>
    </row>
    <row r="925">
      <c r="A925" s="354" t="s">
        <v>527</v>
      </c>
      <c r="B925" s="354"/>
      <c r="C925" s="354">
        <v>965.0</v>
      </c>
      <c r="D925" s="354" t="s">
        <v>1405</v>
      </c>
      <c r="E925" s="354" t="s">
        <v>26</v>
      </c>
      <c r="F925" s="355">
        <v>42129.0</v>
      </c>
      <c r="G925" s="355">
        <v>45058.0</v>
      </c>
      <c r="H925" s="355">
        <v>45058.0</v>
      </c>
      <c r="I925" s="355">
        <v>45058.0</v>
      </c>
      <c r="J925" s="356">
        <v>19.99</v>
      </c>
      <c r="K925" s="356">
        <v>3.5</v>
      </c>
      <c r="L925" s="356">
        <v>16.49</v>
      </c>
      <c r="M925" s="354">
        <v>1.0</v>
      </c>
      <c r="N925" s="356">
        <v>3.5</v>
      </c>
    </row>
    <row r="926">
      <c r="A926" s="354" t="s">
        <v>527</v>
      </c>
      <c r="B926" s="354"/>
      <c r="C926" s="354">
        <v>966.0</v>
      </c>
      <c r="D926" s="354" t="s">
        <v>1411</v>
      </c>
      <c r="E926" s="354" t="s">
        <v>26</v>
      </c>
      <c r="F926" s="355">
        <v>43035.0</v>
      </c>
      <c r="G926" s="355">
        <v>45058.0</v>
      </c>
      <c r="H926" s="355">
        <v>45058.0</v>
      </c>
      <c r="I926" s="355">
        <v>45058.0</v>
      </c>
      <c r="J926" s="356">
        <v>39.99</v>
      </c>
      <c r="K926" s="356">
        <v>3.5</v>
      </c>
      <c r="L926" s="356">
        <v>36.49</v>
      </c>
      <c r="M926" s="354">
        <v>1.0</v>
      </c>
      <c r="N926" s="356">
        <v>3.5</v>
      </c>
    </row>
    <row r="927">
      <c r="A927" s="354" t="s">
        <v>527</v>
      </c>
      <c r="B927" s="354"/>
      <c r="C927" s="354">
        <v>967.0</v>
      </c>
      <c r="D927" s="354" t="s">
        <v>1413</v>
      </c>
      <c r="E927" s="354" t="s">
        <v>26</v>
      </c>
      <c r="F927" s="355">
        <v>43672.0</v>
      </c>
      <c r="G927" s="355">
        <v>45058.0</v>
      </c>
      <c r="H927" s="355">
        <v>45058.0</v>
      </c>
      <c r="I927" s="355">
        <v>45058.0</v>
      </c>
      <c r="J927" s="356">
        <v>19.99</v>
      </c>
      <c r="K927" s="356">
        <v>3.49</v>
      </c>
      <c r="L927" s="356">
        <v>16.5</v>
      </c>
      <c r="M927" s="354">
        <v>1.0</v>
      </c>
      <c r="N927" s="356">
        <v>3.49</v>
      </c>
    </row>
    <row r="928">
      <c r="A928" s="452"/>
      <c r="B928" s="452"/>
      <c r="C928" s="453"/>
      <c r="D928" s="454"/>
      <c r="E928" s="454"/>
      <c r="F928" s="454"/>
      <c r="G928" s="454"/>
      <c r="H928" s="454"/>
      <c r="I928" s="454"/>
      <c r="J928" s="455">
        <f t="shared" ref="J928:M928" si="121">SUM(J924:J927)</f>
        <v>99.96</v>
      </c>
      <c r="K928" s="455">
        <f t="shared" si="121"/>
        <v>13.99</v>
      </c>
      <c r="L928" s="455">
        <f t="shared" si="121"/>
        <v>85.97</v>
      </c>
      <c r="M928" s="454">
        <f t="shared" si="121"/>
        <v>4</v>
      </c>
      <c r="N928" s="455">
        <f>K928/M928</f>
        <v>3.4975</v>
      </c>
    </row>
    <row r="929">
      <c r="A929" s="450" t="s">
        <v>527</v>
      </c>
      <c r="B929" s="354" t="s">
        <v>543</v>
      </c>
      <c r="C929" s="354">
        <v>300.0</v>
      </c>
      <c r="D929" s="354" t="s">
        <v>1397</v>
      </c>
      <c r="E929" s="354" t="s">
        <v>24</v>
      </c>
      <c r="F929" s="355">
        <v>41626.0</v>
      </c>
      <c r="G929" s="355">
        <v>45427.0</v>
      </c>
      <c r="H929" s="355">
        <v>45427.0</v>
      </c>
      <c r="I929" s="355">
        <v>45427.0</v>
      </c>
      <c r="J929" s="356">
        <v>18.99</v>
      </c>
      <c r="K929" s="356">
        <v>8.46</v>
      </c>
      <c r="L929" s="356">
        <v>10.53</v>
      </c>
      <c r="M929" s="354">
        <v>1.0</v>
      </c>
      <c r="N929" s="356">
        <v>8.46</v>
      </c>
    </row>
    <row r="930">
      <c r="A930" s="450" t="s">
        <v>527</v>
      </c>
      <c r="B930" s="450"/>
      <c r="C930" s="354">
        <v>751.0</v>
      </c>
      <c r="D930" s="354" t="s">
        <v>1415</v>
      </c>
      <c r="E930" s="354" t="s">
        <v>26</v>
      </c>
      <c r="F930" s="355">
        <v>43977.0</v>
      </c>
      <c r="G930" s="355">
        <v>44992.0</v>
      </c>
      <c r="H930" s="355">
        <v>45705.0</v>
      </c>
      <c r="I930" s="355">
        <v>45708.0</v>
      </c>
      <c r="J930" s="356">
        <v>19.99</v>
      </c>
      <c r="K930" s="356">
        <v>0.0</v>
      </c>
      <c r="L930" s="356">
        <v>19.99</v>
      </c>
      <c r="M930" s="354">
        <v>10.0</v>
      </c>
      <c r="N930" s="356">
        <v>0.0</v>
      </c>
    </row>
    <row r="931">
      <c r="A931" s="354" t="s">
        <v>527</v>
      </c>
      <c r="B931" s="354"/>
      <c r="C931" s="354">
        <v>752.0</v>
      </c>
      <c r="D931" s="354" t="s">
        <v>1423</v>
      </c>
      <c r="E931" s="354" t="s">
        <v>26</v>
      </c>
      <c r="F931" s="355">
        <v>45034.0</v>
      </c>
      <c r="G931" s="355">
        <v>45385.0</v>
      </c>
      <c r="H931" s="355">
        <v>45385.0</v>
      </c>
      <c r="I931" s="355">
        <v>45385.0</v>
      </c>
      <c r="J931" s="356">
        <v>39.99</v>
      </c>
      <c r="K931" s="356">
        <v>0.0</v>
      </c>
      <c r="L931" s="356">
        <v>39.99</v>
      </c>
      <c r="M931" s="354">
        <v>1.0</v>
      </c>
      <c r="N931" s="356">
        <v>0.0</v>
      </c>
    </row>
    <row r="932">
      <c r="A932" s="452"/>
      <c r="B932" s="452"/>
      <c r="C932" s="453"/>
      <c r="D932" s="454"/>
      <c r="E932" s="454"/>
      <c r="F932" s="454"/>
      <c r="G932" s="454"/>
      <c r="H932" s="454"/>
      <c r="I932" s="454"/>
      <c r="J932" s="455">
        <f t="shared" ref="J932:M932" si="122">SUM(J929:J931)</f>
        <v>78.97</v>
      </c>
      <c r="K932" s="455">
        <f t="shared" si="122"/>
        <v>8.46</v>
      </c>
      <c r="L932" s="455">
        <f t="shared" si="122"/>
        <v>70.51</v>
      </c>
      <c r="M932" s="454">
        <f t="shared" si="122"/>
        <v>12</v>
      </c>
      <c r="N932" s="455">
        <f>K932/M932</f>
        <v>0.705</v>
      </c>
    </row>
    <row r="933">
      <c r="A933" s="354" t="s">
        <v>527</v>
      </c>
      <c r="B933" s="354" t="s">
        <v>544</v>
      </c>
      <c r="C933" s="354">
        <v>991.0</v>
      </c>
      <c r="D933" s="354" t="s">
        <v>1427</v>
      </c>
      <c r="E933" s="354" t="s">
        <v>27</v>
      </c>
      <c r="F933" s="355">
        <v>43966.0</v>
      </c>
      <c r="G933" s="355">
        <v>45176.0</v>
      </c>
      <c r="H933" s="355">
        <v>45176.0</v>
      </c>
      <c r="I933" s="355">
        <v>45176.0</v>
      </c>
      <c r="J933" s="356">
        <v>24.99</v>
      </c>
      <c r="K933" s="356">
        <v>0.0</v>
      </c>
      <c r="L933" s="356">
        <v>24.99</v>
      </c>
      <c r="M933" s="354">
        <v>1.0</v>
      </c>
      <c r="N933" s="356">
        <v>0.0</v>
      </c>
    </row>
    <row r="934">
      <c r="A934" s="450" t="s">
        <v>527</v>
      </c>
      <c r="B934" s="354" t="s">
        <v>545</v>
      </c>
      <c r="C934" s="354">
        <v>320.0</v>
      </c>
      <c r="D934" s="354" t="s">
        <v>1393</v>
      </c>
      <c r="E934" s="354" t="s">
        <v>24</v>
      </c>
      <c r="F934" s="355">
        <v>40849.0</v>
      </c>
      <c r="G934" s="355">
        <v>41461.0</v>
      </c>
      <c r="H934" s="355">
        <v>41461.0</v>
      </c>
      <c r="I934" s="355">
        <v>44781.0</v>
      </c>
      <c r="J934" s="356">
        <v>16.99</v>
      </c>
      <c r="K934" s="356">
        <v>12.99</v>
      </c>
      <c r="L934" s="356">
        <v>4.0</v>
      </c>
      <c r="M934" s="354">
        <v>2.0</v>
      </c>
      <c r="N934" s="356">
        <v>6.5</v>
      </c>
    </row>
    <row r="935">
      <c r="A935" s="450" t="s">
        <v>527</v>
      </c>
      <c r="B935" s="450" t="s">
        <v>546</v>
      </c>
      <c r="C935" s="354">
        <v>937.0</v>
      </c>
      <c r="D935" s="354" t="s">
        <v>1416</v>
      </c>
      <c r="E935" s="354" t="s">
        <v>26</v>
      </c>
      <c r="F935" s="355">
        <v>44057.0</v>
      </c>
      <c r="G935" s="355">
        <v>45176.0</v>
      </c>
      <c r="H935" s="355">
        <v>45759.0</v>
      </c>
      <c r="I935" s="355">
        <v>45761.0</v>
      </c>
      <c r="J935" s="356">
        <v>9.99</v>
      </c>
      <c r="K935" s="356">
        <v>0.0</v>
      </c>
      <c r="L935" s="356">
        <v>9.99</v>
      </c>
      <c r="M935" s="354">
        <v>4.0</v>
      </c>
      <c r="N935" s="356">
        <v>0.0</v>
      </c>
    </row>
    <row r="936">
      <c r="A936" s="450" t="s">
        <v>527</v>
      </c>
      <c r="B936" s="354" t="s">
        <v>547</v>
      </c>
      <c r="C936" s="354">
        <v>1083.0</v>
      </c>
      <c r="D936" s="354" t="s">
        <v>1428</v>
      </c>
      <c r="E936" s="354" t="s">
        <v>28</v>
      </c>
      <c r="F936" s="355">
        <v>44456.0</v>
      </c>
      <c r="G936" s="355">
        <v>44811.0</v>
      </c>
      <c r="H936" s="355">
        <v>44828.0</v>
      </c>
      <c r="I936" s="355">
        <v>44829.0</v>
      </c>
      <c r="J936" s="451">
        <v>19.99</v>
      </c>
      <c r="K936" s="451">
        <v>0.0</v>
      </c>
      <c r="L936" s="356">
        <v>19.99</v>
      </c>
      <c r="M936" s="354">
        <v>10.0</v>
      </c>
      <c r="N936" s="356">
        <v>0.0</v>
      </c>
    </row>
    <row r="937">
      <c r="A937" s="450" t="s">
        <v>527</v>
      </c>
      <c r="B937" s="354" t="s">
        <v>548</v>
      </c>
      <c r="C937" s="354">
        <v>387.0</v>
      </c>
      <c r="D937" s="354" t="s">
        <v>1391</v>
      </c>
      <c r="E937" s="354" t="s">
        <v>24</v>
      </c>
      <c r="F937" s="355">
        <v>39283.0</v>
      </c>
      <c r="G937" s="355">
        <v>44091.0</v>
      </c>
      <c r="H937" s="355">
        <v>44091.0</v>
      </c>
      <c r="I937" s="355">
        <v>44091.0</v>
      </c>
      <c r="J937" s="356">
        <v>29.99</v>
      </c>
      <c r="K937" s="356">
        <v>3.0</v>
      </c>
      <c r="L937" s="356">
        <v>26.99</v>
      </c>
      <c r="M937" s="354">
        <v>1.0</v>
      </c>
      <c r="N937" s="356">
        <v>3.0</v>
      </c>
    </row>
    <row r="938">
      <c r="A938" s="450" t="s">
        <v>527</v>
      </c>
      <c r="B938" s="354"/>
      <c r="C938" s="354">
        <v>377.0</v>
      </c>
      <c r="D938" s="354" t="s">
        <v>1394</v>
      </c>
      <c r="E938" s="354" t="s">
        <v>24</v>
      </c>
      <c r="F938" s="355">
        <v>40963.0</v>
      </c>
      <c r="G938" s="355">
        <v>41693.0</v>
      </c>
      <c r="H938" s="355">
        <v>41693.0</v>
      </c>
      <c r="I938" s="355">
        <v>44796.0</v>
      </c>
      <c r="J938" s="356">
        <v>19.99</v>
      </c>
      <c r="K938" s="356">
        <v>1.0</v>
      </c>
      <c r="L938" s="356">
        <v>18.99</v>
      </c>
      <c r="M938" s="354">
        <v>15.0</v>
      </c>
      <c r="N938" s="356">
        <v>0.07</v>
      </c>
    </row>
    <row r="939">
      <c r="A939" s="450" t="s">
        <v>527</v>
      </c>
      <c r="B939" s="354"/>
      <c r="C939" s="354">
        <v>205.0</v>
      </c>
      <c r="D939" s="354" t="s">
        <v>1396</v>
      </c>
      <c r="E939" s="354" t="s">
        <v>24</v>
      </c>
      <c r="F939" s="355">
        <v>41520.0</v>
      </c>
      <c r="G939" s="355">
        <v>44314.0</v>
      </c>
      <c r="H939" s="355">
        <v>44314.0</v>
      </c>
      <c r="I939" s="355">
        <v>44314.0</v>
      </c>
      <c r="J939" s="356">
        <v>19.99</v>
      </c>
      <c r="K939" s="356">
        <v>4.99</v>
      </c>
      <c r="L939" s="356">
        <v>15.0</v>
      </c>
      <c r="M939" s="354">
        <v>1.0</v>
      </c>
      <c r="N939" s="356">
        <v>4.99</v>
      </c>
    </row>
    <row r="940">
      <c r="A940" s="452"/>
      <c r="B940" s="452"/>
      <c r="C940" s="453"/>
      <c r="D940" s="454"/>
      <c r="E940" s="454"/>
      <c r="F940" s="454"/>
      <c r="G940" s="454"/>
      <c r="H940" s="454"/>
      <c r="I940" s="454"/>
      <c r="J940" s="455">
        <f t="shared" ref="J940:M940" si="123">SUM(J937:J939)</f>
        <v>69.97</v>
      </c>
      <c r="K940" s="455">
        <f t="shared" si="123"/>
        <v>8.99</v>
      </c>
      <c r="L940" s="455">
        <f t="shared" si="123"/>
        <v>60.98</v>
      </c>
      <c r="M940" s="454">
        <f t="shared" si="123"/>
        <v>17</v>
      </c>
      <c r="N940" s="455">
        <f>K940/M940</f>
        <v>0.5288235294</v>
      </c>
    </row>
    <row r="941">
      <c r="A941" s="354" t="s">
        <v>527</v>
      </c>
      <c r="B941" s="354" t="s">
        <v>549</v>
      </c>
      <c r="C941" s="354">
        <v>638.0</v>
      </c>
      <c r="D941" s="354" t="s">
        <v>1412</v>
      </c>
      <c r="E941" s="354" t="s">
        <v>26</v>
      </c>
      <c r="F941" s="355">
        <v>43550.0</v>
      </c>
      <c r="G941" s="355">
        <v>45174.0</v>
      </c>
      <c r="H941" s="355">
        <v>45174.0</v>
      </c>
      <c r="I941" s="355">
        <v>45174.0</v>
      </c>
      <c r="J941" s="356">
        <v>29.99</v>
      </c>
      <c r="K941" s="356">
        <v>0.0</v>
      </c>
      <c r="L941" s="356">
        <v>29.99</v>
      </c>
      <c r="M941" s="354">
        <v>1.0</v>
      </c>
      <c r="N941" s="356">
        <v>0.0</v>
      </c>
    </row>
    <row r="942">
      <c r="A942" s="450" t="s">
        <v>527</v>
      </c>
      <c r="B942" s="354" t="s">
        <v>550</v>
      </c>
      <c r="C942" s="354">
        <v>714.0</v>
      </c>
      <c r="D942" s="354" t="s">
        <v>1410</v>
      </c>
      <c r="E942" s="354" t="s">
        <v>26</v>
      </c>
      <c r="F942" s="355">
        <v>42853.0</v>
      </c>
      <c r="G942" s="355">
        <v>44776.0</v>
      </c>
      <c r="H942" s="355">
        <v>44776.0</v>
      </c>
      <c r="I942" s="355">
        <v>44776.0</v>
      </c>
      <c r="J942" s="356">
        <v>19.99</v>
      </c>
      <c r="K942" s="356">
        <v>0.0</v>
      </c>
      <c r="L942" s="356">
        <v>19.99</v>
      </c>
      <c r="M942" s="354">
        <v>1.0</v>
      </c>
      <c r="N942" s="356">
        <v>0.0</v>
      </c>
    </row>
    <row r="943">
      <c r="A943" s="354" t="s">
        <v>527</v>
      </c>
      <c r="B943" s="354"/>
      <c r="C943" s="354">
        <v>715.0</v>
      </c>
      <c r="D943" s="354" t="s">
        <v>1417</v>
      </c>
      <c r="E943" s="354" t="s">
        <v>26</v>
      </c>
      <c r="F943" s="355">
        <v>44238.0</v>
      </c>
      <c r="G943" s="355">
        <v>45538.0</v>
      </c>
      <c r="H943" s="355">
        <v>45538.0</v>
      </c>
      <c r="I943" s="355">
        <v>45538.0</v>
      </c>
      <c r="J943" s="451">
        <v>29.99</v>
      </c>
      <c r="K943" s="451">
        <v>0.0</v>
      </c>
      <c r="L943" s="356">
        <v>29.99</v>
      </c>
      <c r="M943" s="354">
        <v>1.0</v>
      </c>
      <c r="N943" s="356">
        <v>0.0</v>
      </c>
    </row>
    <row r="944">
      <c r="A944" s="452"/>
      <c r="B944" s="452"/>
      <c r="C944" s="453"/>
      <c r="D944" s="454"/>
      <c r="E944" s="454"/>
      <c r="F944" s="454"/>
      <c r="G944" s="454"/>
      <c r="H944" s="454"/>
      <c r="I944" s="454"/>
      <c r="J944" s="455">
        <f t="shared" ref="J944:M944" si="124">SUM(J942:J943)</f>
        <v>49.98</v>
      </c>
      <c r="K944" s="455">
        <f t="shared" si="124"/>
        <v>0</v>
      </c>
      <c r="L944" s="455">
        <f t="shared" si="124"/>
        <v>49.98</v>
      </c>
      <c r="M944" s="454">
        <f t="shared" si="124"/>
        <v>2</v>
      </c>
      <c r="N944" s="455">
        <f>K944/M944</f>
        <v>0</v>
      </c>
    </row>
    <row r="945">
      <c r="A945" s="354" t="s">
        <v>527</v>
      </c>
      <c r="B945" s="354" t="s">
        <v>551</v>
      </c>
      <c r="C945" s="354">
        <v>1049.0</v>
      </c>
      <c r="D945" s="354" t="s">
        <v>1425</v>
      </c>
      <c r="E945" s="354" t="s">
        <v>27</v>
      </c>
      <c r="F945" s="355">
        <v>43087.0</v>
      </c>
      <c r="G945" s="355">
        <v>43466.0</v>
      </c>
      <c r="H945" s="355">
        <v>43466.0</v>
      </c>
      <c r="I945" s="355">
        <v>43466.0</v>
      </c>
      <c r="J945" s="356">
        <v>14.99</v>
      </c>
      <c r="K945" s="356">
        <v>5.99</v>
      </c>
      <c r="L945" s="356">
        <v>9.0</v>
      </c>
      <c r="M945" s="354">
        <v>1.0</v>
      </c>
      <c r="N945" s="356">
        <v>5.99</v>
      </c>
    </row>
    <row r="946">
      <c r="A946" s="357"/>
      <c r="B946" s="357"/>
      <c r="C946" s="358"/>
      <c r="D946" s="359"/>
      <c r="E946" s="359"/>
      <c r="F946" s="359"/>
      <c r="G946" s="359"/>
      <c r="H946" s="359"/>
      <c r="I946" s="359"/>
      <c r="J946" s="360"/>
      <c r="K946" s="360"/>
      <c r="L946" s="360"/>
      <c r="M946" s="359"/>
      <c r="N946" s="360"/>
    </row>
    <row r="947">
      <c r="A947" s="96" t="s">
        <v>553</v>
      </c>
      <c r="B947" s="96" t="s">
        <v>552</v>
      </c>
      <c r="C947" s="96">
        <v>623.0</v>
      </c>
      <c r="D947" s="96" t="s">
        <v>1430</v>
      </c>
      <c r="E947" s="96" t="s">
        <v>26</v>
      </c>
      <c r="F947" s="325">
        <v>44522.0</v>
      </c>
      <c r="G947" s="325">
        <v>45202.0</v>
      </c>
      <c r="H947" s="325">
        <v>45202.0</v>
      </c>
      <c r="I947" s="325">
        <v>45202.0</v>
      </c>
      <c r="J947" s="326">
        <v>39.99</v>
      </c>
      <c r="K947" s="326">
        <v>0.0</v>
      </c>
      <c r="L947" s="326">
        <v>39.99</v>
      </c>
      <c r="M947" s="96">
        <v>1.0</v>
      </c>
      <c r="N947" s="326">
        <v>0.0</v>
      </c>
    </row>
    <row r="948">
      <c r="A948" s="331"/>
      <c r="B948" s="331"/>
      <c r="C948" s="332"/>
      <c r="D948" s="333"/>
      <c r="E948" s="333"/>
      <c r="F948" s="333"/>
      <c r="G948" s="333"/>
      <c r="H948" s="333"/>
      <c r="I948" s="333"/>
      <c r="J948" s="334"/>
      <c r="K948" s="334"/>
      <c r="L948" s="334"/>
      <c r="M948" s="333"/>
      <c r="N948" s="334"/>
    </row>
    <row r="949">
      <c r="A949" s="23" t="s">
        <v>555</v>
      </c>
      <c r="B949" s="23" t="s">
        <v>554</v>
      </c>
      <c r="C949" s="23">
        <v>601.0</v>
      </c>
      <c r="D949" s="23" t="s">
        <v>1431</v>
      </c>
      <c r="E949" s="23" t="s">
        <v>26</v>
      </c>
      <c r="F949" s="362">
        <v>44939.0</v>
      </c>
      <c r="G949" s="362">
        <v>45176.0</v>
      </c>
      <c r="H949" s="362">
        <v>45472.0</v>
      </c>
      <c r="I949" s="362">
        <v>45753.0</v>
      </c>
      <c r="J949" s="364">
        <v>14.99</v>
      </c>
      <c r="K949" s="364">
        <v>0.0</v>
      </c>
      <c r="L949" s="364">
        <v>14.99</v>
      </c>
      <c r="M949" s="23">
        <v>21.0</v>
      </c>
      <c r="N949" s="364">
        <v>0.0</v>
      </c>
    </row>
    <row r="950">
      <c r="A950" s="357"/>
      <c r="B950" s="357"/>
      <c r="C950" s="358"/>
      <c r="D950" s="359"/>
      <c r="E950" s="357"/>
      <c r="F950" s="357"/>
      <c r="G950" s="357"/>
      <c r="H950" s="357"/>
      <c r="I950" s="357"/>
      <c r="J950" s="360"/>
      <c r="K950" s="360"/>
      <c r="L950" s="360"/>
      <c r="M950" s="359"/>
      <c r="N950" s="360"/>
    </row>
    <row r="951">
      <c r="A951" s="434" t="s">
        <v>557</v>
      </c>
      <c r="B951" s="434" t="s">
        <v>556</v>
      </c>
      <c r="C951" s="434">
        <v>1088.0</v>
      </c>
      <c r="D951" s="434" t="s">
        <v>1432</v>
      </c>
      <c r="E951" s="434" t="s">
        <v>28</v>
      </c>
      <c r="F951" s="456">
        <v>45490.0</v>
      </c>
      <c r="G951" s="456">
        <v>45910.0</v>
      </c>
      <c r="H951" s="456">
        <v>45975.0</v>
      </c>
      <c r="I951" s="456">
        <v>45977.0</v>
      </c>
      <c r="J951" s="440">
        <v>19.99</v>
      </c>
      <c r="K951" s="440">
        <v>0.0</v>
      </c>
      <c r="L951" s="440">
        <v>19.99</v>
      </c>
      <c r="M951" s="434">
        <v>4.0</v>
      </c>
      <c r="N951" s="440">
        <v>0.0</v>
      </c>
    </row>
    <row r="952">
      <c r="A952" s="357"/>
      <c r="B952" s="357"/>
      <c r="C952" s="358"/>
      <c r="D952" s="359"/>
      <c r="E952" s="357"/>
      <c r="F952" s="357"/>
      <c r="G952" s="357"/>
      <c r="H952" s="357"/>
      <c r="I952" s="357"/>
      <c r="J952" s="360"/>
      <c r="K952" s="360"/>
      <c r="L952" s="360"/>
      <c r="M952" s="359"/>
      <c r="N952" s="360"/>
    </row>
    <row r="953">
      <c r="A953" s="450" t="s">
        <v>559</v>
      </c>
      <c r="B953" s="354" t="s">
        <v>558</v>
      </c>
      <c r="C953" s="354">
        <v>299.0</v>
      </c>
      <c r="D953" s="354" t="s">
        <v>1433</v>
      </c>
      <c r="E953" s="354" t="s">
        <v>24</v>
      </c>
      <c r="F953" s="355">
        <v>41411.0</v>
      </c>
      <c r="G953" s="355">
        <v>44431.0</v>
      </c>
      <c r="H953" s="355">
        <v>44431.0</v>
      </c>
      <c r="I953" s="355">
        <v>44431.0</v>
      </c>
      <c r="J953" s="356">
        <v>15.0</v>
      </c>
      <c r="K953" s="356">
        <v>2.25</v>
      </c>
      <c r="L953" s="356">
        <v>12.75</v>
      </c>
      <c r="M953" s="354">
        <v>1.0</v>
      </c>
      <c r="N953" s="356">
        <v>2.25</v>
      </c>
    </row>
    <row r="954">
      <c r="A954" s="354" t="s">
        <v>559</v>
      </c>
      <c r="B954" s="354"/>
      <c r="C954" s="354">
        <v>748.0</v>
      </c>
      <c r="D954" s="354" t="s">
        <v>1434</v>
      </c>
      <c r="E954" s="354" t="s">
        <v>26</v>
      </c>
      <c r="F954" s="355">
        <v>41880.0</v>
      </c>
      <c r="G954" s="355">
        <v>44431.0</v>
      </c>
      <c r="H954" s="355">
        <v>44431.0</v>
      </c>
      <c r="I954" s="355">
        <v>44431.0</v>
      </c>
      <c r="J954" s="356">
        <v>14.99</v>
      </c>
      <c r="K954" s="356">
        <v>2.24</v>
      </c>
      <c r="L954" s="356">
        <v>12.75</v>
      </c>
      <c r="M954" s="354">
        <v>1.0</v>
      </c>
      <c r="N954" s="356">
        <v>2.24</v>
      </c>
    </row>
    <row r="955">
      <c r="A955" s="354" t="s">
        <v>559</v>
      </c>
      <c r="B955" s="354"/>
      <c r="C955" s="354">
        <v>749.0</v>
      </c>
      <c r="D955" s="354" t="s">
        <v>1436</v>
      </c>
      <c r="E955" s="354" t="s">
        <v>26</v>
      </c>
      <c r="F955" s="355">
        <v>43511.0</v>
      </c>
      <c r="G955" s="355">
        <v>44405.0</v>
      </c>
      <c r="H955" s="355">
        <v>44405.0</v>
      </c>
      <c r="I955" s="355">
        <v>44405.0</v>
      </c>
      <c r="J955" s="356">
        <v>39.99</v>
      </c>
      <c r="K955" s="356">
        <v>9.99</v>
      </c>
      <c r="L955" s="356">
        <v>30.0</v>
      </c>
      <c r="M955" s="354">
        <v>1.0</v>
      </c>
      <c r="N955" s="356">
        <v>9.99</v>
      </c>
    </row>
    <row r="956">
      <c r="A956" s="452"/>
      <c r="B956" s="452"/>
      <c r="C956" s="453"/>
      <c r="D956" s="454"/>
      <c r="E956" s="454"/>
      <c r="F956" s="454"/>
      <c r="G956" s="454"/>
      <c r="H956" s="454"/>
      <c r="I956" s="454"/>
      <c r="J956" s="455">
        <f t="shared" ref="J956:M956" si="125">SUM(J953:J955)</f>
        <v>69.98</v>
      </c>
      <c r="K956" s="455">
        <f t="shared" si="125"/>
        <v>14.48</v>
      </c>
      <c r="L956" s="455">
        <f t="shared" si="125"/>
        <v>55.5</v>
      </c>
      <c r="M956" s="454">
        <f t="shared" si="125"/>
        <v>3</v>
      </c>
      <c r="N956" s="455">
        <f>K956/M956</f>
        <v>4.826666667</v>
      </c>
    </row>
    <row r="957">
      <c r="A957" s="354" t="s">
        <v>559</v>
      </c>
      <c r="B957" s="354" t="s">
        <v>560</v>
      </c>
      <c r="C957" s="354">
        <v>923.0</v>
      </c>
      <c r="D957" s="354" t="s">
        <v>1437</v>
      </c>
      <c r="E957" s="354" t="s">
        <v>26</v>
      </c>
      <c r="F957" s="355">
        <v>43643.0</v>
      </c>
      <c r="G957" s="355">
        <v>44398.0</v>
      </c>
      <c r="H957" s="355">
        <v>44474.0</v>
      </c>
      <c r="I957" s="355">
        <v>44499.0</v>
      </c>
      <c r="J957" s="356">
        <v>64.99</v>
      </c>
      <c r="K957" s="356">
        <v>45.49</v>
      </c>
      <c r="L957" s="356">
        <v>19.5</v>
      </c>
      <c r="M957" s="354">
        <v>4.0</v>
      </c>
      <c r="N957" s="356">
        <v>11.37</v>
      </c>
    </row>
    <row r="958">
      <c r="A958" s="354" t="s">
        <v>559</v>
      </c>
      <c r="B958" s="354" t="s">
        <v>561</v>
      </c>
      <c r="C958" s="354">
        <v>789.0</v>
      </c>
      <c r="D958" s="354" t="s">
        <v>1435</v>
      </c>
      <c r="E958" s="354" t="s">
        <v>26</v>
      </c>
      <c r="F958" s="355">
        <v>42486.0</v>
      </c>
      <c r="G958" s="355">
        <v>42951.0</v>
      </c>
      <c r="H958" s="355">
        <v>43270.0</v>
      </c>
      <c r="I958" s="355">
        <v>43604.0</v>
      </c>
      <c r="J958" s="356">
        <v>12.99</v>
      </c>
      <c r="K958" s="356">
        <v>4.99</v>
      </c>
      <c r="L958" s="356">
        <v>8.0</v>
      </c>
      <c r="M958" s="354">
        <v>9.0</v>
      </c>
      <c r="N958" s="356">
        <v>0.55</v>
      </c>
    </row>
    <row r="959">
      <c r="A959" s="354" t="s">
        <v>559</v>
      </c>
      <c r="B959" s="354"/>
      <c r="C959" s="354">
        <v>790.0</v>
      </c>
      <c r="D959" s="354" t="s">
        <v>1438</v>
      </c>
      <c r="E959" s="354" t="s">
        <v>26</v>
      </c>
      <c r="F959" s="355">
        <v>44082.0</v>
      </c>
      <c r="G959" s="355">
        <v>44965.0</v>
      </c>
      <c r="H959" s="355">
        <v>44965.0</v>
      </c>
      <c r="I959" s="355">
        <v>44965.0</v>
      </c>
      <c r="J959" s="356">
        <v>19.99</v>
      </c>
      <c r="K959" s="356">
        <v>4.99</v>
      </c>
      <c r="L959" s="356">
        <v>15.0</v>
      </c>
      <c r="M959" s="354">
        <v>1.0</v>
      </c>
      <c r="N959" s="356">
        <v>4.99</v>
      </c>
    </row>
    <row r="960">
      <c r="A960" s="452"/>
      <c r="B960" s="452"/>
      <c r="C960" s="453"/>
      <c r="D960" s="454"/>
      <c r="E960" s="454"/>
      <c r="F960" s="454"/>
      <c r="G960" s="454"/>
      <c r="H960" s="454"/>
      <c r="I960" s="454"/>
      <c r="J960" s="455">
        <f t="shared" ref="J960:M960" si="126">SUM(J958:J959)</f>
        <v>32.98</v>
      </c>
      <c r="K960" s="455">
        <f t="shared" si="126"/>
        <v>9.98</v>
      </c>
      <c r="L960" s="455">
        <f t="shared" si="126"/>
        <v>23</v>
      </c>
      <c r="M960" s="454">
        <f t="shared" si="126"/>
        <v>10</v>
      </c>
      <c r="N960" s="455">
        <f>K960/M960</f>
        <v>0.998</v>
      </c>
    </row>
    <row r="961">
      <c r="A961" s="345"/>
      <c r="B961" s="345"/>
      <c r="C961" s="346"/>
      <c r="D961" s="347"/>
      <c r="E961" s="347"/>
      <c r="F961" s="347"/>
      <c r="G961" s="347"/>
      <c r="H961" s="347"/>
      <c r="I961" s="347"/>
      <c r="J961" s="348"/>
      <c r="K961" s="348"/>
      <c r="L961" s="348"/>
      <c r="M961" s="347"/>
      <c r="N961" s="348"/>
    </row>
    <row r="962">
      <c r="A962" s="93" t="s">
        <v>56</v>
      </c>
      <c r="B962" s="86" t="s">
        <v>562</v>
      </c>
      <c r="C962" s="86">
        <v>197.0</v>
      </c>
      <c r="D962" s="86" t="s">
        <v>1498</v>
      </c>
      <c r="E962" s="86" t="s">
        <v>24</v>
      </c>
      <c r="F962" s="87">
        <v>39738.0</v>
      </c>
      <c r="G962" s="87">
        <v>42969.0</v>
      </c>
      <c r="H962" s="87">
        <v>43033.0</v>
      </c>
      <c r="I962" s="87">
        <v>44282.0</v>
      </c>
      <c r="J962" s="88">
        <v>12.5</v>
      </c>
      <c r="K962" s="88">
        <v>5.0</v>
      </c>
      <c r="L962" s="88">
        <v>7.5</v>
      </c>
      <c r="M962" s="86">
        <v>15.0</v>
      </c>
      <c r="N962" s="88">
        <v>0.33</v>
      </c>
    </row>
    <row r="963">
      <c r="A963" s="93" t="s">
        <v>56</v>
      </c>
      <c r="B963" s="86"/>
      <c r="C963" s="86">
        <v>199.0</v>
      </c>
      <c r="D963" s="86" t="s">
        <v>1546</v>
      </c>
      <c r="E963" s="86" t="s">
        <v>24</v>
      </c>
      <c r="F963" s="87">
        <v>41359.0</v>
      </c>
      <c r="G963" s="87">
        <v>42969.0</v>
      </c>
      <c r="H963" s="87">
        <v>42969.0</v>
      </c>
      <c r="I963" s="87">
        <v>42969.0</v>
      </c>
      <c r="J963" s="88">
        <v>24.99</v>
      </c>
      <c r="K963" s="88">
        <v>9.99</v>
      </c>
      <c r="L963" s="88">
        <v>15.0</v>
      </c>
      <c r="M963" s="86">
        <v>1.0</v>
      </c>
      <c r="N963" s="88">
        <v>9.99</v>
      </c>
    </row>
    <row r="964">
      <c r="A964" s="89"/>
      <c r="B964" s="89"/>
      <c r="C964" s="90"/>
      <c r="D964" s="89"/>
      <c r="E964" s="89"/>
      <c r="F964" s="89"/>
      <c r="G964" s="89"/>
      <c r="H964" s="89"/>
      <c r="I964" s="89"/>
      <c r="J964" s="91">
        <f t="shared" ref="J964:M964" si="127">SUM(J962:J963)</f>
        <v>37.49</v>
      </c>
      <c r="K964" s="91">
        <f t="shared" si="127"/>
        <v>14.99</v>
      </c>
      <c r="L964" s="91">
        <f t="shared" si="127"/>
        <v>22.5</v>
      </c>
      <c r="M964" s="89">
        <f t="shared" si="127"/>
        <v>16</v>
      </c>
      <c r="N964" s="91">
        <f>K964/M964</f>
        <v>0.936875</v>
      </c>
    </row>
    <row r="965">
      <c r="A965" s="93" t="s">
        <v>56</v>
      </c>
      <c r="B965" s="86" t="s">
        <v>563</v>
      </c>
      <c r="C965" s="86">
        <v>198.0</v>
      </c>
      <c r="D965" s="86" t="s">
        <v>1508</v>
      </c>
      <c r="E965" s="86" t="s">
        <v>24</v>
      </c>
      <c r="F965" s="87">
        <v>40218.0</v>
      </c>
      <c r="G965" s="87">
        <v>42969.0</v>
      </c>
      <c r="H965" s="87">
        <v>44280.0</v>
      </c>
      <c r="I965" s="87">
        <v>44281.0</v>
      </c>
      <c r="J965" s="88">
        <v>12.49</v>
      </c>
      <c r="K965" s="88">
        <v>4.99</v>
      </c>
      <c r="L965" s="88">
        <v>7.5</v>
      </c>
      <c r="M965" s="86">
        <v>15.0</v>
      </c>
      <c r="N965" s="88">
        <v>0.33</v>
      </c>
    </row>
    <row r="966">
      <c r="A966" s="86" t="s">
        <v>56</v>
      </c>
      <c r="B966" s="86" t="s">
        <v>564</v>
      </c>
      <c r="C966" s="86">
        <v>828.0</v>
      </c>
      <c r="D966" s="86" t="s">
        <v>1632</v>
      </c>
      <c r="E966" s="86" t="s">
        <v>26</v>
      </c>
      <c r="F966" s="87">
        <v>43361.0</v>
      </c>
      <c r="G966" s="87">
        <v>43912.0</v>
      </c>
      <c r="H966" s="87">
        <v>43923.0</v>
      </c>
      <c r="I966" s="87">
        <v>43923.0</v>
      </c>
      <c r="J966" s="88">
        <v>14.99</v>
      </c>
      <c r="K966" s="88">
        <v>4.99</v>
      </c>
      <c r="L966" s="88">
        <v>10.0</v>
      </c>
      <c r="M966" s="86">
        <v>2.0</v>
      </c>
      <c r="N966" s="88">
        <v>2.5</v>
      </c>
    </row>
    <row r="967">
      <c r="A967" s="86" t="s">
        <v>56</v>
      </c>
      <c r="B967" s="86"/>
      <c r="C967" s="86">
        <v>829.0</v>
      </c>
      <c r="D967" s="86" t="s">
        <v>1633</v>
      </c>
      <c r="E967" s="86" t="s">
        <v>26</v>
      </c>
      <c r="F967" s="87">
        <v>43361.0</v>
      </c>
      <c r="G967" s="87">
        <v>43912.0</v>
      </c>
      <c r="H967" s="87">
        <v>43923.0</v>
      </c>
      <c r="I967" s="87">
        <v>43923.0</v>
      </c>
      <c r="J967" s="88">
        <v>14.99</v>
      </c>
      <c r="K967" s="88">
        <v>4.99</v>
      </c>
      <c r="L967" s="88">
        <v>10.0</v>
      </c>
      <c r="M967" s="86">
        <v>1.0</v>
      </c>
      <c r="N967" s="88">
        <v>4.99</v>
      </c>
    </row>
    <row r="968">
      <c r="A968" s="89"/>
      <c r="B968" s="89"/>
      <c r="C968" s="90"/>
      <c r="D968" s="89"/>
      <c r="E968" s="89"/>
      <c r="F968" s="89"/>
      <c r="G968" s="89"/>
      <c r="H968" s="89"/>
      <c r="I968" s="89"/>
      <c r="J968" s="91">
        <f t="shared" ref="J968:M968" si="128">SUM(J966:J967)</f>
        <v>29.98</v>
      </c>
      <c r="K968" s="91">
        <f t="shared" si="128"/>
        <v>9.98</v>
      </c>
      <c r="L968" s="91">
        <f t="shared" si="128"/>
        <v>20</v>
      </c>
      <c r="M968" s="89">
        <f t="shared" si="128"/>
        <v>3</v>
      </c>
      <c r="N968" s="91">
        <f>K968/M968</f>
        <v>3.326666667</v>
      </c>
    </row>
    <row r="969">
      <c r="A969" s="86" t="s">
        <v>56</v>
      </c>
      <c r="B969" s="86" t="s">
        <v>565</v>
      </c>
      <c r="C969" s="86">
        <v>647.0</v>
      </c>
      <c r="D969" s="86" t="s">
        <v>1666</v>
      </c>
      <c r="E969" s="86" t="s">
        <v>26</v>
      </c>
      <c r="F969" s="87">
        <v>44098.0</v>
      </c>
      <c r="G969" s="87">
        <v>45177.0</v>
      </c>
      <c r="H969" s="87">
        <v>45395.0</v>
      </c>
      <c r="I969" s="87">
        <v>45401.0</v>
      </c>
      <c r="J969" s="88">
        <v>19.99</v>
      </c>
      <c r="K969" s="88">
        <v>0.0</v>
      </c>
      <c r="L969" s="88">
        <v>19.99</v>
      </c>
      <c r="M969" s="86">
        <v>25.0</v>
      </c>
      <c r="N969" s="88">
        <v>0.0</v>
      </c>
    </row>
    <row r="970">
      <c r="A970" s="93" t="s">
        <v>56</v>
      </c>
      <c r="B970" s="86" t="s">
        <v>566</v>
      </c>
      <c r="C970" s="86">
        <v>330.0</v>
      </c>
      <c r="D970" s="86" t="s">
        <v>1533</v>
      </c>
      <c r="E970" s="86" t="s">
        <v>24</v>
      </c>
      <c r="F970" s="87">
        <v>41101.0</v>
      </c>
      <c r="G970" s="87">
        <v>44422.0</v>
      </c>
      <c r="H970" s="87">
        <v>45071.0</v>
      </c>
      <c r="I970" s="87">
        <v>45090.0</v>
      </c>
      <c r="J970" s="88">
        <v>10.99</v>
      </c>
      <c r="K970" s="88">
        <v>10.99</v>
      </c>
      <c r="L970" s="88">
        <v>0.0</v>
      </c>
      <c r="M970" s="86">
        <v>7.0</v>
      </c>
      <c r="N970" s="88">
        <v>1.57</v>
      </c>
    </row>
    <row r="971">
      <c r="A971" s="93" t="s">
        <v>56</v>
      </c>
      <c r="B971" s="86" t="s">
        <v>567</v>
      </c>
      <c r="C971" s="86">
        <v>1065.0</v>
      </c>
      <c r="D971" s="94" t="s">
        <v>1737</v>
      </c>
      <c r="E971" s="94" t="s">
        <v>28</v>
      </c>
      <c r="F971" s="87">
        <v>44964.0</v>
      </c>
      <c r="G971" s="87">
        <v>44811.0</v>
      </c>
      <c r="H971" s="87">
        <v>44964.0</v>
      </c>
      <c r="I971" s="87">
        <v>44979.0</v>
      </c>
      <c r="J971" s="94">
        <v>84.99</v>
      </c>
      <c r="K971" s="94">
        <v>0.0</v>
      </c>
      <c r="L971" s="88">
        <v>84.99</v>
      </c>
      <c r="M971" s="86">
        <v>93.0</v>
      </c>
      <c r="N971" s="88">
        <v>0.0</v>
      </c>
    </row>
    <row r="972">
      <c r="A972" s="86" t="s">
        <v>56</v>
      </c>
      <c r="B972" s="86" t="s">
        <v>568</v>
      </c>
      <c r="C972" s="86">
        <v>593.0</v>
      </c>
      <c r="D972" s="86" t="s">
        <v>1630</v>
      </c>
      <c r="E972" s="86" t="s">
        <v>26</v>
      </c>
      <c r="F972" s="87">
        <v>43340.0</v>
      </c>
      <c r="G972" s="87">
        <v>43856.0</v>
      </c>
      <c r="H972" s="87">
        <v>43857.0</v>
      </c>
      <c r="I972" s="87">
        <v>44385.0</v>
      </c>
      <c r="J972" s="88">
        <v>12.99</v>
      </c>
      <c r="K972" s="88">
        <v>6.49</v>
      </c>
      <c r="L972" s="88">
        <v>6.5</v>
      </c>
      <c r="M972" s="86">
        <v>6.0</v>
      </c>
      <c r="N972" s="88">
        <v>1.08</v>
      </c>
    </row>
    <row r="973">
      <c r="A973" s="92" t="s">
        <v>56</v>
      </c>
      <c r="B973" s="86" t="s">
        <v>569</v>
      </c>
      <c r="C973" s="86">
        <v>59.0</v>
      </c>
      <c r="D973" s="86" t="s">
        <v>1453</v>
      </c>
      <c r="E973" s="86" t="s">
        <v>21</v>
      </c>
      <c r="F973" s="87">
        <v>36357.0</v>
      </c>
      <c r="G973" s="87">
        <v>43014.0</v>
      </c>
      <c r="H973" s="87">
        <v>43014.0</v>
      </c>
      <c r="I973" s="87">
        <v>43014.0</v>
      </c>
      <c r="J973" s="88">
        <v>4.99</v>
      </c>
      <c r="K973" s="88">
        <v>2.49</v>
      </c>
      <c r="L973" s="88">
        <v>2.5</v>
      </c>
      <c r="M973" s="86">
        <v>1.0</v>
      </c>
      <c r="N973" s="88">
        <v>2.49</v>
      </c>
    </row>
    <row r="974">
      <c r="A974" s="86" t="s">
        <v>56</v>
      </c>
      <c r="B974" s="86"/>
      <c r="C974" s="86">
        <v>177.0</v>
      </c>
      <c r="D974" s="86" t="s">
        <v>1489</v>
      </c>
      <c r="E974" s="86" t="s">
        <v>23</v>
      </c>
      <c r="F974" s="87">
        <v>39892.0</v>
      </c>
      <c r="G974" s="87">
        <v>42279.0</v>
      </c>
      <c r="H974" s="87">
        <v>42279.0</v>
      </c>
      <c r="I974" s="87">
        <v>42279.0</v>
      </c>
      <c r="J974" s="88">
        <v>7.99</v>
      </c>
      <c r="K974" s="88">
        <v>2.99</v>
      </c>
      <c r="L974" s="88">
        <v>5.0</v>
      </c>
      <c r="M974" s="86">
        <v>1.0</v>
      </c>
      <c r="N974" s="88">
        <v>2.99</v>
      </c>
    </row>
    <row r="975">
      <c r="A975" s="86" t="s">
        <v>56</v>
      </c>
      <c r="B975" s="86"/>
      <c r="C975" s="86">
        <v>486.0</v>
      </c>
      <c r="D975" s="86" t="s">
        <v>1565</v>
      </c>
      <c r="E975" s="86" t="s">
        <v>25</v>
      </c>
      <c r="F975" s="87">
        <v>40961.0</v>
      </c>
      <c r="G975" s="87">
        <v>42218.0</v>
      </c>
      <c r="H975" s="87">
        <v>42218.0</v>
      </c>
      <c r="I975" s="87">
        <v>44992.0</v>
      </c>
      <c r="J975" s="88">
        <v>24.99</v>
      </c>
      <c r="K975" s="88">
        <v>6.99</v>
      </c>
      <c r="L975" s="88">
        <v>18.0</v>
      </c>
      <c r="M975" s="86">
        <v>50.0</v>
      </c>
      <c r="N975" s="88">
        <v>0.14</v>
      </c>
    </row>
    <row r="976">
      <c r="A976" s="86" t="s">
        <v>56</v>
      </c>
      <c r="B976" s="86"/>
      <c r="C976" s="86">
        <v>487.0</v>
      </c>
      <c r="D976" s="86" t="s">
        <v>1569</v>
      </c>
      <c r="E976" s="86" t="s">
        <v>25</v>
      </c>
      <c r="F976" s="87">
        <v>41248.0</v>
      </c>
      <c r="G976" s="87">
        <v>42246.0</v>
      </c>
      <c r="H976" s="87">
        <v>42246.0</v>
      </c>
      <c r="I976" s="87">
        <v>44992.0</v>
      </c>
      <c r="J976" s="88">
        <v>4.99</v>
      </c>
      <c r="K976" s="88">
        <v>4.99</v>
      </c>
      <c r="L976" s="88">
        <v>0.0</v>
      </c>
      <c r="M976" s="86">
        <v>15.0</v>
      </c>
      <c r="N976" s="88">
        <v>0.33</v>
      </c>
    </row>
    <row r="977">
      <c r="A977" s="92" t="s">
        <v>56</v>
      </c>
      <c r="B977" s="86"/>
      <c r="C977" s="86">
        <v>571.0</v>
      </c>
      <c r="D977" s="86" t="s">
        <v>1644</v>
      </c>
      <c r="E977" s="86" t="s">
        <v>26</v>
      </c>
      <c r="F977" s="87">
        <v>43581.0</v>
      </c>
      <c r="G977" s="87">
        <v>44334.0</v>
      </c>
      <c r="H977" s="87">
        <v>44339.0</v>
      </c>
      <c r="I977" s="87">
        <v>44382.0</v>
      </c>
      <c r="J977" s="88">
        <v>69.99</v>
      </c>
      <c r="K977" s="88">
        <v>0.0</v>
      </c>
      <c r="L977" s="88">
        <v>69.99</v>
      </c>
      <c r="M977" s="86">
        <v>57.0</v>
      </c>
      <c r="N977" s="88">
        <v>0.0</v>
      </c>
    </row>
    <row r="978">
      <c r="A978" s="89"/>
      <c r="B978" s="89"/>
      <c r="C978" s="90"/>
      <c r="D978" s="89"/>
      <c r="E978" s="89"/>
      <c r="F978" s="89"/>
      <c r="G978" s="89"/>
      <c r="H978" s="89"/>
      <c r="I978" s="89"/>
      <c r="J978" s="91">
        <f t="shared" ref="J978:M978" si="129">SUM(J973:J977)</f>
        <v>112.95</v>
      </c>
      <c r="K978" s="91">
        <f t="shared" si="129"/>
        <v>17.46</v>
      </c>
      <c r="L978" s="91">
        <f t="shared" si="129"/>
        <v>95.49</v>
      </c>
      <c r="M978" s="89">
        <f t="shared" si="129"/>
        <v>124</v>
      </c>
      <c r="N978" s="91">
        <f>K978/M978</f>
        <v>0.1408064516</v>
      </c>
    </row>
    <row r="979">
      <c r="A979" s="86" t="s">
        <v>56</v>
      </c>
      <c r="B979" s="86" t="s">
        <v>570</v>
      </c>
      <c r="C979" s="86">
        <v>617.0</v>
      </c>
      <c r="D979" s="86" t="s">
        <v>1593</v>
      </c>
      <c r="E979" s="86" t="s">
        <v>26</v>
      </c>
      <c r="F979" s="87">
        <v>42318.0</v>
      </c>
      <c r="G979" s="87">
        <v>43668.0</v>
      </c>
      <c r="H979" s="87">
        <v>44197.0</v>
      </c>
      <c r="I979" s="87">
        <v>44208.0</v>
      </c>
      <c r="J979" s="88">
        <v>19.99</v>
      </c>
      <c r="K979" s="88">
        <v>12.99</v>
      </c>
      <c r="L979" s="88">
        <v>7.0</v>
      </c>
      <c r="M979" s="86">
        <v>56.0</v>
      </c>
      <c r="N979" s="88">
        <v>0.23</v>
      </c>
    </row>
    <row r="980">
      <c r="A980" s="86" t="s">
        <v>56</v>
      </c>
      <c r="B980" s="86"/>
      <c r="C980" s="86">
        <v>618.0</v>
      </c>
      <c r="D980" s="86" t="s">
        <v>1628</v>
      </c>
      <c r="E980" s="86" t="s">
        <v>26</v>
      </c>
      <c r="F980" s="87">
        <v>43261.0</v>
      </c>
      <c r="G980" s="87">
        <v>45423.0</v>
      </c>
      <c r="H980" s="87">
        <v>45423.0</v>
      </c>
      <c r="I980" s="87">
        <v>45423.0</v>
      </c>
      <c r="J980" s="88">
        <v>6.96</v>
      </c>
      <c r="K980" s="88">
        <v>0.0</v>
      </c>
      <c r="L980" s="88">
        <v>6.96</v>
      </c>
      <c r="M980" s="86">
        <v>1.0</v>
      </c>
      <c r="N980" s="88">
        <v>0.0</v>
      </c>
    </row>
    <row r="981">
      <c r="A981" s="86" t="s">
        <v>56</v>
      </c>
      <c r="B981" s="86"/>
      <c r="C981" s="86">
        <v>1036.0</v>
      </c>
      <c r="D981" s="86" t="s">
        <v>1717</v>
      </c>
      <c r="E981" s="86" t="s">
        <v>27</v>
      </c>
      <c r="F981" s="87">
        <v>43056.0</v>
      </c>
      <c r="G981" s="87">
        <v>43469.0</v>
      </c>
      <c r="H981" s="87">
        <v>43469.0</v>
      </c>
      <c r="I981" s="87">
        <v>43469.0</v>
      </c>
      <c r="J981" s="88">
        <v>69.99</v>
      </c>
      <c r="K981" s="88">
        <v>0.0</v>
      </c>
      <c r="L981" s="88">
        <v>69.99</v>
      </c>
      <c r="M981" s="86">
        <v>1.0</v>
      </c>
      <c r="N981" s="88">
        <v>0.0</v>
      </c>
    </row>
    <row r="982">
      <c r="A982" s="89"/>
      <c r="B982" s="89"/>
      <c r="C982" s="90"/>
      <c r="D982" s="89"/>
      <c r="E982" s="89"/>
      <c r="F982" s="89"/>
      <c r="G982" s="89"/>
      <c r="H982" s="89"/>
      <c r="I982" s="89"/>
      <c r="J982" s="91">
        <f t="shared" ref="J982:M982" si="130">SUM(J979:J981)</f>
        <v>96.94</v>
      </c>
      <c r="K982" s="91">
        <f t="shared" si="130"/>
        <v>12.99</v>
      </c>
      <c r="L982" s="91">
        <f t="shared" si="130"/>
        <v>83.95</v>
      </c>
      <c r="M982" s="89">
        <f t="shared" si="130"/>
        <v>58</v>
      </c>
      <c r="N982" s="91">
        <f>K982/M982</f>
        <v>0.2239655172</v>
      </c>
    </row>
    <row r="983">
      <c r="A983" s="93" t="s">
        <v>56</v>
      </c>
      <c r="B983" s="86" t="s">
        <v>571</v>
      </c>
      <c r="C983" s="86">
        <v>276.0</v>
      </c>
      <c r="D983" s="86" t="s">
        <v>1529</v>
      </c>
      <c r="E983" s="86" t="s">
        <v>24</v>
      </c>
      <c r="F983" s="87">
        <v>40949.0</v>
      </c>
      <c r="G983" s="87">
        <v>44502.0</v>
      </c>
      <c r="H983" s="87">
        <v>44502.0</v>
      </c>
      <c r="I983" s="87">
        <v>44502.0</v>
      </c>
      <c r="J983" s="88">
        <v>39.99</v>
      </c>
      <c r="K983" s="88">
        <v>0.0</v>
      </c>
      <c r="L983" s="88">
        <v>39.99</v>
      </c>
      <c r="M983" s="86">
        <v>1.0</v>
      </c>
      <c r="N983" s="88">
        <v>0.0</v>
      </c>
    </row>
    <row r="984">
      <c r="A984" s="86" t="s">
        <v>56</v>
      </c>
      <c r="B984" s="86" t="s">
        <v>572</v>
      </c>
      <c r="C984" s="86">
        <v>1044.0</v>
      </c>
      <c r="D984" s="86" t="s">
        <v>1719</v>
      </c>
      <c r="E984" s="86" t="s">
        <v>27</v>
      </c>
      <c r="F984" s="87">
        <v>43088.0</v>
      </c>
      <c r="G984" s="87">
        <v>43912.0</v>
      </c>
      <c r="H984" s="87">
        <v>43912.0</v>
      </c>
      <c r="I984" s="87">
        <v>43912.0</v>
      </c>
      <c r="J984" s="88">
        <v>21.99</v>
      </c>
      <c r="K984" s="88">
        <v>6.99</v>
      </c>
      <c r="L984" s="88">
        <v>15.0</v>
      </c>
      <c r="M984" s="86">
        <v>2.0</v>
      </c>
      <c r="N984" s="88">
        <v>3.5</v>
      </c>
    </row>
    <row r="985">
      <c r="A985" s="86" t="s">
        <v>56</v>
      </c>
      <c r="B985" s="86" t="s">
        <v>573</v>
      </c>
      <c r="C985" s="86">
        <v>582.0</v>
      </c>
      <c r="D985" s="86" t="s">
        <v>1624</v>
      </c>
      <c r="E985" s="86" t="s">
        <v>26</v>
      </c>
      <c r="F985" s="87">
        <v>42984.0</v>
      </c>
      <c r="G985" s="87">
        <v>44964.0</v>
      </c>
      <c r="H985" s="87">
        <v>44964.0</v>
      </c>
      <c r="I985" s="87">
        <v>44964.0</v>
      </c>
      <c r="J985" s="88">
        <v>59.98</v>
      </c>
      <c r="K985" s="88">
        <v>0.0</v>
      </c>
      <c r="L985" s="88">
        <v>59.98</v>
      </c>
      <c r="M985" s="86">
        <v>1.0</v>
      </c>
      <c r="N985" s="88">
        <v>0.0</v>
      </c>
    </row>
    <row r="986">
      <c r="A986" s="86" t="s">
        <v>56</v>
      </c>
      <c r="B986" s="86" t="s">
        <v>574</v>
      </c>
      <c r="C986" s="86">
        <v>1019.0</v>
      </c>
      <c r="D986" s="86" t="s">
        <v>1731</v>
      </c>
      <c r="E986" s="86" t="s">
        <v>27</v>
      </c>
      <c r="F986" s="87">
        <v>44015.0</v>
      </c>
      <c r="G986" s="87">
        <v>44091.0</v>
      </c>
      <c r="H986" s="87">
        <v>44257.0</v>
      </c>
      <c r="I986" s="87">
        <v>44257.0</v>
      </c>
      <c r="J986" s="88">
        <v>39.99</v>
      </c>
      <c r="K986" s="88">
        <v>0.0</v>
      </c>
      <c r="L986" s="88">
        <v>39.99</v>
      </c>
      <c r="M986" s="86">
        <v>3.0</v>
      </c>
      <c r="N986" s="88">
        <v>0.0</v>
      </c>
    </row>
    <row r="987">
      <c r="A987" s="86" t="s">
        <v>56</v>
      </c>
      <c r="B987" s="86" t="s">
        <v>575</v>
      </c>
      <c r="C987" s="86">
        <v>992.0</v>
      </c>
      <c r="D987" s="86" t="s">
        <v>1713</v>
      </c>
      <c r="E987" s="86" t="s">
        <v>27</v>
      </c>
      <c r="F987" s="87">
        <v>42671.0</v>
      </c>
      <c r="G987" s="87">
        <v>43468.0</v>
      </c>
      <c r="H987" s="87">
        <v>43475.0</v>
      </c>
      <c r="I987" s="87">
        <v>43475.0</v>
      </c>
      <c r="J987" s="88">
        <v>19.99</v>
      </c>
      <c r="K987" s="88">
        <v>4.99</v>
      </c>
      <c r="L987" s="88">
        <v>15.0</v>
      </c>
      <c r="M987" s="86">
        <v>1.0</v>
      </c>
      <c r="N987" s="88">
        <v>4.99</v>
      </c>
    </row>
    <row r="988">
      <c r="A988" s="86" t="s">
        <v>56</v>
      </c>
      <c r="B988" s="86" t="s">
        <v>576</v>
      </c>
      <c r="C988" s="86">
        <v>506.0</v>
      </c>
      <c r="D988" s="86" t="s">
        <v>1685</v>
      </c>
      <c r="E988" s="86" t="s">
        <v>26</v>
      </c>
      <c r="F988" s="87">
        <v>44432.0</v>
      </c>
      <c r="G988" s="87">
        <v>45237.0</v>
      </c>
      <c r="H988" s="87">
        <v>45237.0</v>
      </c>
      <c r="I988" s="87">
        <v>45237.0</v>
      </c>
      <c r="J988" s="88">
        <v>29.99</v>
      </c>
      <c r="K988" s="88">
        <v>0.0</v>
      </c>
      <c r="L988" s="88">
        <v>29.99</v>
      </c>
      <c r="M988" s="86">
        <v>1.0</v>
      </c>
      <c r="N988" s="88">
        <v>0.0</v>
      </c>
    </row>
    <row r="989">
      <c r="A989" s="86" t="s">
        <v>56</v>
      </c>
      <c r="B989" s="86" t="s">
        <v>577</v>
      </c>
      <c r="C989" s="86">
        <v>758.0</v>
      </c>
      <c r="D989" s="86" t="s">
        <v>1661</v>
      </c>
      <c r="E989" s="86" t="s">
        <v>26</v>
      </c>
      <c r="F989" s="87">
        <v>44061.0</v>
      </c>
      <c r="G989" s="87">
        <v>44539.0</v>
      </c>
      <c r="H989" s="87">
        <v>44539.0</v>
      </c>
      <c r="I989" s="87">
        <v>44539.0</v>
      </c>
      <c r="J989" s="88">
        <v>29.99</v>
      </c>
      <c r="K989" s="88">
        <v>0.0</v>
      </c>
      <c r="L989" s="88">
        <v>29.99</v>
      </c>
      <c r="M989" s="86">
        <v>1.0</v>
      </c>
      <c r="N989" s="88">
        <v>0.0</v>
      </c>
    </row>
    <row r="990">
      <c r="A990" s="92" t="s">
        <v>56</v>
      </c>
      <c r="B990" s="92" t="s">
        <v>578</v>
      </c>
      <c r="C990" s="92">
        <v>858.0</v>
      </c>
      <c r="D990" s="92" t="s">
        <v>1611</v>
      </c>
      <c r="E990" s="92" t="s">
        <v>26</v>
      </c>
      <c r="F990" s="98">
        <v>42717.0</v>
      </c>
      <c r="G990" s="98">
        <v>42950.0</v>
      </c>
      <c r="H990" s="98">
        <v>44151.0</v>
      </c>
      <c r="I990" s="98">
        <v>46012.0</v>
      </c>
      <c r="J990" s="97">
        <v>14.99</v>
      </c>
      <c r="K990" s="97">
        <v>7.99</v>
      </c>
      <c r="L990" s="97">
        <v>7.0</v>
      </c>
      <c r="M990" s="92">
        <v>147.0</v>
      </c>
      <c r="N990" s="97">
        <v>0.05435374149659864</v>
      </c>
    </row>
    <row r="991">
      <c r="A991" s="93" t="s">
        <v>56</v>
      </c>
      <c r="B991" s="86" t="s">
        <v>579</v>
      </c>
      <c r="C991" s="86">
        <v>1063.0</v>
      </c>
      <c r="D991" s="86" t="s">
        <v>1735</v>
      </c>
      <c r="E991" s="86" t="s">
        <v>28</v>
      </c>
      <c r="F991" s="87">
        <v>44154.0</v>
      </c>
      <c r="G991" s="87">
        <v>44539.0</v>
      </c>
      <c r="H991" s="87">
        <v>44539.0</v>
      </c>
      <c r="I991" s="87">
        <v>44539.0</v>
      </c>
      <c r="J991" s="94">
        <v>14.99</v>
      </c>
      <c r="K991" s="94">
        <v>0.0</v>
      </c>
      <c r="L991" s="88">
        <v>14.99</v>
      </c>
      <c r="M991" s="86">
        <v>1.0</v>
      </c>
      <c r="N991" s="88">
        <v>0.0</v>
      </c>
    </row>
    <row r="992">
      <c r="A992" s="86" t="s">
        <v>56</v>
      </c>
      <c r="B992" s="86" t="s">
        <v>580</v>
      </c>
      <c r="C992" s="86">
        <v>485.0</v>
      </c>
      <c r="D992" s="86" t="s">
        <v>1581</v>
      </c>
      <c r="E992" s="86" t="s">
        <v>25</v>
      </c>
      <c r="F992" s="87">
        <v>42773.0</v>
      </c>
      <c r="G992" s="87">
        <v>44431.0</v>
      </c>
      <c r="H992" s="87">
        <v>44486.0</v>
      </c>
      <c r="I992" s="87">
        <v>44486.0</v>
      </c>
      <c r="J992" s="88">
        <v>14.49</v>
      </c>
      <c r="K992" s="88">
        <v>3.62</v>
      </c>
      <c r="L992" s="88">
        <v>10.87</v>
      </c>
      <c r="M992" s="86">
        <v>2.0</v>
      </c>
      <c r="N992" s="88">
        <v>1.81</v>
      </c>
    </row>
    <row r="993">
      <c r="A993" s="93" t="s">
        <v>56</v>
      </c>
      <c r="B993" s="93" t="s">
        <v>581</v>
      </c>
      <c r="C993" s="93">
        <v>24.0</v>
      </c>
      <c r="D993" s="93" t="s">
        <v>1443</v>
      </c>
      <c r="E993" s="93" t="s">
        <v>21</v>
      </c>
      <c r="F993" s="87">
        <v>35156.0</v>
      </c>
      <c r="G993" s="87">
        <v>42279.0</v>
      </c>
      <c r="H993" s="87">
        <v>45924.0</v>
      </c>
      <c r="I993" s="87">
        <v>45926.0</v>
      </c>
      <c r="J993" s="97">
        <v>14.99</v>
      </c>
      <c r="K993" s="97">
        <v>10.0</v>
      </c>
      <c r="L993" s="97">
        <f t="shared" ref="L993:L995" si="131">J993-K993</f>
        <v>4.99</v>
      </c>
      <c r="M993" s="93">
        <v>7.0</v>
      </c>
      <c r="N993" s="97">
        <f t="shared" ref="N993:N995" si="132">K993/M993</f>
        <v>1.428571429</v>
      </c>
    </row>
    <row r="994">
      <c r="A994" s="93" t="s">
        <v>56</v>
      </c>
      <c r="B994" s="93"/>
      <c r="C994" s="93">
        <v>25.0</v>
      </c>
      <c r="D994" s="93" t="s">
        <v>1448</v>
      </c>
      <c r="E994" s="93" t="s">
        <v>21</v>
      </c>
      <c r="F994" s="87">
        <v>35888.0</v>
      </c>
      <c r="G994" s="87">
        <v>42279.0</v>
      </c>
      <c r="H994" s="87">
        <v>45925.0</v>
      </c>
      <c r="I994" s="87">
        <v>45927.0</v>
      </c>
      <c r="J994" s="97">
        <v>15.99</v>
      </c>
      <c r="K994" s="97">
        <v>10.5</v>
      </c>
      <c r="L994" s="97">
        <f t="shared" si="131"/>
        <v>5.49</v>
      </c>
      <c r="M994" s="93">
        <v>4.0</v>
      </c>
      <c r="N994" s="97">
        <f t="shared" si="132"/>
        <v>2.625</v>
      </c>
    </row>
    <row r="995">
      <c r="A995" s="93" t="s">
        <v>56</v>
      </c>
      <c r="B995" s="93"/>
      <c r="C995" s="93">
        <v>26.0</v>
      </c>
      <c r="D995" s="93" t="s">
        <v>1452</v>
      </c>
      <c r="E995" s="93" t="s">
        <v>21</v>
      </c>
      <c r="F995" s="87">
        <v>36260.0</v>
      </c>
      <c r="G995" s="87">
        <v>42279.0</v>
      </c>
      <c r="H995" s="87">
        <v>45927.0</v>
      </c>
      <c r="I995" s="87">
        <v>45928.0</v>
      </c>
      <c r="J995" s="97">
        <v>15.98</v>
      </c>
      <c r="K995" s="97">
        <v>10.49</v>
      </c>
      <c r="L995" s="97">
        <f t="shared" si="131"/>
        <v>5.49</v>
      </c>
      <c r="M995" s="93">
        <v>6.0</v>
      </c>
      <c r="N995" s="97">
        <f t="shared" si="132"/>
        <v>1.748333333</v>
      </c>
    </row>
    <row r="996">
      <c r="A996" s="92" t="s">
        <v>56</v>
      </c>
      <c r="B996" s="86"/>
      <c r="C996" s="86">
        <v>148.0</v>
      </c>
      <c r="D996" s="86" t="s">
        <v>1480</v>
      </c>
      <c r="E996" s="86" t="s">
        <v>22</v>
      </c>
      <c r="F996" s="87">
        <v>38814.0</v>
      </c>
      <c r="G996" s="87">
        <v>42806.0</v>
      </c>
      <c r="H996" s="87">
        <v>42806.0</v>
      </c>
      <c r="I996" s="87">
        <v>42806.0</v>
      </c>
      <c r="J996" s="88">
        <v>9.99</v>
      </c>
      <c r="K996" s="88">
        <v>3.99</v>
      </c>
      <c r="L996" s="88">
        <v>6.0</v>
      </c>
      <c r="M996" s="86">
        <v>1.0</v>
      </c>
      <c r="N996" s="88">
        <v>3.99</v>
      </c>
    </row>
    <row r="997">
      <c r="A997" s="92" t="s">
        <v>56</v>
      </c>
      <c r="B997" s="86"/>
      <c r="C997" s="86">
        <v>149.0</v>
      </c>
      <c r="D997" s="86" t="s">
        <v>1483</v>
      </c>
      <c r="E997" s="86" t="s">
        <v>22</v>
      </c>
      <c r="F997" s="87">
        <v>39234.0</v>
      </c>
      <c r="G997" s="87">
        <v>42806.0</v>
      </c>
      <c r="H997" s="87">
        <v>42806.0</v>
      </c>
      <c r="I997" s="87">
        <v>42806.0</v>
      </c>
      <c r="J997" s="88">
        <v>9.99</v>
      </c>
      <c r="K997" s="88">
        <v>3.99</v>
      </c>
      <c r="L997" s="88">
        <v>6.0</v>
      </c>
      <c r="M997" s="86">
        <v>1.0</v>
      </c>
      <c r="N997" s="88">
        <v>3.99</v>
      </c>
    </row>
    <row r="998">
      <c r="A998" s="93" t="s">
        <v>56</v>
      </c>
      <c r="B998" s="86"/>
      <c r="C998" s="86">
        <v>407.0</v>
      </c>
      <c r="D998" s="86" t="s">
        <v>1545</v>
      </c>
      <c r="E998" s="86" t="s">
        <v>24</v>
      </c>
      <c r="F998" s="87">
        <v>41338.0</v>
      </c>
      <c r="G998" s="87">
        <v>41707.0</v>
      </c>
      <c r="H998" s="87">
        <v>41707.0</v>
      </c>
      <c r="I998" s="87">
        <v>45051.0</v>
      </c>
      <c r="J998" s="88">
        <v>24.99</v>
      </c>
      <c r="K998" s="88">
        <v>5.0</v>
      </c>
      <c r="L998" s="88">
        <v>19.99</v>
      </c>
      <c r="M998" s="86">
        <v>45.0</v>
      </c>
      <c r="N998" s="88">
        <v>0.11</v>
      </c>
    </row>
    <row r="999">
      <c r="A999" s="86" t="s">
        <v>56</v>
      </c>
      <c r="B999" s="86"/>
      <c r="C999" s="86">
        <v>816.0</v>
      </c>
      <c r="D999" s="86" t="s">
        <v>1610</v>
      </c>
      <c r="E999" s="86" t="s">
        <v>26</v>
      </c>
      <c r="F999" s="87">
        <v>42654.0</v>
      </c>
      <c r="G999" s="87">
        <v>43275.0</v>
      </c>
      <c r="H999" s="87">
        <v>43278.0</v>
      </c>
      <c r="I999" s="87">
        <v>45264.0</v>
      </c>
      <c r="J999" s="88">
        <v>29.99</v>
      </c>
      <c r="K999" s="88">
        <v>14.99</v>
      </c>
      <c r="L999" s="88">
        <v>15.0</v>
      </c>
      <c r="M999" s="86">
        <v>52.0</v>
      </c>
      <c r="N999" s="88">
        <v>0.29</v>
      </c>
    </row>
    <row r="1000">
      <c r="A1000" s="89"/>
      <c r="B1000" s="89"/>
      <c r="C1000" s="90"/>
      <c r="D1000" s="89"/>
      <c r="E1000" s="89"/>
      <c r="F1000" s="89"/>
      <c r="G1000" s="89"/>
      <c r="H1000" s="89"/>
      <c r="I1000" s="89"/>
      <c r="J1000" s="91">
        <f t="shared" ref="J1000:M1000" si="133">SUM(J993:J999)</f>
        <v>121.92</v>
      </c>
      <c r="K1000" s="91">
        <f t="shared" si="133"/>
        <v>58.96</v>
      </c>
      <c r="L1000" s="91">
        <f t="shared" si="133"/>
        <v>62.96</v>
      </c>
      <c r="M1000" s="89">
        <f t="shared" si="133"/>
        <v>116</v>
      </c>
      <c r="N1000" s="91">
        <f>K1000/M1000</f>
        <v>0.5082758621</v>
      </c>
    </row>
    <row r="1001">
      <c r="A1001" s="86" t="s">
        <v>56</v>
      </c>
      <c r="B1001" s="86" t="s">
        <v>582</v>
      </c>
      <c r="C1001" s="86">
        <v>780.0</v>
      </c>
      <c r="D1001" s="86" t="s">
        <v>1664</v>
      </c>
      <c r="E1001" s="86" t="s">
        <v>26</v>
      </c>
      <c r="F1001" s="87">
        <v>44084.0</v>
      </c>
      <c r="G1001" s="87">
        <v>44335.0</v>
      </c>
      <c r="H1001" s="87">
        <v>44473.0</v>
      </c>
      <c r="I1001" s="87">
        <v>44474.0</v>
      </c>
      <c r="J1001" s="88">
        <v>14.99</v>
      </c>
      <c r="K1001" s="88">
        <v>8.24</v>
      </c>
      <c r="L1001" s="88">
        <v>6.75</v>
      </c>
      <c r="M1001" s="86">
        <v>5.0</v>
      </c>
      <c r="N1001" s="88">
        <v>1.65</v>
      </c>
    </row>
    <row r="1002">
      <c r="A1002" s="93" t="s">
        <v>56</v>
      </c>
      <c r="B1002" s="93" t="s">
        <v>583</v>
      </c>
      <c r="C1002" s="86">
        <v>1078.0</v>
      </c>
      <c r="D1002" s="86" t="s">
        <v>1742</v>
      </c>
      <c r="E1002" s="86" t="s">
        <v>28</v>
      </c>
      <c r="F1002" s="87">
        <v>45580.0</v>
      </c>
      <c r="G1002" s="87">
        <v>45602.0</v>
      </c>
      <c r="H1002" s="87">
        <v>45603.0</v>
      </c>
      <c r="I1002" s="87">
        <v>45604.0</v>
      </c>
      <c r="J1002" s="94">
        <v>19.99</v>
      </c>
      <c r="K1002" s="94">
        <v>13.99</v>
      </c>
      <c r="L1002" s="94">
        <v>6.0</v>
      </c>
      <c r="M1002" s="86">
        <v>8.0</v>
      </c>
      <c r="N1002" s="88">
        <v>1.75</v>
      </c>
    </row>
    <row r="1003">
      <c r="A1003" s="93" t="s">
        <v>56</v>
      </c>
      <c r="B1003" s="86" t="s">
        <v>584</v>
      </c>
      <c r="C1003" s="86">
        <v>349.0</v>
      </c>
      <c r="D1003" s="86" t="s">
        <v>1497</v>
      </c>
      <c r="E1003" s="86" t="s">
        <v>24</v>
      </c>
      <c r="F1003" s="87">
        <v>39738.0</v>
      </c>
      <c r="G1003" s="87">
        <v>44971.0</v>
      </c>
      <c r="H1003" s="87">
        <v>44971.0</v>
      </c>
      <c r="I1003" s="87">
        <v>44971.0</v>
      </c>
      <c r="J1003" s="88">
        <v>4.99</v>
      </c>
      <c r="K1003" s="88">
        <v>0.0</v>
      </c>
      <c r="L1003" s="88">
        <v>4.99</v>
      </c>
      <c r="M1003" s="86">
        <v>3.0</v>
      </c>
      <c r="N1003" s="88">
        <v>0.0</v>
      </c>
    </row>
    <row r="1004">
      <c r="A1004" s="93" t="s">
        <v>56</v>
      </c>
      <c r="B1004" s="92"/>
      <c r="C1004" s="86">
        <v>350.0</v>
      </c>
      <c r="D1004" s="86" t="s">
        <v>1527</v>
      </c>
      <c r="E1004" s="86" t="s">
        <v>24</v>
      </c>
      <c r="F1004" s="87">
        <v>40865.0</v>
      </c>
      <c r="G1004" s="87">
        <v>40933.0</v>
      </c>
      <c r="H1004" s="87">
        <v>40933.0</v>
      </c>
      <c r="I1004" s="87">
        <v>45673.0</v>
      </c>
      <c r="J1004" s="88">
        <v>49.98</v>
      </c>
      <c r="K1004" s="88">
        <v>39.98</v>
      </c>
      <c r="L1004" s="88">
        <v>10.0</v>
      </c>
      <c r="M1004" s="86">
        <v>155.0</v>
      </c>
      <c r="N1004" s="88">
        <v>0.26</v>
      </c>
    </row>
    <row r="1005">
      <c r="A1005" s="93" t="s">
        <v>56</v>
      </c>
      <c r="B1005" s="86"/>
      <c r="C1005" s="86">
        <v>351.0</v>
      </c>
      <c r="D1005" s="86" t="s">
        <v>1553</v>
      </c>
      <c r="E1005" s="86" t="s">
        <v>24</v>
      </c>
      <c r="F1005" s="87">
        <v>41509.0</v>
      </c>
      <c r="G1005" s="87">
        <v>42263.0</v>
      </c>
      <c r="H1005" s="87">
        <v>42263.0</v>
      </c>
      <c r="I1005" s="87">
        <v>44395.0</v>
      </c>
      <c r="J1005" s="88">
        <v>34.98</v>
      </c>
      <c r="K1005" s="88">
        <v>7.49</v>
      </c>
      <c r="L1005" s="88">
        <v>27.49</v>
      </c>
      <c r="M1005" s="86">
        <v>100.0</v>
      </c>
      <c r="N1005" s="88">
        <v>0.07</v>
      </c>
    </row>
    <row r="1006">
      <c r="A1006" s="93" t="s">
        <v>56</v>
      </c>
      <c r="B1006" s="92"/>
      <c r="C1006" s="86">
        <v>352.0</v>
      </c>
      <c r="D1006" s="86" t="s">
        <v>1563</v>
      </c>
      <c r="E1006" s="86" t="s">
        <v>24</v>
      </c>
      <c r="F1006" s="87">
        <v>42027.0</v>
      </c>
      <c r="G1006" s="87">
        <v>44091.0</v>
      </c>
      <c r="H1006" s="87">
        <v>45671.0</v>
      </c>
      <c r="I1006" s="87">
        <v>45675.0</v>
      </c>
      <c r="J1006" s="88">
        <v>19.99</v>
      </c>
      <c r="K1006" s="88">
        <v>7.99</v>
      </c>
      <c r="L1006" s="88">
        <v>12.0</v>
      </c>
      <c r="M1006" s="86">
        <v>20.0</v>
      </c>
      <c r="N1006" s="88">
        <v>0.4</v>
      </c>
    </row>
    <row r="1007">
      <c r="A1007" s="86" t="s">
        <v>56</v>
      </c>
      <c r="B1007" s="86"/>
      <c r="C1007" s="86">
        <v>826.0</v>
      </c>
      <c r="D1007" s="86" t="s">
        <v>1690</v>
      </c>
      <c r="E1007" s="86" t="s">
        <v>26</v>
      </c>
      <c r="F1007" s="87">
        <v>44796.0</v>
      </c>
      <c r="G1007" s="87">
        <v>45174.0</v>
      </c>
      <c r="H1007" s="87">
        <v>45246.0</v>
      </c>
      <c r="I1007" s="87">
        <v>45254.0</v>
      </c>
      <c r="J1007" s="88">
        <v>69.99</v>
      </c>
      <c r="K1007" s="88">
        <v>0.0</v>
      </c>
      <c r="L1007" s="88">
        <v>69.99</v>
      </c>
      <c r="M1007" s="86">
        <v>62.0</v>
      </c>
      <c r="N1007" s="88">
        <v>0.0</v>
      </c>
    </row>
    <row r="1008">
      <c r="A1008" s="89"/>
      <c r="B1008" s="89"/>
      <c r="C1008" s="90"/>
      <c r="D1008" s="89"/>
      <c r="E1008" s="95">
        <v>179.93</v>
      </c>
      <c r="F1008" s="95">
        <v>55.46</v>
      </c>
      <c r="G1008" s="95">
        <v>124.47</v>
      </c>
      <c r="H1008" s="96">
        <v>340.0</v>
      </c>
      <c r="I1008" s="95">
        <v>0.16</v>
      </c>
      <c r="J1008" s="91">
        <f t="shared" ref="J1008:M1008" si="134">SUM(J1003:J1007)</f>
        <v>179.93</v>
      </c>
      <c r="K1008" s="91">
        <f t="shared" si="134"/>
        <v>55.46</v>
      </c>
      <c r="L1008" s="91">
        <f t="shared" si="134"/>
        <v>124.47</v>
      </c>
      <c r="M1008" s="89">
        <f t="shared" si="134"/>
        <v>340</v>
      </c>
      <c r="N1008" s="91">
        <f>K1008/M1008</f>
        <v>0.1631176471</v>
      </c>
    </row>
    <row r="1009">
      <c r="A1009" s="86" t="s">
        <v>56</v>
      </c>
      <c r="B1009" s="86" t="s">
        <v>585</v>
      </c>
      <c r="C1009" s="86">
        <v>460.0</v>
      </c>
      <c r="D1009" s="86" t="s">
        <v>1574</v>
      </c>
      <c r="E1009" s="86" t="s">
        <v>25</v>
      </c>
      <c r="F1009" s="87">
        <v>42269.0</v>
      </c>
      <c r="G1009" s="87">
        <v>43295.0</v>
      </c>
      <c r="H1009" s="87">
        <v>43295.0</v>
      </c>
      <c r="I1009" s="87">
        <v>45005.0</v>
      </c>
      <c r="J1009" s="88">
        <v>10.99</v>
      </c>
      <c r="K1009" s="88">
        <v>10.99</v>
      </c>
      <c r="L1009" s="88">
        <v>0.0</v>
      </c>
      <c r="M1009" s="86">
        <v>10.0</v>
      </c>
      <c r="N1009" s="88">
        <v>1.1</v>
      </c>
    </row>
    <row r="1010">
      <c r="A1010" s="86" t="s">
        <v>56</v>
      </c>
      <c r="B1010" s="86" t="s">
        <v>586</v>
      </c>
      <c r="C1010" s="86">
        <v>504.0</v>
      </c>
      <c r="D1010" s="86" t="s">
        <v>1653</v>
      </c>
      <c r="E1010" s="86" t="s">
        <v>26</v>
      </c>
      <c r="F1010" s="87">
        <v>43767.0</v>
      </c>
      <c r="G1010" s="87">
        <v>43824.0</v>
      </c>
      <c r="H1010" s="87">
        <v>43824.0</v>
      </c>
      <c r="I1010" s="87">
        <v>43824.0</v>
      </c>
      <c r="J1010" s="88">
        <v>17.5</v>
      </c>
      <c r="K1010" s="88">
        <v>17.5</v>
      </c>
      <c r="L1010" s="88">
        <v>0.0</v>
      </c>
      <c r="M1010" s="86">
        <v>1.0</v>
      </c>
      <c r="N1010" s="88">
        <v>17.5</v>
      </c>
    </row>
    <row r="1011">
      <c r="A1011" s="86" t="s">
        <v>56</v>
      </c>
      <c r="B1011" s="86"/>
      <c r="C1011" s="86">
        <v>917.0</v>
      </c>
      <c r="D1011" s="86" t="s">
        <v>1652</v>
      </c>
      <c r="E1011" s="86" t="s">
        <v>26</v>
      </c>
      <c r="F1011" s="87">
        <v>43767.0</v>
      </c>
      <c r="G1011" s="87">
        <v>43824.0</v>
      </c>
      <c r="H1011" s="87">
        <v>43824.0</v>
      </c>
      <c r="I1011" s="87">
        <v>43824.0</v>
      </c>
      <c r="J1011" s="88">
        <v>17.49</v>
      </c>
      <c r="K1011" s="88">
        <v>17.49</v>
      </c>
      <c r="L1011" s="88">
        <v>0.0</v>
      </c>
      <c r="M1011" s="86">
        <v>1.0</v>
      </c>
      <c r="N1011" s="88">
        <v>17.49</v>
      </c>
    </row>
    <row r="1012">
      <c r="A1012" s="89"/>
      <c r="B1012" s="89"/>
      <c r="C1012" s="90"/>
      <c r="D1012" s="89"/>
      <c r="E1012" s="89"/>
      <c r="F1012" s="89"/>
      <c r="G1012" s="89"/>
      <c r="H1012" s="89"/>
      <c r="I1012" s="89"/>
      <c r="J1012" s="91">
        <f t="shared" ref="J1012:M1012" si="135">SUM(J1010:J1011)</f>
        <v>34.99</v>
      </c>
      <c r="K1012" s="91">
        <f t="shared" si="135"/>
        <v>34.99</v>
      </c>
      <c r="L1012" s="91">
        <f t="shared" si="135"/>
        <v>0</v>
      </c>
      <c r="M1012" s="89">
        <f t="shared" si="135"/>
        <v>2</v>
      </c>
      <c r="N1012" s="91">
        <f>K1012/M1012</f>
        <v>17.495</v>
      </c>
    </row>
    <row r="1013">
      <c r="A1013" s="457" t="s">
        <v>56</v>
      </c>
      <c r="B1013" s="401" t="s">
        <v>587</v>
      </c>
      <c r="C1013" s="86">
        <v>712.0</v>
      </c>
      <c r="D1013" s="86" t="s">
        <v>1700</v>
      </c>
      <c r="E1013" s="402" t="s">
        <v>26</v>
      </c>
      <c r="F1013" s="403">
        <v>45125.0</v>
      </c>
      <c r="G1013" s="403">
        <v>45812.0</v>
      </c>
      <c r="H1013" s="403">
        <v>45812.0</v>
      </c>
      <c r="I1013" s="403">
        <v>45812.0</v>
      </c>
      <c r="J1013" s="404">
        <v>12.5</v>
      </c>
      <c r="K1013" s="404">
        <v>6.25</v>
      </c>
      <c r="L1013" s="94">
        <v>6.25</v>
      </c>
      <c r="M1013" s="402">
        <v>1.0</v>
      </c>
      <c r="N1013" s="404">
        <v>6.25</v>
      </c>
    </row>
    <row r="1014">
      <c r="A1014" s="457" t="s">
        <v>56</v>
      </c>
      <c r="B1014" s="401"/>
      <c r="C1014" s="86">
        <v>713.0</v>
      </c>
      <c r="D1014" s="86" t="s">
        <v>1701</v>
      </c>
      <c r="E1014" s="402" t="s">
        <v>26</v>
      </c>
      <c r="F1014" s="403">
        <v>45125.0</v>
      </c>
      <c r="G1014" s="403">
        <v>45812.0</v>
      </c>
      <c r="H1014" s="403">
        <v>45812.0</v>
      </c>
      <c r="I1014" s="403">
        <v>45812.0</v>
      </c>
      <c r="J1014" s="404">
        <v>12.49</v>
      </c>
      <c r="K1014" s="404">
        <v>6.24</v>
      </c>
      <c r="L1014" s="94">
        <v>6.25</v>
      </c>
      <c r="M1014" s="402">
        <v>1.0</v>
      </c>
      <c r="N1014" s="404">
        <v>6.24</v>
      </c>
    </row>
    <row r="1015">
      <c r="A1015" s="89"/>
      <c r="B1015" s="89"/>
      <c r="C1015" s="90"/>
      <c r="D1015" s="89"/>
      <c r="E1015" s="89"/>
      <c r="F1015" s="89"/>
      <c r="G1015" s="89"/>
      <c r="H1015" s="89"/>
      <c r="I1015" s="89"/>
      <c r="J1015" s="91">
        <f t="shared" ref="J1015:M1015" si="136">SUM(J1013:J1014)</f>
        <v>24.99</v>
      </c>
      <c r="K1015" s="91">
        <f t="shared" si="136"/>
        <v>12.49</v>
      </c>
      <c r="L1015" s="91">
        <f t="shared" si="136"/>
        <v>12.5</v>
      </c>
      <c r="M1015" s="90">
        <f t="shared" si="136"/>
        <v>2</v>
      </c>
      <c r="N1015" s="91">
        <f>K1015/M1015</f>
        <v>6.245</v>
      </c>
    </row>
    <row r="1016">
      <c r="A1016" s="86" t="s">
        <v>56</v>
      </c>
      <c r="B1016" s="86" t="s">
        <v>588</v>
      </c>
      <c r="C1016" s="86">
        <v>608.0</v>
      </c>
      <c r="D1016" s="86" t="s">
        <v>1597</v>
      </c>
      <c r="E1016" s="86" t="s">
        <v>26</v>
      </c>
      <c r="F1016" s="87">
        <v>42465.0</v>
      </c>
      <c r="G1016" s="87">
        <v>42754.0</v>
      </c>
      <c r="H1016" s="87">
        <v>42939.0</v>
      </c>
      <c r="I1016" s="87">
        <v>44432.0</v>
      </c>
      <c r="J1016" s="88">
        <v>14.99</v>
      </c>
      <c r="K1016" s="88">
        <v>7.49</v>
      </c>
      <c r="L1016" s="88">
        <v>7.5</v>
      </c>
      <c r="M1016" s="86">
        <v>17.0</v>
      </c>
      <c r="N1016" s="88">
        <v>0.44</v>
      </c>
    </row>
    <row r="1017">
      <c r="A1017" s="86" t="s">
        <v>56</v>
      </c>
      <c r="B1017" s="86"/>
      <c r="C1017" s="86">
        <v>612.0</v>
      </c>
      <c r="D1017" s="86" t="s">
        <v>1674</v>
      </c>
      <c r="E1017" s="86" t="s">
        <v>26</v>
      </c>
      <c r="F1017" s="87">
        <v>44148.0</v>
      </c>
      <c r="G1017" s="87">
        <v>44426.0</v>
      </c>
      <c r="H1017" s="87">
        <v>44427.0</v>
      </c>
      <c r="I1017" s="87">
        <v>44427.0</v>
      </c>
      <c r="J1017" s="88">
        <v>9.99</v>
      </c>
      <c r="K1017" s="88">
        <v>6.99</v>
      </c>
      <c r="L1017" s="88">
        <v>3.0</v>
      </c>
      <c r="M1017" s="86">
        <v>2.0</v>
      </c>
      <c r="N1017" s="88">
        <v>3.5</v>
      </c>
    </row>
    <row r="1018">
      <c r="A1018" s="89"/>
      <c r="B1018" s="89"/>
      <c r="C1018" s="90"/>
      <c r="D1018" s="89"/>
      <c r="E1018" s="89"/>
      <c r="F1018" s="89"/>
      <c r="G1018" s="89"/>
      <c r="H1018" s="89"/>
      <c r="I1018" s="89"/>
      <c r="J1018" s="91">
        <f t="shared" ref="J1018:M1018" si="137">SUM(J1016:J1017)</f>
        <v>24.98</v>
      </c>
      <c r="K1018" s="91">
        <f t="shared" si="137"/>
        <v>14.48</v>
      </c>
      <c r="L1018" s="91">
        <f t="shared" si="137"/>
        <v>10.5</v>
      </c>
      <c r="M1018" s="89">
        <f t="shared" si="137"/>
        <v>19</v>
      </c>
      <c r="N1018" s="91">
        <f>K1018/M1018</f>
        <v>0.7621052632</v>
      </c>
    </row>
    <row r="1019">
      <c r="A1019" s="92" t="s">
        <v>56</v>
      </c>
      <c r="B1019" s="86" t="s">
        <v>589</v>
      </c>
      <c r="C1019" s="86">
        <v>123.0</v>
      </c>
      <c r="D1019" s="86" t="s">
        <v>1478</v>
      </c>
      <c r="E1019" s="86" t="s">
        <v>22</v>
      </c>
      <c r="F1019" s="87">
        <v>38758.0</v>
      </c>
      <c r="G1019" s="87">
        <v>42623.0</v>
      </c>
      <c r="H1019" s="87">
        <v>44409.0</v>
      </c>
      <c r="I1019" s="87">
        <v>44412.0</v>
      </c>
      <c r="J1019" s="88">
        <v>10.99</v>
      </c>
      <c r="K1019" s="88">
        <v>7.99</v>
      </c>
      <c r="L1019" s="88">
        <v>3.0</v>
      </c>
      <c r="M1019" s="86">
        <v>20.0</v>
      </c>
      <c r="N1019" s="88">
        <v>0.4</v>
      </c>
    </row>
    <row r="1020">
      <c r="A1020" s="93" t="s">
        <v>56</v>
      </c>
      <c r="B1020" s="86"/>
      <c r="C1020" s="86">
        <v>385.0</v>
      </c>
      <c r="D1020" s="86" t="s">
        <v>1544</v>
      </c>
      <c r="E1020" s="86" t="s">
        <v>24</v>
      </c>
      <c r="F1020" s="87">
        <v>41297.0</v>
      </c>
      <c r="G1020" s="87">
        <v>41297.0</v>
      </c>
      <c r="H1020" s="87">
        <v>45077.0</v>
      </c>
      <c r="I1020" s="87">
        <v>45077.0</v>
      </c>
      <c r="J1020" s="88">
        <v>12.99</v>
      </c>
      <c r="K1020" s="88">
        <v>0.0</v>
      </c>
      <c r="L1020" s="88">
        <v>12.99</v>
      </c>
      <c r="M1020" s="86">
        <v>5.0</v>
      </c>
      <c r="N1020" s="88">
        <v>0.0</v>
      </c>
    </row>
    <row r="1021">
      <c r="A1021" s="86" t="s">
        <v>56</v>
      </c>
      <c r="B1021" s="86"/>
      <c r="C1021" s="86">
        <v>431.0</v>
      </c>
      <c r="D1021" s="86" t="s">
        <v>1573</v>
      </c>
      <c r="E1021" s="86" t="s">
        <v>25</v>
      </c>
      <c r="F1021" s="87">
        <v>42123.0</v>
      </c>
      <c r="G1021" s="87">
        <v>42950.0</v>
      </c>
      <c r="H1021" s="87">
        <v>42950.0</v>
      </c>
      <c r="I1021" s="87">
        <v>42950.0</v>
      </c>
      <c r="J1021" s="88">
        <v>14.99</v>
      </c>
      <c r="K1021" s="88">
        <v>6.99</v>
      </c>
      <c r="L1021" s="88">
        <v>8.0</v>
      </c>
      <c r="M1021" s="86">
        <v>1.0</v>
      </c>
      <c r="N1021" s="88">
        <v>6.99</v>
      </c>
    </row>
    <row r="1022">
      <c r="A1022" s="86" t="s">
        <v>56</v>
      </c>
      <c r="B1022" s="86"/>
      <c r="C1022" s="86">
        <v>802.0</v>
      </c>
      <c r="D1022" s="86" t="s">
        <v>1686</v>
      </c>
      <c r="E1022" s="86" t="s">
        <v>26</v>
      </c>
      <c r="F1022" s="87">
        <v>44433.0</v>
      </c>
      <c r="G1022" s="87">
        <v>44521.0</v>
      </c>
      <c r="H1022" s="87">
        <v>44522.0</v>
      </c>
      <c r="I1022" s="87">
        <v>44526.0</v>
      </c>
      <c r="J1022" s="88">
        <v>59.99</v>
      </c>
      <c r="K1022" s="88">
        <v>41.99</v>
      </c>
      <c r="L1022" s="88">
        <v>18.0</v>
      </c>
      <c r="M1022" s="86">
        <v>22.0</v>
      </c>
      <c r="N1022" s="88">
        <v>1.91</v>
      </c>
    </row>
    <row r="1023">
      <c r="A1023" s="86" t="s">
        <v>56</v>
      </c>
      <c r="B1023" s="86"/>
      <c r="C1023" s="86">
        <v>1024.0</v>
      </c>
      <c r="D1023" s="86" t="s">
        <v>1715</v>
      </c>
      <c r="E1023" s="86" t="s">
        <v>27</v>
      </c>
      <c r="F1023" s="87">
        <v>42787.0</v>
      </c>
      <c r="G1023" s="87">
        <v>43472.0</v>
      </c>
      <c r="H1023" s="87">
        <v>44521.0</v>
      </c>
      <c r="I1023" s="87">
        <v>44522.0</v>
      </c>
      <c r="J1023" s="88">
        <v>18.99</v>
      </c>
      <c r="K1023" s="88">
        <v>6.49</v>
      </c>
      <c r="L1023" s="88">
        <v>12.5</v>
      </c>
      <c r="M1023" s="86">
        <v>3.0</v>
      </c>
      <c r="N1023" s="88">
        <v>2.16</v>
      </c>
    </row>
    <row r="1024">
      <c r="A1024" s="89"/>
      <c r="B1024" s="89"/>
      <c r="C1024" s="90"/>
      <c r="D1024" s="89"/>
      <c r="E1024" s="89"/>
      <c r="F1024" s="89"/>
      <c r="G1024" s="89"/>
      <c r="H1024" s="89"/>
      <c r="I1024" s="89"/>
      <c r="J1024" s="91">
        <f t="shared" ref="J1024:M1024" si="138">SUM(J1019:J1023)</f>
        <v>117.95</v>
      </c>
      <c r="K1024" s="91">
        <f t="shared" si="138"/>
        <v>63.46</v>
      </c>
      <c r="L1024" s="91">
        <f t="shared" si="138"/>
        <v>54.49</v>
      </c>
      <c r="M1024" s="89">
        <f t="shared" si="138"/>
        <v>51</v>
      </c>
      <c r="N1024" s="91">
        <f>K1024/M1024</f>
        <v>1.244313725</v>
      </c>
    </row>
    <row r="1025">
      <c r="A1025" s="93" t="s">
        <v>56</v>
      </c>
      <c r="B1025" s="86" t="s">
        <v>590</v>
      </c>
      <c r="C1025" s="86">
        <v>213.0</v>
      </c>
      <c r="D1025" s="86" t="s">
        <v>1561</v>
      </c>
      <c r="E1025" s="86" t="s">
        <v>24</v>
      </c>
      <c r="F1025" s="87">
        <v>41871.0</v>
      </c>
      <c r="G1025" s="87">
        <v>42925.0</v>
      </c>
      <c r="H1025" s="87">
        <v>43080.0</v>
      </c>
      <c r="I1025" s="87">
        <v>43241.0</v>
      </c>
      <c r="J1025" s="88">
        <v>12.99</v>
      </c>
      <c r="K1025" s="88">
        <v>3.99</v>
      </c>
      <c r="L1025" s="88">
        <v>9.0</v>
      </c>
      <c r="M1025" s="86">
        <v>5.0</v>
      </c>
      <c r="N1025" s="88">
        <v>0.8</v>
      </c>
    </row>
    <row r="1026">
      <c r="A1026" s="93" t="s">
        <v>56</v>
      </c>
      <c r="B1026" s="86" t="s">
        <v>591</v>
      </c>
      <c r="C1026" s="86">
        <v>402.0</v>
      </c>
      <c r="D1026" s="86" t="s">
        <v>1512</v>
      </c>
      <c r="E1026" s="86" t="s">
        <v>24</v>
      </c>
      <c r="F1026" s="87">
        <v>40361.0</v>
      </c>
      <c r="G1026" s="87">
        <v>40405.0</v>
      </c>
      <c r="H1026" s="87">
        <v>40405.0</v>
      </c>
      <c r="I1026" s="87">
        <v>44743.0</v>
      </c>
      <c r="J1026" s="88">
        <v>29.99</v>
      </c>
      <c r="K1026" s="88">
        <v>1.0</v>
      </c>
      <c r="L1026" s="88">
        <v>28.99</v>
      </c>
      <c r="M1026" s="86">
        <v>25.0</v>
      </c>
      <c r="N1026" s="88">
        <v>0.04</v>
      </c>
    </row>
    <row r="1027">
      <c r="A1027" s="93" t="s">
        <v>56</v>
      </c>
      <c r="B1027" s="86" t="s">
        <v>592</v>
      </c>
      <c r="C1027" s="86">
        <v>411.0</v>
      </c>
      <c r="D1027" s="86" t="s">
        <v>1531</v>
      </c>
      <c r="E1027" s="86" t="s">
        <v>24</v>
      </c>
      <c r="F1027" s="87">
        <v>40984.0</v>
      </c>
      <c r="G1027" s="87">
        <v>44115.0</v>
      </c>
      <c r="H1027" s="87">
        <v>44115.0</v>
      </c>
      <c r="I1027" s="87">
        <v>44115.0</v>
      </c>
      <c r="J1027" s="88">
        <v>24.99</v>
      </c>
      <c r="K1027" s="88">
        <v>5.0</v>
      </c>
      <c r="L1027" s="88">
        <v>19.99</v>
      </c>
      <c r="M1027" s="86">
        <v>1.0</v>
      </c>
      <c r="N1027" s="88">
        <v>5.0</v>
      </c>
    </row>
    <row r="1028">
      <c r="A1028" s="93" t="s">
        <v>56</v>
      </c>
      <c r="B1028" s="86" t="s">
        <v>593</v>
      </c>
      <c r="C1028" s="86">
        <v>686.0</v>
      </c>
      <c r="D1028" s="86" t="s">
        <v>1687</v>
      </c>
      <c r="E1028" s="86" t="s">
        <v>26</v>
      </c>
      <c r="F1028" s="87">
        <v>44460.0</v>
      </c>
      <c r="G1028" s="87">
        <v>44555.0</v>
      </c>
      <c r="H1028" s="87">
        <v>44562.0</v>
      </c>
      <c r="I1028" s="87">
        <v>44566.0</v>
      </c>
      <c r="J1028" s="88">
        <v>39.99</v>
      </c>
      <c r="K1028" s="88">
        <v>0.0</v>
      </c>
      <c r="L1028" s="88">
        <v>39.99</v>
      </c>
      <c r="M1028" s="86">
        <v>19.0</v>
      </c>
      <c r="N1028" s="88">
        <v>0.0</v>
      </c>
    </row>
    <row r="1029">
      <c r="A1029" s="92" t="s">
        <v>56</v>
      </c>
      <c r="B1029" s="86" t="s">
        <v>594</v>
      </c>
      <c r="C1029" s="86">
        <v>574.0</v>
      </c>
      <c r="D1029" s="86" t="s">
        <v>1604</v>
      </c>
      <c r="E1029" s="86" t="s">
        <v>26</v>
      </c>
      <c r="F1029" s="87">
        <v>42583.0</v>
      </c>
      <c r="G1029" s="87">
        <v>42750.0</v>
      </c>
      <c r="H1029" s="87">
        <v>42851.0</v>
      </c>
      <c r="I1029" s="87">
        <v>45412.0</v>
      </c>
      <c r="J1029" s="88">
        <v>4.99</v>
      </c>
      <c r="K1029" s="88">
        <v>2.99</v>
      </c>
      <c r="L1029" s="88">
        <v>2.0</v>
      </c>
      <c r="M1029" s="86">
        <v>1.0</v>
      </c>
      <c r="N1029" s="88">
        <v>2.99</v>
      </c>
    </row>
    <row r="1030">
      <c r="A1030" s="86" t="s">
        <v>56</v>
      </c>
      <c r="B1030" s="86" t="s">
        <v>595</v>
      </c>
      <c r="C1030" s="86">
        <v>1025.0</v>
      </c>
      <c r="D1030" s="86" t="s">
        <v>1710</v>
      </c>
      <c r="E1030" s="86" t="s">
        <v>27</v>
      </c>
      <c r="F1030" s="87">
        <v>42656.0</v>
      </c>
      <c r="G1030" s="87">
        <v>43543.0</v>
      </c>
      <c r="H1030" s="87">
        <v>43543.0</v>
      </c>
      <c r="I1030" s="87">
        <v>43543.0</v>
      </c>
      <c r="J1030" s="88">
        <v>29.99</v>
      </c>
      <c r="K1030" s="88">
        <v>14.99</v>
      </c>
      <c r="L1030" s="88">
        <v>15.0</v>
      </c>
      <c r="M1030" s="86">
        <v>2.0</v>
      </c>
      <c r="N1030" s="88">
        <v>7.5</v>
      </c>
    </row>
    <row r="1031">
      <c r="A1031" s="86" t="s">
        <v>56</v>
      </c>
      <c r="B1031" s="86" t="s">
        <v>596</v>
      </c>
      <c r="C1031" s="86">
        <v>636.0</v>
      </c>
      <c r="D1031" s="86" t="s">
        <v>1620</v>
      </c>
      <c r="E1031" s="86" t="s">
        <v>26</v>
      </c>
      <c r="F1031" s="87">
        <v>42941.0</v>
      </c>
      <c r="G1031" s="87">
        <v>43265.0</v>
      </c>
      <c r="H1031" s="87">
        <v>43265.0</v>
      </c>
      <c r="I1031" s="87">
        <v>43265.0</v>
      </c>
      <c r="J1031" s="88">
        <v>0.0</v>
      </c>
      <c r="K1031" s="88">
        <v>0.0</v>
      </c>
      <c r="L1031" s="88">
        <v>0.0</v>
      </c>
      <c r="M1031" s="86">
        <v>1.0</v>
      </c>
      <c r="N1031" s="88">
        <v>0.0</v>
      </c>
    </row>
    <row r="1032">
      <c r="A1032" s="86" t="s">
        <v>56</v>
      </c>
      <c r="B1032" s="86" t="s">
        <v>597</v>
      </c>
      <c r="C1032" s="86">
        <v>817.0</v>
      </c>
      <c r="D1032" s="86" t="s">
        <v>1636</v>
      </c>
      <c r="E1032" s="86" t="s">
        <v>26</v>
      </c>
      <c r="F1032" s="87">
        <v>43410.0</v>
      </c>
      <c r="G1032" s="87">
        <v>44398.0</v>
      </c>
      <c r="H1032" s="87">
        <v>44406.0</v>
      </c>
      <c r="I1032" s="87">
        <v>44407.0</v>
      </c>
      <c r="J1032" s="88">
        <v>19.99</v>
      </c>
      <c r="K1032" s="88">
        <v>7.99</v>
      </c>
      <c r="L1032" s="88">
        <v>12.0</v>
      </c>
      <c r="M1032" s="86">
        <v>14.0</v>
      </c>
      <c r="N1032" s="88">
        <v>0.57</v>
      </c>
    </row>
    <row r="1033">
      <c r="A1033" s="93" t="s">
        <v>56</v>
      </c>
      <c r="B1033" s="86" t="s">
        <v>598</v>
      </c>
      <c r="C1033" s="86">
        <v>424.0</v>
      </c>
      <c r="D1033" s="86" t="s">
        <v>1536</v>
      </c>
      <c r="E1033" s="86" t="s">
        <v>24</v>
      </c>
      <c r="F1033" s="87">
        <v>41194.0</v>
      </c>
      <c r="G1033" s="87">
        <v>41449.0</v>
      </c>
      <c r="H1033" s="87">
        <v>41449.0</v>
      </c>
      <c r="I1033" s="87">
        <v>44782.0</v>
      </c>
      <c r="J1033" s="88">
        <v>39.98</v>
      </c>
      <c r="K1033" s="88">
        <v>25.98</v>
      </c>
      <c r="L1033" s="88">
        <v>14.0</v>
      </c>
      <c r="M1033" s="86">
        <v>15.0</v>
      </c>
      <c r="N1033" s="88">
        <v>1.73</v>
      </c>
    </row>
    <row r="1034">
      <c r="A1034" s="86" t="s">
        <v>56</v>
      </c>
      <c r="B1034" s="86"/>
      <c r="C1034" s="86">
        <v>976.0</v>
      </c>
      <c r="D1034" s="86" t="s">
        <v>1608</v>
      </c>
      <c r="E1034" s="86" t="s">
        <v>26</v>
      </c>
      <c r="F1034" s="87">
        <v>42643.0</v>
      </c>
      <c r="G1034" s="87">
        <v>44063.0</v>
      </c>
      <c r="H1034" s="87">
        <v>44063.0</v>
      </c>
      <c r="I1034" s="87">
        <v>44063.0</v>
      </c>
      <c r="J1034" s="88">
        <v>49.99</v>
      </c>
      <c r="K1034" s="88">
        <v>12.49</v>
      </c>
      <c r="L1034" s="88">
        <v>37.5</v>
      </c>
      <c r="M1034" s="86">
        <v>1.0</v>
      </c>
      <c r="N1034" s="88">
        <v>12.49</v>
      </c>
    </row>
    <row r="1035">
      <c r="A1035" s="89"/>
      <c r="B1035" s="89"/>
      <c r="C1035" s="90"/>
      <c r="D1035" s="89"/>
      <c r="E1035" s="89"/>
      <c r="F1035" s="89"/>
      <c r="G1035" s="89"/>
      <c r="H1035" s="89"/>
      <c r="I1035" s="89"/>
      <c r="J1035" s="91">
        <f t="shared" ref="J1035:M1035" si="139">SUM(J1033:J1034)</f>
        <v>89.97</v>
      </c>
      <c r="K1035" s="91">
        <f t="shared" si="139"/>
        <v>38.47</v>
      </c>
      <c r="L1035" s="91">
        <f t="shared" si="139"/>
        <v>51.5</v>
      </c>
      <c r="M1035" s="89">
        <f t="shared" si="139"/>
        <v>16</v>
      </c>
      <c r="N1035" s="91">
        <f>K1035/M1035</f>
        <v>2.404375</v>
      </c>
    </row>
    <row r="1036">
      <c r="A1036" s="86" t="s">
        <v>56</v>
      </c>
      <c r="B1036" s="86" t="s">
        <v>599</v>
      </c>
      <c r="C1036" s="86">
        <v>642.0</v>
      </c>
      <c r="D1036" s="86" t="s">
        <v>1602</v>
      </c>
      <c r="E1036" s="86" t="s">
        <v>26</v>
      </c>
      <c r="F1036" s="87">
        <v>42566.0</v>
      </c>
      <c r="G1036" s="87">
        <v>43275.0</v>
      </c>
      <c r="H1036" s="87">
        <v>43407.0</v>
      </c>
      <c r="I1036" s="87">
        <v>44842.0</v>
      </c>
      <c r="J1036" s="88">
        <v>29.99</v>
      </c>
      <c r="K1036" s="88">
        <v>7.99</v>
      </c>
      <c r="L1036" s="88">
        <v>22.0</v>
      </c>
      <c r="M1036" s="86">
        <v>9.0</v>
      </c>
      <c r="N1036" s="88">
        <v>0.89</v>
      </c>
    </row>
    <row r="1037">
      <c r="A1037" s="86" t="s">
        <v>56</v>
      </c>
      <c r="B1037" s="86" t="s">
        <v>600</v>
      </c>
      <c r="C1037" s="86">
        <v>819.0</v>
      </c>
      <c r="D1037" s="86" t="s">
        <v>1668</v>
      </c>
      <c r="E1037" s="86" t="s">
        <v>26</v>
      </c>
      <c r="F1037" s="87">
        <v>44105.0</v>
      </c>
      <c r="G1037" s="87">
        <v>44335.0</v>
      </c>
      <c r="H1037" s="87">
        <v>44335.0</v>
      </c>
      <c r="I1037" s="87">
        <v>44335.0</v>
      </c>
      <c r="J1037" s="88">
        <v>0.0</v>
      </c>
      <c r="K1037" s="88">
        <v>0.0</v>
      </c>
      <c r="L1037" s="88">
        <v>0.0</v>
      </c>
      <c r="M1037" s="86">
        <v>1.0</v>
      </c>
      <c r="N1037" s="88">
        <v>0.0</v>
      </c>
    </row>
    <row r="1038">
      <c r="A1038" s="86" t="s">
        <v>56</v>
      </c>
      <c r="B1038" s="86" t="s">
        <v>601</v>
      </c>
      <c r="C1038" s="86">
        <v>990.0</v>
      </c>
      <c r="D1038" s="86" t="s">
        <v>1728</v>
      </c>
      <c r="E1038" s="86" t="s">
        <v>27</v>
      </c>
      <c r="F1038" s="87">
        <v>43585.0</v>
      </c>
      <c r="G1038" s="87">
        <v>43824.0</v>
      </c>
      <c r="H1038" s="87">
        <v>43843.0</v>
      </c>
      <c r="I1038" s="87">
        <v>44679.0</v>
      </c>
      <c r="J1038" s="88">
        <v>29.99</v>
      </c>
      <c r="K1038" s="88">
        <v>17.99</v>
      </c>
      <c r="L1038" s="88">
        <v>12.0</v>
      </c>
      <c r="M1038" s="86">
        <v>2.0</v>
      </c>
      <c r="N1038" s="88">
        <v>9.0</v>
      </c>
    </row>
    <row r="1039">
      <c r="A1039" s="86" t="s">
        <v>56</v>
      </c>
      <c r="B1039" s="86" t="s">
        <v>602</v>
      </c>
      <c r="C1039" s="86">
        <v>1007.0</v>
      </c>
      <c r="D1039" s="86" t="s">
        <v>1711</v>
      </c>
      <c r="E1039" s="86" t="s">
        <v>27</v>
      </c>
      <c r="F1039" s="87">
        <v>42656.0</v>
      </c>
      <c r="G1039" s="87">
        <v>43466.0</v>
      </c>
      <c r="H1039" s="87">
        <v>43467.0</v>
      </c>
      <c r="I1039" s="87">
        <v>44023.0</v>
      </c>
      <c r="J1039" s="88">
        <v>28.98</v>
      </c>
      <c r="K1039" s="88">
        <v>14.98</v>
      </c>
      <c r="L1039" s="88">
        <v>14.0</v>
      </c>
      <c r="M1039" s="86">
        <v>8.0</v>
      </c>
      <c r="N1039" s="88">
        <v>1.87</v>
      </c>
    </row>
    <row r="1040">
      <c r="A1040" s="86" t="s">
        <v>56</v>
      </c>
      <c r="B1040" s="86" t="s">
        <v>603</v>
      </c>
      <c r="C1040" s="86">
        <v>437.0</v>
      </c>
      <c r="D1040" s="86" t="s">
        <v>1567</v>
      </c>
      <c r="E1040" s="86" t="s">
        <v>25</v>
      </c>
      <c r="F1040" s="87">
        <v>40961.0</v>
      </c>
      <c r="G1040" s="87">
        <v>42929.0</v>
      </c>
      <c r="H1040" s="87">
        <v>42929.0</v>
      </c>
      <c r="I1040" s="87">
        <v>42929.0</v>
      </c>
      <c r="J1040" s="88">
        <v>19.99</v>
      </c>
      <c r="K1040" s="88">
        <v>19.99</v>
      </c>
      <c r="L1040" s="88">
        <v>0.0</v>
      </c>
      <c r="M1040" s="86">
        <v>1.0</v>
      </c>
      <c r="N1040" s="88">
        <v>19.99</v>
      </c>
    </row>
    <row r="1041">
      <c r="A1041" s="86" t="s">
        <v>56</v>
      </c>
      <c r="B1041" s="86"/>
      <c r="C1041" s="86">
        <v>624.0</v>
      </c>
      <c r="D1041" s="86" t="s">
        <v>1594</v>
      </c>
      <c r="E1041" s="86" t="s">
        <v>26</v>
      </c>
      <c r="F1041" s="87">
        <v>42343.0</v>
      </c>
      <c r="G1041" s="87">
        <v>42650.0</v>
      </c>
      <c r="H1041" s="87">
        <v>42828.0</v>
      </c>
      <c r="I1041" s="87">
        <v>44188.0</v>
      </c>
      <c r="J1041" s="88">
        <v>19.99</v>
      </c>
      <c r="K1041" s="88">
        <v>9.99</v>
      </c>
      <c r="L1041" s="88">
        <v>10.0</v>
      </c>
      <c r="M1041" s="86">
        <v>19.0</v>
      </c>
      <c r="N1041" s="88">
        <v>0.53</v>
      </c>
    </row>
    <row r="1042">
      <c r="A1042" s="89"/>
      <c r="B1042" s="89"/>
      <c r="C1042" s="90"/>
      <c r="D1042" s="89"/>
      <c r="E1042" s="89"/>
      <c r="F1042" s="89"/>
      <c r="G1042" s="89"/>
      <c r="H1042" s="89"/>
      <c r="I1042" s="89"/>
      <c r="J1042" s="91">
        <f t="shared" ref="J1042:M1042" si="140">SUM(J1040:J1041)</f>
        <v>39.98</v>
      </c>
      <c r="K1042" s="91">
        <f t="shared" si="140"/>
        <v>29.98</v>
      </c>
      <c r="L1042" s="91">
        <f t="shared" si="140"/>
        <v>10</v>
      </c>
      <c r="M1042" s="89">
        <f t="shared" si="140"/>
        <v>20</v>
      </c>
      <c r="N1042" s="91">
        <f>K1042/M1042</f>
        <v>1.499</v>
      </c>
    </row>
    <row r="1043">
      <c r="A1043" s="93" t="s">
        <v>56</v>
      </c>
      <c r="B1043" s="86" t="s">
        <v>604</v>
      </c>
      <c r="C1043" s="86">
        <v>201.0</v>
      </c>
      <c r="D1043" s="86" t="s">
        <v>1505</v>
      </c>
      <c r="E1043" s="86" t="s">
        <v>24</v>
      </c>
      <c r="F1043" s="87">
        <v>40109.0</v>
      </c>
      <c r="G1043" s="87">
        <v>41762.0</v>
      </c>
      <c r="H1043" s="87">
        <v>41762.0</v>
      </c>
      <c r="I1043" s="87">
        <v>45348.0</v>
      </c>
      <c r="J1043" s="88">
        <v>29.99</v>
      </c>
      <c r="K1043" s="88">
        <v>29.99</v>
      </c>
      <c r="L1043" s="88">
        <v>0.0</v>
      </c>
      <c r="M1043" s="86">
        <v>71.0</v>
      </c>
      <c r="N1043" s="88">
        <v>0.42</v>
      </c>
    </row>
    <row r="1044">
      <c r="A1044" s="93" t="s">
        <v>56</v>
      </c>
      <c r="B1044" s="86"/>
      <c r="C1044" s="86">
        <v>230.0</v>
      </c>
      <c r="D1044" s="86" t="s">
        <v>1519</v>
      </c>
      <c r="E1044" s="86" t="s">
        <v>24</v>
      </c>
      <c r="F1044" s="87">
        <v>40704.0</v>
      </c>
      <c r="G1044" s="87">
        <v>44091.0</v>
      </c>
      <c r="H1044" s="87">
        <v>44175.0</v>
      </c>
      <c r="I1044" s="87">
        <v>44177.0</v>
      </c>
      <c r="J1044" s="88">
        <v>19.99</v>
      </c>
      <c r="K1044" s="88">
        <v>3.5</v>
      </c>
      <c r="L1044" s="88">
        <v>16.49</v>
      </c>
      <c r="M1044" s="86">
        <v>15.0</v>
      </c>
      <c r="N1044" s="88">
        <v>0.23</v>
      </c>
    </row>
    <row r="1045">
      <c r="A1045" s="93" t="s">
        <v>56</v>
      </c>
      <c r="B1045" s="86"/>
      <c r="C1045" s="86">
        <v>203.0</v>
      </c>
      <c r="D1045" s="86" t="s">
        <v>1535</v>
      </c>
      <c r="E1045" s="86" t="s">
        <v>24</v>
      </c>
      <c r="F1045" s="87">
        <v>41173.0</v>
      </c>
      <c r="G1045" s="87">
        <v>41913.0</v>
      </c>
      <c r="H1045" s="87">
        <v>41913.0</v>
      </c>
      <c r="I1045" s="87">
        <v>43901.0</v>
      </c>
      <c r="J1045" s="88">
        <v>54.99</v>
      </c>
      <c r="K1045" s="88">
        <v>31.49</v>
      </c>
      <c r="L1045" s="88">
        <v>23.5</v>
      </c>
      <c r="M1045" s="86">
        <v>69.0</v>
      </c>
      <c r="N1045" s="88">
        <v>0.46</v>
      </c>
    </row>
    <row r="1046">
      <c r="A1046" s="86" t="s">
        <v>56</v>
      </c>
      <c r="B1046" s="86"/>
      <c r="C1046" s="86">
        <v>534.0</v>
      </c>
      <c r="D1046" s="86" t="s">
        <v>1647</v>
      </c>
      <c r="E1046" s="86" t="s">
        <v>26</v>
      </c>
      <c r="F1046" s="87">
        <v>43721.0</v>
      </c>
      <c r="G1046" s="87">
        <v>43559.0</v>
      </c>
      <c r="H1046" s="87">
        <v>43722.0</v>
      </c>
      <c r="I1046" s="87">
        <v>45797.0</v>
      </c>
      <c r="J1046" s="88">
        <v>114.98</v>
      </c>
      <c r="K1046" s="88">
        <v>114.98</v>
      </c>
      <c r="L1046" s="88">
        <v>0.0</v>
      </c>
      <c r="M1046" s="86">
        <v>241.0</v>
      </c>
      <c r="N1046" s="88">
        <v>0.48</v>
      </c>
    </row>
    <row r="1047">
      <c r="A1047" s="93" t="s">
        <v>56</v>
      </c>
      <c r="B1047" s="93"/>
      <c r="C1047" s="86">
        <v>933.0</v>
      </c>
      <c r="D1047" s="86" t="s">
        <v>1689</v>
      </c>
      <c r="E1047" s="86" t="s">
        <v>26</v>
      </c>
      <c r="F1047" s="87">
        <v>44645.0</v>
      </c>
      <c r="G1047" s="87">
        <v>44960.0</v>
      </c>
      <c r="H1047" s="87">
        <v>44985.0</v>
      </c>
      <c r="I1047" s="87">
        <v>45708.0</v>
      </c>
      <c r="J1047" s="88">
        <v>89.99</v>
      </c>
      <c r="K1047" s="88">
        <v>44.99</v>
      </c>
      <c r="L1047" s="88">
        <v>45.0</v>
      </c>
      <c r="M1047" s="86">
        <v>48.0</v>
      </c>
      <c r="N1047" s="88">
        <v>0.94</v>
      </c>
    </row>
    <row r="1048">
      <c r="A1048" s="86" t="s">
        <v>56</v>
      </c>
      <c r="B1048" s="86"/>
      <c r="C1048" s="86">
        <v>1022.0</v>
      </c>
      <c r="D1048" s="86" t="s">
        <v>1729</v>
      </c>
      <c r="E1048" s="86" t="s">
        <v>27</v>
      </c>
      <c r="F1048" s="87">
        <v>43655.0</v>
      </c>
      <c r="G1048" s="87">
        <v>43699.0</v>
      </c>
      <c r="H1048" s="87">
        <v>44041.0</v>
      </c>
      <c r="I1048" s="87">
        <v>44041.0</v>
      </c>
      <c r="J1048" s="88">
        <v>19.99</v>
      </c>
      <c r="K1048" s="88">
        <v>19.99</v>
      </c>
      <c r="L1048" s="88">
        <v>0.0</v>
      </c>
      <c r="M1048" s="86">
        <v>2.0</v>
      </c>
      <c r="N1048" s="88">
        <v>10.0</v>
      </c>
    </row>
    <row r="1049">
      <c r="A1049" s="89"/>
      <c r="B1049" s="89"/>
      <c r="C1049" s="90"/>
      <c r="D1049" s="89"/>
      <c r="E1049" s="95">
        <v>329.93</v>
      </c>
      <c r="F1049" s="95">
        <v>244.94</v>
      </c>
      <c r="G1049" s="95">
        <v>84.99</v>
      </c>
      <c r="H1049" s="96">
        <v>446.0</v>
      </c>
      <c r="I1049" s="95">
        <v>0.55</v>
      </c>
      <c r="J1049" s="91">
        <f t="shared" ref="J1049:M1049" si="141">SUM(J1043:J1048)</f>
        <v>329.93</v>
      </c>
      <c r="K1049" s="91">
        <f t="shared" si="141"/>
        <v>244.94</v>
      </c>
      <c r="L1049" s="91">
        <f t="shared" si="141"/>
        <v>84.99</v>
      </c>
      <c r="M1049" s="89">
        <f t="shared" si="141"/>
        <v>446</v>
      </c>
      <c r="N1049" s="91">
        <f>K1049/M1049</f>
        <v>0.5491928251</v>
      </c>
    </row>
    <row r="1050">
      <c r="A1050" s="93" t="s">
        <v>56</v>
      </c>
      <c r="B1050" s="86" t="s">
        <v>605</v>
      </c>
      <c r="C1050" s="86">
        <v>397.0</v>
      </c>
      <c r="D1050" s="86" t="s">
        <v>1537</v>
      </c>
      <c r="E1050" s="86" t="s">
        <v>24</v>
      </c>
      <c r="F1050" s="87">
        <v>41206.0</v>
      </c>
      <c r="G1050" s="87">
        <v>42925.0</v>
      </c>
      <c r="H1050" s="87">
        <v>43280.0</v>
      </c>
      <c r="I1050" s="87">
        <v>44872.0</v>
      </c>
      <c r="J1050" s="88">
        <v>12.99</v>
      </c>
      <c r="K1050" s="88">
        <v>2.99</v>
      </c>
      <c r="L1050" s="88">
        <v>10.0</v>
      </c>
      <c r="M1050" s="86">
        <v>20.0</v>
      </c>
      <c r="N1050" s="88">
        <v>0.15</v>
      </c>
    </row>
    <row r="1051">
      <c r="A1051" s="86" t="s">
        <v>56</v>
      </c>
      <c r="B1051" s="86" t="s">
        <v>606</v>
      </c>
      <c r="C1051" s="86">
        <v>503.0</v>
      </c>
      <c r="D1051" s="86" t="s">
        <v>1606</v>
      </c>
      <c r="E1051" s="86" t="s">
        <v>26</v>
      </c>
      <c r="F1051" s="87">
        <v>42584.0</v>
      </c>
      <c r="G1051" s="87">
        <v>44432.0</v>
      </c>
      <c r="H1051" s="87">
        <v>44432.0</v>
      </c>
      <c r="I1051" s="87">
        <v>44432.0</v>
      </c>
      <c r="J1051" s="88">
        <v>19.99</v>
      </c>
      <c r="K1051" s="88">
        <v>0.0</v>
      </c>
      <c r="L1051" s="88">
        <v>19.99</v>
      </c>
      <c r="M1051" s="86">
        <v>2.0</v>
      </c>
      <c r="N1051" s="88">
        <v>0.0</v>
      </c>
    </row>
    <row r="1052">
      <c r="A1052" s="86" t="s">
        <v>56</v>
      </c>
      <c r="B1052" s="86" t="s">
        <v>607</v>
      </c>
      <c r="C1052" s="86">
        <v>1016.0</v>
      </c>
      <c r="D1052" s="86" t="s">
        <v>1724</v>
      </c>
      <c r="E1052" s="86" t="s">
        <v>27</v>
      </c>
      <c r="F1052" s="87">
        <v>43167.0</v>
      </c>
      <c r="G1052" s="87">
        <v>43468.0</v>
      </c>
      <c r="H1052" s="87">
        <v>43469.0</v>
      </c>
      <c r="I1052" s="87">
        <v>43469.0</v>
      </c>
      <c r="J1052" s="88">
        <v>19.99</v>
      </c>
      <c r="K1052" s="88">
        <v>14.99</v>
      </c>
      <c r="L1052" s="88">
        <v>5.0</v>
      </c>
      <c r="M1052" s="86">
        <v>1.0</v>
      </c>
      <c r="N1052" s="88">
        <v>14.99</v>
      </c>
    </row>
    <row r="1053">
      <c r="A1053" s="86" t="s">
        <v>56</v>
      </c>
      <c r="B1053" s="86" t="s">
        <v>608</v>
      </c>
      <c r="C1053" s="86">
        <v>724.0</v>
      </c>
      <c r="D1053" s="86" t="s">
        <v>1676</v>
      </c>
      <c r="E1053" s="86" t="s">
        <v>26</v>
      </c>
      <c r="F1053" s="87">
        <v>44257.0</v>
      </c>
      <c r="G1053" s="87">
        <v>44351.0</v>
      </c>
      <c r="H1053" s="87">
        <v>44462.0</v>
      </c>
      <c r="I1053" s="87">
        <v>44463.0</v>
      </c>
      <c r="J1053" s="88">
        <v>17.99</v>
      </c>
      <c r="K1053" s="88">
        <v>14.39</v>
      </c>
      <c r="L1053" s="88">
        <v>3.6</v>
      </c>
      <c r="M1053" s="86">
        <v>5.0</v>
      </c>
      <c r="N1053" s="88">
        <v>2.88</v>
      </c>
    </row>
    <row r="1054">
      <c r="A1054" s="86" t="s">
        <v>56</v>
      </c>
      <c r="B1054" s="86" t="s">
        <v>609</v>
      </c>
      <c r="C1054" s="86">
        <v>432.0</v>
      </c>
      <c r="D1054" s="86" t="s">
        <v>1579</v>
      </c>
      <c r="E1054" s="86" t="s">
        <v>25</v>
      </c>
      <c r="F1054" s="87">
        <v>42613.0</v>
      </c>
      <c r="G1054" s="87">
        <v>42832.0</v>
      </c>
      <c r="H1054" s="87">
        <v>43080.0</v>
      </c>
      <c r="I1054" s="87">
        <v>44856.0</v>
      </c>
      <c r="J1054" s="88">
        <v>16.99</v>
      </c>
      <c r="K1054" s="88">
        <v>4.99</v>
      </c>
      <c r="L1054" s="88">
        <v>12.0</v>
      </c>
      <c r="M1054" s="86">
        <v>1.0</v>
      </c>
      <c r="N1054" s="88">
        <v>4.99</v>
      </c>
    </row>
    <row r="1055">
      <c r="A1055" s="86" t="s">
        <v>56</v>
      </c>
      <c r="B1055" s="86" t="s">
        <v>610</v>
      </c>
      <c r="C1055" s="86">
        <v>720.0</v>
      </c>
      <c r="D1055" s="86" t="s">
        <v>1609</v>
      </c>
      <c r="E1055" s="86" t="s">
        <v>26</v>
      </c>
      <c r="F1055" s="87">
        <v>42650.0</v>
      </c>
      <c r="G1055" s="87">
        <v>43937.0</v>
      </c>
      <c r="H1055" s="87">
        <v>43937.0</v>
      </c>
      <c r="I1055" s="87">
        <v>43937.0</v>
      </c>
      <c r="J1055" s="88">
        <v>39.99</v>
      </c>
      <c r="K1055" s="88">
        <v>9.99</v>
      </c>
      <c r="L1055" s="88">
        <v>30.0</v>
      </c>
      <c r="M1055" s="86">
        <v>1.0</v>
      </c>
      <c r="N1055" s="88">
        <v>9.99</v>
      </c>
    </row>
    <row r="1056">
      <c r="A1056" s="86" t="s">
        <v>56</v>
      </c>
      <c r="B1056" s="86"/>
      <c r="C1056" s="86">
        <v>721.0</v>
      </c>
      <c r="D1056" s="86" t="s">
        <v>1667</v>
      </c>
      <c r="E1056" s="86" t="s">
        <v>26</v>
      </c>
      <c r="F1056" s="87">
        <v>44099.0</v>
      </c>
      <c r="G1056" s="87">
        <v>44176.0</v>
      </c>
      <c r="H1056" s="87">
        <v>44179.0</v>
      </c>
      <c r="I1056" s="87">
        <v>44180.0</v>
      </c>
      <c r="J1056" s="88">
        <v>39.99</v>
      </c>
      <c r="K1056" s="88">
        <v>29.99</v>
      </c>
      <c r="L1056" s="88">
        <v>10.0</v>
      </c>
      <c r="M1056" s="86">
        <v>13.0</v>
      </c>
      <c r="N1056" s="88">
        <v>2.31</v>
      </c>
    </row>
    <row r="1057">
      <c r="A1057" s="89"/>
      <c r="B1057" s="89"/>
      <c r="C1057" s="90"/>
      <c r="D1057" s="89"/>
      <c r="E1057" s="89"/>
      <c r="F1057" s="89"/>
      <c r="G1057" s="89"/>
      <c r="H1057" s="89"/>
      <c r="I1057" s="89"/>
      <c r="J1057" s="91">
        <f t="shared" ref="J1057:M1057" si="142">SUM(J1055:J1056)</f>
        <v>79.98</v>
      </c>
      <c r="K1057" s="91">
        <f t="shared" si="142"/>
        <v>39.98</v>
      </c>
      <c r="L1057" s="91">
        <f t="shared" si="142"/>
        <v>40</v>
      </c>
      <c r="M1057" s="89">
        <f t="shared" si="142"/>
        <v>14</v>
      </c>
      <c r="N1057" s="91">
        <f>K1057/M1057</f>
        <v>2.855714286</v>
      </c>
    </row>
    <row r="1058">
      <c r="A1058" s="86" t="s">
        <v>56</v>
      </c>
      <c r="B1058" s="86" t="s">
        <v>611</v>
      </c>
      <c r="C1058" s="86">
        <v>1028.0</v>
      </c>
      <c r="D1058" s="86" t="s">
        <v>1734</v>
      </c>
      <c r="E1058" s="86" t="s">
        <v>27</v>
      </c>
      <c r="F1058" s="87">
        <v>44615.0</v>
      </c>
      <c r="G1058" s="87">
        <v>44708.0</v>
      </c>
      <c r="H1058" s="87">
        <v>44708.0</v>
      </c>
      <c r="I1058" s="87">
        <v>44708.0</v>
      </c>
      <c r="J1058" s="88">
        <v>19.99</v>
      </c>
      <c r="K1058" s="88">
        <v>13.99</v>
      </c>
      <c r="L1058" s="88">
        <v>6.0</v>
      </c>
      <c r="M1058" s="86">
        <v>1.0</v>
      </c>
      <c r="N1058" s="88">
        <v>13.99</v>
      </c>
    </row>
    <row r="1059">
      <c r="A1059" s="86" t="s">
        <v>56</v>
      </c>
      <c r="B1059" s="86" t="s">
        <v>612</v>
      </c>
      <c r="C1059" s="86">
        <v>509.0</v>
      </c>
      <c r="D1059" s="86" t="s">
        <v>1595</v>
      </c>
      <c r="E1059" s="86" t="s">
        <v>26</v>
      </c>
      <c r="F1059" s="87">
        <v>42374.0</v>
      </c>
      <c r="G1059" s="87">
        <v>42754.0</v>
      </c>
      <c r="H1059" s="87">
        <v>43140.0</v>
      </c>
      <c r="I1059" s="87">
        <v>45794.0</v>
      </c>
      <c r="J1059" s="88">
        <v>19.99</v>
      </c>
      <c r="K1059" s="88">
        <v>9.99</v>
      </c>
      <c r="L1059" s="88">
        <v>10.0</v>
      </c>
      <c r="M1059" s="86">
        <v>3.0</v>
      </c>
      <c r="N1059" s="88">
        <v>3.33</v>
      </c>
    </row>
    <row r="1060">
      <c r="A1060" s="93" t="s">
        <v>56</v>
      </c>
      <c r="B1060" s="86" t="s">
        <v>613</v>
      </c>
      <c r="C1060" s="86">
        <v>233.0</v>
      </c>
      <c r="D1060" s="86" t="s">
        <v>1541</v>
      </c>
      <c r="E1060" s="86" t="s">
        <v>24</v>
      </c>
      <c r="F1060" s="87">
        <v>41236.0</v>
      </c>
      <c r="G1060" s="87">
        <v>44091.0</v>
      </c>
      <c r="H1060" s="87">
        <v>44095.0</v>
      </c>
      <c r="I1060" s="87">
        <v>44127.0</v>
      </c>
      <c r="J1060" s="88">
        <v>59.99</v>
      </c>
      <c r="K1060" s="88">
        <v>8.0</v>
      </c>
      <c r="L1060" s="88">
        <v>51.99</v>
      </c>
      <c r="M1060" s="86">
        <v>40.0</v>
      </c>
      <c r="N1060" s="88">
        <v>0.2</v>
      </c>
    </row>
    <row r="1061">
      <c r="A1061" s="86" t="s">
        <v>56</v>
      </c>
      <c r="B1061" s="86" t="s">
        <v>614</v>
      </c>
      <c r="C1061" s="86">
        <v>176.0</v>
      </c>
      <c r="D1061" s="86" t="s">
        <v>1487</v>
      </c>
      <c r="E1061" s="86" t="s">
        <v>23</v>
      </c>
      <c r="F1061" s="87">
        <v>39213.0</v>
      </c>
      <c r="G1061" s="87">
        <v>42279.0</v>
      </c>
      <c r="H1061" s="87">
        <v>45501.0</v>
      </c>
      <c r="I1061" s="87">
        <v>45522.0</v>
      </c>
      <c r="J1061" s="88">
        <v>7.99</v>
      </c>
      <c r="K1061" s="88">
        <v>4.0</v>
      </c>
      <c r="L1061" s="88">
        <v>3.99</v>
      </c>
      <c r="M1061" s="86">
        <v>15.0</v>
      </c>
      <c r="N1061" s="88">
        <v>0.27</v>
      </c>
    </row>
    <row r="1062">
      <c r="A1062" s="99" t="s">
        <v>56</v>
      </c>
      <c r="B1062" s="93"/>
      <c r="C1062" s="93">
        <v>1103.0</v>
      </c>
      <c r="D1062" s="93" t="s">
        <v>1488</v>
      </c>
      <c r="E1062" s="93" t="s">
        <v>23</v>
      </c>
      <c r="F1062" s="98">
        <v>39640.0</v>
      </c>
      <c r="G1062" s="98">
        <v>46016.0</v>
      </c>
      <c r="H1062" s="98">
        <v>46018.0</v>
      </c>
      <c r="I1062" s="98">
        <v>46021.0</v>
      </c>
      <c r="J1062" s="99">
        <v>9.99</v>
      </c>
      <c r="K1062" s="99">
        <v>5.76</v>
      </c>
      <c r="L1062" s="99">
        <v>4.23</v>
      </c>
      <c r="M1062" s="92">
        <v>16.0</v>
      </c>
      <c r="N1062" s="99">
        <v>0.36</v>
      </c>
    </row>
    <row r="1063">
      <c r="A1063" s="86" t="s">
        <v>56</v>
      </c>
      <c r="B1063" s="86"/>
      <c r="C1063" s="86">
        <v>167.0</v>
      </c>
      <c r="D1063" s="86" t="s">
        <v>1490</v>
      </c>
      <c r="E1063" s="86" t="s">
        <v>23</v>
      </c>
      <c r="F1063" s="87">
        <v>40137.0</v>
      </c>
      <c r="G1063" s="87">
        <v>43014.0</v>
      </c>
      <c r="H1063" s="87">
        <v>45486.0</v>
      </c>
      <c r="I1063" s="87">
        <v>45486.0</v>
      </c>
      <c r="J1063" s="88">
        <v>7.99</v>
      </c>
      <c r="K1063" s="88">
        <v>3.99</v>
      </c>
      <c r="L1063" s="88">
        <v>4.0</v>
      </c>
      <c r="M1063" s="86">
        <v>2.0</v>
      </c>
      <c r="N1063" s="88">
        <v>2.0</v>
      </c>
    </row>
    <row r="1064">
      <c r="A1064" s="89"/>
      <c r="B1064" s="89"/>
      <c r="C1064" s="90"/>
      <c r="D1064" s="89"/>
      <c r="E1064" s="89"/>
      <c r="F1064" s="89"/>
      <c r="G1064" s="89"/>
      <c r="H1064" s="89"/>
      <c r="I1064" s="89"/>
      <c r="J1064" s="91">
        <f t="shared" ref="J1064:M1064" si="143">SUM(J1061:J1063)</f>
        <v>25.97</v>
      </c>
      <c r="K1064" s="91">
        <f t="shared" si="143"/>
        <v>13.75</v>
      </c>
      <c r="L1064" s="91">
        <f t="shared" si="143"/>
        <v>12.22</v>
      </c>
      <c r="M1064" s="89">
        <f t="shared" si="143"/>
        <v>33</v>
      </c>
      <c r="N1064" s="91">
        <f>K1064/M1064</f>
        <v>0.4166666667</v>
      </c>
    </row>
    <row r="1065">
      <c r="A1065" s="93" t="s">
        <v>56</v>
      </c>
      <c r="B1065" s="86" t="s">
        <v>615</v>
      </c>
      <c r="C1065" s="86">
        <v>222.0</v>
      </c>
      <c r="D1065" s="86" t="s">
        <v>1552</v>
      </c>
      <c r="E1065" s="86" t="s">
        <v>24</v>
      </c>
      <c r="F1065" s="87">
        <v>41453.0</v>
      </c>
      <c r="G1065" s="87">
        <v>42382.0</v>
      </c>
      <c r="H1065" s="87">
        <v>42382.0</v>
      </c>
      <c r="I1065" s="87">
        <v>43910.0</v>
      </c>
      <c r="J1065" s="88">
        <v>39.99</v>
      </c>
      <c r="K1065" s="88">
        <v>19.99</v>
      </c>
      <c r="L1065" s="88">
        <v>20.0</v>
      </c>
      <c r="M1065" s="86">
        <v>40.0</v>
      </c>
      <c r="N1065" s="88">
        <v>0.5</v>
      </c>
    </row>
    <row r="1066">
      <c r="A1066" s="86" t="s">
        <v>56</v>
      </c>
      <c r="B1066" s="86" t="s">
        <v>616</v>
      </c>
      <c r="C1066" s="86">
        <v>461.0</v>
      </c>
      <c r="D1066" s="86" t="s">
        <v>1578</v>
      </c>
      <c r="E1066" s="86" t="s">
        <v>25</v>
      </c>
      <c r="F1066" s="87">
        <v>42472.0</v>
      </c>
      <c r="G1066" s="87">
        <v>42950.0</v>
      </c>
      <c r="H1066" s="87">
        <v>42950.0</v>
      </c>
      <c r="I1066" s="87">
        <v>42950.0</v>
      </c>
      <c r="J1066" s="88">
        <v>8.99</v>
      </c>
      <c r="K1066" s="88">
        <v>3.99</v>
      </c>
      <c r="L1066" s="88">
        <v>5.0</v>
      </c>
      <c r="M1066" s="86">
        <v>1.0</v>
      </c>
      <c r="N1066" s="88">
        <v>3.99</v>
      </c>
    </row>
    <row r="1067">
      <c r="A1067" s="93" t="s">
        <v>56</v>
      </c>
      <c r="B1067" s="86" t="s">
        <v>617</v>
      </c>
      <c r="C1067" s="86">
        <v>229.0</v>
      </c>
      <c r="D1067" s="86" t="s">
        <v>1558</v>
      </c>
      <c r="E1067" s="86" t="s">
        <v>24</v>
      </c>
      <c r="F1067" s="87">
        <v>41610.0</v>
      </c>
      <c r="G1067" s="87">
        <v>42925.0</v>
      </c>
      <c r="H1067" s="87">
        <v>42932.0</v>
      </c>
      <c r="I1067" s="87">
        <v>45171.0</v>
      </c>
      <c r="J1067" s="88">
        <v>8.98</v>
      </c>
      <c r="K1067" s="88">
        <v>3.48</v>
      </c>
      <c r="L1067" s="88">
        <v>5.5</v>
      </c>
      <c r="M1067" s="86">
        <v>11.0</v>
      </c>
      <c r="N1067" s="88">
        <v>0.32</v>
      </c>
    </row>
    <row r="1068">
      <c r="A1068" s="86" t="s">
        <v>56</v>
      </c>
      <c r="B1068" s="86"/>
      <c r="C1068" s="86">
        <v>934.0</v>
      </c>
      <c r="D1068" s="94" t="s">
        <v>1643</v>
      </c>
      <c r="E1068" s="94" t="s">
        <v>26</v>
      </c>
      <c r="F1068" s="87">
        <v>43525.0</v>
      </c>
      <c r="G1068" s="87">
        <v>43519.0</v>
      </c>
      <c r="H1068" s="87">
        <v>43526.0</v>
      </c>
      <c r="I1068" s="87">
        <v>43896.0</v>
      </c>
      <c r="J1068" s="88">
        <v>18.89</v>
      </c>
      <c r="K1068" s="88">
        <v>18.89</v>
      </c>
      <c r="L1068" s="88">
        <v>0.0</v>
      </c>
      <c r="M1068" s="86">
        <v>26.0</v>
      </c>
      <c r="N1068" s="88">
        <v>0.73</v>
      </c>
    </row>
    <row r="1069">
      <c r="A1069" s="89"/>
      <c r="B1069" s="89"/>
      <c r="C1069" s="90"/>
      <c r="D1069" s="89"/>
      <c r="E1069" s="89"/>
      <c r="F1069" s="89"/>
      <c r="G1069" s="89"/>
      <c r="H1069" s="89"/>
      <c r="I1069" s="89"/>
      <c r="J1069" s="91">
        <f t="shared" ref="J1069:M1069" si="144">SUM(J1067:J1068)</f>
        <v>27.87</v>
      </c>
      <c r="K1069" s="91">
        <f t="shared" si="144"/>
        <v>22.37</v>
      </c>
      <c r="L1069" s="91">
        <f t="shared" si="144"/>
        <v>5.5</v>
      </c>
      <c r="M1069" s="89">
        <f t="shared" si="144"/>
        <v>37</v>
      </c>
      <c r="N1069" s="91">
        <f>K1069/M1069</f>
        <v>0.6045945946</v>
      </c>
    </row>
    <row r="1070">
      <c r="A1070" s="86" t="s">
        <v>56</v>
      </c>
      <c r="B1070" s="86" t="s">
        <v>618</v>
      </c>
      <c r="C1070" s="86">
        <v>14.0</v>
      </c>
      <c r="D1070" s="86" t="s">
        <v>1439</v>
      </c>
      <c r="E1070" s="86" t="s">
        <v>21</v>
      </c>
      <c r="F1070" s="87">
        <v>35019.0</v>
      </c>
      <c r="G1070" s="87">
        <v>44708.0</v>
      </c>
      <c r="H1070" s="87">
        <v>44708.0</v>
      </c>
      <c r="I1070" s="87">
        <v>44708.0</v>
      </c>
      <c r="J1070" s="88">
        <v>4.99</v>
      </c>
      <c r="K1070" s="88">
        <v>2.49</v>
      </c>
      <c r="L1070" s="88">
        <v>2.5</v>
      </c>
      <c r="M1070" s="86">
        <v>1.0</v>
      </c>
      <c r="N1070" s="88">
        <v>2.49</v>
      </c>
    </row>
    <row r="1071">
      <c r="A1071" s="86" t="s">
        <v>56</v>
      </c>
      <c r="B1071" s="86"/>
      <c r="C1071" s="86">
        <v>13.0</v>
      </c>
      <c r="D1071" s="86" t="s">
        <v>1440</v>
      </c>
      <c r="E1071" s="86" t="s">
        <v>21</v>
      </c>
      <c r="F1071" s="87">
        <v>35034.0</v>
      </c>
      <c r="G1071" s="87">
        <v>44708.0</v>
      </c>
      <c r="H1071" s="87">
        <v>44708.0</v>
      </c>
      <c r="I1071" s="87">
        <v>44708.0</v>
      </c>
      <c r="J1071" s="88">
        <v>4.99</v>
      </c>
      <c r="K1071" s="88">
        <v>2.49</v>
      </c>
      <c r="L1071" s="88">
        <v>2.5</v>
      </c>
      <c r="M1071" s="86">
        <v>1.0</v>
      </c>
      <c r="N1071" s="88">
        <v>2.49</v>
      </c>
    </row>
    <row r="1072">
      <c r="A1072" s="86" t="s">
        <v>56</v>
      </c>
      <c r="B1072" s="86"/>
      <c r="C1072" s="86">
        <v>803.0</v>
      </c>
      <c r="D1072" s="86" t="s">
        <v>1684</v>
      </c>
      <c r="E1072" s="86" t="s">
        <v>26</v>
      </c>
      <c r="F1072" s="87">
        <v>44427.0</v>
      </c>
      <c r="G1072" s="87">
        <v>44708.0</v>
      </c>
      <c r="H1072" s="87">
        <v>44708.0</v>
      </c>
      <c r="I1072" s="87">
        <v>44708.0</v>
      </c>
      <c r="J1072" s="88">
        <v>9.99</v>
      </c>
      <c r="K1072" s="88">
        <v>4.99</v>
      </c>
      <c r="L1072" s="88">
        <v>5.0</v>
      </c>
      <c r="M1072" s="86">
        <v>1.0</v>
      </c>
      <c r="N1072" s="88">
        <v>4.99</v>
      </c>
    </row>
    <row r="1073">
      <c r="A1073" s="86" t="s">
        <v>56</v>
      </c>
      <c r="B1073" s="86"/>
      <c r="C1073" s="86">
        <v>996.0</v>
      </c>
      <c r="D1073" s="86" t="s">
        <v>1718</v>
      </c>
      <c r="E1073" s="86" t="s">
        <v>27</v>
      </c>
      <c r="F1073" s="87">
        <v>43070.0</v>
      </c>
      <c r="G1073" s="87">
        <v>43468.0</v>
      </c>
      <c r="H1073" s="87">
        <v>43468.0</v>
      </c>
      <c r="I1073" s="87">
        <v>45151.0</v>
      </c>
      <c r="J1073" s="88">
        <v>29.99</v>
      </c>
      <c r="K1073" s="88">
        <v>0.0</v>
      </c>
      <c r="L1073" s="88">
        <v>29.99</v>
      </c>
      <c r="M1073" s="86">
        <v>2.0</v>
      </c>
      <c r="N1073" s="88">
        <v>0.0</v>
      </c>
    </row>
    <row r="1074">
      <c r="A1074" s="89"/>
      <c r="B1074" s="89"/>
      <c r="C1074" s="90"/>
      <c r="D1074" s="89"/>
      <c r="E1074" s="89"/>
      <c r="F1074" s="89"/>
      <c r="G1074" s="89"/>
      <c r="H1074" s="89"/>
      <c r="I1074" s="89"/>
      <c r="J1074" s="91">
        <f t="shared" ref="J1074:M1074" si="145">SUM(J1070:J1073)</f>
        <v>49.96</v>
      </c>
      <c r="K1074" s="91">
        <f t="shared" si="145"/>
        <v>9.97</v>
      </c>
      <c r="L1074" s="91">
        <f t="shared" si="145"/>
        <v>39.99</v>
      </c>
      <c r="M1074" s="89">
        <f t="shared" si="145"/>
        <v>5</v>
      </c>
      <c r="N1074" s="91">
        <f>K1074/M1074</f>
        <v>1.994</v>
      </c>
    </row>
    <row r="1075">
      <c r="A1075" s="92" t="s">
        <v>56</v>
      </c>
      <c r="B1075" s="86" t="s">
        <v>619</v>
      </c>
      <c r="C1075" s="86">
        <v>150.0</v>
      </c>
      <c r="D1075" s="86" t="s">
        <v>1460</v>
      </c>
      <c r="E1075" s="86" t="s">
        <v>22</v>
      </c>
      <c r="F1075" s="87">
        <v>37232.0</v>
      </c>
      <c r="G1075" s="87">
        <v>42343.0</v>
      </c>
      <c r="H1075" s="87">
        <v>42343.0</v>
      </c>
      <c r="I1075" s="87">
        <v>42343.0</v>
      </c>
      <c r="J1075" s="88">
        <v>9.99</v>
      </c>
      <c r="K1075" s="88">
        <v>4.99</v>
      </c>
      <c r="L1075" s="88">
        <v>5.0</v>
      </c>
      <c r="M1075" s="86">
        <v>1.0</v>
      </c>
      <c r="N1075" s="88">
        <v>4.99</v>
      </c>
    </row>
    <row r="1076">
      <c r="A1076" s="93" t="s">
        <v>56</v>
      </c>
      <c r="B1076" s="86" t="s">
        <v>620</v>
      </c>
      <c r="C1076" s="86">
        <v>208.0</v>
      </c>
      <c r="D1076" s="86" t="s">
        <v>1507</v>
      </c>
      <c r="E1076" s="86" t="s">
        <v>24</v>
      </c>
      <c r="F1076" s="87">
        <v>40127.0</v>
      </c>
      <c r="G1076" s="87">
        <v>40197.0</v>
      </c>
      <c r="H1076" s="87">
        <v>40197.0</v>
      </c>
      <c r="I1076" s="87">
        <v>44727.0</v>
      </c>
      <c r="J1076" s="88">
        <v>29.99</v>
      </c>
      <c r="K1076" s="88">
        <v>4.0</v>
      </c>
      <c r="L1076" s="88">
        <v>25.99</v>
      </c>
      <c r="M1076" s="86">
        <v>20.0</v>
      </c>
      <c r="N1076" s="88">
        <v>0.2</v>
      </c>
    </row>
    <row r="1077">
      <c r="A1077" s="86" t="s">
        <v>56</v>
      </c>
      <c r="B1077" s="86" t="s">
        <v>621</v>
      </c>
      <c r="C1077" s="86">
        <v>850.0</v>
      </c>
      <c r="D1077" s="86" t="s">
        <v>1654</v>
      </c>
      <c r="E1077" s="86" t="s">
        <v>26</v>
      </c>
      <c r="F1077" s="87">
        <v>43770.0</v>
      </c>
      <c r="G1077" s="87">
        <v>44343.0</v>
      </c>
      <c r="H1077" s="87">
        <v>44354.0</v>
      </c>
      <c r="I1077" s="87">
        <v>45370.0</v>
      </c>
      <c r="J1077" s="88">
        <v>24.99</v>
      </c>
      <c r="K1077" s="88">
        <v>12.49</v>
      </c>
      <c r="L1077" s="88">
        <v>12.5</v>
      </c>
      <c r="M1077" s="86">
        <v>13.0</v>
      </c>
      <c r="N1077" s="88">
        <v>0.96</v>
      </c>
    </row>
    <row r="1078">
      <c r="A1078" s="92" t="s">
        <v>56</v>
      </c>
      <c r="B1078" s="86" t="s">
        <v>622</v>
      </c>
      <c r="C1078" s="86">
        <v>50.0</v>
      </c>
      <c r="D1078" s="86" t="s">
        <v>1449</v>
      </c>
      <c r="E1078" s="86" t="s">
        <v>21</v>
      </c>
      <c r="F1078" s="87">
        <v>36091.0</v>
      </c>
      <c r="G1078" s="87">
        <v>41684.0</v>
      </c>
      <c r="H1078" s="87">
        <v>41684.0</v>
      </c>
      <c r="I1078" s="87">
        <v>41684.0</v>
      </c>
      <c r="J1078" s="88">
        <v>3.99</v>
      </c>
      <c r="K1078" s="88">
        <v>3.99</v>
      </c>
      <c r="L1078" s="88">
        <v>0.0</v>
      </c>
      <c r="M1078" s="86">
        <v>40.0</v>
      </c>
      <c r="N1078" s="88">
        <v>0.1</v>
      </c>
    </row>
    <row r="1079">
      <c r="A1079" s="92" t="s">
        <v>56</v>
      </c>
      <c r="B1079" s="86"/>
      <c r="C1079" s="86">
        <v>51.0</v>
      </c>
      <c r="D1079" s="86" t="s">
        <v>1455</v>
      </c>
      <c r="E1079" s="86" t="s">
        <v>21</v>
      </c>
      <c r="F1079" s="87">
        <v>36469.0</v>
      </c>
      <c r="G1079" s="87">
        <v>41684.0</v>
      </c>
      <c r="H1079" s="87">
        <v>41684.0</v>
      </c>
      <c r="I1079" s="87">
        <v>41684.0</v>
      </c>
      <c r="J1079" s="88">
        <v>3.0</v>
      </c>
      <c r="K1079" s="88">
        <v>3.0</v>
      </c>
      <c r="L1079" s="88">
        <v>0.0</v>
      </c>
      <c r="M1079" s="86">
        <v>55.0</v>
      </c>
      <c r="N1079" s="88">
        <v>0.05</v>
      </c>
    </row>
    <row r="1080">
      <c r="A1080" s="92" t="s">
        <v>56</v>
      </c>
      <c r="B1080" s="86"/>
      <c r="C1080" s="86">
        <v>52.0</v>
      </c>
      <c r="D1080" s="86" t="s">
        <v>1457</v>
      </c>
      <c r="E1080" s="86" t="s">
        <v>21</v>
      </c>
      <c r="F1080" s="87">
        <v>36840.0</v>
      </c>
      <c r="G1080" s="87">
        <v>41684.0</v>
      </c>
      <c r="H1080" s="87">
        <v>41684.0</v>
      </c>
      <c r="I1080" s="87">
        <v>41684.0</v>
      </c>
      <c r="J1080" s="88">
        <v>3.0</v>
      </c>
      <c r="K1080" s="88">
        <v>3.0</v>
      </c>
      <c r="L1080" s="88">
        <v>0.0</v>
      </c>
      <c r="M1080" s="86">
        <v>65.0</v>
      </c>
      <c r="N1080" s="88">
        <v>0.05</v>
      </c>
    </row>
    <row r="1081">
      <c r="A1081" s="92" t="s">
        <v>56</v>
      </c>
      <c r="B1081" s="86"/>
      <c r="C1081" s="86">
        <v>124.0</v>
      </c>
      <c r="D1081" s="86" t="s">
        <v>1462</v>
      </c>
      <c r="E1081" s="86" t="s">
        <v>22</v>
      </c>
      <c r="F1081" s="87">
        <v>37568.0</v>
      </c>
      <c r="G1081" s="87">
        <v>41979.0</v>
      </c>
      <c r="H1081" s="87">
        <v>41983.0</v>
      </c>
      <c r="I1081" s="87">
        <v>44900.0</v>
      </c>
      <c r="J1081" s="88">
        <v>8.99</v>
      </c>
      <c r="K1081" s="88">
        <v>3.99</v>
      </c>
      <c r="L1081" s="88">
        <v>5.0</v>
      </c>
      <c r="M1081" s="86">
        <v>100.0</v>
      </c>
      <c r="N1081" s="88">
        <v>0.04</v>
      </c>
    </row>
    <row r="1082">
      <c r="A1082" s="92" t="s">
        <v>56</v>
      </c>
      <c r="B1082" s="86"/>
      <c r="C1082" s="86">
        <v>125.0</v>
      </c>
      <c r="D1082" s="86" t="s">
        <v>1467</v>
      </c>
      <c r="E1082" s="86" t="s">
        <v>22</v>
      </c>
      <c r="F1082" s="87">
        <v>37946.0</v>
      </c>
      <c r="G1082" s="87">
        <v>41979.0</v>
      </c>
      <c r="H1082" s="87">
        <v>41992.0</v>
      </c>
      <c r="I1082" s="87">
        <v>44551.0</v>
      </c>
      <c r="J1082" s="88">
        <v>8.0</v>
      </c>
      <c r="K1082" s="88">
        <v>3.0</v>
      </c>
      <c r="L1082" s="88">
        <v>5.0</v>
      </c>
      <c r="M1082" s="86">
        <v>90.0</v>
      </c>
      <c r="N1082" s="88">
        <v>0.03</v>
      </c>
    </row>
    <row r="1083">
      <c r="A1083" s="92" t="s">
        <v>56</v>
      </c>
      <c r="B1083" s="86"/>
      <c r="C1083" s="86">
        <v>126.0</v>
      </c>
      <c r="D1083" s="86" t="s">
        <v>1470</v>
      </c>
      <c r="E1083" s="86" t="s">
        <v>22</v>
      </c>
      <c r="F1083" s="87">
        <v>38303.0</v>
      </c>
      <c r="G1083" s="87">
        <v>41979.0</v>
      </c>
      <c r="H1083" s="87">
        <v>41996.0</v>
      </c>
      <c r="I1083" s="87">
        <v>44555.0</v>
      </c>
      <c r="J1083" s="88">
        <v>8.0</v>
      </c>
      <c r="K1083" s="88">
        <v>3.0</v>
      </c>
      <c r="L1083" s="88">
        <v>5.0</v>
      </c>
      <c r="M1083" s="86">
        <v>110.0</v>
      </c>
      <c r="N1083" s="88">
        <v>0.03</v>
      </c>
    </row>
    <row r="1084">
      <c r="A1084" s="92" t="s">
        <v>56</v>
      </c>
      <c r="B1084" s="86"/>
      <c r="C1084" s="86">
        <v>127.0</v>
      </c>
      <c r="D1084" s="86" t="s">
        <v>1476</v>
      </c>
      <c r="E1084" s="86" t="s">
        <v>22</v>
      </c>
      <c r="F1084" s="87">
        <v>38674.0</v>
      </c>
      <c r="G1084" s="87">
        <v>42011.0</v>
      </c>
      <c r="H1084" s="87">
        <v>42012.0</v>
      </c>
      <c r="I1084" s="87">
        <v>44290.0</v>
      </c>
      <c r="J1084" s="88">
        <v>14.99</v>
      </c>
      <c r="K1084" s="88">
        <v>14.99</v>
      </c>
      <c r="L1084" s="88">
        <v>0.0</v>
      </c>
      <c r="M1084" s="86">
        <v>55.0</v>
      </c>
      <c r="N1084" s="88">
        <v>0.27</v>
      </c>
    </row>
    <row r="1085">
      <c r="A1085" s="93" t="s">
        <v>56</v>
      </c>
      <c r="B1085" s="86"/>
      <c r="C1085" s="86">
        <v>345.0</v>
      </c>
      <c r="D1085" s="86" t="s">
        <v>1492</v>
      </c>
      <c r="E1085" s="86" t="s">
        <v>24</v>
      </c>
      <c r="F1085" s="87">
        <v>39164.0</v>
      </c>
      <c r="G1085" s="87">
        <v>44091.0</v>
      </c>
      <c r="H1085" s="87">
        <v>44091.0</v>
      </c>
      <c r="I1085" s="87">
        <v>44091.0</v>
      </c>
      <c r="J1085" s="88">
        <v>14.99</v>
      </c>
      <c r="K1085" s="88">
        <v>2.0</v>
      </c>
      <c r="L1085" s="88">
        <v>12.99</v>
      </c>
      <c r="M1085" s="86">
        <v>1.0</v>
      </c>
      <c r="N1085" s="88">
        <v>2.0</v>
      </c>
    </row>
    <row r="1086">
      <c r="A1086" s="93" t="s">
        <v>56</v>
      </c>
      <c r="B1086" s="86"/>
      <c r="C1086" s="86">
        <v>331.0</v>
      </c>
      <c r="D1086" s="86" t="s">
        <v>1494</v>
      </c>
      <c r="E1086" s="86" t="s">
        <v>24</v>
      </c>
      <c r="F1086" s="87">
        <v>39395.0</v>
      </c>
      <c r="G1086" s="87">
        <v>40143.0</v>
      </c>
      <c r="H1086" s="87">
        <v>40143.0</v>
      </c>
      <c r="I1086" s="87">
        <v>40147.0</v>
      </c>
      <c r="J1086" s="88">
        <v>14.99</v>
      </c>
      <c r="K1086" s="88">
        <v>10.0</v>
      </c>
      <c r="L1086" s="88">
        <v>4.99</v>
      </c>
      <c r="M1086" s="86">
        <v>45.0</v>
      </c>
      <c r="N1086" s="88">
        <v>0.22</v>
      </c>
    </row>
    <row r="1087">
      <c r="A1087" s="93" t="s">
        <v>56</v>
      </c>
      <c r="B1087" s="86"/>
      <c r="C1087" s="86">
        <v>332.0</v>
      </c>
      <c r="D1087" s="86" t="s">
        <v>1496</v>
      </c>
      <c r="E1087" s="86" t="s">
        <v>24</v>
      </c>
      <c r="F1087" s="87">
        <v>39681.0</v>
      </c>
      <c r="G1087" s="87">
        <v>40153.0</v>
      </c>
      <c r="H1087" s="87">
        <v>40153.0</v>
      </c>
      <c r="I1087" s="87">
        <v>40156.0</v>
      </c>
      <c r="J1087" s="88">
        <v>9.99</v>
      </c>
      <c r="K1087" s="88">
        <v>9.99</v>
      </c>
      <c r="L1087" s="88">
        <v>0.0</v>
      </c>
      <c r="M1087" s="86">
        <v>5.0</v>
      </c>
      <c r="N1087" s="88">
        <v>2.0</v>
      </c>
    </row>
    <row r="1088">
      <c r="A1088" s="93" t="s">
        <v>56</v>
      </c>
      <c r="B1088" s="86"/>
      <c r="C1088" s="86">
        <v>333.0</v>
      </c>
      <c r="D1088" s="86" t="s">
        <v>1506</v>
      </c>
      <c r="E1088" s="86" t="s">
        <v>24</v>
      </c>
      <c r="F1088" s="87">
        <v>40123.0</v>
      </c>
      <c r="G1088" s="87">
        <v>40338.0</v>
      </c>
      <c r="H1088" s="87">
        <v>40338.0</v>
      </c>
      <c r="I1088" s="87">
        <v>44125.0</v>
      </c>
      <c r="J1088" s="88">
        <v>14.99</v>
      </c>
      <c r="K1088" s="88">
        <v>10.0</v>
      </c>
      <c r="L1088" s="88">
        <v>4.99</v>
      </c>
      <c r="M1088" s="86">
        <v>50.0</v>
      </c>
      <c r="N1088" s="88">
        <v>0.2</v>
      </c>
    </row>
    <row r="1089">
      <c r="A1089" s="93" t="s">
        <v>56</v>
      </c>
      <c r="B1089" s="86"/>
      <c r="C1089" s="86">
        <v>334.0</v>
      </c>
      <c r="D1089" s="86" t="s">
        <v>1542</v>
      </c>
      <c r="E1089" s="86" t="s">
        <v>24</v>
      </c>
      <c r="F1089" s="87">
        <v>41243.0</v>
      </c>
      <c r="G1089" s="87">
        <v>41318.0</v>
      </c>
      <c r="H1089" s="87">
        <v>41318.0</v>
      </c>
      <c r="I1089" s="87">
        <v>44549.0</v>
      </c>
      <c r="J1089" s="88">
        <v>14.99</v>
      </c>
      <c r="K1089" s="88">
        <v>4.99</v>
      </c>
      <c r="L1089" s="88">
        <v>10.0</v>
      </c>
      <c r="M1089" s="86">
        <v>20.0</v>
      </c>
      <c r="N1089" s="88">
        <v>0.25</v>
      </c>
    </row>
    <row r="1090">
      <c r="A1090" s="93" t="s">
        <v>56</v>
      </c>
      <c r="B1090" s="86"/>
      <c r="C1090" s="86">
        <v>335.0</v>
      </c>
      <c r="D1090" s="86" t="s">
        <v>1557</v>
      </c>
      <c r="E1090" s="86" t="s">
        <v>24</v>
      </c>
      <c r="F1090" s="87">
        <v>41600.0</v>
      </c>
      <c r="G1090" s="87">
        <v>44237.0</v>
      </c>
      <c r="H1090" s="87">
        <v>44238.0</v>
      </c>
      <c r="I1090" s="87">
        <v>44240.0</v>
      </c>
      <c r="J1090" s="88">
        <v>19.99</v>
      </c>
      <c r="K1090" s="88">
        <v>14.99</v>
      </c>
      <c r="L1090" s="88">
        <v>5.0</v>
      </c>
      <c r="M1090" s="86">
        <v>15.0</v>
      </c>
      <c r="N1090" s="88">
        <v>1.0</v>
      </c>
    </row>
    <row r="1091">
      <c r="A1091" s="86" t="s">
        <v>56</v>
      </c>
      <c r="B1091" s="86"/>
      <c r="C1091" s="86">
        <v>805.0</v>
      </c>
      <c r="D1091" s="94" t="s">
        <v>1598</v>
      </c>
      <c r="E1091" s="94" t="s">
        <v>26</v>
      </c>
      <c r="F1091" s="87">
        <v>42480.0</v>
      </c>
      <c r="G1091" s="87">
        <v>43091.0</v>
      </c>
      <c r="H1091" s="87">
        <v>43092.0</v>
      </c>
      <c r="I1091" s="87">
        <v>44135.0</v>
      </c>
      <c r="J1091" s="88">
        <v>39.99</v>
      </c>
      <c r="K1091" s="88">
        <v>16.49</v>
      </c>
      <c r="L1091" s="88">
        <v>23.5</v>
      </c>
      <c r="M1091" s="86">
        <v>28.0</v>
      </c>
      <c r="N1091" s="88">
        <v>0.59</v>
      </c>
    </row>
    <row r="1092">
      <c r="A1092" s="86" t="s">
        <v>56</v>
      </c>
      <c r="B1092" s="86"/>
      <c r="C1092" s="86">
        <v>726.0</v>
      </c>
      <c r="D1092" s="86" t="s">
        <v>1631</v>
      </c>
      <c r="E1092" s="86" t="s">
        <v>26</v>
      </c>
      <c r="F1092" s="87">
        <v>43350.0</v>
      </c>
      <c r="G1092" s="87">
        <v>43306.0</v>
      </c>
      <c r="H1092" s="87">
        <v>43350.0</v>
      </c>
      <c r="I1092" s="87">
        <v>43479.0</v>
      </c>
      <c r="J1092" s="88">
        <v>79.99</v>
      </c>
      <c r="K1092" s="88">
        <v>0.0</v>
      </c>
      <c r="L1092" s="88">
        <v>79.99</v>
      </c>
      <c r="M1092" s="86">
        <v>82.0</v>
      </c>
      <c r="N1092" s="88">
        <v>0.0</v>
      </c>
    </row>
    <row r="1093">
      <c r="A1093" s="86" t="s">
        <v>56</v>
      </c>
      <c r="B1093" s="86"/>
      <c r="C1093" s="86">
        <v>727.0</v>
      </c>
      <c r="D1093" s="86" t="s">
        <v>1671</v>
      </c>
      <c r="E1093" s="86" t="s">
        <v>26</v>
      </c>
      <c r="F1093" s="87">
        <v>44147.0</v>
      </c>
      <c r="G1093" s="87">
        <v>44883.0</v>
      </c>
      <c r="H1093" s="87">
        <v>44889.0</v>
      </c>
      <c r="I1093" s="87">
        <v>44892.0</v>
      </c>
      <c r="J1093" s="88">
        <v>59.99</v>
      </c>
      <c r="K1093" s="88">
        <v>29.99</v>
      </c>
      <c r="L1093" s="88">
        <v>30.0</v>
      </c>
      <c r="M1093" s="86">
        <v>29.0</v>
      </c>
      <c r="N1093" s="88">
        <v>1.03</v>
      </c>
    </row>
    <row r="1094">
      <c r="A1094" s="93" t="s">
        <v>56</v>
      </c>
      <c r="B1094" s="86"/>
      <c r="C1094" s="86">
        <v>1073.0</v>
      </c>
      <c r="D1094" s="94" t="s">
        <v>1736</v>
      </c>
      <c r="E1094" s="94" t="s">
        <v>28</v>
      </c>
      <c r="F1094" s="87">
        <v>44358.0</v>
      </c>
      <c r="G1094" s="87">
        <v>44555.0</v>
      </c>
      <c r="H1094" s="87">
        <v>44557.0</v>
      </c>
      <c r="I1094" s="87">
        <v>44559.0</v>
      </c>
      <c r="J1094" s="94">
        <v>79.99</v>
      </c>
      <c r="K1094" s="94">
        <v>0.0</v>
      </c>
      <c r="L1094" s="88">
        <v>79.99</v>
      </c>
      <c r="M1094" s="86">
        <v>19.0</v>
      </c>
      <c r="N1094" s="88">
        <v>0.0</v>
      </c>
    </row>
    <row r="1095">
      <c r="A1095" s="93" t="s">
        <v>56</v>
      </c>
      <c r="B1095" s="86"/>
      <c r="C1095" s="86">
        <v>1068.0</v>
      </c>
      <c r="D1095" s="86" t="s">
        <v>1738</v>
      </c>
      <c r="E1095" s="86" t="s">
        <v>28</v>
      </c>
      <c r="F1095" s="87">
        <v>45219.0</v>
      </c>
      <c r="G1095" s="87">
        <v>45176.0</v>
      </c>
      <c r="H1095" s="87">
        <v>45219.0</v>
      </c>
      <c r="I1095" s="87">
        <v>45384.0</v>
      </c>
      <c r="J1095" s="94">
        <v>89.99</v>
      </c>
      <c r="K1095" s="94">
        <v>0.0</v>
      </c>
      <c r="L1095" s="88">
        <v>89.99</v>
      </c>
      <c r="M1095" s="86">
        <v>44.0</v>
      </c>
      <c r="N1095" s="88">
        <v>0.0</v>
      </c>
    </row>
    <row r="1096">
      <c r="A1096" s="89"/>
      <c r="B1096" s="89"/>
      <c r="C1096" s="90"/>
      <c r="D1096" s="89"/>
      <c r="E1096" s="95">
        <v>489.86</v>
      </c>
      <c r="F1096" s="95">
        <v>133.42</v>
      </c>
      <c r="G1096" s="95">
        <v>356.44</v>
      </c>
      <c r="H1096" s="96">
        <v>853.0</v>
      </c>
      <c r="I1096" s="95">
        <v>0.16</v>
      </c>
      <c r="J1096" s="91">
        <f t="shared" ref="J1096:M1096" si="146">SUM(J1078:J1095)</f>
        <v>489.86</v>
      </c>
      <c r="K1096" s="91">
        <f t="shared" si="146"/>
        <v>133.42</v>
      </c>
      <c r="L1096" s="91">
        <f t="shared" si="146"/>
        <v>356.44</v>
      </c>
      <c r="M1096" s="89">
        <f t="shared" si="146"/>
        <v>853</v>
      </c>
      <c r="N1096" s="91">
        <f>K1096/M1096</f>
        <v>0.1564126612</v>
      </c>
    </row>
    <row r="1097">
      <c r="A1097" s="92" t="s">
        <v>56</v>
      </c>
      <c r="B1097" s="86" t="s">
        <v>623</v>
      </c>
      <c r="C1097" s="86">
        <v>88.0</v>
      </c>
      <c r="D1097" s="86" t="s">
        <v>1461</v>
      </c>
      <c r="E1097" s="86" t="s">
        <v>22</v>
      </c>
      <c r="F1097" s="87">
        <v>37414.0</v>
      </c>
      <c r="G1097" s="87">
        <v>44300.0</v>
      </c>
      <c r="H1097" s="87">
        <v>44300.0</v>
      </c>
      <c r="I1097" s="87">
        <v>44300.0</v>
      </c>
      <c r="J1097" s="88">
        <v>9.99</v>
      </c>
      <c r="K1097" s="88">
        <v>9.99</v>
      </c>
      <c r="L1097" s="88">
        <v>0.0</v>
      </c>
      <c r="M1097" s="86">
        <v>1.0</v>
      </c>
      <c r="N1097" s="88">
        <v>9.99</v>
      </c>
    </row>
    <row r="1098">
      <c r="A1098" s="93" t="s">
        <v>56</v>
      </c>
      <c r="B1098" s="93" t="s">
        <v>624</v>
      </c>
      <c r="C1098" s="93">
        <v>1086.0</v>
      </c>
      <c r="D1098" s="93" t="s">
        <v>1708</v>
      </c>
      <c r="E1098" s="93" t="s">
        <v>26</v>
      </c>
      <c r="F1098" s="87">
        <v>45849.0</v>
      </c>
      <c r="G1098" s="87">
        <v>45907.0</v>
      </c>
      <c r="H1098" s="87">
        <v>45907.0</v>
      </c>
      <c r="I1098" s="87">
        <v>45907.0</v>
      </c>
      <c r="J1098" s="47">
        <v>25.0</v>
      </c>
      <c r="K1098" s="47">
        <v>0.0</v>
      </c>
      <c r="L1098" s="47">
        <f t="shared" ref="L1098:L1099" si="147">J1098-K1098</f>
        <v>25</v>
      </c>
      <c r="M1098" s="41">
        <v>2.0</v>
      </c>
      <c r="N1098" s="47">
        <f t="shared" ref="N1098:N1100" si="148">K1098/M1098</f>
        <v>0</v>
      </c>
    </row>
    <row r="1099">
      <c r="A1099" s="93" t="s">
        <v>56</v>
      </c>
      <c r="B1099" s="93"/>
      <c r="C1099" s="93">
        <v>1087.0</v>
      </c>
      <c r="D1099" s="93" t="s">
        <v>1709</v>
      </c>
      <c r="E1099" s="93" t="s">
        <v>26</v>
      </c>
      <c r="F1099" s="87">
        <v>45849.0</v>
      </c>
      <c r="G1099" s="87">
        <v>45907.0</v>
      </c>
      <c r="H1099" s="87">
        <v>45907.0</v>
      </c>
      <c r="I1099" s="87">
        <v>45907.0</v>
      </c>
      <c r="J1099" s="47">
        <v>24.99</v>
      </c>
      <c r="K1099" s="47">
        <v>0.0</v>
      </c>
      <c r="L1099" s="47">
        <f t="shared" si="147"/>
        <v>24.99</v>
      </c>
      <c r="M1099" s="41">
        <v>2.0</v>
      </c>
      <c r="N1099" s="47">
        <f t="shared" si="148"/>
        <v>0</v>
      </c>
    </row>
    <row r="1100">
      <c r="A1100" s="96"/>
      <c r="B1100" s="96"/>
      <c r="C1100" s="90"/>
      <c r="D1100" s="89"/>
      <c r="E1100" s="89"/>
      <c r="F1100" s="89"/>
      <c r="G1100" s="89"/>
      <c r="H1100" s="89"/>
      <c r="I1100" s="89"/>
      <c r="J1100" s="91">
        <f t="shared" ref="J1100:M1100" si="149">SUM(J1098:J1099)</f>
        <v>49.99</v>
      </c>
      <c r="K1100" s="91">
        <f t="shared" si="149"/>
        <v>0</v>
      </c>
      <c r="L1100" s="91">
        <f t="shared" si="149"/>
        <v>49.99</v>
      </c>
      <c r="M1100" s="89">
        <f t="shared" si="149"/>
        <v>4</v>
      </c>
      <c r="N1100" s="91">
        <f t="shared" si="148"/>
        <v>0</v>
      </c>
    </row>
    <row r="1101">
      <c r="A1101" s="93" t="s">
        <v>56</v>
      </c>
      <c r="B1101" s="86" t="s">
        <v>625</v>
      </c>
      <c r="C1101" s="86">
        <v>1069.0</v>
      </c>
      <c r="D1101" s="86" t="s">
        <v>1739</v>
      </c>
      <c r="E1101" s="86" t="s">
        <v>28</v>
      </c>
      <c r="F1101" s="87">
        <v>45344.0</v>
      </c>
      <c r="G1101" s="87">
        <v>45491.0</v>
      </c>
      <c r="H1101" s="87">
        <v>45501.0</v>
      </c>
      <c r="I1101" s="87">
        <v>45501.0</v>
      </c>
      <c r="J1101" s="94">
        <v>29.99</v>
      </c>
      <c r="K1101" s="94">
        <v>17.99</v>
      </c>
      <c r="L1101" s="88">
        <v>12.0</v>
      </c>
      <c r="M1101" s="86">
        <v>1.0</v>
      </c>
      <c r="N1101" s="88">
        <v>17.99</v>
      </c>
    </row>
    <row r="1102">
      <c r="A1102" s="44" t="s">
        <v>56</v>
      </c>
      <c r="B1102" s="45" t="s">
        <v>57</v>
      </c>
      <c r="C1102" s="45">
        <v>1102.0</v>
      </c>
      <c r="D1102" s="41" t="s">
        <v>58</v>
      </c>
      <c r="E1102" s="41" t="s">
        <v>28</v>
      </c>
      <c r="F1102" s="46">
        <v>45727.0</v>
      </c>
      <c r="G1102" s="46">
        <v>46016.0</v>
      </c>
      <c r="H1102" s="46">
        <v>46024.0</v>
      </c>
      <c r="I1102" s="46">
        <v>46047.0</v>
      </c>
      <c r="J1102" s="44">
        <v>24.99</v>
      </c>
      <c r="K1102" s="44">
        <v>0.0</v>
      </c>
      <c r="L1102" s="44">
        <v>24.99</v>
      </c>
      <c r="M1102" s="45">
        <v>11.0</v>
      </c>
      <c r="N1102" s="44">
        <v>0.0</v>
      </c>
    </row>
    <row r="1103">
      <c r="A1103" s="93" t="s">
        <v>56</v>
      </c>
      <c r="B1103" s="86" t="s">
        <v>626</v>
      </c>
      <c r="C1103" s="86">
        <v>404.0</v>
      </c>
      <c r="D1103" s="86" t="s">
        <v>1538</v>
      </c>
      <c r="E1103" s="86" t="s">
        <v>24</v>
      </c>
      <c r="F1103" s="87">
        <v>41220.0</v>
      </c>
      <c r="G1103" s="87">
        <v>44237.0</v>
      </c>
      <c r="H1103" s="87">
        <v>44237.0</v>
      </c>
      <c r="I1103" s="87">
        <v>44238.0</v>
      </c>
      <c r="J1103" s="88">
        <v>2.75</v>
      </c>
      <c r="K1103" s="88">
        <v>2.75</v>
      </c>
      <c r="L1103" s="88">
        <v>0.0</v>
      </c>
      <c r="M1103" s="86">
        <v>10.0</v>
      </c>
      <c r="N1103" s="88">
        <v>0.28</v>
      </c>
    </row>
    <row r="1104">
      <c r="A1104" s="93" t="s">
        <v>56</v>
      </c>
      <c r="B1104" s="86"/>
      <c r="C1104" s="86">
        <v>405.0</v>
      </c>
      <c r="D1104" s="86" t="s">
        <v>1539</v>
      </c>
      <c r="E1104" s="86" t="s">
        <v>24</v>
      </c>
      <c r="F1104" s="87">
        <v>41220.0</v>
      </c>
      <c r="G1104" s="87">
        <v>44237.0</v>
      </c>
      <c r="H1104" s="87">
        <v>44240.0</v>
      </c>
      <c r="I1104" s="87">
        <v>44240.0</v>
      </c>
      <c r="J1104" s="88">
        <v>2.74</v>
      </c>
      <c r="K1104" s="88">
        <v>2.74</v>
      </c>
      <c r="L1104" s="88">
        <v>0.0</v>
      </c>
      <c r="M1104" s="86">
        <v>5.0</v>
      </c>
      <c r="N1104" s="88">
        <v>0.55</v>
      </c>
    </row>
    <row r="1105">
      <c r="A1105" s="89"/>
      <c r="B1105" s="89"/>
      <c r="C1105" s="90"/>
      <c r="D1105" s="89"/>
      <c r="E1105" s="89"/>
      <c r="F1105" s="89"/>
      <c r="G1105" s="89"/>
      <c r="H1105" s="89"/>
      <c r="I1105" s="89"/>
      <c r="J1105" s="91">
        <f t="shared" ref="J1105:M1105" si="150">SUM(J1103:J1104)</f>
        <v>5.49</v>
      </c>
      <c r="K1105" s="91">
        <f t="shared" si="150"/>
        <v>5.49</v>
      </c>
      <c r="L1105" s="91">
        <f t="shared" si="150"/>
        <v>0</v>
      </c>
      <c r="M1105" s="89">
        <f t="shared" si="150"/>
        <v>15</v>
      </c>
      <c r="N1105" s="91">
        <f>K1105/M1105</f>
        <v>0.366</v>
      </c>
    </row>
    <row r="1106">
      <c r="A1106" s="86" t="s">
        <v>56</v>
      </c>
      <c r="B1106" s="86" t="s">
        <v>627</v>
      </c>
      <c r="C1106" s="86">
        <v>17.0</v>
      </c>
      <c r="D1106" s="86" t="s">
        <v>1456</v>
      </c>
      <c r="E1106" s="86" t="s">
        <v>21</v>
      </c>
      <c r="F1106" s="87">
        <v>36741.0</v>
      </c>
      <c r="G1106" s="87">
        <v>44300.0</v>
      </c>
      <c r="H1106" s="87">
        <v>44300.0</v>
      </c>
      <c r="I1106" s="87">
        <v>44300.0</v>
      </c>
      <c r="J1106" s="88">
        <v>6.99</v>
      </c>
      <c r="K1106" s="88">
        <v>6.99</v>
      </c>
      <c r="L1106" s="88">
        <v>0.0</v>
      </c>
      <c r="M1106" s="86">
        <v>1.0</v>
      </c>
      <c r="N1106" s="88">
        <v>6.99</v>
      </c>
    </row>
    <row r="1107">
      <c r="A1107" s="86" t="s">
        <v>56</v>
      </c>
      <c r="B1107" s="86"/>
      <c r="C1107" s="86">
        <v>18.0</v>
      </c>
      <c r="D1107" s="86" t="s">
        <v>1458</v>
      </c>
      <c r="E1107" s="86" t="s">
        <v>21</v>
      </c>
      <c r="F1107" s="87">
        <v>36973.0</v>
      </c>
      <c r="G1107" s="87">
        <v>44300.0</v>
      </c>
      <c r="H1107" s="87">
        <v>44300.0</v>
      </c>
      <c r="I1107" s="87">
        <v>44300.0</v>
      </c>
      <c r="J1107" s="88">
        <v>6.99</v>
      </c>
      <c r="K1107" s="88">
        <v>6.99</v>
      </c>
      <c r="L1107" s="88">
        <v>0.0</v>
      </c>
      <c r="M1107" s="86">
        <v>1.0</v>
      </c>
      <c r="N1107" s="88">
        <v>6.99</v>
      </c>
    </row>
    <row r="1108">
      <c r="A1108" s="89"/>
      <c r="B1108" s="89"/>
      <c r="C1108" s="90"/>
      <c r="D1108" s="89"/>
      <c r="E1108" s="89"/>
      <c r="F1108" s="89"/>
      <c r="G1108" s="89"/>
      <c r="H1108" s="89"/>
      <c r="I1108" s="89"/>
      <c r="J1108" s="91">
        <f t="shared" ref="J1108:M1108" si="151">SUM(J1106:J1107)</f>
        <v>13.98</v>
      </c>
      <c r="K1108" s="91">
        <f t="shared" si="151"/>
        <v>13.98</v>
      </c>
      <c r="L1108" s="91">
        <f t="shared" si="151"/>
        <v>0</v>
      </c>
      <c r="M1108" s="89">
        <f t="shared" si="151"/>
        <v>2</v>
      </c>
      <c r="N1108" s="91">
        <f>K1108/M1108</f>
        <v>6.99</v>
      </c>
    </row>
    <row r="1109">
      <c r="A1109" s="93" t="s">
        <v>56</v>
      </c>
      <c r="B1109" s="86" t="s">
        <v>628</v>
      </c>
      <c r="C1109" s="86">
        <v>252.0</v>
      </c>
      <c r="D1109" s="86" t="s">
        <v>1555</v>
      </c>
      <c r="E1109" s="86" t="s">
        <v>24</v>
      </c>
      <c r="F1109" s="87">
        <v>41549.0</v>
      </c>
      <c r="G1109" s="87">
        <v>44299.0</v>
      </c>
      <c r="H1109" s="87">
        <v>45109.0</v>
      </c>
      <c r="I1109" s="87">
        <v>45126.0</v>
      </c>
      <c r="J1109" s="88">
        <v>7.99</v>
      </c>
      <c r="K1109" s="88">
        <v>7.99</v>
      </c>
      <c r="L1109" s="88">
        <v>0.0</v>
      </c>
      <c r="M1109" s="86">
        <v>5.0</v>
      </c>
      <c r="N1109" s="88">
        <v>1.6</v>
      </c>
    </row>
    <row r="1110">
      <c r="A1110" s="93" t="s">
        <v>56</v>
      </c>
      <c r="B1110" s="86" t="s">
        <v>629</v>
      </c>
      <c r="C1110" s="86">
        <v>392.0</v>
      </c>
      <c r="D1110" s="86" t="s">
        <v>1502</v>
      </c>
      <c r="E1110" s="86" t="s">
        <v>24</v>
      </c>
      <c r="F1110" s="87">
        <v>40009.0</v>
      </c>
      <c r="G1110" s="87">
        <v>44237.0</v>
      </c>
      <c r="H1110" s="87">
        <v>44237.0</v>
      </c>
      <c r="I1110" s="87">
        <v>44237.0</v>
      </c>
      <c r="J1110" s="88">
        <v>4.99</v>
      </c>
      <c r="K1110" s="88">
        <v>4.99</v>
      </c>
      <c r="L1110" s="88">
        <v>0.0</v>
      </c>
      <c r="M1110" s="86">
        <v>1.0</v>
      </c>
      <c r="N1110" s="88">
        <v>4.99</v>
      </c>
    </row>
    <row r="1111">
      <c r="A1111" s="86" t="s">
        <v>56</v>
      </c>
      <c r="B1111" s="86"/>
      <c r="C1111" s="86">
        <v>445.0</v>
      </c>
      <c r="D1111" s="86" t="s">
        <v>1572</v>
      </c>
      <c r="E1111" s="86" t="s">
        <v>25</v>
      </c>
      <c r="F1111" s="87">
        <v>42031.0</v>
      </c>
      <c r="G1111" s="87">
        <v>42778.0</v>
      </c>
      <c r="H1111" s="87">
        <v>42810.0</v>
      </c>
      <c r="I1111" s="87">
        <v>42810.0</v>
      </c>
      <c r="J1111" s="88">
        <v>14.99</v>
      </c>
      <c r="K1111" s="88">
        <v>3.99</v>
      </c>
      <c r="L1111" s="88">
        <v>11.0</v>
      </c>
      <c r="M1111" s="86">
        <v>1.0</v>
      </c>
      <c r="N1111" s="88">
        <v>3.99</v>
      </c>
    </row>
    <row r="1112">
      <c r="A1112" s="86" t="s">
        <v>56</v>
      </c>
      <c r="B1112" s="86"/>
      <c r="C1112" s="86">
        <v>435.0</v>
      </c>
      <c r="D1112" s="86" t="s">
        <v>1577</v>
      </c>
      <c r="E1112" s="86" t="s">
        <v>25</v>
      </c>
      <c r="F1112" s="87">
        <v>42451.0</v>
      </c>
      <c r="G1112" s="87">
        <v>42811.0</v>
      </c>
      <c r="H1112" s="87">
        <v>42851.0</v>
      </c>
      <c r="I1112" s="87">
        <v>42851.0</v>
      </c>
      <c r="J1112" s="88">
        <v>14.99</v>
      </c>
      <c r="K1112" s="88">
        <v>4.74</v>
      </c>
      <c r="L1112" s="88">
        <v>10.25</v>
      </c>
      <c r="M1112" s="86">
        <v>16.0</v>
      </c>
      <c r="N1112" s="88">
        <v>0.3</v>
      </c>
    </row>
    <row r="1113">
      <c r="A1113" s="86" t="s">
        <v>56</v>
      </c>
      <c r="B1113" s="86"/>
      <c r="C1113" s="86">
        <v>856.0</v>
      </c>
      <c r="D1113" s="86" t="s">
        <v>1659</v>
      </c>
      <c r="E1113" s="86" t="s">
        <v>26</v>
      </c>
      <c r="F1113" s="87">
        <v>44005.0</v>
      </c>
      <c r="G1113" s="87">
        <v>44071.0</v>
      </c>
      <c r="H1113" s="87">
        <v>44188.0</v>
      </c>
      <c r="I1113" s="87">
        <v>44189.0</v>
      </c>
      <c r="J1113" s="88">
        <v>14.99</v>
      </c>
      <c r="K1113" s="88">
        <v>9.74</v>
      </c>
      <c r="L1113" s="88">
        <v>5.25</v>
      </c>
      <c r="M1113" s="86">
        <v>7.0</v>
      </c>
      <c r="N1113" s="88">
        <v>1.39</v>
      </c>
    </row>
    <row r="1114">
      <c r="A1114" s="89"/>
      <c r="B1114" s="89"/>
      <c r="C1114" s="90"/>
      <c r="D1114" s="89"/>
      <c r="E1114" s="89"/>
      <c r="F1114" s="89"/>
      <c r="G1114" s="89"/>
      <c r="H1114" s="89"/>
      <c r="I1114" s="89"/>
      <c r="J1114" s="91">
        <f t="shared" ref="J1114:M1114" si="152">SUM(J1110:J1113)</f>
        <v>49.96</v>
      </c>
      <c r="K1114" s="91">
        <f t="shared" si="152"/>
        <v>23.46</v>
      </c>
      <c r="L1114" s="91">
        <f t="shared" si="152"/>
        <v>26.5</v>
      </c>
      <c r="M1114" s="89">
        <f t="shared" si="152"/>
        <v>25</v>
      </c>
      <c r="N1114" s="91">
        <f>K1114/M1114</f>
        <v>0.9384</v>
      </c>
    </row>
    <row r="1115">
      <c r="A1115" s="92" t="s">
        <v>56</v>
      </c>
      <c r="B1115" s="86" t="s">
        <v>630</v>
      </c>
      <c r="C1115" s="86">
        <v>142.0</v>
      </c>
      <c r="D1115" s="86" t="s">
        <v>1464</v>
      </c>
      <c r="E1115" s="86" t="s">
        <v>22</v>
      </c>
      <c r="F1115" s="87">
        <v>37652.0</v>
      </c>
      <c r="G1115" s="87">
        <v>41578.0</v>
      </c>
      <c r="H1115" s="87">
        <v>41578.0</v>
      </c>
      <c r="I1115" s="87">
        <v>41578.0</v>
      </c>
      <c r="J1115" s="88">
        <v>14.99</v>
      </c>
      <c r="K1115" s="88">
        <v>14.99</v>
      </c>
      <c r="L1115" s="88">
        <v>0.0</v>
      </c>
      <c r="M1115" s="86">
        <v>50.0</v>
      </c>
      <c r="N1115" s="88">
        <v>0.3</v>
      </c>
    </row>
    <row r="1116">
      <c r="A1116" s="92" t="s">
        <v>56</v>
      </c>
      <c r="B1116" s="86"/>
      <c r="C1116" s="86">
        <v>143.0</v>
      </c>
      <c r="D1116" s="86" t="s">
        <v>1475</v>
      </c>
      <c r="E1116" s="86" t="s">
        <v>22</v>
      </c>
      <c r="F1116" s="87">
        <v>38660.0</v>
      </c>
      <c r="G1116" s="87">
        <v>41578.0</v>
      </c>
      <c r="H1116" s="87">
        <v>41578.0</v>
      </c>
      <c r="I1116" s="87">
        <v>41578.0</v>
      </c>
      <c r="J1116" s="88">
        <v>14.99</v>
      </c>
      <c r="K1116" s="88">
        <v>14.99</v>
      </c>
      <c r="L1116" s="88">
        <v>0.0</v>
      </c>
      <c r="M1116" s="86">
        <v>80.0</v>
      </c>
      <c r="N1116" s="88">
        <v>0.19</v>
      </c>
    </row>
    <row r="1117">
      <c r="A1117" s="93" t="s">
        <v>56</v>
      </c>
      <c r="B1117" s="86"/>
      <c r="C1117" s="86">
        <v>394.0</v>
      </c>
      <c r="D1117" s="86" t="s">
        <v>1513</v>
      </c>
      <c r="E1117" s="86" t="s">
        <v>24</v>
      </c>
      <c r="F1117" s="87">
        <v>40480.0</v>
      </c>
      <c r="G1117" s="87">
        <v>40489.0</v>
      </c>
      <c r="H1117" s="87">
        <v>40489.0</v>
      </c>
      <c r="I1117" s="87">
        <v>40635.0</v>
      </c>
      <c r="J1117" s="88">
        <v>19.99</v>
      </c>
      <c r="K1117" s="88">
        <v>18.0</v>
      </c>
      <c r="L1117" s="88">
        <v>1.99</v>
      </c>
      <c r="M1117" s="86">
        <v>5.0</v>
      </c>
      <c r="N1117" s="88">
        <v>3.6</v>
      </c>
    </row>
    <row r="1118">
      <c r="A1118" s="93" t="s">
        <v>56</v>
      </c>
      <c r="B1118" s="86"/>
      <c r="C1118" s="86">
        <v>395.0</v>
      </c>
      <c r="D1118" s="86" t="s">
        <v>1524</v>
      </c>
      <c r="E1118" s="86" t="s">
        <v>24</v>
      </c>
      <c r="F1118" s="87">
        <v>40837.0</v>
      </c>
      <c r="G1118" s="87">
        <v>40837.0</v>
      </c>
      <c r="H1118" s="87">
        <v>40837.0</v>
      </c>
      <c r="I1118" s="87">
        <v>40837.0</v>
      </c>
      <c r="J1118" s="88">
        <v>19.99</v>
      </c>
      <c r="K1118" s="88">
        <v>18.0</v>
      </c>
      <c r="L1118" s="88">
        <v>1.99</v>
      </c>
      <c r="M1118" s="86">
        <v>5.0</v>
      </c>
      <c r="N1118" s="88">
        <v>3.6</v>
      </c>
    </row>
    <row r="1119">
      <c r="A1119" s="86" t="s">
        <v>56</v>
      </c>
      <c r="B1119" s="86"/>
      <c r="C1119" s="86">
        <v>922.0</v>
      </c>
      <c r="D1119" s="86" t="s">
        <v>1626</v>
      </c>
      <c r="E1119" s="86" t="s">
        <v>26</v>
      </c>
      <c r="F1119" s="87">
        <v>43056.0</v>
      </c>
      <c r="G1119" s="87">
        <v>43077.0</v>
      </c>
      <c r="H1119" s="87">
        <v>43305.0</v>
      </c>
      <c r="I1119" s="87">
        <v>43305.0</v>
      </c>
      <c r="J1119" s="88">
        <v>869.61</v>
      </c>
      <c r="K1119" s="88">
        <v>682.41</v>
      </c>
      <c r="L1119" s="88">
        <v>187.2</v>
      </c>
      <c r="M1119" s="86">
        <v>18.0</v>
      </c>
      <c r="N1119" s="88">
        <v>37.91</v>
      </c>
    </row>
    <row r="1120">
      <c r="A1120" s="89"/>
      <c r="B1120" s="89"/>
      <c r="C1120" s="90"/>
      <c r="D1120" s="89"/>
      <c r="E1120" s="89"/>
      <c r="F1120" s="89"/>
      <c r="G1120" s="89"/>
      <c r="H1120" s="89"/>
      <c r="I1120" s="89"/>
      <c r="J1120" s="91">
        <f t="shared" ref="J1120:M1120" si="153">SUM(J1115:J1119)</f>
        <v>939.57</v>
      </c>
      <c r="K1120" s="91">
        <f t="shared" si="153"/>
        <v>748.39</v>
      </c>
      <c r="L1120" s="91">
        <f t="shared" si="153"/>
        <v>191.18</v>
      </c>
      <c r="M1120" s="89">
        <f t="shared" si="153"/>
        <v>158</v>
      </c>
      <c r="N1120" s="91">
        <f>K1120/M1120</f>
        <v>4.73664557</v>
      </c>
    </row>
    <row r="1121">
      <c r="A1121" s="86" t="s">
        <v>56</v>
      </c>
      <c r="B1121" s="86" t="s">
        <v>631</v>
      </c>
      <c r="C1121" s="86">
        <v>841.0</v>
      </c>
      <c r="D1121" s="86" t="s">
        <v>1645</v>
      </c>
      <c r="E1121" s="86" t="s">
        <v>26</v>
      </c>
      <c r="F1121" s="87">
        <v>43606.0</v>
      </c>
      <c r="G1121" s="87">
        <v>44656.0</v>
      </c>
      <c r="H1121" s="87">
        <v>44666.0</v>
      </c>
      <c r="I1121" s="87">
        <v>44675.0</v>
      </c>
      <c r="J1121" s="88">
        <v>24.99</v>
      </c>
      <c r="K1121" s="88">
        <v>0.0</v>
      </c>
      <c r="L1121" s="88">
        <v>24.99</v>
      </c>
      <c r="M1121" s="86">
        <v>35.0</v>
      </c>
      <c r="N1121" s="88">
        <v>0.0</v>
      </c>
    </row>
    <row r="1122">
      <c r="A1122" s="93" t="s">
        <v>56</v>
      </c>
      <c r="B1122" s="86" t="s">
        <v>632</v>
      </c>
      <c r="C1122" s="86">
        <v>36.0</v>
      </c>
      <c r="D1122" s="86" t="s">
        <v>1441</v>
      </c>
      <c r="E1122" s="86" t="s">
        <v>21</v>
      </c>
      <c r="F1122" s="87">
        <v>35041.0</v>
      </c>
      <c r="G1122" s="87">
        <v>44422.0</v>
      </c>
      <c r="H1122" s="87">
        <v>44422.0</v>
      </c>
      <c r="I1122" s="87">
        <v>44422.0</v>
      </c>
      <c r="J1122" s="94">
        <v>3.33</v>
      </c>
      <c r="K1122" s="94">
        <v>3.33</v>
      </c>
      <c r="L1122" s="88">
        <v>0.0</v>
      </c>
      <c r="M1122" s="86">
        <v>1.0</v>
      </c>
      <c r="N1122" s="88">
        <v>3.33</v>
      </c>
    </row>
    <row r="1123">
      <c r="A1123" s="93" t="s">
        <v>56</v>
      </c>
      <c r="B1123" s="86"/>
      <c r="C1123" s="86">
        <v>304.0</v>
      </c>
      <c r="D1123" s="86" t="s">
        <v>1520</v>
      </c>
      <c r="E1123" s="86" t="s">
        <v>24</v>
      </c>
      <c r="F1123" s="87">
        <v>40785.0</v>
      </c>
      <c r="G1123" s="87">
        <v>44422.0</v>
      </c>
      <c r="H1123" s="87">
        <v>44422.0</v>
      </c>
      <c r="I1123" s="87">
        <v>44422.0</v>
      </c>
      <c r="J1123" s="88">
        <v>3.33</v>
      </c>
      <c r="K1123" s="88">
        <v>3.33</v>
      </c>
      <c r="L1123" s="88">
        <v>0.0</v>
      </c>
      <c r="M1123" s="86">
        <v>1.0</v>
      </c>
      <c r="N1123" s="88">
        <v>3.33</v>
      </c>
    </row>
    <row r="1124">
      <c r="A1124" s="93" t="s">
        <v>56</v>
      </c>
      <c r="B1124" s="86"/>
      <c r="C1124" s="86">
        <v>305.0</v>
      </c>
      <c r="D1124" s="86" t="s">
        <v>1521</v>
      </c>
      <c r="E1124" s="86" t="s">
        <v>24</v>
      </c>
      <c r="F1124" s="87">
        <v>40785.0</v>
      </c>
      <c r="G1124" s="87">
        <v>44422.0</v>
      </c>
      <c r="H1124" s="87">
        <v>44422.0</v>
      </c>
      <c r="I1124" s="87">
        <v>44422.0</v>
      </c>
      <c r="J1124" s="88">
        <v>3.33</v>
      </c>
      <c r="K1124" s="88">
        <v>3.33</v>
      </c>
      <c r="L1124" s="88">
        <v>0.0</v>
      </c>
      <c r="M1124" s="86">
        <v>1.0</v>
      </c>
      <c r="N1124" s="88">
        <v>3.33</v>
      </c>
    </row>
    <row r="1125">
      <c r="A1125" s="86" t="s">
        <v>56</v>
      </c>
      <c r="B1125" s="86"/>
      <c r="C1125" s="86">
        <v>594.0</v>
      </c>
      <c r="D1125" s="86" t="s">
        <v>1656</v>
      </c>
      <c r="E1125" s="86" t="s">
        <v>26</v>
      </c>
      <c r="F1125" s="87">
        <v>43910.0</v>
      </c>
      <c r="G1125" s="87">
        <v>44708.0</v>
      </c>
      <c r="H1125" s="87">
        <v>44708.0</v>
      </c>
      <c r="I1125" s="87">
        <v>44708.0</v>
      </c>
      <c r="J1125" s="88">
        <v>4.99</v>
      </c>
      <c r="K1125" s="88">
        <v>2.49</v>
      </c>
      <c r="L1125" s="88">
        <v>2.5</v>
      </c>
      <c r="M1125" s="86">
        <v>1.0</v>
      </c>
      <c r="N1125" s="88">
        <v>2.49</v>
      </c>
    </row>
    <row r="1126">
      <c r="A1126" s="89"/>
      <c r="B1126" s="89"/>
      <c r="C1126" s="90"/>
      <c r="D1126" s="89"/>
      <c r="E1126" s="89"/>
      <c r="F1126" s="89"/>
      <c r="G1126" s="89"/>
      <c r="H1126" s="89"/>
      <c r="I1126" s="89"/>
      <c r="J1126" s="91">
        <f t="shared" ref="J1126:M1126" si="154">SUM(J1122:J1125)</f>
        <v>14.98</v>
      </c>
      <c r="K1126" s="91">
        <f t="shared" si="154"/>
        <v>12.48</v>
      </c>
      <c r="L1126" s="91">
        <f t="shared" si="154"/>
        <v>2.5</v>
      </c>
      <c r="M1126" s="89">
        <f t="shared" si="154"/>
        <v>4</v>
      </c>
      <c r="N1126" s="91">
        <f>K1126/M1126</f>
        <v>3.12</v>
      </c>
    </row>
    <row r="1127">
      <c r="A1127" s="93" t="s">
        <v>56</v>
      </c>
      <c r="B1127" s="86" t="s">
        <v>633</v>
      </c>
      <c r="C1127" s="86">
        <v>239.0</v>
      </c>
      <c r="D1127" s="86" t="s">
        <v>1493</v>
      </c>
      <c r="E1127" s="86" t="s">
        <v>24</v>
      </c>
      <c r="F1127" s="87">
        <v>39192.0</v>
      </c>
      <c r="G1127" s="87">
        <v>44091.0</v>
      </c>
      <c r="H1127" s="87">
        <v>44091.0</v>
      </c>
      <c r="I1127" s="87">
        <v>44091.0</v>
      </c>
      <c r="J1127" s="88">
        <v>12.0</v>
      </c>
      <c r="K1127" s="88">
        <v>12.0</v>
      </c>
      <c r="L1127" s="88">
        <v>0.0</v>
      </c>
      <c r="M1127" s="86">
        <v>1.0</v>
      </c>
      <c r="N1127" s="88">
        <v>12.0</v>
      </c>
    </row>
    <row r="1128">
      <c r="A1128" s="93" t="s">
        <v>56</v>
      </c>
      <c r="B1128" s="86" t="s">
        <v>634</v>
      </c>
      <c r="C1128" s="86">
        <v>369.0</v>
      </c>
      <c r="D1128" s="86" t="s">
        <v>1554</v>
      </c>
      <c r="E1128" s="86" t="s">
        <v>24</v>
      </c>
      <c r="F1128" s="87">
        <v>41514.0</v>
      </c>
      <c r="G1128" s="87">
        <v>44190.0</v>
      </c>
      <c r="H1128" s="87">
        <v>44194.0</v>
      </c>
      <c r="I1128" s="87">
        <v>44195.0</v>
      </c>
      <c r="J1128" s="88">
        <v>14.99</v>
      </c>
      <c r="K1128" s="88">
        <v>0.0</v>
      </c>
      <c r="L1128" s="88">
        <v>14.99</v>
      </c>
      <c r="M1128" s="86">
        <v>8.0</v>
      </c>
      <c r="N1128" s="88">
        <v>0.0</v>
      </c>
    </row>
    <row r="1129">
      <c r="A1129" s="86" t="s">
        <v>56</v>
      </c>
      <c r="B1129" s="86" t="s">
        <v>635</v>
      </c>
      <c r="C1129" s="86">
        <v>518.0</v>
      </c>
      <c r="D1129" s="86" t="s">
        <v>1619</v>
      </c>
      <c r="E1129" s="86" t="s">
        <v>26</v>
      </c>
      <c r="F1129" s="87">
        <v>42941.0</v>
      </c>
      <c r="G1129" s="87">
        <v>43903.0</v>
      </c>
      <c r="H1129" s="87">
        <v>43903.0</v>
      </c>
      <c r="I1129" s="87">
        <v>43903.0</v>
      </c>
      <c r="J1129" s="88">
        <v>29.99</v>
      </c>
      <c r="K1129" s="88">
        <v>14.99</v>
      </c>
      <c r="L1129" s="88">
        <v>15.0</v>
      </c>
      <c r="M1129" s="86">
        <v>2.0</v>
      </c>
      <c r="N1129" s="88">
        <v>7.5</v>
      </c>
    </row>
    <row r="1130">
      <c r="A1130" s="86" t="s">
        <v>56</v>
      </c>
      <c r="B1130" s="86" t="s">
        <v>636</v>
      </c>
      <c r="C1130" s="86">
        <v>7.0</v>
      </c>
      <c r="D1130" s="86" t="s">
        <v>1444</v>
      </c>
      <c r="E1130" s="86" t="s">
        <v>21</v>
      </c>
      <c r="F1130" s="87">
        <v>35377.0</v>
      </c>
      <c r="G1130" s="87">
        <v>40557.0</v>
      </c>
      <c r="H1130" s="87">
        <v>40557.0</v>
      </c>
      <c r="I1130" s="87">
        <v>40557.0</v>
      </c>
      <c r="J1130" s="88">
        <v>4.99</v>
      </c>
      <c r="K1130" s="88">
        <v>4.99</v>
      </c>
      <c r="L1130" s="88">
        <v>0.0</v>
      </c>
      <c r="M1130" s="86">
        <v>30.0</v>
      </c>
      <c r="N1130" s="88">
        <v>0.17</v>
      </c>
    </row>
    <row r="1131">
      <c r="A1131" s="92" t="s">
        <v>56</v>
      </c>
      <c r="B1131" s="92"/>
      <c r="C1131" s="86">
        <v>8.0</v>
      </c>
      <c r="D1131" s="86" t="s">
        <v>1447</v>
      </c>
      <c r="E1131" s="86" t="s">
        <v>21</v>
      </c>
      <c r="F1131" s="87">
        <v>35769.0</v>
      </c>
      <c r="G1131" s="87">
        <v>40579.0</v>
      </c>
      <c r="H1131" s="87">
        <v>40579.0</v>
      </c>
      <c r="I1131" s="87">
        <v>45685.0</v>
      </c>
      <c r="J1131" s="88">
        <v>4.99</v>
      </c>
      <c r="K1131" s="88">
        <v>4.99</v>
      </c>
      <c r="L1131" s="88">
        <v>0.0</v>
      </c>
      <c r="M1131" s="86">
        <v>40.0</v>
      </c>
      <c r="N1131" s="88">
        <v>0.12</v>
      </c>
    </row>
    <row r="1132">
      <c r="A1132" s="86" t="s">
        <v>56</v>
      </c>
      <c r="B1132" s="86"/>
      <c r="C1132" s="86">
        <v>9.0</v>
      </c>
      <c r="D1132" s="86" t="s">
        <v>1451</v>
      </c>
      <c r="E1132" s="86" t="s">
        <v>21</v>
      </c>
      <c r="F1132" s="87">
        <v>36140.0</v>
      </c>
      <c r="G1132" s="87">
        <v>40583.0</v>
      </c>
      <c r="H1132" s="87">
        <v>40583.0</v>
      </c>
      <c r="I1132" s="87">
        <v>40583.0</v>
      </c>
      <c r="J1132" s="88">
        <v>4.99</v>
      </c>
      <c r="K1132" s="88">
        <v>4.99</v>
      </c>
      <c r="L1132" s="88">
        <v>0.0</v>
      </c>
      <c r="M1132" s="86">
        <v>50.0</v>
      </c>
      <c r="N1132" s="88">
        <v>0.1</v>
      </c>
    </row>
    <row r="1133">
      <c r="A1133" s="86" t="s">
        <v>56</v>
      </c>
      <c r="B1133" s="86"/>
      <c r="C1133" s="86">
        <v>10.0</v>
      </c>
      <c r="D1133" s="86" t="s">
        <v>1454</v>
      </c>
      <c r="E1133" s="86" t="s">
        <v>21</v>
      </c>
      <c r="F1133" s="87">
        <v>36453.0</v>
      </c>
      <c r="G1133" s="87">
        <v>40583.0</v>
      </c>
      <c r="H1133" s="87">
        <v>40583.0</v>
      </c>
      <c r="I1133" s="87">
        <v>40583.0</v>
      </c>
      <c r="J1133" s="88">
        <v>4.99</v>
      </c>
      <c r="K1133" s="88">
        <v>4.99</v>
      </c>
      <c r="L1133" s="88">
        <v>0.0</v>
      </c>
      <c r="M1133" s="86">
        <v>80.0</v>
      </c>
      <c r="N1133" s="88">
        <v>0.06</v>
      </c>
    </row>
    <row r="1134">
      <c r="A1134" s="92" t="s">
        <v>56</v>
      </c>
      <c r="B1134" s="86"/>
      <c r="C1134" s="86">
        <v>103.0</v>
      </c>
      <c r="D1134" s="86" t="s">
        <v>1459</v>
      </c>
      <c r="E1134" s="86" t="s">
        <v>22</v>
      </c>
      <c r="F1134" s="87">
        <v>37232.0</v>
      </c>
      <c r="G1134" s="87">
        <v>41240.0</v>
      </c>
      <c r="H1134" s="87">
        <v>41240.0</v>
      </c>
      <c r="I1134" s="87">
        <v>43123.0</v>
      </c>
      <c r="J1134" s="88">
        <v>26.98</v>
      </c>
      <c r="K1134" s="88">
        <v>26.98</v>
      </c>
      <c r="L1134" s="88">
        <v>0.0</v>
      </c>
      <c r="M1134" s="86">
        <v>55.0</v>
      </c>
      <c r="N1134" s="88">
        <v>0.49</v>
      </c>
    </row>
    <row r="1135">
      <c r="A1135" s="92" t="s">
        <v>56</v>
      </c>
      <c r="B1135" s="86"/>
      <c r="C1135" s="86">
        <v>104.0</v>
      </c>
      <c r="D1135" s="86" t="s">
        <v>1466</v>
      </c>
      <c r="E1135" s="86" t="s">
        <v>22</v>
      </c>
      <c r="F1135" s="87">
        <v>37911.0</v>
      </c>
      <c r="G1135" s="87">
        <v>41240.0</v>
      </c>
      <c r="H1135" s="87">
        <v>41240.0</v>
      </c>
      <c r="I1135" s="87">
        <v>43310.0</v>
      </c>
      <c r="J1135" s="88">
        <v>24.97</v>
      </c>
      <c r="K1135" s="88">
        <v>24.97</v>
      </c>
      <c r="L1135" s="88">
        <v>0.0</v>
      </c>
      <c r="M1135" s="86">
        <v>35.0</v>
      </c>
      <c r="N1135" s="88">
        <v>0.71</v>
      </c>
    </row>
    <row r="1136">
      <c r="A1136" s="92" t="s">
        <v>56</v>
      </c>
      <c r="B1136" s="86"/>
      <c r="C1136" s="86">
        <v>105.0</v>
      </c>
      <c r="D1136" s="86" t="s">
        <v>1471</v>
      </c>
      <c r="E1136" s="86" t="s">
        <v>22</v>
      </c>
      <c r="F1136" s="87">
        <v>38317.0</v>
      </c>
      <c r="G1136" s="87">
        <v>41240.0</v>
      </c>
      <c r="H1136" s="87">
        <v>41255.0</v>
      </c>
      <c r="I1136" s="87">
        <v>41274.0</v>
      </c>
      <c r="J1136" s="88">
        <v>26.98</v>
      </c>
      <c r="K1136" s="88">
        <v>26.98</v>
      </c>
      <c r="L1136" s="88">
        <v>0.0</v>
      </c>
      <c r="M1136" s="86">
        <v>30.0</v>
      </c>
      <c r="N1136" s="88">
        <v>0.9</v>
      </c>
    </row>
    <row r="1137">
      <c r="A1137" s="92" t="s">
        <v>56</v>
      </c>
      <c r="B1137" s="86"/>
      <c r="C1137" s="86">
        <v>106.0</v>
      </c>
      <c r="D1137" s="86" t="s">
        <v>1474</v>
      </c>
      <c r="E1137" s="86" t="s">
        <v>22</v>
      </c>
      <c r="F1137" s="87">
        <v>38660.0</v>
      </c>
      <c r="G1137" s="87">
        <v>43078.0</v>
      </c>
      <c r="H1137" s="87">
        <v>44539.0</v>
      </c>
      <c r="I1137" s="87">
        <v>44543.0</v>
      </c>
      <c r="J1137" s="88">
        <v>9.99</v>
      </c>
      <c r="K1137" s="88">
        <v>9.99</v>
      </c>
      <c r="L1137" s="88">
        <v>0.0</v>
      </c>
      <c r="M1137" s="86">
        <v>30.0</v>
      </c>
      <c r="N1137" s="88">
        <v>0.33</v>
      </c>
    </row>
    <row r="1138">
      <c r="A1138" s="93" t="s">
        <v>56</v>
      </c>
      <c r="B1138" s="86"/>
      <c r="C1138" s="86">
        <v>414.0</v>
      </c>
      <c r="D1138" s="86" t="s">
        <v>1495</v>
      </c>
      <c r="E1138" s="86" t="s">
        <v>24</v>
      </c>
      <c r="F1138" s="87">
        <v>39423.0</v>
      </c>
      <c r="G1138" s="87">
        <v>41615.0</v>
      </c>
      <c r="H1138" s="87">
        <v>41615.0</v>
      </c>
      <c r="I1138" s="87">
        <v>45140.0</v>
      </c>
      <c r="J1138" s="88">
        <v>22.15</v>
      </c>
      <c r="K1138" s="88">
        <v>15.15</v>
      </c>
      <c r="L1138" s="88">
        <v>7.0</v>
      </c>
      <c r="M1138" s="86">
        <v>60.0</v>
      </c>
      <c r="N1138" s="88">
        <v>0.25</v>
      </c>
    </row>
    <row r="1139">
      <c r="A1139" s="93" t="s">
        <v>56</v>
      </c>
      <c r="B1139" s="86"/>
      <c r="C1139" s="86">
        <v>415.0</v>
      </c>
      <c r="D1139" s="86" t="s">
        <v>1504</v>
      </c>
      <c r="E1139" s="86" t="s">
        <v>24</v>
      </c>
      <c r="F1139" s="87">
        <v>40102.0</v>
      </c>
      <c r="G1139" s="87">
        <v>40136.0</v>
      </c>
      <c r="H1139" s="87">
        <v>40136.0</v>
      </c>
      <c r="I1139" s="87">
        <v>45144.0</v>
      </c>
      <c r="J1139" s="88">
        <v>22.15</v>
      </c>
      <c r="K1139" s="88">
        <v>15.15</v>
      </c>
      <c r="L1139" s="88">
        <v>7.0</v>
      </c>
      <c r="M1139" s="86">
        <v>100.0</v>
      </c>
      <c r="N1139" s="88">
        <v>0.15</v>
      </c>
    </row>
    <row r="1140">
      <c r="A1140" s="93" t="s">
        <v>56</v>
      </c>
      <c r="B1140" s="86"/>
      <c r="C1140" s="86">
        <v>416.0</v>
      </c>
      <c r="D1140" s="86" t="s">
        <v>1526</v>
      </c>
      <c r="E1140" s="86" t="s">
        <v>24</v>
      </c>
      <c r="F1140" s="87">
        <v>40849.0</v>
      </c>
      <c r="G1140" s="87">
        <v>40857.0</v>
      </c>
      <c r="H1140" s="87">
        <v>40857.0</v>
      </c>
      <c r="I1140" s="87">
        <v>45147.0</v>
      </c>
      <c r="J1140" s="88">
        <v>22.16</v>
      </c>
      <c r="K1140" s="88">
        <v>15.16</v>
      </c>
      <c r="L1140" s="88">
        <v>7.0</v>
      </c>
      <c r="M1140" s="86">
        <v>70.0</v>
      </c>
      <c r="N1140" s="88">
        <v>0.22</v>
      </c>
    </row>
    <row r="1141">
      <c r="A1141" s="93" t="s">
        <v>56</v>
      </c>
      <c r="B1141" s="86"/>
      <c r="C1141" s="86">
        <v>391.0</v>
      </c>
      <c r="D1141" s="86" t="s">
        <v>1551</v>
      </c>
      <c r="E1141" s="86" t="s">
        <v>24</v>
      </c>
      <c r="F1141" s="87">
        <v>41439.0</v>
      </c>
      <c r="G1141" s="87">
        <v>41614.0</v>
      </c>
      <c r="H1141" s="87">
        <v>41614.0</v>
      </c>
      <c r="I1141" s="87">
        <v>44358.0</v>
      </c>
      <c r="J1141" s="88">
        <v>49.99</v>
      </c>
      <c r="K1141" s="88">
        <v>44.99</v>
      </c>
      <c r="L1141" s="88">
        <v>5.0</v>
      </c>
      <c r="M1141" s="86">
        <v>120.0</v>
      </c>
      <c r="N1141" s="88">
        <v>0.37</v>
      </c>
    </row>
    <row r="1142">
      <c r="A1142" s="86" t="s">
        <v>56</v>
      </c>
      <c r="B1142" s="86"/>
      <c r="C1142" s="86">
        <v>952.0</v>
      </c>
      <c r="D1142" s="94" t="s">
        <v>1600</v>
      </c>
      <c r="E1142" s="94" t="s">
        <v>26</v>
      </c>
      <c r="F1142" s="87">
        <v>42500.0</v>
      </c>
      <c r="G1142" s="87">
        <v>42615.0</v>
      </c>
      <c r="H1142" s="87">
        <v>42615.0</v>
      </c>
      <c r="I1142" s="87">
        <v>45152.0</v>
      </c>
      <c r="J1142" s="88">
        <v>69.99</v>
      </c>
      <c r="K1142" s="88">
        <v>22.99</v>
      </c>
      <c r="L1142" s="88">
        <v>47.0</v>
      </c>
      <c r="M1142" s="86">
        <v>75.0</v>
      </c>
      <c r="N1142" s="88">
        <v>0.31</v>
      </c>
    </row>
    <row r="1143">
      <c r="A1143" s="86" t="s">
        <v>56</v>
      </c>
      <c r="B1143" s="86"/>
      <c r="C1143" s="86">
        <v>953.0</v>
      </c>
      <c r="D1143" s="86" t="s">
        <v>1622</v>
      </c>
      <c r="E1143" s="86" t="s">
        <v>26</v>
      </c>
      <c r="F1143" s="87">
        <v>42970.0</v>
      </c>
      <c r="G1143" s="87">
        <v>43377.0</v>
      </c>
      <c r="H1143" s="87">
        <v>43379.0</v>
      </c>
      <c r="I1143" s="87">
        <v>45650.0</v>
      </c>
      <c r="J1143" s="88">
        <v>19.99</v>
      </c>
      <c r="K1143" s="88">
        <v>17.99</v>
      </c>
      <c r="L1143" s="88">
        <v>2.0</v>
      </c>
      <c r="M1143" s="86">
        <v>40.0</v>
      </c>
      <c r="N1143" s="88">
        <v>0.45</v>
      </c>
    </row>
    <row r="1144">
      <c r="A1144" s="86" t="s">
        <v>56</v>
      </c>
      <c r="B1144" s="86"/>
      <c r="C1144" s="86">
        <v>916.0</v>
      </c>
      <c r="D1144" s="86" t="s">
        <v>1658</v>
      </c>
      <c r="E1144" s="86" t="s">
        <v>26</v>
      </c>
      <c r="F1144" s="87">
        <v>44001.0</v>
      </c>
      <c r="G1144" s="87">
        <v>43733.0</v>
      </c>
      <c r="H1144" s="87">
        <v>44085.0</v>
      </c>
      <c r="I1144" s="87">
        <v>44363.0</v>
      </c>
      <c r="J1144" s="88">
        <v>69.99</v>
      </c>
      <c r="K1144" s="88">
        <v>0.0</v>
      </c>
      <c r="L1144" s="88">
        <v>69.99</v>
      </c>
      <c r="M1144" s="86">
        <v>75.0</v>
      </c>
      <c r="N1144" s="88">
        <v>0.0</v>
      </c>
    </row>
    <row r="1145">
      <c r="A1145" s="89"/>
      <c r="B1145" s="89"/>
      <c r="C1145" s="90"/>
      <c r="D1145" s="89"/>
      <c r="E1145" s="95">
        <v>385.3</v>
      </c>
      <c r="F1145" s="95">
        <v>240.31</v>
      </c>
      <c r="G1145" s="95">
        <v>144.99</v>
      </c>
      <c r="H1145" s="96">
        <v>890.0</v>
      </c>
      <c r="I1145" s="95">
        <v>0.27</v>
      </c>
      <c r="J1145" s="91">
        <f t="shared" ref="J1145:M1145" si="155">SUM(J1130:J1144)</f>
        <v>385.3</v>
      </c>
      <c r="K1145" s="91">
        <f t="shared" si="155"/>
        <v>240.31</v>
      </c>
      <c r="L1145" s="91">
        <f t="shared" si="155"/>
        <v>144.99</v>
      </c>
      <c r="M1145" s="89">
        <f t="shared" si="155"/>
        <v>890</v>
      </c>
      <c r="N1145" s="91">
        <f>K1145/M1145</f>
        <v>0.270011236</v>
      </c>
    </row>
    <row r="1146">
      <c r="A1146" s="93" t="s">
        <v>56</v>
      </c>
      <c r="B1146" s="86" t="s">
        <v>637</v>
      </c>
      <c r="C1146" s="86">
        <v>306.0</v>
      </c>
      <c r="D1146" s="86" t="s">
        <v>1517</v>
      </c>
      <c r="E1146" s="86" t="s">
        <v>24</v>
      </c>
      <c r="F1146" s="87">
        <v>40654.0</v>
      </c>
      <c r="G1146" s="87">
        <v>41389.0</v>
      </c>
      <c r="H1146" s="87">
        <v>41389.0</v>
      </c>
      <c r="I1146" s="87">
        <v>44774.0</v>
      </c>
      <c r="J1146" s="88">
        <v>19.99</v>
      </c>
      <c r="K1146" s="88">
        <v>19.99</v>
      </c>
      <c r="L1146" s="88">
        <v>0.0</v>
      </c>
      <c r="M1146" s="86">
        <v>1.0</v>
      </c>
      <c r="N1146" s="88">
        <v>19.99</v>
      </c>
    </row>
    <row r="1147">
      <c r="A1147" s="93" t="s">
        <v>56</v>
      </c>
      <c r="B1147" s="86"/>
      <c r="C1147" s="86">
        <v>267.0</v>
      </c>
      <c r="D1147" s="86" t="s">
        <v>1549</v>
      </c>
      <c r="E1147" s="86" t="s">
        <v>24</v>
      </c>
      <c r="F1147" s="87">
        <v>41383.0</v>
      </c>
      <c r="G1147" s="87">
        <v>44105.0</v>
      </c>
      <c r="H1147" s="87">
        <v>44257.0</v>
      </c>
      <c r="I1147" s="87">
        <v>44257.0</v>
      </c>
      <c r="J1147" s="88">
        <v>59.99</v>
      </c>
      <c r="K1147" s="88">
        <v>9.59</v>
      </c>
      <c r="L1147" s="88">
        <v>50.4</v>
      </c>
      <c r="M1147" s="86">
        <v>2.0</v>
      </c>
      <c r="N1147" s="88">
        <v>4.8</v>
      </c>
    </row>
    <row r="1148">
      <c r="A1148" s="86" t="s">
        <v>56</v>
      </c>
      <c r="B1148" s="86"/>
      <c r="C1148" s="86">
        <v>757.0</v>
      </c>
      <c r="D1148" s="86" t="s">
        <v>1590</v>
      </c>
      <c r="E1148" s="86" t="s">
        <v>26</v>
      </c>
      <c r="F1148" s="87">
        <v>42108.0</v>
      </c>
      <c r="G1148" s="87">
        <v>44334.0</v>
      </c>
      <c r="H1148" s="87">
        <v>44334.0</v>
      </c>
      <c r="I1148" s="87">
        <v>44334.0</v>
      </c>
      <c r="J1148" s="88">
        <v>19.99</v>
      </c>
      <c r="K1148" s="88">
        <v>0.0</v>
      </c>
      <c r="L1148" s="88">
        <v>19.99</v>
      </c>
      <c r="M1148" s="86">
        <v>1.0</v>
      </c>
      <c r="N1148" s="88">
        <v>0.0</v>
      </c>
    </row>
    <row r="1149">
      <c r="A1149" s="86" t="s">
        <v>56</v>
      </c>
      <c r="B1149" s="86"/>
      <c r="C1149" s="86">
        <v>676.0</v>
      </c>
      <c r="D1149" s="86" t="s">
        <v>1615</v>
      </c>
      <c r="E1149" s="86" t="s">
        <v>26</v>
      </c>
      <c r="F1149" s="87">
        <v>42874.0</v>
      </c>
      <c r="G1149" s="87">
        <v>44839.0</v>
      </c>
      <c r="H1149" s="87">
        <v>44839.0</v>
      </c>
      <c r="I1149" s="87">
        <v>44839.0</v>
      </c>
      <c r="J1149" s="88">
        <v>19.99</v>
      </c>
      <c r="K1149" s="88">
        <v>0.0</v>
      </c>
      <c r="L1149" s="88">
        <v>19.99</v>
      </c>
      <c r="M1149" s="86">
        <v>1.0</v>
      </c>
      <c r="N1149" s="88">
        <v>0.0</v>
      </c>
    </row>
    <row r="1150">
      <c r="A1150" s="89"/>
      <c r="B1150" s="89"/>
      <c r="C1150" s="90"/>
      <c r="D1150" s="89"/>
      <c r="E1150" s="89"/>
      <c r="F1150" s="89"/>
      <c r="G1150" s="89"/>
      <c r="H1150" s="89"/>
      <c r="I1150" s="89"/>
      <c r="J1150" s="91">
        <f t="shared" ref="J1150:M1150" si="156">SUM(J1146:J1149)</f>
        <v>119.96</v>
      </c>
      <c r="K1150" s="91">
        <f t="shared" si="156"/>
        <v>29.58</v>
      </c>
      <c r="L1150" s="91">
        <f t="shared" si="156"/>
        <v>90.38</v>
      </c>
      <c r="M1150" s="89">
        <f t="shared" si="156"/>
        <v>5</v>
      </c>
      <c r="N1150" s="91">
        <f>K1150/M1150</f>
        <v>5.916</v>
      </c>
    </row>
    <row r="1151">
      <c r="A1151" s="86" t="s">
        <v>56</v>
      </c>
      <c r="B1151" s="86" t="s">
        <v>638</v>
      </c>
      <c r="C1151" s="86">
        <v>480.0</v>
      </c>
      <c r="D1151" s="86" t="s">
        <v>1570</v>
      </c>
      <c r="E1151" s="86" t="s">
        <v>25</v>
      </c>
      <c r="F1151" s="87">
        <v>41948.0</v>
      </c>
      <c r="G1151" s="87">
        <v>44190.0</v>
      </c>
      <c r="H1151" s="87">
        <v>44191.0</v>
      </c>
      <c r="I1151" s="87">
        <v>44485.0</v>
      </c>
      <c r="J1151" s="88">
        <v>14.99</v>
      </c>
      <c r="K1151" s="88">
        <v>0.0</v>
      </c>
      <c r="L1151" s="88">
        <v>14.99</v>
      </c>
      <c r="M1151" s="86">
        <v>12.0</v>
      </c>
      <c r="N1151" s="88">
        <v>0.0</v>
      </c>
    </row>
    <row r="1152">
      <c r="A1152" s="86" t="s">
        <v>56</v>
      </c>
      <c r="B1152" s="86" t="s">
        <v>639</v>
      </c>
      <c r="C1152" s="86">
        <v>785.0</v>
      </c>
      <c r="D1152" s="86" t="s">
        <v>1601</v>
      </c>
      <c r="E1152" s="86" t="s">
        <v>26</v>
      </c>
      <c r="F1152" s="87">
        <v>42521.0</v>
      </c>
      <c r="G1152" s="87">
        <v>42954.0</v>
      </c>
      <c r="H1152" s="87">
        <v>44856.0</v>
      </c>
      <c r="I1152" s="87">
        <v>44858.0</v>
      </c>
      <c r="J1152" s="88">
        <v>9.99</v>
      </c>
      <c r="K1152" s="88">
        <v>4.99</v>
      </c>
      <c r="L1152" s="88">
        <v>5.0</v>
      </c>
      <c r="M1152" s="86">
        <v>15.0</v>
      </c>
      <c r="N1152" s="88">
        <v>0.33</v>
      </c>
    </row>
    <row r="1153">
      <c r="A1153" s="86" t="s">
        <v>56</v>
      </c>
      <c r="B1153" s="86"/>
      <c r="C1153" s="86">
        <v>786.0</v>
      </c>
      <c r="D1153" s="86" t="s">
        <v>1699</v>
      </c>
      <c r="E1153" s="86" t="s">
        <v>26</v>
      </c>
      <c r="F1153" s="87">
        <v>45119.0</v>
      </c>
      <c r="G1153" s="87">
        <v>45495.0</v>
      </c>
      <c r="H1153" s="87">
        <v>45495.0</v>
      </c>
      <c r="I1153" s="87">
        <v>45495.0</v>
      </c>
      <c r="J1153" s="88">
        <v>23.99</v>
      </c>
      <c r="K1153" s="88">
        <v>4.59</v>
      </c>
      <c r="L1153" s="88">
        <v>19.4</v>
      </c>
      <c r="M1153" s="86">
        <v>1.0</v>
      </c>
      <c r="N1153" s="88">
        <v>4.59</v>
      </c>
    </row>
    <row r="1154">
      <c r="A1154" s="89"/>
      <c r="B1154" s="89"/>
      <c r="C1154" s="90"/>
      <c r="D1154" s="89"/>
      <c r="E1154" s="89"/>
      <c r="F1154" s="89"/>
      <c r="G1154" s="89"/>
      <c r="H1154" s="89"/>
      <c r="I1154" s="89"/>
      <c r="J1154" s="91">
        <f t="shared" ref="J1154:M1154" si="157">SUM(J1152:J1153)</f>
        <v>33.98</v>
      </c>
      <c r="K1154" s="91">
        <f t="shared" si="157"/>
        <v>9.58</v>
      </c>
      <c r="L1154" s="91">
        <f t="shared" si="157"/>
        <v>24.4</v>
      </c>
      <c r="M1154" s="89">
        <f t="shared" si="157"/>
        <v>16</v>
      </c>
      <c r="N1154" s="91">
        <f>K1154/M1154</f>
        <v>0.59875</v>
      </c>
    </row>
    <row r="1155">
      <c r="A1155" s="93" t="s">
        <v>56</v>
      </c>
      <c r="B1155" s="86" t="s">
        <v>640</v>
      </c>
      <c r="C1155" s="86">
        <v>324.0</v>
      </c>
      <c r="D1155" s="86" t="s">
        <v>1516</v>
      </c>
      <c r="E1155" s="86" t="s">
        <v>24</v>
      </c>
      <c r="F1155" s="87">
        <v>40627.0</v>
      </c>
      <c r="G1155" s="87">
        <v>44091.0</v>
      </c>
      <c r="H1155" s="87">
        <v>45122.0</v>
      </c>
      <c r="I1155" s="87">
        <v>45127.0</v>
      </c>
      <c r="J1155" s="88">
        <v>14.99</v>
      </c>
      <c r="K1155" s="88">
        <v>7.5</v>
      </c>
      <c r="L1155" s="88">
        <v>7.49</v>
      </c>
      <c r="M1155" s="86">
        <v>20.0</v>
      </c>
      <c r="N1155" s="88">
        <v>0.38</v>
      </c>
    </row>
    <row r="1156">
      <c r="A1156" s="86" t="s">
        <v>56</v>
      </c>
      <c r="B1156" s="86" t="s">
        <v>641</v>
      </c>
      <c r="C1156" s="86">
        <v>477.0</v>
      </c>
      <c r="D1156" s="86" t="s">
        <v>1583</v>
      </c>
      <c r="E1156" s="86" t="s">
        <v>25</v>
      </c>
      <c r="F1156" s="87">
        <v>43894.0</v>
      </c>
      <c r="G1156" s="87">
        <v>43894.0</v>
      </c>
      <c r="H1156" s="87">
        <v>43894.0</v>
      </c>
      <c r="I1156" s="87">
        <v>45007.0</v>
      </c>
      <c r="J1156" s="88">
        <v>4.99</v>
      </c>
      <c r="K1156" s="88">
        <v>4.99</v>
      </c>
      <c r="L1156" s="88">
        <v>0.0</v>
      </c>
      <c r="M1156" s="86">
        <v>3.0</v>
      </c>
      <c r="N1156" s="88">
        <v>1.66</v>
      </c>
    </row>
    <row r="1157">
      <c r="A1157" s="93" t="s">
        <v>56</v>
      </c>
      <c r="B1157" s="86" t="s">
        <v>642</v>
      </c>
      <c r="C1157" s="86">
        <v>367.0</v>
      </c>
      <c r="D1157" s="86" t="s">
        <v>1560</v>
      </c>
      <c r="E1157" s="86" t="s">
        <v>24</v>
      </c>
      <c r="F1157" s="87">
        <v>41705.0</v>
      </c>
      <c r="G1157" s="87">
        <v>43081.0</v>
      </c>
      <c r="H1157" s="87">
        <v>43088.0</v>
      </c>
      <c r="I1157" s="87">
        <v>44121.0</v>
      </c>
      <c r="J1157" s="88">
        <v>29.99</v>
      </c>
      <c r="K1157" s="88">
        <v>0.0</v>
      </c>
      <c r="L1157" s="88">
        <v>29.99</v>
      </c>
      <c r="M1157" s="86">
        <v>44.0</v>
      </c>
      <c r="N1157" s="88">
        <v>0.0</v>
      </c>
    </row>
    <row r="1158">
      <c r="A1158" s="86" t="s">
        <v>56</v>
      </c>
      <c r="B1158" s="86"/>
      <c r="C1158" s="86">
        <v>918.0</v>
      </c>
      <c r="D1158" s="86" t="s">
        <v>1651</v>
      </c>
      <c r="E1158" s="86" t="s">
        <v>26</v>
      </c>
      <c r="F1158" s="87">
        <v>43763.0</v>
      </c>
      <c r="G1158" s="87">
        <v>44960.0</v>
      </c>
      <c r="H1158" s="87">
        <v>45581.0</v>
      </c>
      <c r="I1158" s="87">
        <v>45583.0</v>
      </c>
      <c r="J1158" s="88">
        <v>59.99</v>
      </c>
      <c r="K1158" s="88">
        <v>19.79</v>
      </c>
      <c r="L1158" s="88">
        <v>40.2</v>
      </c>
      <c r="M1158" s="86">
        <v>2.0</v>
      </c>
      <c r="N1158" s="88">
        <v>9.9</v>
      </c>
    </row>
    <row r="1159">
      <c r="A1159" s="89"/>
      <c r="B1159" s="89"/>
      <c r="C1159" s="90"/>
      <c r="D1159" s="89"/>
      <c r="E1159" s="89"/>
      <c r="F1159" s="89"/>
      <c r="G1159" s="89"/>
      <c r="H1159" s="89"/>
      <c r="I1159" s="89"/>
      <c r="J1159" s="91">
        <f t="shared" ref="J1159:M1159" si="158">SUM(J1157:J1158)</f>
        <v>89.98</v>
      </c>
      <c r="K1159" s="91">
        <f t="shared" si="158"/>
        <v>19.79</v>
      </c>
      <c r="L1159" s="91">
        <f t="shared" si="158"/>
        <v>70.19</v>
      </c>
      <c r="M1159" s="89">
        <f t="shared" si="158"/>
        <v>46</v>
      </c>
      <c r="N1159" s="91">
        <f>K1159/M1159</f>
        <v>0.4302173913</v>
      </c>
    </row>
    <row r="1160">
      <c r="A1160" s="86" t="s">
        <v>56</v>
      </c>
      <c r="B1160" s="86" t="s">
        <v>643</v>
      </c>
      <c r="C1160" s="86">
        <v>38.0</v>
      </c>
      <c r="D1160" s="86" t="s">
        <v>1446</v>
      </c>
      <c r="E1160" s="86" t="s">
        <v>21</v>
      </c>
      <c r="F1160" s="87">
        <v>35691.0</v>
      </c>
      <c r="G1160" s="87">
        <v>40538.0</v>
      </c>
      <c r="H1160" s="87">
        <v>45950.0</v>
      </c>
      <c r="I1160" s="87">
        <v>45951.0</v>
      </c>
      <c r="J1160" s="88">
        <v>4.99</v>
      </c>
      <c r="K1160" s="88">
        <v>4.99</v>
      </c>
      <c r="L1160" s="88">
        <v>0.0</v>
      </c>
      <c r="M1160" s="86">
        <v>25.0</v>
      </c>
      <c r="N1160" s="88">
        <v>0.2</v>
      </c>
    </row>
    <row r="1161">
      <c r="A1161" s="86" t="s">
        <v>56</v>
      </c>
      <c r="B1161" s="86"/>
      <c r="C1161" s="86">
        <v>39.0</v>
      </c>
      <c r="D1161" s="86" t="s">
        <v>1450</v>
      </c>
      <c r="E1161" s="86" t="s">
        <v>21</v>
      </c>
      <c r="F1161" s="87">
        <v>36126.0</v>
      </c>
      <c r="G1161" s="87">
        <v>40696.0</v>
      </c>
      <c r="H1161" s="87">
        <v>45951.0</v>
      </c>
      <c r="I1161" s="87">
        <v>45953.0</v>
      </c>
      <c r="J1161" s="88">
        <v>4.99</v>
      </c>
      <c r="K1161" s="88">
        <v>4.99</v>
      </c>
      <c r="L1161" s="88">
        <v>0.0</v>
      </c>
      <c r="M1161" s="86">
        <v>30.0</v>
      </c>
      <c r="N1161" s="88">
        <v>0.17</v>
      </c>
    </row>
    <row r="1162">
      <c r="A1162" s="93" t="s">
        <v>56</v>
      </c>
      <c r="B1162" s="86"/>
      <c r="C1162" s="86">
        <v>317.0</v>
      </c>
      <c r="D1162" s="86" t="s">
        <v>1528</v>
      </c>
      <c r="E1162" s="86" t="s">
        <v>24</v>
      </c>
      <c r="F1162" s="87">
        <v>40898.0</v>
      </c>
      <c r="G1162" s="87">
        <v>40929.0</v>
      </c>
      <c r="H1162" s="87">
        <v>40929.0</v>
      </c>
      <c r="I1162" s="87">
        <v>41309.0</v>
      </c>
      <c r="J1162" s="88">
        <v>12.99</v>
      </c>
      <c r="K1162" s="88">
        <v>12.99</v>
      </c>
      <c r="L1162" s="88">
        <v>0.0</v>
      </c>
      <c r="M1162" s="86">
        <v>45.0</v>
      </c>
      <c r="N1162" s="88">
        <v>0.29</v>
      </c>
    </row>
    <row r="1163">
      <c r="A1163" s="93" t="s">
        <v>56</v>
      </c>
      <c r="B1163" s="86"/>
      <c r="C1163" s="86">
        <v>318.0</v>
      </c>
      <c r="D1163" s="86" t="s">
        <v>1543</v>
      </c>
      <c r="E1163" s="86" t="s">
        <v>24</v>
      </c>
      <c r="F1163" s="87">
        <v>41262.0</v>
      </c>
      <c r="G1163" s="87">
        <v>41305.0</v>
      </c>
      <c r="H1163" s="87">
        <v>41305.0</v>
      </c>
      <c r="I1163" s="87">
        <v>44760.0</v>
      </c>
      <c r="J1163" s="88">
        <v>8.99</v>
      </c>
      <c r="K1163" s="88">
        <v>8.99</v>
      </c>
      <c r="L1163" s="88">
        <v>0.0</v>
      </c>
      <c r="M1163" s="86">
        <v>30.0</v>
      </c>
      <c r="N1163" s="88">
        <v>0.3</v>
      </c>
    </row>
    <row r="1164">
      <c r="A1164" s="86" t="s">
        <v>56</v>
      </c>
      <c r="B1164" s="86"/>
      <c r="C1164" s="86">
        <v>777.0</v>
      </c>
      <c r="D1164" s="86" t="s">
        <v>1678</v>
      </c>
      <c r="E1164" s="86" t="s">
        <v>26</v>
      </c>
      <c r="F1164" s="87">
        <v>44292.0</v>
      </c>
      <c r="G1164" s="87">
        <v>44292.0</v>
      </c>
      <c r="H1164" s="87">
        <v>44307.0</v>
      </c>
      <c r="I1164" s="87">
        <v>45954.0</v>
      </c>
      <c r="J1164" s="88">
        <v>49.99</v>
      </c>
      <c r="K1164" s="88">
        <v>49.99</v>
      </c>
      <c r="L1164" s="88">
        <v>0.0</v>
      </c>
      <c r="M1164" s="86">
        <v>8.0</v>
      </c>
      <c r="N1164" s="88">
        <v>6.25</v>
      </c>
    </row>
    <row r="1165">
      <c r="A1165" s="89"/>
      <c r="B1165" s="89"/>
      <c r="C1165" s="90"/>
      <c r="D1165" s="89"/>
      <c r="E1165" s="89"/>
      <c r="F1165" s="89"/>
      <c r="G1165" s="89"/>
      <c r="H1165" s="89"/>
      <c r="I1165" s="89"/>
      <c r="J1165" s="91">
        <f t="shared" ref="J1165:M1165" si="159">SUM(J1160:J1164)</f>
        <v>81.95</v>
      </c>
      <c r="K1165" s="91">
        <f t="shared" si="159"/>
        <v>81.95</v>
      </c>
      <c r="L1165" s="91">
        <f t="shared" si="159"/>
        <v>0</v>
      </c>
      <c r="M1165" s="89">
        <f t="shared" si="159"/>
        <v>138</v>
      </c>
      <c r="N1165" s="91">
        <f>K1165/M1165</f>
        <v>0.5938405797</v>
      </c>
    </row>
    <row r="1166">
      <c r="A1166" s="86" t="s">
        <v>56</v>
      </c>
      <c r="B1166" s="86" t="s">
        <v>644</v>
      </c>
      <c r="C1166" s="86">
        <v>438.0</v>
      </c>
      <c r="D1166" s="86" t="s">
        <v>1571</v>
      </c>
      <c r="E1166" s="86" t="s">
        <v>25</v>
      </c>
      <c r="F1166" s="87">
        <v>42018.0</v>
      </c>
      <c r="G1166" s="87">
        <v>42036.0</v>
      </c>
      <c r="H1166" s="87">
        <v>42193.0</v>
      </c>
      <c r="I1166" s="87">
        <v>44948.0</v>
      </c>
      <c r="J1166" s="88">
        <v>0.0</v>
      </c>
      <c r="K1166" s="88">
        <v>0.0</v>
      </c>
      <c r="L1166" s="88">
        <v>0.0</v>
      </c>
      <c r="M1166" s="86">
        <v>10.0</v>
      </c>
      <c r="N1166" s="88">
        <v>0.0</v>
      </c>
    </row>
    <row r="1167">
      <c r="A1167" s="86" t="s">
        <v>56</v>
      </c>
      <c r="B1167" s="86" t="s">
        <v>645</v>
      </c>
      <c r="C1167" s="86">
        <v>728.0</v>
      </c>
      <c r="D1167" s="94" t="s">
        <v>1650</v>
      </c>
      <c r="E1167" s="94" t="s">
        <v>26</v>
      </c>
      <c r="F1167" s="87">
        <v>43763.0</v>
      </c>
      <c r="G1167" s="87">
        <v>43717.0</v>
      </c>
      <c r="H1167" s="87">
        <v>43764.0</v>
      </c>
      <c r="I1167" s="87">
        <v>44132.0</v>
      </c>
      <c r="J1167" s="88">
        <v>29.99</v>
      </c>
      <c r="K1167" s="88">
        <v>29.99</v>
      </c>
      <c r="L1167" s="88">
        <v>0.0</v>
      </c>
      <c r="M1167" s="86">
        <v>29.0</v>
      </c>
      <c r="N1167" s="88">
        <v>1.03</v>
      </c>
    </row>
    <row r="1168">
      <c r="A1168" s="86" t="s">
        <v>56</v>
      </c>
      <c r="B1168" s="86" t="s">
        <v>646</v>
      </c>
      <c r="C1168" s="86">
        <v>1013.0</v>
      </c>
      <c r="D1168" s="86" t="s">
        <v>1712</v>
      </c>
      <c r="E1168" s="86" t="s">
        <v>27</v>
      </c>
      <c r="F1168" s="87">
        <v>42656.0</v>
      </c>
      <c r="G1168" s="87">
        <v>43475.0</v>
      </c>
      <c r="H1168" s="87">
        <v>43475.0</v>
      </c>
      <c r="I1168" s="87">
        <v>43475.0</v>
      </c>
      <c r="J1168" s="88">
        <v>19.99</v>
      </c>
      <c r="K1168" s="88">
        <v>19.99</v>
      </c>
      <c r="L1168" s="88">
        <v>0.0</v>
      </c>
      <c r="M1168" s="86">
        <v>4.0</v>
      </c>
      <c r="N1168" s="88">
        <v>5.0</v>
      </c>
    </row>
    <row r="1169">
      <c r="A1169" s="86" t="s">
        <v>56</v>
      </c>
      <c r="B1169" s="86"/>
      <c r="C1169" s="86">
        <v>1026.0</v>
      </c>
      <c r="D1169" s="86" t="s">
        <v>1725</v>
      </c>
      <c r="E1169" s="86" t="s">
        <v>27</v>
      </c>
      <c r="F1169" s="87">
        <v>43200.0</v>
      </c>
      <c r="G1169" s="87">
        <v>43475.0</v>
      </c>
      <c r="H1169" s="87">
        <v>43475.0</v>
      </c>
      <c r="I1169" s="87">
        <v>43475.0</v>
      </c>
      <c r="J1169" s="88">
        <v>29.99</v>
      </c>
      <c r="K1169" s="88">
        <v>29.99</v>
      </c>
      <c r="L1169" s="88">
        <v>0.0</v>
      </c>
      <c r="M1169" s="86">
        <v>1.0</v>
      </c>
      <c r="N1169" s="88">
        <v>29.99</v>
      </c>
    </row>
    <row r="1170">
      <c r="A1170" s="89"/>
      <c r="B1170" s="89"/>
      <c r="C1170" s="90"/>
      <c r="D1170" s="89"/>
      <c r="E1170" s="89"/>
      <c r="F1170" s="89"/>
      <c r="G1170" s="89"/>
      <c r="H1170" s="89"/>
      <c r="I1170" s="89"/>
      <c r="J1170" s="91">
        <f t="shared" ref="J1170:M1170" si="160">SUM(J1168:J1169)</f>
        <v>49.98</v>
      </c>
      <c r="K1170" s="91">
        <f t="shared" si="160"/>
        <v>49.98</v>
      </c>
      <c r="L1170" s="91">
        <f t="shared" si="160"/>
        <v>0</v>
      </c>
      <c r="M1170" s="89">
        <f t="shared" si="160"/>
        <v>5</v>
      </c>
      <c r="N1170" s="91">
        <f>K1170/M1170</f>
        <v>9.996</v>
      </c>
    </row>
    <row r="1171">
      <c r="A1171" s="92" t="s">
        <v>56</v>
      </c>
      <c r="B1171" s="86" t="s">
        <v>647</v>
      </c>
      <c r="C1171" s="86">
        <v>86.0</v>
      </c>
      <c r="D1171" s="86" t="s">
        <v>1472</v>
      </c>
      <c r="E1171" s="86" t="s">
        <v>22</v>
      </c>
      <c r="F1171" s="87">
        <v>38527.0</v>
      </c>
      <c r="G1171" s="87">
        <v>42832.0</v>
      </c>
      <c r="H1171" s="87">
        <v>42832.0</v>
      </c>
      <c r="I1171" s="87">
        <v>44076.0</v>
      </c>
      <c r="J1171" s="88">
        <v>19.99</v>
      </c>
      <c r="K1171" s="88">
        <v>7.99</v>
      </c>
      <c r="L1171" s="88">
        <v>12.0</v>
      </c>
      <c r="M1171" s="86">
        <v>18.0</v>
      </c>
      <c r="N1171" s="88">
        <v>0.44</v>
      </c>
    </row>
    <row r="1172">
      <c r="A1172" s="92" t="s">
        <v>56</v>
      </c>
      <c r="B1172" s="86"/>
      <c r="C1172" s="86">
        <v>87.0</v>
      </c>
      <c r="D1172" s="86" t="s">
        <v>1481</v>
      </c>
      <c r="E1172" s="86" t="s">
        <v>22</v>
      </c>
      <c r="F1172" s="87">
        <v>39010.0</v>
      </c>
      <c r="G1172" s="87">
        <v>42832.0</v>
      </c>
      <c r="H1172" s="87">
        <v>43095.0</v>
      </c>
      <c r="I1172" s="87">
        <v>44083.0</v>
      </c>
      <c r="J1172" s="88">
        <v>19.99</v>
      </c>
      <c r="K1172" s="88">
        <v>7.99</v>
      </c>
      <c r="L1172" s="88">
        <v>12.0</v>
      </c>
      <c r="M1172" s="86">
        <v>23.0</v>
      </c>
      <c r="N1172" s="88">
        <v>0.35</v>
      </c>
    </row>
    <row r="1173">
      <c r="A1173" s="89"/>
      <c r="B1173" s="89"/>
      <c r="C1173" s="90"/>
      <c r="D1173" s="89"/>
      <c r="E1173" s="89"/>
      <c r="F1173" s="89"/>
      <c r="G1173" s="89"/>
      <c r="H1173" s="89"/>
      <c r="I1173" s="89"/>
      <c r="J1173" s="91">
        <f t="shared" ref="J1173:M1173" si="161">SUM(J1171:J1172)</f>
        <v>39.98</v>
      </c>
      <c r="K1173" s="91">
        <f t="shared" si="161"/>
        <v>15.98</v>
      </c>
      <c r="L1173" s="91">
        <f t="shared" si="161"/>
        <v>24</v>
      </c>
      <c r="M1173" s="89">
        <f t="shared" si="161"/>
        <v>41</v>
      </c>
      <c r="N1173" s="91">
        <f>K1173/M1173</f>
        <v>0.3897560976</v>
      </c>
    </row>
    <row r="1174">
      <c r="A1174" s="92" t="s">
        <v>56</v>
      </c>
      <c r="B1174" s="86" t="s">
        <v>648</v>
      </c>
      <c r="C1174" s="86">
        <v>139.0</v>
      </c>
      <c r="D1174" s="86" t="s">
        <v>1484</v>
      </c>
      <c r="E1174" s="86" t="s">
        <v>22</v>
      </c>
      <c r="F1174" s="87">
        <v>39325.0</v>
      </c>
      <c r="G1174" s="87">
        <v>44300.0</v>
      </c>
      <c r="H1174" s="87">
        <v>44300.0</v>
      </c>
      <c r="I1174" s="87">
        <v>44300.0</v>
      </c>
      <c r="J1174" s="88">
        <v>9.99</v>
      </c>
      <c r="K1174" s="88">
        <v>9.99</v>
      </c>
      <c r="L1174" s="88">
        <v>0.0</v>
      </c>
      <c r="M1174" s="86">
        <v>1.0</v>
      </c>
      <c r="N1174" s="88">
        <v>9.99</v>
      </c>
    </row>
    <row r="1175">
      <c r="A1175" s="86" t="s">
        <v>56</v>
      </c>
      <c r="B1175" s="86" t="s">
        <v>649</v>
      </c>
      <c r="C1175" s="86">
        <v>513.0</v>
      </c>
      <c r="D1175" s="86" t="s">
        <v>1607</v>
      </c>
      <c r="E1175" s="86" t="s">
        <v>26</v>
      </c>
      <c r="F1175" s="87">
        <v>42605.0</v>
      </c>
      <c r="G1175" s="87">
        <v>44180.0</v>
      </c>
      <c r="H1175" s="87">
        <v>44180.0</v>
      </c>
      <c r="I1175" s="87">
        <v>44180.0</v>
      </c>
      <c r="J1175" s="88">
        <v>9.99</v>
      </c>
      <c r="K1175" s="88">
        <v>1.99</v>
      </c>
      <c r="L1175" s="88">
        <v>8.0</v>
      </c>
      <c r="M1175" s="86">
        <v>2.0</v>
      </c>
      <c r="N1175" s="88">
        <v>1.0</v>
      </c>
    </row>
    <row r="1176">
      <c r="A1176" s="86" t="s">
        <v>56</v>
      </c>
      <c r="B1176" s="86" t="s">
        <v>650</v>
      </c>
      <c r="C1176" s="86">
        <v>609.0</v>
      </c>
      <c r="D1176" s="86" t="s">
        <v>1586</v>
      </c>
      <c r="E1176" s="86" t="s">
        <v>26</v>
      </c>
      <c r="F1176" s="87">
        <v>41800.0</v>
      </c>
      <c r="G1176" s="87">
        <v>42925.0</v>
      </c>
      <c r="H1176" s="87">
        <v>42925.0</v>
      </c>
      <c r="I1176" s="87">
        <v>42925.0</v>
      </c>
      <c r="J1176" s="88">
        <v>7.99</v>
      </c>
      <c r="K1176" s="88">
        <v>1.99</v>
      </c>
      <c r="L1176" s="88">
        <v>6.0</v>
      </c>
      <c r="M1176" s="86">
        <v>1.0</v>
      </c>
      <c r="N1176" s="88">
        <v>1.99</v>
      </c>
    </row>
    <row r="1177">
      <c r="A1177" s="86" t="s">
        <v>56</v>
      </c>
      <c r="B1177" s="86"/>
      <c r="C1177" s="86">
        <v>556.0</v>
      </c>
      <c r="D1177" s="86" t="s">
        <v>1648</v>
      </c>
      <c r="E1177" s="86" t="s">
        <v>26</v>
      </c>
      <c r="F1177" s="87">
        <v>43746.0</v>
      </c>
      <c r="G1177" s="87">
        <v>43903.0</v>
      </c>
      <c r="H1177" s="87">
        <v>43912.0</v>
      </c>
      <c r="I1177" s="87">
        <v>44375.0</v>
      </c>
      <c r="J1177" s="88">
        <v>29.99</v>
      </c>
      <c r="K1177" s="88">
        <v>23.99</v>
      </c>
      <c r="L1177" s="88">
        <v>6.0</v>
      </c>
      <c r="M1177" s="86">
        <v>12.0</v>
      </c>
      <c r="N1177" s="88">
        <v>2.0</v>
      </c>
    </row>
    <row r="1178">
      <c r="A1178" s="89"/>
      <c r="B1178" s="89"/>
      <c r="C1178" s="90"/>
      <c r="D1178" s="89"/>
      <c r="E1178" s="89"/>
      <c r="F1178" s="89"/>
      <c r="G1178" s="89"/>
      <c r="H1178" s="89"/>
      <c r="I1178" s="89"/>
      <c r="J1178" s="91">
        <f t="shared" ref="J1178:M1178" si="162">SUM(J1176:J1177)</f>
        <v>37.98</v>
      </c>
      <c r="K1178" s="91">
        <f t="shared" si="162"/>
        <v>25.98</v>
      </c>
      <c r="L1178" s="91">
        <f t="shared" si="162"/>
        <v>12</v>
      </c>
      <c r="M1178" s="89">
        <f t="shared" si="162"/>
        <v>13</v>
      </c>
      <c r="N1178" s="91">
        <f>K1178/M1178</f>
        <v>1.998461538</v>
      </c>
    </row>
    <row r="1179">
      <c r="A1179" s="86" t="s">
        <v>56</v>
      </c>
      <c r="B1179" s="86" t="s">
        <v>651</v>
      </c>
      <c r="C1179" s="86">
        <v>648.0</v>
      </c>
      <c r="D1179" s="86" t="s">
        <v>1670</v>
      </c>
      <c r="E1179" s="86" t="s">
        <v>26</v>
      </c>
      <c r="F1179" s="87">
        <v>44118.0</v>
      </c>
      <c r="G1179" s="87">
        <v>44923.0</v>
      </c>
      <c r="H1179" s="87">
        <v>44945.0</v>
      </c>
      <c r="I1179" s="87">
        <v>44949.0</v>
      </c>
      <c r="J1179" s="88">
        <v>16.99</v>
      </c>
      <c r="K1179" s="88">
        <v>0.0</v>
      </c>
      <c r="L1179" s="88">
        <v>16.99</v>
      </c>
      <c r="M1179" s="86">
        <v>6.0</v>
      </c>
      <c r="N1179" s="88">
        <v>0.0</v>
      </c>
    </row>
    <row r="1180">
      <c r="A1180" s="86" t="s">
        <v>56</v>
      </c>
      <c r="B1180" s="86" t="s">
        <v>652</v>
      </c>
      <c r="C1180" s="86">
        <v>1021.0</v>
      </c>
      <c r="D1180" s="86" t="s">
        <v>1722</v>
      </c>
      <c r="E1180" s="86" t="s">
        <v>27</v>
      </c>
      <c r="F1180" s="87">
        <v>43158.0</v>
      </c>
      <c r="G1180" s="87">
        <v>43468.0</v>
      </c>
      <c r="H1180" s="87">
        <v>43543.0</v>
      </c>
      <c r="I1180" s="87">
        <v>43543.0</v>
      </c>
      <c r="J1180" s="88">
        <v>29.99</v>
      </c>
      <c r="K1180" s="88">
        <v>17.99</v>
      </c>
      <c r="L1180" s="88">
        <v>12.0</v>
      </c>
      <c r="M1180" s="86">
        <v>2.0</v>
      </c>
      <c r="N1180" s="88">
        <v>9.0</v>
      </c>
    </row>
    <row r="1181">
      <c r="A1181" s="86" t="s">
        <v>56</v>
      </c>
      <c r="B1181" s="86" t="s">
        <v>653</v>
      </c>
      <c r="C1181" s="86">
        <v>794.0</v>
      </c>
      <c r="D1181" s="86" t="s">
        <v>1649</v>
      </c>
      <c r="E1181" s="86" t="s">
        <v>26</v>
      </c>
      <c r="F1181" s="87">
        <v>43756.0</v>
      </c>
      <c r="G1181" s="87">
        <v>43964.0</v>
      </c>
      <c r="H1181" s="87">
        <v>44195.0</v>
      </c>
      <c r="I1181" s="87">
        <v>44197.0</v>
      </c>
      <c r="J1181" s="88">
        <v>39.99</v>
      </c>
      <c r="K1181" s="88">
        <v>24.99</v>
      </c>
      <c r="L1181" s="88">
        <v>15.0</v>
      </c>
      <c r="M1181" s="86">
        <v>65.0</v>
      </c>
      <c r="N1181" s="88">
        <v>0.38</v>
      </c>
    </row>
    <row r="1182">
      <c r="A1182" s="86" t="s">
        <v>56</v>
      </c>
      <c r="B1182" s="86" t="s">
        <v>654</v>
      </c>
      <c r="C1182" s="86">
        <v>818.0</v>
      </c>
      <c r="D1182" s="86" t="s">
        <v>1591</v>
      </c>
      <c r="E1182" s="86" t="s">
        <v>26</v>
      </c>
      <c r="F1182" s="87">
        <v>42192.0</v>
      </c>
      <c r="G1182" s="87">
        <v>42754.0</v>
      </c>
      <c r="H1182" s="87">
        <v>42760.0</v>
      </c>
      <c r="I1182" s="87">
        <v>45809.0</v>
      </c>
      <c r="J1182" s="88">
        <v>34.58</v>
      </c>
      <c r="K1182" s="88">
        <v>26.58</v>
      </c>
      <c r="L1182" s="88">
        <v>8.0</v>
      </c>
      <c r="M1182" s="86">
        <v>260.0</v>
      </c>
      <c r="N1182" s="88">
        <v>0.1</v>
      </c>
    </row>
    <row r="1183">
      <c r="A1183" s="93" t="s">
        <v>56</v>
      </c>
      <c r="B1183" s="93" t="s">
        <v>655</v>
      </c>
      <c r="C1183" s="86">
        <v>1077.0</v>
      </c>
      <c r="D1183" s="86" t="s">
        <v>1740</v>
      </c>
      <c r="E1183" s="86" t="s">
        <v>28</v>
      </c>
      <c r="F1183" s="87">
        <v>45377.0</v>
      </c>
      <c r="G1183" s="87">
        <v>45602.0</v>
      </c>
      <c r="H1183" s="87">
        <v>45651.0</v>
      </c>
      <c r="I1183" s="87">
        <v>45653.0</v>
      </c>
      <c r="J1183" s="94">
        <v>29.99</v>
      </c>
      <c r="K1183" s="94">
        <v>19.49</v>
      </c>
      <c r="L1183" s="94">
        <v>10.5</v>
      </c>
      <c r="M1183" s="86">
        <v>9.0</v>
      </c>
      <c r="N1183" s="88">
        <v>2.17</v>
      </c>
    </row>
    <row r="1184">
      <c r="A1184" s="86" t="s">
        <v>56</v>
      </c>
      <c r="B1184" s="86" t="s">
        <v>656</v>
      </c>
      <c r="C1184" s="86">
        <v>347.0</v>
      </c>
      <c r="D1184" s="86" t="s">
        <v>1523</v>
      </c>
      <c r="E1184" s="86" t="s">
        <v>24</v>
      </c>
      <c r="F1184" s="87">
        <v>40835.0</v>
      </c>
      <c r="G1184" s="87">
        <v>42336.0</v>
      </c>
      <c r="H1184" s="87">
        <v>42336.0</v>
      </c>
      <c r="I1184" s="87">
        <v>44944.0</v>
      </c>
      <c r="J1184" s="88">
        <v>7.99</v>
      </c>
      <c r="K1184" s="88">
        <v>7.99</v>
      </c>
      <c r="L1184" s="88">
        <v>0.0</v>
      </c>
      <c r="M1184" s="86">
        <v>10.0</v>
      </c>
      <c r="N1184" s="88">
        <v>0.8</v>
      </c>
    </row>
    <row r="1185">
      <c r="A1185" s="93" t="s">
        <v>56</v>
      </c>
      <c r="B1185" s="86" t="s">
        <v>657</v>
      </c>
      <c r="C1185" s="86">
        <v>383.0</v>
      </c>
      <c r="D1185" s="86" t="s">
        <v>1550</v>
      </c>
      <c r="E1185" s="86" t="s">
        <v>24</v>
      </c>
      <c r="F1185" s="87">
        <v>41409.0</v>
      </c>
      <c r="G1185" s="87">
        <v>42330.0</v>
      </c>
      <c r="H1185" s="87">
        <v>42330.0</v>
      </c>
      <c r="I1185" s="87">
        <v>44943.0</v>
      </c>
      <c r="J1185" s="88">
        <v>33.98</v>
      </c>
      <c r="K1185" s="88">
        <v>15.49</v>
      </c>
      <c r="L1185" s="88">
        <v>18.49</v>
      </c>
      <c r="M1185" s="86">
        <v>1.0</v>
      </c>
      <c r="N1185" s="88">
        <v>15.49</v>
      </c>
    </row>
    <row r="1186">
      <c r="A1186" s="86" t="s">
        <v>56</v>
      </c>
      <c r="B1186" s="86" t="s">
        <v>658</v>
      </c>
      <c r="C1186" s="86">
        <v>157.0</v>
      </c>
      <c r="D1186" s="86" t="s">
        <v>1486</v>
      </c>
      <c r="E1186" s="86" t="s">
        <v>23</v>
      </c>
      <c r="F1186" s="87">
        <v>38820.0</v>
      </c>
      <c r="G1186" s="87">
        <v>43014.0</v>
      </c>
      <c r="H1186" s="87">
        <v>45476.0</v>
      </c>
      <c r="I1186" s="87">
        <v>45478.0</v>
      </c>
      <c r="J1186" s="88">
        <v>7.99</v>
      </c>
      <c r="K1186" s="88">
        <v>2.99</v>
      </c>
      <c r="L1186" s="88">
        <v>5.0</v>
      </c>
      <c r="M1186" s="86">
        <v>10.0</v>
      </c>
      <c r="N1186" s="88">
        <v>0.3</v>
      </c>
    </row>
    <row r="1187">
      <c r="A1187" s="86" t="s">
        <v>56</v>
      </c>
      <c r="B1187" s="86" t="s">
        <v>659</v>
      </c>
      <c r="C1187" s="86">
        <v>1033.0</v>
      </c>
      <c r="D1187" s="86" t="s">
        <v>1716</v>
      </c>
      <c r="E1187" s="86" t="s">
        <v>27</v>
      </c>
      <c r="F1187" s="87">
        <v>42885.0</v>
      </c>
      <c r="G1187" s="87">
        <v>43472.0</v>
      </c>
      <c r="H1187" s="87">
        <v>43543.0</v>
      </c>
      <c r="I1187" s="87">
        <v>43543.0</v>
      </c>
      <c r="J1187" s="88">
        <v>24.99</v>
      </c>
      <c r="K1187" s="88">
        <v>19.99</v>
      </c>
      <c r="L1187" s="88">
        <v>5.0</v>
      </c>
      <c r="M1187" s="86">
        <v>1.0</v>
      </c>
      <c r="N1187" s="88">
        <v>19.99</v>
      </c>
    </row>
    <row r="1188">
      <c r="A1188" s="86" t="s">
        <v>56</v>
      </c>
      <c r="B1188" s="86" t="s">
        <v>660</v>
      </c>
      <c r="C1188" s="86">
        <v>510.0</v>
      </c>
      <c r="D1188" s="86" t="s">
        <v>1642</v>
      </c>
      <c r="E1188" s="86" t="s">
        <v>26</v>
      </c>
      <c r="F1188" s="87">
        <v>43500.0</v>
      </c>
      <c r="G1188" s="87">
        <v>44914.0</v>
      </c>
      <c r="H1188" s="87">
        <v>44914.0</v>
      </c>
      <c r="I1188" s="87">
        <v>44914.0</v>
      </c>
      <c r="J1188" s="88">
        <v>0.0</v>
      </c>
      <c r="K1188" s="88">
        <v>0.0</v>
      </c>
      <c r="L1188" s="88">
        <v>0.0</v>
      </c>
      <c r="M1188" s="86">
        <v>1.0</v>
      </c>
      <c r="N1188" s="88">
        <v>0.0</v>
      </c>
    </row>
    <row r="1189">
      <c r="A1189" s="86" t="s">
        <v>56</v>
      </c>
      <c r="B1189" s="86"/>
      <c r="C1189" s="86">
        <v>857.0</v>
      </c>
      <c r="D1189" s="86" t="s">
        <v>1655</v>
      </c>
      <c r="E1189" s="86" t="s">
        <v>26</v>
      </c>
      <c r="F1189" s="87">
        <v>43784.0</v>
      </c>
      <c r="G1189" s="87">
        <v>44594.0</v>
      </c>
      <c r="H1189" s="87">
        <v>45522.0</v>
      </c>
      <c r="I1189" s="87">
        <v>45522.0</v>
      </c>
      <c r="J1189" s="88">
        <v>49.99</v>
      </c>
      <c r="K1189" s="88">
        <v>17.49</v>
      </c>
      <c r="L1189" s="88">
        <v>32.5</v>
      </c>
      <c r="M1189" s="86">
        <v>1.0</v>
      </c>
      <c r="N1189" s="88">
        <v>17.49</v>
      </c>
    </row>
    <row r="1190">
      <c r="A1190" s="89"/>
      <c r="B1190" s="89"/>
      <c r="C1190" s="90"/>
      <c r="D1190" s="89"/>
      <c r="E1190" s="89"/>
      <c r="F1190" s="89"/>
      <c r="G1190" s="89"/>
      <c r="H1190" s="89"/>
      <c r="I1190" s="89"/>
      <c r="J1190" s="91">
        <f t="shared" ref="J1190:M1190" si="163">SUM(J1188:J1189)</f>
        <v>49.99</v>
      </c>
      <c r="K1190" s="91">
        <f t="shared" si="163"/>
        <v>17.49</v>
      </c>
      <c r="L1190" s="91">
        <f t="shared" si="163"/>
        <v>32.5</v>
      </c>
      <c r="M1190" s="89">
        <f t="shared" si="163"/>
        <v>2</v>
      </c>
      <c r="N1190" s="91">
        <f>K1190/M1190</f>
        <v>8.745</v>
      </c>
    </row>
    <row r="1191">
      <c r="A1191" s="93" t="s">
        <v>56</v>
      </c>
      <c r="B1191" s="86" t="s">
        <v>661</v>
      </c>
      <c r="C1191" s="86">
        <v>408.0</v>
      </c>
      <c r="D1191" s="86" t="s">
        <v>1534</v>
      </c>
      <c r="E1191" s="86" t="s">
        <v>24</v>
      </c>
      <c r="F1191" s="87">
        <v>41149.0</v>
      </c>
      <c r="G1191" s="87">
        <v>41694.0</v>
      </c>
      <c r="H1191" s="87">
        <v>41694.0</v>
      </c>
      <c r="I1191" s="87">
        <v>44793.0</v>
      </c>
      <c r="J1191" s="88">
        <v>14.99</v>
      </c>
      <c r="K1191" s="88">
        <v>9.99</v>
      </c>
      <c r="L1191" s="88">
        <v>5.0</v>
      </c>
      <c r="M1191" s="86">
        <v>12.0</v>
      </c>
      <c r="N1191" s="88">
        <v>0.83</v>
      </c>
    </row>
    <row r="1192">
      <c r="A1192" s="92" t="s">
        <v>56</v>
      </c>
      <c r="B1192" s="86" t="s">
        <v>662</v>
      </c>
      <c r="C1192" s="86">
        <v>129.0</v>
      </c>
      <c r="D1192" s="86" t="s">
        <v>1468</v>
      </c>
      <c r="E1192" s="86" t="s">
        <v>22</v>
      </c>
      <c r="F1192" s="87">
        <v>38149.0</v>
      </c>
      <c r="G1192" s="87">
        <v>42950.0</v>
      </c>
      <c r="H1192" s="87">
        <v>42950.0</v>
      </c>
      <c r="I1192" s="87">
        <v>42950.0</v>
      </c>
      <c r="J1192" s="88">
        <v>13.99</v>
      </c>
      <c r="K1192" s="88">
        <v>5.99</v>
      </c>
      <c r="L1192" s="88">
        <v>8.0</v>
      </c>
      <c r="M1192" s="86">
        <v>1.0</v>
      </c>
      <c r="N1192" s="88">
        <v>5.99</v>
      </c>
    </row>
    <row r="1193">
      <c r="A1193" s="93" t="s">
        <v>56</v>
      </c>
      <c r="B1193" s="86"/>
      <c r="C1193" s="86">
        <v>338.0</v>
      </c>
      <c r="D1193" s="86" t="s">
        <v>1511</v>
      </c>
      <c r="E1193" s="86" t="s">
        <v>24</v>
      </c>
      <c r="F1193" s="87">
        <v>40319.0</v>
      </c>
      <c r="G1193" s="87">
        <v>44091.0</v>
      </c>
      <c r="H1193" s="87">
        <v>44417.0</v>
      </c>
      <c r="I1193" s="87">
        <v>44423.0</v>
      </c>
      <c r="J1193" s="88">
        <v>44.98</v>
      </c>
      <c r="K1193" s="88">
        <v>18.0</v>
      </c>
      <c r="L1193" s="88">
        <v>26.98</v>
      </c>
      <c r="M1193" s="86">
        <v>50.0</v>
      </c>
      <c r="N1193" s="88">
        <v>0.36</v>
      </c>
    </row>
    <row r="1194">
      <c r="A1194" s="86" t="s">
        <v>56</v>
      </c>
      <c r="B1194" s="86"/>
      <c r="C1194" s="86">
        <v>806.0</v>
      </c>
      <c r="D1194" s="86" t="s">
        <v>1635</v>
      </c>
      <c r="E1194" s="86" t="s">
        <v>26</v>
      </c>
      <c r="F1194" s="87">
        <v>43399.0</v>
      </c>
      <c r="G1194" s="87">
        <v>43749.0</v>
      </c>
      <c r="H1194" s="87">
        <v>43822.0</v>
      </c>
      <c r="I1194" s="87">
        <v>43881.0</v>
      </c>
      <c r="J1194" s="88">
        <v>69.99</v>
      </c>
      <c r="K1194" s="88">
        <v>34.99</v>
      </c>
      <c r="L1194" s="88">
        <v>35.0</v>
      </c>
      <c r="M1194" s="86">
        <v>62.0</v>
      </c>
      <c r="N1194" s="88">
        <v>0.56</v>
      </c>
    </row>
    <row r="1195">
      <c r="A1195" s="89"/>
      <c r="B1195" s="89"/>
      <c r="C1195" s="90"/>
      <c r="D1195" s="89"/>
      <c r="E1195" s="89"/>
      <c r="F1195" s="89"/>
      <c r="G1195" s="89"/>
      <c r="H1195" s="89"/>
      <c r="I1195" s="89"/>
      <c r="J1195" s="91">
        <f t="shared" ref="J1195:M1195" si="164">SUM(J1192:J1194)</f>
        <v>128.96</v>
      </c>
      <c r="K1195" s="91">
        <f t="shared" si="164"/>
        <v>58.98</v>
      </c>
      <c r="L1195" s="91">
        <f t="shared" si="164"/>
        <v>69.98</v>
      </c>
      <c r="M1195" s="89">
        <f t="shared" si="164"/>
        <v>113</v>
      </c>
      <c r="N1195" s="91">
        <f>K1195/M1195</f>
        <v>0.5219469027</v>
      </c>
    </row>
    <row r="1196">
      <c r="A1196" s="86" t="s">
        <v>56</v>
      </c>
      <c r="B1196" s="86" t="s">
        <v>663</v>
      </c>
      <c r="C1196" s="86">
        <v>798.0</v>
      </c>
      <c r="D1196" s="86" t="s">
        <v>1677</v>
      </c>
      <c r="E1196" s="86" t="s">
        <v>26</v>
      </c>
      <c r="F1196" s="87">
        <v>44260.0</v>
      </c>
      <c r="G1196" s="87">
        <v>44708.0</v>
      </c>
      <c r="H1196" s="87">
        <v>44858.0</v>
      </c>
      <c r="I1196" s="87">
        <v>44860.0</v>
      </c>
      <c r="J1196" s="88">
        <v>9.99</v>
      </c>
      <c r="K1196" s="88">
        <v>3.49</v>
      </c>
      <c r="L1196" s="88">
        <v>6.5</v>
      </c>
      <c r="M1196" s="86">
        <v>8.0</v>
      </c>
      <c r="N1196" s="88">
        <v>0.44</v>
      </c>
    </row>
    <row r="1197">
      <c r="A1197" s="86" t="s">
        <v>56</v>
      </c>
      <c r="B1197" s="86"/>
      <c r="C1197" s="86">
        <v>799.0</v>
      </c>
      <c r="D1197" s="86" t="s">
        <v>1696</v>
      </c>
      <c r="E1197" s="86" t="s">
        <v>26</v>
      </c>
      <c r="F1197" s="87">
        <v>45006.0</v>
      </c>
      <c r="G1197" s="87">
        <v>45014.0</v>
      </c>
      <c r="H1197" s="87">
        <v>45015.0</v>
      </c>
      <c r="I1197" s="87">
        <v>45015.0</v>
      </c>
      <c r="J1197" s="88">
        <v>44.99</v>
      </c>
      <c r="K1197" s="88">
        <v>0.0</v>
      </c>
      <c r="L1197" s="88">
        <v>44.99</v>
      </c>
      <c r="M1197" s="86">
        <v>2.0</v>
      </c>
      <c r="N1197" s="88">
        <v>0.0</v>
      </c>
    </row>
    <row r="1198">
      <c r="A1198" s="89"/>
      <c r="B1198" s="89"/>
      <c r="C1198" s="90"/>
      <c r="D1198" s="89"/>
      <c r="E1198" s="89"/>
      <c r="F1198" s="89"/>
      <c r="G1198" s="89"/>
      <c r="H1198" s="89"/>
      <c r="I1198" s="89"/>
      <c r="J1198" s="91">
        <f t="shared" ref="J1198:M1198" si="165">SUM(J1196:J1197)</f>
        <v>54.98</v>
      </c>
      <c r="K1198" s="91">
        <f t="shared" si="165"/>
        <v>3.49</v>
      </c>
      <c r="L1198" s="91">
        <f t="shared" si="165"/>
        <v>51.49</v>
      </c>
      <c r="M1198" s="89">
        <f t="shared" si="165"/>
        <v>10</v>
      </c>
      <c r="N1198" s="91">
        <f>K1198/M1198</f>
        <v>0.349</v>
      </c>
    </row>
    <row r="1199">
      <c r="A1199" s="86" t="s">
        <v>56</v>
      </c>
      <c r="B1199" s="86" t="s">
        <v>664</v>
      </c>
      <c r="C1199" s="86">
        <v>974.0</v>
      </c>
      <c r="D1199" s="86" t="s">
        <v>1665</v>
      </c>
      <c r="E1199" s="86" t="s">
        <v>26</v>
      </c>
      <c r="F1199" s="87">
        <v>44092.0</v>
      </c>
      <c r="G1199" s="87">
        <v>44383.0</v>
      </c>
      <c r="H1199" s="87">
        <v>44450.0</v>
      </c>
      <c r="I1199" s="87">
        <v>44451.0</v>
      </c>
      <c r="J1199" s="88">
        <v>39.99</v>
      </c>
      <c r="K1199" s="88">
        <v>0.0</v>
      </c>
      <c r="L1199" s="88">
        <v>39.99</v>
      </c>
      <c r="M1199" s="86">
        <v>3.0</v>
      </c>
      <c r="N1199" s="88">
        <v>0.0</v>
      </c>
    </row>
    <row r="1200">
      <c r="A1200" s="86" t="s">
        <v>56</v>
      </c>
      <c r="B1200" s="86" t="s">
        <v>665</v>
      </c>
      <c r="C1200" s="86">
        <v>450.0</v>
      </c>
      <c r="D1200" s="86" t="s">
        <v>1566</v>
      </c>
      <c r="E1200" s="86" t="s">
        <v>25</v>
      </c>
      <c r="F1200" s="87">
        <v>40961.0</v>
      </c>
      <c r="G1200" s="87">
        <v>42326.0</v>
      </c>
      <c r="H1200" s="87">
        <v>42328.0</v>
      </c>
      <c r="I1200" s="87">
        <v>44955.0</v>
      </c>
      <c r="J1200" s="88">
        <v>14.99</v>
      </c>
      <c r="K1200" s="88">
        <v>14.99</v>
      </c>
      <c r="L1200" s="88">
        <v>0.0</v>
      </c>
      <c r="M1200" s="86">
        <v>25.0</v>
      </c>
      <c r="N1200" s="88">
        <v>0.6</v>
      </c>
    </row>
    <row r="1201">
      <c r="A1201" s="86" t="s">
        <v>56</v>
      </c>
      <c r="B1201" s="86"/>
      <c r="C1201" s="86">
        <v>753.0</v>
      </c>
      <c r="D1201" s="86" t="s">
        <v>1705</v>
      </c>
      <c r="E1201" s="86" t="s">
        <v>26</v>
      </c>
      <c r="F1201" s="87">
        <v>45370.0</v>
      </c>
      <c r="G1201" s="87">
        <v>45538.0</v>
      </c>
      <c r="H1201" s="87">
        <v>45538.0</v>
      </c>
      <c r="I1201" s="87">
        <v>45538.0</v>
      </c>
      <c r="J1201" s="94">
        <v>69.99</v>
      </c>
      <c r="K1201" s="94">
        <v>0.0</v>
      </c>
      <c r="L1201" s="88">
        <v>69.99</v>
      </c>
      <c r="M1201" s="86">
        <v>1.0</v>
      </c>
      <c r="N1201" s="88">
        <v>0.0</v>
      </c>
    </row>
    <row r="1202">
      <c r="A1202" s="89"/>
      <c r="B1202" s="89"/>
      <c r="C1202" s="90"/>
      <c r="D1202" s="89"/>
      <c r="E1202" s="89"/>
      <c r="F1202" s="89"/>
      <c r="G1202" s="89"/>
      <c r="H1202" s="89"/>
      <c r="I1202" s="89"/>
      <c r="J1202" s="91">
        <f t="shared" ref="J1202:M1202" si="166">SUM(J1200:J1201)</f>
        <v>84.98</v>
      </c>
      <c r="K1202" s="91">
        <f t="shared" si="166"/>
        <v>14.99</v>
      </c>
      <c r="L1202" s="91">
        <f t="shared" si="166"/>
        <v>69.99</v>
      </c>
      <c r="M1202" s="89">
        <f t="shared" si="166"/>
        <v>26</v>
      </c>
      <c r="N1202" s="91">
        <f>K1202/M1202</f>
        <v>0.5765384615</v>
      </c>
    </row>
    <row r="1203">
      <c r="A1203" s="92" t="s">
        <v>56</v>
      </c>
      <c r="B1203" s="86" t="s">
        <v>666</v>
      </c>
      <c r="C1203" s="86">
        <v>96.0</v>
      </c>
      <c r="D1203" s="86" t="s">
        <v>1473</v>
      </c>
      <c r="E1203" s="86" t="s">
        <v>22</v>
      </c>
      <c r="F1203" s="87">
        <v>38541.0</v>
      </c>
      <c r="G1203" s="87">
        <v>43014.0</v>
      </c>
      <c r="H1203" s="87">
        <v>45127.0</v>
      </c>
      <c r="I1203" s="87">
        <v>45133.0</v>
      </c>
      <c r="J1203" s="88">
        <v>12.99</v>
      </c>
      <c r="K1203" s="88">
        <v>4.99</v>
      </c>
      <c r="L1203" s="88">
        <v>8.0</v>
      </c>
      <c r="M1203" s="86">
        <v>25.0</v>
      </c>
      <c r="N1203" s="88">
        <v>0.2</v>
      </c>
    </row>
    <row r="1204">
      <c r="A1204" s="92" t="s">
        <v>56</v>
      </c>
      <c r="B1204" s="86"/>
      <c r="C1204" s="86">
        <v>97.0</v>
      </c>
      <c r="D1204" s="86" t="s">
        <v>1482</v>
      </c>
      <c r="E1204" s="86" t="s">
        <v>22</v>
      </c>
      <c r="F1204" s="87">
        <v>39199.0</v>
      </c>
      <c r="G1204" s="87">
        <v>43014.0</v>
      </c>
      <c r="H1204" s="87">
        <v>45134.0</v>
      </c>
      <c r="I1204" s="87">
        <v>45134.0</v>
      </c>
      <c r="J1204" s="88">
        <v>12.0</v>
      </c>
      <c r="K1204" s="88">
        <v>3.0</v>
      </c>
      <c r="L1204" s="88">
        <v>9.0</v>
      </c>
      <c r="M1204" s="86">
        <v>5.0</v>
      </c>
      <c r="N1204" s="88">
        <v>0.6</v>
      </c>
    </row>
    <row r="1205">
      <c r="A1205" s="93" t="s">
        <v>56</v>
      </c>
      <c r="B1205" s="86"/>
      <c r="C1205" s="86">
        <v>254.0</v>
      </c>
      <c r="D1205" s="86" t="s">
        <v>1509</v>
      </c>
      <c r="E1205" s="86" t="s">
        <v>24</v>
      </c>
      <c r="F1205" s="87">
        <v>40256.0</v>
      </c>
      <c r="G1205" s="87">
        <v>43014.0</v>
      </c>
      <c r="H1205" s="87">
        <v>43014.0</v>
      </c>
      <c r="I1205" s="87">
        <v>43014.0</v>
      </c>
      <c r="J1205" s="88">
        <v>19.99</v>
      </c>
      <c r="K1205" s="88">
        <v>9.99</v>
      </c>
      <c r="L1205" s="88">
        <v>10.0</v>
      </c>
      <c r="M1205" s="86">
        <v>1.0</v>
      </c>
      <c r="N1205" s="88">
        <v>9.99</v>
      </c>
    </row>
    <row r="1206">
      <c r="A1206" s="86" t="s">
        <v>56</v>
      </c>
      <c r="B1206" s="86"/>
      <c r="C1206" s="86">
        <v>644.0</v>
      </c>
      <c r="D1206" s="86" t="s">
        <v>1627</v>
      </c>
      <c r="E1206" s="86" t="s">
        <v>26</v>
      </c>
      <c r="F1206" s="87">
        <v>43210.0</v>
      </c>
      <c r="G1206" s="87">
        <v>44334.0</v>
      </c>
      <c r="H1206" s="87">
        <v>44395.0</v>
      </c>
      <c r="I1206" s="87">
        <v>44406.0</v>
      </c>
      <c r="J1206" s="88">
        <v>19.99</v>
      </c>
      <c r="K1206" s="88">
        <v>0.0</v>
      </c>
      <c r="L1206" s="88">
        <v>19.99</v>
      </c>
      <c r="M1206" s="86">
        <v>44.0</v>
      </c>
      <c r="N1206" s="88">
        <v>0.0</v>
      </c>
    </row>
    <row r="1207">
      <c r="A1207" s="93" t="s">
        <v>56</v>
      </c>
      <c r="B1207" s="93"/>
      <c r="C1207" s="86">
        <v>645.0</v>
      </c>
      <c r="D1207" s="86" t="s">
        <v>1693</v>
      </c>
      <c r="E1207" s="86" t="s">
        <v>26</v>
      </c>
      <c r="F1207" s="87">
        <v>44874.0</v>
      </c>
      <c r="G1207" s="87">
        <v>45651.0</v>
      </c>
      <c r="H1207" s="87">
        <v>45651.0</v>
      </c>
      <c r="I1207" s="87">
        <v>45651.0</v>
      </c>
      <c r="J1207" s="94">
        <v>79.99</v>
      </c>
      <c r="K1207" s="94">
        <v>0.0</v>
      </c>
      <c r="L1207" s="94">
        <v>79.99</v>
      </c>
      <c r="M1207" s="86">
        <v>1.0</v>
      </c>
      <c r="N1207" s="94">
        <v>0.0</v>
      </c>
    </row>
    <row r="1208">
      <c r="A1208" s="89"/>
      <c r="B1208" s="89"/>
      <c r="C1208" s="90"/>
      <c r="D1208" s="89"/>
      <c r="E1208" s="89"/>
      <c r="F1208" s="89"/>
      <c r="G1208" s="89"/>
      <c r="H1208" s="89"/>
      <c r="I1208" s="89"/>
      <c r="J1208" s="91">
        <f t="shared" ref="J1208:M1208" si="167">SUM(J1203:J1207)</f>
        <v>144.96</v>
      </c>
      <c r="K1208" s="91">
        <f t="shared" si="167"/>
        <v>17.98</v>
      </c>
      <c r="L1208" s="91">
        <f t="shared" si="167"/>
        <v>126.98</v>
      </c>
      <c r="M1208" s="89">
        <f t="shared" si="167"/>
        <v>76</v>
      </c>
      <c r="N1208" s="91">
        <f>K1208/M1208</f>
        <v>0.2365789474</v>
      </c>
    </row>
    <row r="1209">
      <c r="A1209" s="93" t="s">
        <v>56</v>
      </c>
      <c r="B1209" s="86" t="s">
        <v>667</v>
      </c>
      <c r="C1209" s="86">
        <v>195.0</v>
      </c>
      <c r="D1209" s="86" t="s">
        <v>1547</v>
      </c>
      <c r="E1209" s="86" t="s">
        <v>24</v>
      </c>
      <c r="F1209" s="87">
        <v>41361.0</v>
      </c>
      <c r="G1209" s="87">
        <v>44285.0</v>
      </c>
      <c r="H1209" s="87">
        <v>45022.0</v>
      </c>
      <c r="I1209" s="87">
        <v>45053.0</v>
      </c>
      <c r="J1209" s="88">
        <v>1.99</v>
      </c>
      <c r="K1209" s="88">
        <v>1.99</v>
      </c>
      <c r="L1209" s="88">
        <v>0.0</v>
      </c>
      <c r="M1209" s="86">
        <v>5.0</v>
      </c>
      <c r="N1209" s="88">
        <v>0.4</v>
      </c>
    </row>
    <row r="1210">
      <c r="A1210" s="93" t="s">
        <v>56</v>
      </c>
      <c r="B1210" s="86"/>
      <c r="C1210" s="86">
        <v>362.0</v>
      </c>
      <c r="D1210" s="86" t="s">
        <v>1548</v>
      </c>
      <c r="E1210" s="86" t="s">
        <v>24</v>
      </c>
      <c r="F1210" s="87">
        <v>41361.0</v>
      </c>
      <c r="G1210" s="87">
        <v>43014.0</v>
      </c>
      <c r="H1210" s="87">
        <v>45028.0</v>
      </c>
      <c r="I1210" s="87">
        <v>45041.0</v>
      </c>
      <c r="J1210" s="88">
        <v>14.99</v>
      </c>
      <c r="K1210" s="88">
        <v>4.99</v>
      </c>
      <c r="L1210" s="88">
        <v>10.0</v>
      </c>
      <c r="M1210" s="86">
        <v>30.0</v>
      </c>
      <c r="N1210" s="88">
        <v>0.17</v>
      </c>
    </row>
    <row r="1211">
      <c r="A1211" s="89"/>
      <c r="B1211" s="89"/>
      <c r="C1211" s="90"/>
      <c r="D1211" s="89"/>
      <c r="E1211" s="89"/>
      <c r="F1211" s="89"/>
      <c r="G1211" s="89"/>
      <c r="H1211" s="89"/>
      <c r="I1211" s="89"/>
      <c r="J1211" s="91">
        <f t="shared" ref="J1211:M1211" si="168">SUM(J1209:J1210)</f>
        <v>16.98</v>
      </c>
      <c r="K1211" s="91">
        <f t="shared" si="168"/>
        <v>6.98</v>
      </c>
      <c r="L1211" s="91">
        <f t="shared" si="168"/>
        <v>10</v>
      </c>
      <c r="M1211" s="89">
        <f t="shared" si="168"/>
        <v>35</v>
      </c>
      <c r="N1211" s="91">
        <f>K1211/M1211</f>
        <v>0.1994285714</v>
      </c>
    </row>
    <row r="1212">
      <c r="A1212" s="86" t="s">
        <v>56</v>
      </c>
      <c r="B1212" s="86" t="s">
        <v>668</v>
      </c>
      <c r="C1212" s="86">
        <v>1011.0</v>
      </c>
      <c r="D1212" s="86" t="s">
        <v>1714</v>
      </c>
      <c r="E1212" s="86" t="s">
        <v>27</v>
      </c>
      <c r="F1212" s="87">
        <v>42717.0</v>
      </c>
      <c r="G1212" s="87">
        <v>43468.0</v>
      </c>
      <c r="H1212" s="87">
        <v>43542.0</v>
      </c>
      <c r="I1212" s="87">
        <v>43542.0</v>
      </c>
      <c r="J1212" s="88">
        <v>24.99</v>
      </c>
      <c r="K1212" s="88">
        <v>12.49</v>
      </c>
      <c r="L1212" s="88">
        <v>12.5</v>
      </c>
      <c r="M1212" s="86">
        <v>1.0</v>
      </c>
      <c r="N1212" s="88">
        <v>12.49</v>
      </c>
    </row>
    <row r="1213">
      <c r="A1213" s="86" t="s">
        <v>56</v>
      </c>
      <c r="B1213" s="86"/>
      <c r="C1213" s="86">
        <v>1012.0</v>
      </c>
      <c r="D1213" s="86" t="s">
        <v>1733</v>
      </c>
      <c r="E1213" s="86" t="s">
        <v>27</v>
      </c>
      <c r="F1213" s="87">
        <v>44432.0</v>
      </c>
      <c r="G1213" s="87">
        <v>44555.0</v>
      </c>
      <c r="H1213" s="87">
        <v>44555.0</v>
      </c>
      <c r="I1213" s="87">
        <v>44555.0</v>
      </c>
      <c r="J1213" s="88">
        <v>24.99</v>
      </c>
      <c r="K1213" s="88">
        <v>0.0</v>
      </c>
      <c r="L1213" s="88">
        <v>24.99</v>
      </c>
      <c r="M1213" s="86">
        <v>1.0</v>
      </c>
      <c r="N1213" s="88">
        <v>0.0</v>
      </c>
    </row>
    <row r="1214">
      <c r="A1214" s="89"/>
      <c r="B1214" s="89"/>
      <c r="C1214" s="90"/>
      <c r="D1214" s="89"/>
      <c r="E1214" s="89"/>
      <c r="F1214" s="89"/>
      <c r="G1214" s="89"/>
      <c r="H1214" s="89"/>
      <c r="I1214" s="89"/>
      <c r="J1214" s="91">
        <f t="shared" ref="J1214:M1214" si="169">SUM(J1212:J1213)</f>
        <v>49.98</v>
      </c>
      <c r="K1214" s="91">
        <f t="shared" si="169"/>
        <v>12.49</v>
      </c>
      <c r="L1214" s="91">
        <f t="shared" si="169"/>
        <v>37.49</v>
      </c>
      <c r="M1214" s="89">
        <f t="shared" si="169"/>
        <v>2</v>
      </c>
      <c r="N1214" s="91">
        <f>K1214/M1214</f>
        <v>6.245</v>
      </c>
    </row>
    <row r="1215">
      <c r="A1215" s="86" t="s">
        <v>56</v>
      </c>
      <c r="B1215" s="86" t="s">
        <v>669</v>
      </c>
      <c r="C1215" s="86">
        <v>1053.0</v>
      </c>
      <c r="D1215" s="86" t="s">
        <v>1741</v>
      </c>
      <c r="E1215" s="86" t="s">
        <v>28</v>
      </c>
      <c r="F1215" s="87">
        <v>45421.0</v>
      </c>
      <c r="G1215" s="87">
        <v>45542.0</v>
      </c>
      <c r="H1215" s="87">
        <v>45563.0</v>
      </c>
      <c r="I1215" s="87">
        <v>45563.0</v>
      </c>
      <c r="J1215" s="94">
        <v>24.99</v>
      </c>
      <c r="K1215" s="94">
        <v>0.0</v>
      </c>
      <c r="L1215" s="88">
        <v>24.99</v>
      </c>
      <c r="M1215" s="86">
        <v>1.0</v>
      </c>
      <c r="N1215" s="88">
        <v>0.0</v>
      </c>
    </row>
    <row r="1216">
      <c r="A1216" s="92" t="s">
        <v>56</v>
      </c>
      <c r="B1216" s="86" t="s">
        <v>670</v>
      </c>
      <c r="C1216" s="86">
        <v>72.0</v>
      </c>
      <c r="D1216" s="86" t="s">
        <v>1442</v>
      </c>
      <c r="E1216" s="86" t="s">
        <v>21</v>
      </c>
      <c r="F1216" s="87">
        <v>35080.0</v>
      </c>
      <c r="G1216" s="87">
        <v>43014.0</v>
      </c>
      <c r="H1216" s="87">
        <v>43014.0</v>
      </c>
      <c r="I1216" s="87">
        <v>43014.0</v>
      </c>
      <c r="J1216" s="88">
        <v>4.99</v>
      </c>
      <c r="K1216" s="88">
        <v>1.99</v>
      </c>
      <c r="L1216" s="88">
        <v>3.0</v>
      </c>
      <c r="M1216" s="86">
        <v>1.0</v>
      </c>
      <c r="N1216" s="88">
        <v>1.99</v>
      </c>
    </row>
    <row r="1217">
      <c r="A1217" s="86" t="s">
        <v>56</v>
      </c>
      <c r="B1217" s="86" t="s">
        <v>671</v>
      </c>
      <c r="C1217" s="86">
        <v>919.0</v>
      </c>
      <c r="D1217" s="86" t="s">
        <v>1675</v>
      </c>
      <c r="E1217" s="86" t="s">
        <v>26</v>
      </c>
      <c r="F1217" s="87">
        <v>44225.0</v>
      </c>
      <c r="G1217" s="87">
        <v>44349.0</v>
      </c>
      <c r="H1217" s="87">
        <v>44350.0</v>
      </c>
      <c r="I1217" s="87">
        <v>44704.0</v>
      </c>
      <c r="J1217" s="88">
        <v>15.99</v>
      </c>
      <c r="K1217" s="88">
        <v>10.39</v>
      </c>
      <c r="L1217" s="88">
        <v>5.6</v>
      </c>
      <c r="M1217" s="86">
        <v>4.0</v>
      </c>
      <c r="N1217" s="88">
        <v>2.6</v>
      </c>
    </row>
    <row r="1218">
      <c r="A1218" s="86" t="s">
        <v>56</v>
      </c>
      <c r="B1218" s="86" t="s">
        <v>672</v>
      </c>
      <c r="C1218" s="86">
        <v>1039.0</v>
      </c>
      <c r="D1218" s="86" t="s">
        <v>1730</v>
      </c>
      <c r="E1218" s="86" t="s">
        <v>27</v>
      </c>
      <c r="F1218" s="87">
        <v>43956.0</v>
      </c>
      <c r="G1218" s="87">
        <v>44502.0</v>
      </c>
      <c r="H1218" s="87">
        <v>44502.0</v>
      </c>
      <c r="I1218" s="87">
        <v>44502.0</v>
      </c>
      <c r="J1218" s="88">
        <v>39.99</v>
      </c>
      <c r="K1218" s="88">
        <v>0.0</v>
      </c>
      <c r="L1218" s="88">
        <v>39.99</v>
      </c>
      <c r="M1218" s="86">
        <v>1.0</v>
      </c>
      <c r="N1218" s="88">
        <v>0.0</v>
      </c>
    </row>
    <row r="1219">
      <c r="A1219" s="86" t="s">
        <v>56</v>
      </c>
      <c r="B1219" s="86" t="s">
        <v>673</v>
      </c>
      <c r="C1219" s="86">
        <v>947.0</v>
      </c>
      <c r="D1219" s="86" t="s">
        <v>1695</v>
      </c>
      <c r="E1219" s="86" t="s">
        <v>26</v>
      </c>
      <c r="F1219" s="87">
        <v>44915.0</v>
      </c>
      <c r="G1219" s="87">
        <v>45058.0</v>
      </c>
      <c r="H1219" s="87">
        <v>45229.0</v>
      </c>
      <c r="I1219" s="87">
        <v>45230.0</v>
      </c>
      <c r="J1219" s="88">
        <v>14.99</v>
      </c>
      <c r="K1219" s="88">
        <v>11.24</v>
      </c>
      <c r="L1219" s="88">
        <v>3.75</v>
      </c>
      <c r="M1219" s="86">
        <v>4.0</v>
      </c>
      <c r="N1219" s="88">
        <v>2.81</v>
      </c>
    </row>
    <row r="1220">
      <c r="A1220" s="86" t="s">
        <v>56</v>
      </c>
      <c r="B1220" s="86" t="s">
        <v>674</v>
      </c>
      <c r="C1220" s="86">
        <v>902.0</v>
      </c>
      <c r="D1220" s="86" t="s">
        <v>1589</v>
      </c>
      <c r="E1220" s="86" t="s">
        <v>26</v>
      </c>
      <c r="F1220" s="87">
        <v>41990.0</v>
      </c>
      <c r="G1220" s="87">
        <v>42635.0</v>
      </c>
      <c r="H1220" s="87">
        <v>42635.0</v>
      </c>
      <c r="I1220" s="87">
        <v>42635.0</v>
      </c>
      <c r="J1220" s="88">
        <v>39.99</v>
      </c>
      <c r="K1220" s="88">
        <v>5.99</v>
      </c>
      <c r="L1220" s="88">
        <v>34.0</v>
      </c>
      <c r="M1220" s="86">
        <v>1.0</v>
      </c>
      <c r="N1220" s="88">
        <v>5.99</v>
      </c>
    </row>
    <row r="1221">
      <c r="A1221" s="92" t="s">
        <v>56</v>
      </c>
      <c r="B1221" s="86" t="s">
        <v>675</v>
      </c>
      <c r="C1221" s="86">
        <v>42.0</v>
      </c>
      <c r="D1221" s="86" t="s">
        <v>1445</v>
      </c>
      <c r="E1221" s="86" t="s">
        <v>21</v>
      </c>
      <c r="F1221" s="87">
        <v>35615.0</v>
      </c>
      <c r="G1221" s="87">
        <v>43014.0</v>
      </c>
      <c r="H1221" s="87">
        <v>43014.0</v>
      </c>
      <c r="I1221" s="87">
        <v>43014.0</v>
      </c>
      <c r="J1221" s="88">
        <v>4.99</v>
      </c>
      <c r="K1221" s="88">
        <v>1.99</v>
      </c>
      <c r="L1221" s="88">
        <v>3.0</v>
      </c>
      <c r="M1221" s="86">
        <v>1.0</v>
      </c>
      <c r="N1221" s="88">
        <v>1.99</v>
      </c>
    </row>
    <row r="1222">
      <c r="A1222" s="86" t="s">
        <v>56</v>
      </c>
      <c r="B1222" s="86" t="s">
        <v>676</v>
      </c>
      <c r="C1222" s="86">
        <v>945.0</v>
      </c>
      <c r="D1222" s="86" t="s">
        <v>1646</v>
      </c>
      <c r="E1222" s="86" t="s">
        <v>26</v>
      </c>
      <c r="F1222" s="87">
        <v>43616.0</v>
      </c>
      <c r="G1222" s="87">
        <v>44446.0</v>
      </c>
      <c r="H1222" s="87">
        <v>44449.0</v>
      </c>
      <c r="I1222" s="87">
        <v>44450.0</v>
      </c>
      <c r="J1222" s="88">
        <v>29.99</v>
      </c>
      <c r="K1222" s="88">
        <v>0.0</v>
      </c>
      <c r="L1222" s="88">
        <v>29.99</v>
      </c>
      <c r="M1222" s="86">
        <v>13.0</v>
      </c>
      <c r="N1222" s="88">
        <v>0.0</v>
      </c>
    </row>
    <row r="1223">
      <c r="A1223" s="93" t="s">
        <v>56</v>
      </c>
      <c r="B1223" s="93"/>
      <c r="C1223" s="93">
        <v>658.0</v>
      </c>
      <c r="D1223" s="93" t="s">
        <v>1702</v>
      </c>
      <c r="E1223" s="93" t="s">
        <v>26</v>
      </c>
      <c r="F1223" s="98">
        <v>45129.0</v>
      </c>
      <c r="G1223" s="98">
        <v>45692.0</v>
      </c>
      <c r="H1223" s="98">
        <v>45700.0</v>
      </c>
      <c r="I1223" s="98">
        <v>45991.0</v>
      </c>
      <c r="J1223" s="99">
        <v>39.99</v>
      </c>
      <c r="K1223" s="99">
        <v>0.0</v>
      </c>
      <c r="L1223" s="97">
        <v>39.99</v>
      </c>
      <c r="M1223" s="93">
        <v>37.0</v>
      </c>
      <c r="N1223" s="97">
        <v>0.0</v>
      </c>
    </row>
    <row r="1224">
      <c r="A1224" s="93" t="s">
        <v>56</v>
      </c>
      <c r="B1224" s="93"/>
      <c r="C1224" s="86">
        <v>982.0</v>
      </c>
      <c r="D1224" s="86" t="s">
        <v>1720</v>
      </c>
      <c r="E1224" s="86" t="s">
        <v>27</v>
      </c>
      <c r="F1224" s="87">
        <v>43088.0</v>
      </c>
      <c r="G1224" s="87">
        <v>44433.0</v>
      </c>
      <c r="H1224" s="87">
        <v>44436.0</v>
      </c>
      <c r="I1224" s="87">
        <v>44437.0</v>
      </c>
      <c r="J1224" s="94">
        <v>11.99</v>
      </c>
      <c r="K1224" s="94">
        <v>4.79</v>
      </c>
      <c r="L1224" s="88">
        <v>7.2</v>
      </c>
      <c r="M1224" s="86">
        <v>3.0</v>
      </c>
      <c r="N1224" s="88">
        <v>1.6</v>
      </c>
    </row>
    <row r="1225">
      <c r="A1225" s="89"/>
      <c r="B1225" s="89"/>
      <c r="C1225" s="90"/>
      <c r="D1225" s="89"/>
      <c r="E1225" s="89"/>
      <c r="F1225" s="89"/>
      <c r="G1225" s="89"/>
      <c r="H1225" s="89"/>
      <c r="I1225" s="89"/>
      <c r="J1225" s="91">
        <f t="shared" ref="J1225:M1225" si="170">SUM(J1222:J1224)</f>
        <v>81.97</v>
      </c>
      <c r="K1225" s="91">
        <f t="shared" si="170"/>
        <v>4.79</v>
      </c>
      <c r="L1225" s="91">
        <f t="shared" si="170"/>
        <v>77.18</v>
      </c>
      <c r="M1225" s="89">
        <f t="shared" si="170"/>
        <v>53</v>
      </c>
      <c r="N1225" s="91">
        <f>K1225/M1225</f>
        <v>0.09037735849</v>
      </c>
    </row>
    <row r="1226">
      <c r="A1226" s="86" t="s">
        <v>56</v>
      </c>
      <c r="B1226" s="86" t="s">
        <v>677</v>
      </c>
      <c r="C1226" s="86">
        <v>907.0</v>
      </c>
      <c r="D1226" s="86" t="s">
        <v>1694</v>
      </c>
      <c r="E1226" s="86" t="s">
        <v>26</v>
      </c>
      <c r="F1226" s="87">
        <v>44897.0</v>
      </c>
      <c r="G1226" s="87">
        <v>45202.0</v>
      </c>
      <c r="H1226" s="87">
        <v>45202.0</v>
      </c>
      <c r="I1226" s="87">
        <v>45202.0</v>
      </c>
      <c r="J1226" s="88">
        <v>69.99</v>
      </c>
      <c r="K1226" s="88">
        <v>0.0</v>
      </c>
      <c r="L1226" s="88">
        <v>69.99</v>
      </c>
      <c r="M1226" s="86">
        <v>1.0</v>
      </c>
      <c r="N1226" s="88">
        <v>0.0</v>
      </c>
    </row>
    <row r="1227">
      <c r="A1227" s="86" t="s">
        <v>56</v>
      </c>
      <c r="B1227" s="86" t="s">
        <v>678</v>
      </c>
      <c r="C1227" s="86">
        <v>511.0</v>
      </c>
      <c r="D1227" s="86" t="s">
        <v>1623</v>
      </c>
      <c r="E1227" s="86" t="s">
        <v>26</v>
      </c>
      <c r="F1227" s="87">
        <v>42976.0</v>
      </c>
      <c r="G1227" s="87">
        <v>44621.0</v>
      </c>
      <c r="H1227" s="87">
        <v>44621.0</v>
      </c>
      <c r="I1227" s="87">
        <v>44621.0</v>
      </c>
      <c r="J1227" s="88">
        <v>29.99</v>
      </c>
      <c r="K1227" s="88">
        <v>0.0</v>
      </c>
      <c r="L1227" s="88">
        <v>29.99</v>
      </c>
      <c r="M1227" s="86">
        <v>1.0</v>
      </c>
      <c r="N1227" s="88">
        <v>0.0</v>
      </c>
    </row>
    <row r="1228">
      <c r="A1228" s="92" t="s">
        <v>56</v>
      </c>
      <c r="B1228" s="86" t="s">
        <v>679</v>
      </c>
      <c r="C1228" s="86">
        <v>135.0</v>
      </c>
      <c r="D1228" s="86" t="s">
        <v>1463</v>
      </c>
      <c r="E1228" s="86" t="s">
        <v>22</v>
      </c>
      <c r="F1228" s="87">
        <v>37638.0</v>
      </c>
      <c r="G1228" s="87">
        <v>40832.0</v>
      </c>
      <c r="H1228" s="87">
        <v>40832.0</v>
      </c>
      <c r="I1228" s="87">
        <v>44744.0</v>
      </c>
      <c r="J1228" s="88">
        <v>8.99</v>
      </c>
      <c r="K1228" s="88">
        <v>1.99</v>
      </c>
      <c r="L1228" s="88">
        <v>7.0</v>
      </c>
      <c r="M1228" s="86">
        <v>50.0</v>
      </c>
      <c r="N1228" s="88">
        <v>0.04</v>
      </c>
    </row>
    <row r="1229">
      <c r="A1229" s="92" t="s">
        <v>56</v>
      </c>
      <c r="B1229" s="86"/>
      <c r="C1229" s="86">
        <v>136.0</v>
      </c>
      <c r="D1229" s="86" t="s">
        <v>1469</v>
      </c>
      <c r="E1229" s="86" t="s">
        <v>22</v>
      </c>
      <c r="F1229" s="87">
        <v>38289.0</v>
      </c>
      <c r="G1229" s="87">
        <v>40832.0</v>
      </c>
      <c r="H1229" s="87">
        <v>44744.0</v>
      </c>
      <c r="I1229" s="87">
        <v>44747.0</v>
      </c>
      <c r="J1229" s="88">
        <v>8.0</v>
      </c>
      <c r="K1229" s="88">
        <v>3.0</v>
      </c>
      <c r="L1229" s="88">
        <v>5.0</v>
      </c>
      <c r="M1229" s="86">
        <v>70.0</v>
      </c>
      <c r="N1229" s="88">
        <v>0.04</v>
      </c>
    </row>
    <row r="1230">
      <c r="A1230" s="92" t="s">
        <v>56</v>
      </c>
      <c r="B1230" s="86"/>
      <c r="C1230" s="86">
        <v>137.0</v>
      </c>
      <c r="D1230" s="86" t="s">
        <v>1477</v>
      </c>
      <c r="E1230" s="86" t="s">
        <v>22</v>
      </c>
      <c r="F1230" s="87">
        <v>38674.0</v>
      </c>
      <c r="G1230" s="87">
        <v>40832.0</v>
      </c>
      <c r="H1230" s="87">
        <v>44747.0</v>
      </c>
      <c r="I1230" s="87">
        <v>44750.0</v>
      </c>
      <c r="J1230" s="88">
        <v>8.0</v>
      </c>
      <c r="K1230" s="88">
        <v>3.0</v>
      </c>
      <c r="L1230" s="88">
        <v>5.0</v>
      </c>
      <c r="M1230" s="86">
        <v>65.0</v>
      </c>
      <c r="N1230" s="88">
        <v>0.05</v>
      </c>
    </row>
    <row r="1231">
      <c r="A1231" s="93" t="s">
        <v>56</v>
      </c>
      <c r="B1231" s="86"/>
      <c r="C1231" s="86">
        <v>264.0</v>
      </c>
      <c r="D1231" s="86" t="s">
        <v>1501</v>
      </c>
      <c r="E1231" s="86" t="s">
        <v>24</v>
      </c>
      <c r="F1231" s="87">
        <v>39962.0</v>
      </c>
      <c r="G1231" s="87">
        <v>40706.0</v>
      </c>
      <c r="H1231" s="87">
        <v>40706.0</v>
      </c>
      <c r="I1231" s="87">
        <v>44103.0</v>
      </c>
      <c r="J1231" s="88">
        <v>14.99</v>
      </c>
      <c r="K1231" s="88">
        <v>8.99</v>
      </c>
      <c r="L1231" s="88">
        <v>6.0</v>
      </c>
      <c r="M1231" s="86">
        <v>60.0</v>
      </c>
      <c r="N1231" s="88">
        <v>0.15</v>
      </c>
    </row>
    <row r="1232">
      <c r="A1232" s="93" t="s">
        <v>56</v>
      </c>
      <c r="B1232" s="86"/>
      <c r="C1232" s="86">
        <v>265.0</v>
      </c>
      <c r="D1232" s="86" t="s">
        <v>1518</v>
      </c>
      <c r="E1232" s="86" t="s">
        <v>24</v>
      </c>
      <c r="F1232" s="87">
        <v>40702.0</v>
      </c>
      <c r="G1232" s="87">
        <v>41373.0</v>
      </c>
      <c r="H1232" s="87">
        <v>41373.0</v>
      </c>
      <c r="I1232" s="87">
        <v>44113.0</v>
      </c>
      <c r="J1232" s="88">
        <v>19.99</v>
      </c>
      <c r="K1232" s="88">
        <v>8.0</v>
      </c>
      <c r="L1232" s="88">
        <v>11.99</v>
      </c>
      <c r="M1232" s="86">
        <v>70.0</v>
      </c>
      <c r="N1232" s="88">
        <v>0.11</v>
      </c>
    </row>
    <row r="1233">
      <c r="A1233" s="93" t="s">
        <v>56</v>
      </c>
      <c r="B1233" s="86"/>
      <c r="C1233" s="86">
        <v>266.0</v>
      </c>
      <c r="D1233" s="86" t="s">
        <v>1525</v>
      </c>
      <c r="E1233" s="86" t="s">
        <v>24</v>
      </c>
      <c r="F1233" s="87">
        <v>40842.0</v>
      </c>
      <c r="G1233" s="87">
        <v>41999.0</v>
      </c>
      <c r="H1233" s="87">
        <v>44113.0</v>
      </c>
      <c r="I1233" s="87">
        <v>44114.0</v>
      </c>
      <c r="J1233" s="88">
        <v>9.99</v>
      </c>
      <c r="K1233" s="88">
        <v>8.0</v>
      </c>
      <c r="L1233" s="88">
        <v>1.99</v>
      </c>
      <c r="M1233" s="86">
        <v>10.0</v>
      </c>
      <c r="N1233" s="88">
        <v>0.8</v>
      </c>
    </row>
    <row r="1234">
      <c r="A1234" s="86" t="s">
        <v>56</v>
      </c>
      <c r="B1234" s="86"/>
      <c r="C1234" s="86">
        <v>673.0</v>
      </c>
      <c r="D1234" s="86" t="s">
        <v>1584</v>
      </c>
      <c r="E1234" s="86" t="s">
        <v>26</v>
      </c>
      <c r="F1234" s="87">
        <v>41719.0</v>
      </c>
      <c r="G1234" s="87">
        <v>42700.0</v>
      </c>
      <c r="H1234" s="87">
        <v>42708.0</v>
      </c>
      <c r="I1234" s="87">
        <v>45159.0</v>
      </c>
      <c r="J1234" s="88">
        <v>25.0</v>
      </c>
      <c r="K1234" s="88">
        <v>6.99</v>
      </c>
      <c r="L1234" s="88">
        <v>18.01</v>
      </c>
      <c r="M1234" s="86">
        <v>25.0</v>
      </c>
      <c r="N1234" s="88">
        <v>0.28</v>
      </c>
    </row>
    <row r="1235">
      <c r="A1235" s="86" t="s">
        <v>56</v>
      </c>
      <c r="B1235" s="86"/>
      <c r="C1235" s="86">
        <v>674.0</v>
      </c>
      <c r="D1235" s="86" t="s">
        <v>1587</v>
      </c>
      <c r="E1235" s="86" t="s">
        <v>26</v>
      </c>
      <c r="F1235" s="87">
        <v>41878.0</v>
      </c>
      <c r="G1235" s="87">
        <v>42700.0</v>
      </c>
      <c r="H1235" s="87">
        <v>45159.0</v>
      </c>
      <c r="I1235" s="87">
        <v>45160.0</v>
      </c>
      <c r="J1235" s="88">
        <v>24.99</v>
      </c>
      <c r="K1235" s="88">
        <v>7.99</v>
      </c>
      <c r="L1235" s="88">
        <v>17.0</v>
      </c>
      <c r="M1235" s="86">
        <v>9.0</v>
      </c>
      <c r="N1235" s="88">
        <v>0.89</v>
      </c>
    </row>
    <row r="1236">
      <c r="A1236" s="86" t="s">
        <v>56</v>
      </c>
      <c r="B1236" s="86"/>
      <c r="C1236" s="86">
        <v>641.0</v>
      </c>
      <c r="D1236" s="86" t="s">
        <v>1660</v>
      </c>
      <c r="E1236" s="86" t="s">
        <v>26</v>
      </c>
      <c r="F1236" s="87">
        <v>44029.0</v>
      </c>
      <c r="G1236" s="87">
        <v>44157.0</v>
      </c>
      <c r="H1236" s="87">
        <v>44163.0</v>
      </c>
      <c r="I1236" s="87">
        <v>44175.0</v>
      </c>
      <c r="J1236" s="88">
        <v>69.99</v>
      </c>
      <c r="K1236" s="88">
        <v>49.69</v>
      </c>
      <c r="L1236" s="88">
        <v>20.3</v>
      </c>
      <c r="M1236" s="86">
        <v>74.0</v>
      </c>
      <c r="N1236" s="88">
        <v>0.67</v>
      </c>
    </row>
    <row r="1237">
      <c r="A1237" s="89"/>
      <c r="B1237" s="89"/>
      <c r="C1237" s="90"/>
      <c r="D1237" s="89"/>
      <c r="E1237" s="95">
        <v>189.94</v>
      </c>
      <c r="F1237" s="95">
        <v>97.65</v>
      </c>
      <c r="G1237" s="95">
        <v>92.29</v>
      </c>
      <c r="H1237" s="96">
        <v>433.0</v>
      </c>
      <c r="I1237" s="95">
        <v>0.23</v>
      </c>
      <c r="J1237" s="91">
        <f t="shared" ref="J1237:M1237" si="171">SUM(J1228:J1236)</f>
        <v>189.94</v>
      </c>
      <c r="K1237" s="91">
        <f t="shared" si="171"/>
        <v>97.65</v>
      </c>
      <c r="L1237" s="91">
        <f t="shared" si="171"/>
        <v>92.29</v>
      </c>
      <c r="M1237" s="89">
        <f t="shared" si="171"/>
        <v>433</v>
      </c>
      <c r="N1237" s="91">
        <f>K1237/M1237</f>
        <v>0.2255196305</v>
      </c>
    </row>
    <row r="1238">
      <c r="A1238" s="93" t="s">
        <v>56</v>
      </c>
      <c r="B1238" s="86" t="s">
        <v>680</v>
      </c>
      <c r="C1238" s="86">
        <v>323.0</v>
      </c>
      <c r="D1238" s="86" t="s">
        <v>1540</v>
      </c>
      <c r="E1238" s="86" t="s">
        <v>24</v>
      </c>
      <c r="F1238" s="87">
        <v>41234.0</v>
      </c>
      <c r="G1238" s="87">
        <v>41480.0</v>
      </c>
      <c r="H1238" s="87">
        <v>41480.0</v>
      </c>
      <c r="I1238" s="87">
        <v>44788.0</v>
      </c>
      <c r="J1238" s="88">
        <v>19.99</v>
      </c>
      <c r="K1238" s="88">
        <v>14.99</v>
      </c>
      <c r="L1238" s="88">
        <v>5.0</v>
      </c>
      <c r="M1238" s="86">
        <v>35.0</v>
      </c>
      <c r="N1238" s="88">
        <v>0.43</v>
      </c>
    </row>
    <row r="1239">
      <c r="A1239" s="86" t="s">
        <v>56</v>
      </c>
      <c r="B1239" s="86" t="s">
        <v>681</v>
      </c>
      <c r="C1239" s="86">
        <v>1032.0</v>
      </c>
      <c r="D1239" s="86" t="s">
        <v>1721</v>
      </c>
      <c r="E1239" s="86" t="s">
        <v>27</v>
      </c>
      <c r="F1239" s="87">
        <v>43144.0</v>
      </c>
      <c r="G1239" s="87">
        <v>43468.0</v>
      </c>
      <c r="H1239" s="87">
        <v>43468.0</v>
      </c>
      <c r="I1239" s="87">
        <v>43468.0</v>
      </c>
      <c r="J1239" s="88">
        <v>24.99</v>
      </c>
      <c r="K1239" s="88">
        <v>7.99</v>
      </c>
      <c r="L1239" s="88">
        <v>17.0</v>
      </c>
      <c r="M1239" s="86">
        <v>1.0</v>
      </c>
      <c r="N1239" s="88">
        <v>7.99</v>
      </c>
    </row>
    <row r="1240">
      <c r="A1240" s="86" t="s">
        <v>56</v>
      </c>
      <c r="B1240" s="86"/>
      <c r="C1240" s="86">
        <v>995.0</v>
      </c>
      <c r="D1240" s="86" t="s">
        <v>1727</v>
      </c>
      <c r="E1240" s="86" t="s">
        <v>27</v>
      </c>
      <c r="F1240" s="87">
        <v>43368.0</v>
      </c>
      <c r="G1240" s="87">
        <v>43548.0</v>
      </c>
      <c r="H1240" s="87">
        <v>43709.0</v>
      </c>
      <c r="I1240" s="87">
        <v>43711.0</v>
      </c>
      <c r="J1240" s="88">
        <v>24.99</v>
      </c>
      <c r="K1240" s="88">
        <v>11.99</v>
      </c>
      <c r="L1240" s="88">
        <v>13.0</v>
      </c>
      <c r="M1240" s="86">
        <v>3.0</v>
      </c>
      <c r="N1240" s="88">
        <v>4.0</v>
      </c>
    </row>
    <row r="1241">
      <c r="A1241" s="89"/>
      <c r="B1241" s="89"/>
      <c r="C1241" s="90"/>
      <c r="D1241" s="89"/>
      <c r="E1241" s="89"/>
      <c r="F1241" s="89"/>
      <c r="G1241" s="89"/>
      <c r="H1241" s="89"/>
      <c r="I1241" s="89"/>
      <c r="J1241" s="91">
        <f t="shared" ref="J1241:M1241" si="172">SUM(J1239:J1240)</f>
        <v>49.98</v>
      </c>
      <c r="K1241" s="91">
        <f t="shared" si="172"/>
        <v>19.98</v>
      </c>
      <c r="L1241" s="91">
        <f t="shared" si="172"/>
        <v>30</v>
      </c>
      <c r="M1241" s="89">
        <f t="shared" si="172"/>
        <v>4</v>
      </c>
      <c r="N1241" s="91">
        <f>K1241/M1241</f>
        <v>4.995</v>
      </c>
    </row>
    <row r="1242">
      <c r="A1242" s="86" t="s">
        <v>56</v>
      </c>
      <c r="B1242" s="86" t="s">
        <v>682</v>
      </c>
      <c r="C1242" s="86">
        <v>473.0</v>
      </c>
      <c r="D1242" s="86" t="s">
        <v>1575</v>
      </c>
      <c r="E1242" s="86" t="s">
        <v>25</v>
      </c>
      <c r="F1242" s="87">
        <v>42283.0</v>
      </c>
      <c r="G1242" s="87">
        <v>42791.0</v>
      </c>
      <c r="H1242" s="87">
        <v>42792.0</v>
      </c>
      <c r="I1242" s="87">
        <v>45055.0</v>
      </c>
      <c r="J1242" s="88">
        <v>15.99</v>
      </c>
      <c r="K1242" s="88">
        <v>5.59</v>
      </c>
      <c r="L1242" s="88">
        <v>10.4</v>
      </c>
      <c r="M1242" s="86">
        <v>5.0</v>
      </c>
      <c r="N1242" s="88">
        <v>1.12</v>
      </c>
    </row>
    <row r="1243">
      <c r="A1243" s="93" t="s">
        <v>56</v>
      </c>
      <c r="B1243" s="93"/>
      <c r="C1243" s="86">
        <v>596.0</v>
      </c>
      <c r="D1243" s="86" t="s">
        <v>1698</v>
      </c>
      <c r="E1243" s="86" t="s">
        <v>26</v>
      </c>
      <c r="F1243" s="87">
        <v>45099.0</v>
      </c>
      <c r="G1243" s="87">
        <v>45693.0</v>
      </c>
      <c r="H1243" s="87">
        <v>45693.0</v>
      </c>
      <c r="I1243" s="87">
        <v>45693.0</v>
      </c>
      <c r="J1243" s="94">
        <v>9.99</v>
      </c>
      <c r="K1243" s="94">
        <v>1.99</v>
      </c>
      <c r="L1243" s="88">
        <v>8.0</v>
      </c>
      <c r="M1243" s="86">
        <v>1.0</v>
      </c>
      <c r="N1243" s="88">
        <v>1.99</v>
      </c>
    </row>
    <row r="1244">
      <c r="A1244" s="89"/>
      <c r="B1244" s="89"/>
      <c r="C1244" s="90"/>
      <c r="D1244" s="89"/>
      <c r="E1244" s="89"/>
      <c r="F1244" s="89"/>
      <c r="G1244" s="89"/>
      <c r="H1244" s="89"/>
      <c r="I1244" s="89"/>
      <c r="J1244" s="91">
        <f t="shared" ref="J1244:M1244" si="173">SUM(J1242:J1243)</f>
        <v>25.98</v>
      </c>
      <c r="K1244" s="91">
        <f t="shared" si="173"/>
        <v>7.58</v>
      </c>
      <c r="L1244" s="91">
        <f t="shared" si="173"/>
        <v>18.4</v>
      </c>
      <c r="M1244" s="89">
        <f t="shared" si="173"/>
        <v>6</v>
      </c>
      <c r="N1244" s="91">
        <f>K1244/M1244</f>
        <v>1.263333333</v>
      </c>
    </row>
    <row r="1245">
      <c r="A1245" s="93" t="s">
        <v>56</v>
      </c>
      <c r="B1245" s="93" t="s">
        <v>683</v>
      </c>
      <c r="C1245" s="86">
        <v>591.0</v>
      </c>
      <c r="D1245" s="86" t="s">
        <v>1682</v>
      </c>
      <c r="E1245" s="94" t="s">
        <v>26</v>
      </c>
      <c r="F1245" s="87">
        <v>44377.0</v>
      </c>
      <c r="G1245" s="87">
        <v>45595.0</v>
      </c>
      <c r="H1245" s="87">
        <v>45644.0</v>
      </c>
      <c r="I1245" s="87">
        <v>45644.0</v>
      </c>
      <c r="J1245" s="94">
        <v>12.49</v>
      </c>
      <c r="K1245" s="94">
        <v>0.0</v>
      </c>
      <c r="L1245" s="94">
        <v>12.49</v>
      </c>
      <c r="M1245" s="86">
        <v>2.0</v>
      </c>
      <c r="N1245" s="88">
        <v>0.0</v>
      </c>
    </row>
    <row r="1246">
      <c r="A1246" s="93" t="s">
        <v>56</v>
      </c>
      <c r="B1246" s="86" t="s">
        <v>684</v>
      </c>
      <c r="C1246" s="86">
        <v>354.0</v>
      </c>
      <c r="D1246" s="86" t="s">
        <v>1510</v>
      </c>
      <c r="E1246" s="86" t="s">
        <v>24</v>
      </c>
      <c r="F1246" s="87">
        <v>40283.0</v>
      </c>
      <c r="G1246" s="87">
        <v>44832.0</v>
      </c>
      <c r="H1246" s="87">
        <v>44832.0</v>
      </c>
      <c r="I1246" s="87">
        <v>44832.0</v>
      </c>
      <c r="J1246" s="88">
        <v>24.99</v>
      </c>
      <c r="K1246" s="88">
        <v>24.99</v>
      </c>
      <c r="L1246" s="94">
        <v>0.0</v>
      </c>
      <c r="M1246" s="86">
        <v>1.0</v>
      </c>
      <c r="N1246" s="88">
        <v>24.99</v>
      </c>
    </row>
    <row r="1247">
      <c r="A1247" s="93" t="s">
        <v>56</v>
      </c>
      <c r="B1247" s="86"/>
      <c r="C1247" s="86">
        <v>187.0</v>
      </c>
      <c r="D1247" s="86" t="s">
        <v>1515</v>
      </c>
      <c r="E1247" s="86" t="s">
        <v>24</v>
      </c>
      <c r="F1247" s="87">
        <v>40563.0</v>
      </c>
      <c r="G1247" s="87">
        <v>41366.0</v>
      </c>
      <c r="H1247" s="87">
        <v>41366.0</v>
      </c>
      <c r="I1247" s="87">
        <v>41368.0</v>
      </c>
      <c r="J1247" s="88">
        <v>12.98</v>
      </c>
      <c r="K1247" s="88">
        <v>12.98</v>
      </c>
      <c r="L1247" s="94">
        <v>0.0</v>
      </c>
      <c r="M1247" s="86">
        <v>3.0</v>
      </c>
      <c r="N1247" s="88">
        <v>4.33</v>
      </c>
    </row>
    <row r="1248">
      <c r="A1248" s="93" t="s">
        <v>56</v>
      </c>
      <c r="B1248" s="86"/>
      <c r="C1248" s="86">
        <v>353.0</v>
      </c>
      <c r="D1248" s="86" t="s">
        <v>1522</v>
      </c>
      <c r="E1248" s="86" t="s">
        <v>24</v>
      </c>
      <c r="F1248" s="87">
        <v>40834.0</v>
      </c>
      <c r="G1248" s="87">
        <v>44836.0</v>
      </c>
      <c r="H1248" s="87">
        <v>44836.0</v>
      </c>
      <c r="I1248" s="87">
        <v>44836.0</v>
      </c>
      <c r="J1248" s="88">
        <v>19.99</v>
      </c>
      <c r="K1248" s="88">
        <v>14.99</v>
      </c>
      <c r="L1248" s="94">
        <v>5.0</v>
      </c>
      <c r="M1248" s="86">
        <v>1.0</v>
      </c>
      <c r="N1248" s="88">
        <v>14.99</v>
      </c>
    </row>
    <row r="1249">
      <c r="A1249" s="93" t="s">
        <v>56</v>
      </c>
      <c r="B1249" s="86"/>
      <c r="C1249" s="86">
        <v>398.0</v>
      </c>
      <c r="D1249" s="86" t="s">
        <v>1532</v>
      </c>
      <c r="E1249" s="86" t="s">
        <v>24</v>
      </c>
      <c r="F1249" s="87">
        <v>41024.0</v>
      </c>
      <c r="G1249" s="87">
        <v>42363.0</v>
      </c>
      <c r="H1249" s="87">
        <v>42364.0</v>
      </c>
      <c r="I1249" s="87">
        <v>42664.0</v>
      </c>
      <c r="J1249" s="88">
        <v>14.99</v>
      </c>
      <c r="K1249" s="88">
        <v>5.99</v>
      </c>
      <c r="L1249" s="94">
        <v>9.0</v>
      </c>
      <c r="M1249" s="86">
        <v>30.0</v>
      </c>
      <c r="N1249" s="88">
        <v>0.2</v>
      </c>
    </row>
    <row r="1250">
      <c r="A1250" s="93" t="s">
        <v>56</v>
      </c>
      <c r="B1250" s="86"/>
      <c r="C1250" s="86">
        <v>400.0</v>
      </c>
      <c r="D1250" s="86" t="s">
        <v>1556</v>
      </c>
      <c r="E1250" s="86" t="s">
        <v>24</v>
      </c>
      <c r="F1250" s="87">
        <v>41563.0</v>
      </c>
      <c r="G1250" s="87">
        <v>42810.0</v>
      </c>
      <c r="H1250" s="87">
        <v>42810.0</v>
      </c>
      <c r="I1250" s="87">
        <v>44854.0</v>
      </c>
      <c r="J1250" s="88">
        <v>14.99</v>
      </c>
      <c r="K1250" s="88">
        <v>14.99</v>
      </c>
      <c r="L1250" s="94">
        <v>0.0</v>
      </c>
      <c r="M1250" s="86">
        <v>18.0</v>
      </c>
      <c r="N1250" s="88">
        <v>0.83</v>
      </c>
    </row>
    <row r="1251">
      <c r="A1251" s="93" t="s">
        <v>56</v>
      </c>
      <c r="B1251" s="86"/>
      <c r="C1251" s="86">
        <v>399.0</v>
      </c>
      <c r="D1251" s="86" t="s">
        <v>1559</v>
      </c>
      <c r="E1251" s="86" t="s">
        <v>24</v>
      </c>
      <c r="F1251" s="87">
        <v>41626.0</v>
      </c>
      <c r="G1251" s="87">
        <v>42664.0</v>
      </c>
      <c r="H1251" s="87">
        <v>42665.0</v>
      </c>
      <c r="I1251" s="87">
        <v>42668.0</v>
      </c>
      <c r="J1251" s="88">
        <v>14.99</v>
      </c>
      <c r="K1251" s="88">
        <v>14.99</v>
      </c>
      <c r="L1251" s="94">
        <v>0.0</v>
      </c>
      <c r="M1251" s="86">
        <v>8.0</v>
      </c>
      <c r="N1251" s="88">
        <v>1.87</v>
      </c>
    </row>
    <row r="1252">
      <c r="A1252" s="93" t="s">
        <v>56</v>
      </c>
      <c r="B1252" s="86"/>
      <c r="C1252" s="86">
        <v>378.0</v>
      </c>
      <c r="D1252" s="86" t="s">
        <v>1562</v>
      </c>
      <c r="E1252" s="86" t="s">
        <v>24</v>
      </c>
      <c r="F1252" s="87">
        <v>41976.0</v>
      </c>
      <c r="G1252" s="87">
        <v>42095.0</v>
      </c>
      <c r="H1252" s="87">
        <v>42095.0</v>
      </c>
      <c r="I1252" s="87">
        <v>43316.0</v>
      </c>
      <c r="J1252" s="88">
        <v>29.98</v>
      </c>
      <c r="K1252" s="88">
        <v>29.98</v>
      </c>
      <c r="L1252" s="94">
        <v>0.0</v>
      </c>
      <c r="M1252" s="86">
        <v>40.0</v>
      </c>
      <c r="N1252" s="88">
        <v>0.75</v>
      </c>
    </row>
    <row r="1253">
      <c r="A1253" s="86" t="s">
        <v>56</v>
      </c>
      <c r="B1253" s="86"/>
      <c r="C1253" s="86">
        <v>637.0</v>
      </c>
      <c r="D1253" s="86" t="s">
        <v>1588</v>
      </c>
      <c r="E1253" s="86" t="s">
        <v>26</v>
      </c>
      <c r="F1253" s="87">
        <v>41976.0</v>
      </c>
      <c r="G1253" s="87">
        <v>42834.0</v>
      </c>
      <c r="H1253" s="87">
        <v>42834.0</v>
      </c>
      <c r="I1253" s="87">
        <v>43021.0</v>
      </c>
      <c r="J1253" s="88">
        <v>14.99</v>
      </c>
      <c r="K1253" s="88">
        <v>14.99</v>
      </c>
      <c r="L1253" s="94">
        <v>0.0</v>
      </c>
      <c r="M1253" s="86">
        <v>30.0</v>
      </c>
      <c r="N1253" s="88">
        <v>0.5</v>
      </c>
    </row>
    <row r="1254">
      <c r="A1254" s="86" t="s">
        <v>56</v>
      </c>
      <c r="B1254" s="86"/>
      <c r="C1254" s="86">
        <v>521.0</v>
      </c>
      <c r="D1254" s="86" t="s">
        <v>1605</v>
      </c>
      <c r="E1254" s="86" t="s">
        <v>26</v>
      </c>
      <c r="F1254" s="87">
        <v>42584.0</v>
      </c>
      <c r="G1254" s="87">
        <v>42700.0</v>
      </c>
      <c r="H1254" s="87">
        <v>42715.0</v>
      </c>
      <c r="I1254" s="87">
        <v>42822.0</v>
      </c>
      <c r="J1254" s="88">
        <v>19.99</v>
      </c>
      <c r="K1254" s="88">
        <v>19.99</v>
      </c>
      <c r="L1254" s="94">
        <v>0.0</v>
      </c>
      <c r="M1254" s="86">
        <v>21.0</v>
      </c>
      <c r="N1254" s="88">
        <v>0.95</v>
      </c>
    </row>
    <row r="1255">
      <c r="A1255" s="86" t="s">
        <v>56</v>
      </c>
      <c r="B1255" s="86"/>
      <c r="C1255" s="86">
        <v>927.0</v>
      </c>
      <c r="D1255" s="86" t="s">
        <v>1612</v>
      </c>
      <c r="E1255" s="86" t="s">
        <v>26</v>
      </c>
      <c r="F1255" s="87">
        <v>42724.0</v>
      </c>
      <c r="G1255" s="87">
        <v>43377.0</v>
      </c>
      <c r="H1255" s="87">
        <v>44842.0</v>
      </c>
      <c r="I1255" s="87">
        <v>44845.0</v>
      </c>
      <c r="J1255" s="88">
        <v>29.99</v>
      </c>
      <c r="K1255" s="88">
        <v>29.99</v>
      </c>
      <c r="L1255" s="94">
        <v>0.0</v>
      </c>
      <c r="M1255" s="86">
        <v>6.0</v>
      </c>
      <c r="N1255" s="88">
        <v>5.0</v>
      </c>
    </row>
    <row r="1256">
      <c r="A1256" s="86" t="s">
        <v>56</v>
      </c>
      <c r="B1256" s="86"/>
      <c r="C1256" s="86">
        <v>725.0</v>
      </c>
      <c r="D1256" s="86" t="s">
        <v>1614</v>
      </c>
      <c r="E1256" s="86" t="s">
        <v>26</v>
      </c>
      <c r="F1256" s="87">
        <v>42843.0</v>
      </c>
      <c r="G1256" s="87">
        <v>42969.0</v>
      </c>
      <c r="H1256" s="87">
        <v>42994.0</v>
      </c>
      <c r="I1256" s="87">
        <v>44395.0</v>
      </c>
      <c r="J1256" s="88">
        <v>14.99</v>
      </c>
      <c r="K1256" s="88">
        <v>14.99</v>
      </c>
      <c r="L1256" s="94">
        <v>0.0</v>
      </c>
      <c r="M1256" s="86">
        <v>9.0</v>
      </c>
      <c r="N1256" s="88">
        <v>1.67</v>
      </c>
    </row>
    <row r="1257">
      <c r="A1257" s="86" t="s">
        <v>56</v>
      </c>
      <c r="B1257" s="86"/>
      <c r="C1257" s="86">
        <v>522.0</v>
      </c>
      <c r="D1257" s="86" t="s">
        <v>1621</v>
      </c>
      <c r="E1257" s="86" t="s">
        <v>26</v>
      </c>
      <c r="F1257" s="87">
        <v>42955.0</v>
      </c>
      <c r="G1257" s="87">
        <v>43421.0</v>
      </c>
      <c r="H1257" s="87">
        <v>43460.0</v>
      </c>
      <c r="I1257" s="87">
        <v>44033.0</v>
      </c>
      <c r="J1257" s="88">
        <v>14.99</v>
      </c>
      <c r="K1257" s="88">
        <v>14.99</v>
      </c>
      <c r="L1257" s="94">
        <v>0.0</v>
      </c>
      <c r="M1257" s="86">
        <v>10.0</v>
      </c>
      <c r="N1257" s="88">
        <v>1.5</v>
      </c>
    </row>
    <row r="1258">
      <c r="A1258" s="86" t="s">
        <v>56</v>
      </c>
      <c r="B1258" s="86"/>
      <c r="C1258" s="86">
        <v>928.0</v>
      </c>
      <c r="D1258" s="86" t="s">
        <v>1629</v>
      </c>
      <c r="E1258" s="86" t="s">
        <v>26</v>
      </c>
      <c r="F1258" s="87">
        <v>43326.0</v>
      </c>
      <c r="G1258" s="87">
        <v>43824.0</v>
      </c>
      <c r="H1258" s="87">
        <v>44847.0</v>
      </c>
      <c r="I1258" s="87">
        <v>44850.0</v>
      </c>
      <c r="J1258" s="88">
        <v>23.99</v>
      </c>
      <c r="K1258" s="88">
        <v>23.99</v>
      </c>
      <c r="L1258" s="94">
        <v>0.0</v>
      </c>
      <c r="M1258" s="86">
        <v>20.0</v>
      </c>
      <c r="N1258" s="88">
        <v>1.2</v>
      </c>
    </row>
    <row r="1259">
      <c r="A1259" s="86" t="s">
        <v>56</v>
      </c>
      <c r="B1259" s="86"/>
      <c r="C1259" s="86">
        <v>827.0</v>
      </c>
      <c r="D1259" s="86" t="s">
        <v>1692</v>
      </c>
      <c r="E1259" s="86" t="s">
        <v>26</v>
      </c>
      <c r="F1259" s="87">
        <v>44833.0</v>
      </c>
      <c r="G1259" s="87">
        <v>44836.0</v>
      </c>
      <c r="H1259" s="87">
        <v>44836.0</v>
      </c>
      <c r="I1259" s="87">
        <v>44836.0</v>
      </c>
      <c r="J1259" s="88">
        <v>19.99</v>
      </c>
      <c r="K1259" s="88">
        <v>14.99</v>
      </c>
      <c r="L1259" s="94">
        <v>5.0</v>
      </c>
      <c r="M1259" s="86">
        <v>1.0</v>
      </c>
      <c r="N1259" s="88">
        <v>14.99</v>
      </c>
    </row>
    <row r="1260">
      <c r="A1260" s="89"/>
      <c r="B1260" s="89"/>
      <c r="C1260" s="90"/>
      <c r="D1260" s="89"/>
      <c r="E1260" s="89"/>
      <c r="F1260" s="89"/>
      <c r="G1260" s="89"/>
      <c r="H1260" s="89"/>
      <c r="I1260" s="89"/>
      <c r="J1260" s="91">
        <f t="shared" ref="J1260:M1260" si="174">SUM(J1246:J1259)</f>
        <v>271.84</v>
      </c>
      <c r="K1260" s="91">
        <f t="shared" si="174"/>
        <v>252.84</v>
      </c>
      <c r="L1260" s="91">
        <f t="shared" si="174"/>
        <v>19</v>
      </c>
      <c r="M1260" s="89">
        <f t="shared" si="174"/>
        <v>198</v>
      </c>
      <c r="N1260" s="91">
        <f>K1260/M1260</f>
        <v>1.276969697</v>
      </c>
    </row>
    <row r="1261">
      <c r="A1261" s="92" t="s">
        <v>56</v>
      </c>
      <c r="B1261" s="86" t="s">
        <v>685</v>
      </c>
      <c r="C1261" s="86">
        <v>79.0</v>
      </c>
      <c r="D1261" s="86" t="s">
        <v>1465</v>
      </c>
      <c r="E1261" s="86" t="s">
        <v>22</v>
      </c>
      <c r="F1261" s="87">
        <v>37743.0</v>
      </c>
      <c r="G1261" s="87">
        <v>44640.0</v>
      </c>
      <c r="H1261" s="87">
        <v>44838.0</v>
      </c>
      <c r="I1261" s="87">
        <v>44851.0</v>
      </c>
      <c r="J1261" s="88">
        <v>19.99</v>
      </c>
      <c r="K1261" s="88">
        <v>13.99</v>
      </c>
      <c r="L1261" s="88">
        <v>6.0</v>
      </c>
      <c r="M1261" s="86">
        <v>9.0</v>
      </c>
      <c r="N1261" s="88">
        <v>1.55</v>
      </c>
    </row>
    <row r="1262">
      <c r="A1262" s="92" t="s">
        <v>56</v>
      </c>
      <c r="B1262" s="86"/>
      <c r="C1262" s="86">
        <v>80.0</v>
      </c>
      <c r="D1262" s="86" t="s">
        <v>1479</v>
      </c>
      <c r="E1262" s="86" t="s">
        <v>22</v>
      </c>
      <c r="F1262" s="87">
        <v>38765.0</v>
      </c>
      <c r="G1262" s="87">
        <v>44640.0</v>
      </c>
      <c r="H1262" s="87">
        <v>44851.0</v>
      </c>
      <c r="I1262" s="87">
        <v>44852.0</v>
      </c>
      <c r="J1262" s="88">
        <v>19.99</v>
      </c>
      <c r="K1262" s="88">
        <v>13.99</v>
      </c>
      <c r="L1262" s="88">
        <v>6.0</v>
      </c>
      <c r="M1262" s="86">
        <v>2.0</v>
      </c>
      <c r="N1262" s="88">
        <v>7.0</v>
      </c>
    </row>
    <row r="1263">
      <c r="A1263" s="89"/>
      <c r="B1263" s="89"/>
      <c r="C1263" s="90"/>
      <c r="D1263" s="89"/>
      <c r="E1263" s="89"/>
      <c r="F1263" s="89"/>
      <c r="G1263" s="89"/>
      <c r="H1263" s="89"/>
      <c r="I1263" s="89"/>
      <c r="J1263" s="91">
        <f t="shared" ref="J1263:M1263" si="175">SUM(J1261:J1262)</f>
        <v>39.98</v>
      </c>
      <c r="K1263" s="91">
        <f t="shared" si="175"/>
        <v>27.98</v>
      </c>
      <c r="L1263" s="91">
        <f t="shared" si="175"/>
        <v>12</v>
      </c>
      <c r="M1263" s="89">
        <f t="shared" si="175"/>
        <v>11</v>
      </c>
      <c r="N1263" s="91">
        <f>K1263/M1263</f>
        <v>2.543636364</v>
      </c>
    </row>
    <row r="1264">
      <c r="A1264" s="86" t="s">
        <v>56</v>
      </c>
      <c r="B1264" s="86" t="s">
        <v>686</v>
      </c>
      <c r="C1264" s="86">
        <v>774.0</v>
      </c>
      <c r="D1264" s="86" t="s">
        <v>1703</v>
      </c>
      <c r="E1264" s="86" t="s">
        <v>26</v>
      </c>
      <c r="F1264" s="87">
        <v>45181.0</v>
      </c>
      <c r="G1264" s="87">
        <v>45181.0</v>
      </c>
      <c r="H1264" s="87">
        <v>45181.0</v>
      </c>
      <c r="I1264" s="87">
        <v>45182.0</v>
      </c>
      <c r="J1264" s="88">
        <v>14.99</v>
      </c>
      <c r="K1264" s="88">
        <v>0.0</v>
      </c>
      <c r="L1264" s="88">
        <v>14.99</v>
      </c>
      <c r="M1264" s="86">
        <v>2.0</v>
      </c>
      <c r="N1264" s="88">
        <v>0.0</v>
      </c>
    </row>
    <row r="1265">
      <c r="A1265" s="93" t="s">
        <v>56</v>
      </c>
      <c r="B1265" s="86" t="s">
        <v>687</v>
      </c>
      <c r="C1265" s="86">
        <v>249.0</v>
      </c>
      <c r="D1265" s="86" t="s">
        <v>1491</v>
      </c>
      <c r="E1265" s="86" t="s">
        <v>24</v>
      </c>
      <c r="F1265" s="87">
        <v>39164.0</v>
      </c>
      <c r="G1265" s="87">
        <v>42925.0</v>
      </c>
      <c r="H1265" s="87">
        <v>43684.0</v>
      </c>
      <c r="I1265" s="87">
        <v>43684.0</v>
      </c>
      <c r="J1265" s="88">
        <v>4.99</v>
      </c>
      <c r="K1265" s="88">
        <v>1.99</v>
      </c>
      <c r="L1265" s="88">
        <v>3.0</v>
      </c>
      <c r="M1265" s="86">
        <v>1.0</v>
      </c>
      <c r="N1265" s="88">
        <v>1.99</v>
      </c>
    </row>
    <row r="1266">
      <c r="A1266" s="93" t="s">
        <v>56</v>
      </c>
      <c r="B1266" s="86"/>
      <c r="C1266" s="86">
        <v>250.0</v>
      </c>
      <c r="D1266" s="86" t="s">
        <v>1500</v>
      </c>
      <c r="E1266" s="86" t="s">
        <v>24</v>
      </c>
      <c r="F1266" s="87">
        <v>39856.0</v>
      </c>
      <c r="G1266" s="87">
        <v>42925.0</v>
      </c>
      <c r="H1266" s="87">
        <v>42925.0</v>
      </c>
      <c r="I1266" s="87">
        <v>42925.0</v>
      </c>
      <c r="J1266" s="88">
        <v>7.99</v>
      </c>
      <c r="K1266" s="88">
        <v>1.99</v>
      </c>
      <c r="L1266" s="88">
        <v>6.0</v>
      </c>
      <c r="M1266" s="86">
        <v>1.0</v>
      </c>
      <c r="N1266" s="88">
        <v>1.99</v>
      </c>
    </row>
    <row r="1267">
      <c r="A1267" s="93" t="s">
        <v>56</v>
      </c>
      <c r="B1267" s="86"/>
      <c r="C1267" s="86">
        <v>271.0</v>
      </c>
      <c r="D1267" s="86" t="s">
        <v>1530</v>
      </c>
      <c r="E1267" s="86" t="s">
        <v>24</v>
      </c>
      <c r="F1267" s="87">
        <v>40982.0</v>
      </c>
      <c r="G1267" s="87">
        <v>42925.0</v>
      </c>
      <c r="H1267" s="87">
        <v>42925.0</v>
      </c>
      <c r="I1267" s="87">
        <v>42925.0</v>
      </c>
      <c r="J1267" s="88">
        <v>14.99</v>
      </c>
      <c r="K1267" s="88">
        <v>14.99</v>
      </c>
      <c r="L1267" s="88">
        <v>0.0</v>
      </c>
      <c r="M1267" s="86">
        <v>1.0</v>
      </c>
      <c r="N1267" s="88">
        <v>14.99</v>
      </c>
    </row>
    <row r="1268">
      <c r="A1268" s="89"/>
      <c r="B1268" s="89"/>
      <c r="C1268" s="90"/>
      <c r="D1268" s="89"/>
      <c r="E1268" s="89"/>
      <c r="F1268" s="89"/>
      <c r="G1268" s="89"/>
      <c r="H1268" s="89"/>
      <c r="I1268" s="89"/>
      <c r="J1268" s="91">
        <f t="shared" ref="J1268:M1268" si="176">SUM(J1265:J1267)</f>
        <v>27.97</v>
      </c>
      <c r="K1268" s="91">
        <f t="shared" si="176"/>
        <v>18.97</v>
      </c>
      <c r="L1268" s="91">
        <f t="shared" si="176"/>
        <v>9</v>
      </c>
      <c r="M1268" s="89">
        <f t="shared" si="176"/>
        <v>3</v>
      </c>
      <c r="N1268" s="91">
        <f>K1268/M1268</f>
        <v>6.323333333</v>
      </c>
    </row>
    <row r="1269">
      <c r="A1269" s="93" t="s">
        <v>56</v>
      </c>
      <c r="B1269" s="86" t="s">
        <v>688</v>
      </c>
      <c r="C1269" s="86">
        <v>209.0</v>
      </c>
      <c r="D1269" s="86" t="s">
        <v>1514</v>
      </c>
      <c r="E1269" s="86" t="s">
        <v>24</v>
      </c>
      <c r="F1269" s="87">
        <v>40485.0</v>
      </c>
      <c r="G1269" s="87">
        <v>41776.0</v>
      </c>
      <c r="H1269" s="87">
        <v>41776.0</v>
      </c>
      <c r="I1269" s="87">
        <v>43730.0</v>
      </c>
      <c r="J1269" s="88">
        <v>30.98</v>
      </c>
      <c r="K1269" s="88">
        <v>30.98</v>
      </c>
      <c r="L1269" s="88">
        <v>0.0</v>
      </c>
      <c r="M1269" s="86">
        <v>4.0</v>
      </c>
      <c r="N1269" s="88">
        <v>7.75</v>
      </c>
    </row>
    <row r="1270">
      <c r="A1270" s="86" t="s">
        <v>56</v>
      </c>
      <c r="B1270" s="86" t="s">
        <v>689</v>
      </c>
      <c r="C1270" s="86">
        <v>913.0</v>
      </c>
      <c r="D1270" s="86" t="s">
        <v>1613</v>
      </c>
      <c r="E1270" s="86" t="s">
        <v>26</v>
      </c>
      <c r="F1270" s="87">
        <v>42752.0</v>
      </c>
      <c r="G1270" s="87">
        <v>43964.0</v>
      </c>
      <c r="H1270" s="87">
        <v>44039.0</v>
      </c>
      <c r="I1270" s="87">
        <v>44041.0</v>
      </c>
      <c r="J1270" s="88">
        <v>14.99</v>
      </c>
      <c r="K1270" s="88">
        <v>4.49</v>
      </c>
      <c r="L1270" s="88">
        <v>10.5</v>
      </c>
      <c r="M1270" s="86">
        <v>9.0</v>
      </c>
      <c r="N1270" s="88">
        <v>0.5</v>
      </c>
    </row>
    <row r="1271">
      <c r="A1271" s="86" t="s">
        <v>56</v>
      </c>
      <c r="B1271" s="86" t="s">
        <v>690</v>
      </c>
      <c r="C1271" s="86">
        <v>999.0</v>
      </c>
      <c r="D1271" s="86" t="s">
        <v>1723</v>
      </c>
      <c r="E1271" s="86" t="s">
        <v>27</v>
      </c>
      <c r="F1271" s="87">
        <v>43165.0</v>
      </c>
      <c r="G1271" s="87">
        <v>43564.0</v>
      </c>
      <c r="H1271" s="87">
        <v>43565.0</v>
      </c>
      <c r="I1271" s="87">
        <v>44041.0</v>
      </c>
      <c r="J1271" s="88">
        <v>17.99</v>
      </c>
      <c r="K1271" s="88">
        <v>7.99</v>
      </c>
      <c r="L1271" s="88">
        <v>10.0</v>
      </c>
      <c r="M1271" s="86">
        <v>1.0</v>
      </c>
      <c r="N1271" s="88">
        <v>7.99</v>
      </c>
    </row>
    <row r="1272">
      <c r="A1272" s="86" t="s">
        <v>56</v>
      </c>
      <c r="B1272" s="86" t="s">
        <v>691</v>
      </c>
      <c r="C1272" s="86">
        <v>930.0</v>
      </c>
      <c r="D1272" s="86" t="s">
        <v>1596</v>
      </c>
      <c r="E1272" s="86" t="s">
        <v>26</v>
      </c>
      <c r="F1272" s="87">
        <v>42395.0</v>
      </c>
      <c r="G1272" s="87">
        <v>42951.0</v>
      </c>
      <c r="H1272" s="87">
        <v>42951.0</v>
      </c>
      <c r="I1272" s="87">
        <v>42951.0</v>
      </c>
      <c r="J1272" s="88">
        <v>36.99</v>
      </c>
      <c r="K1272" s="88">
        <v>8.44</v>
      </c>
      <c r="L1272" s="88">
        <v>28.55</v>
      </c>
      <c r="M1272" s="86">
        <v>1.0</v>
      </c>
      <c r="N1272" s="88">
        <v>8.44</v>
      </c>
    </row>
    <row r="1273">
      <c r="A1273" s="86" t="s">
        <v>56</v>
      </c>
      <c r="B1273" s="86" t="s">
        <v>692</v>
      </c>
      <c r="C1273" s="86">
        <v>520.0</v>
      </c>
      <c r="D1273" s="86" t="s">
        <v>1683</v>
      </c>
      <c r="E1273" s="86" t="s">
        <v>26</v>
      </c>
      <c r="F1273" s="87">
        <v>44419.0</v>
      </c>
      <c r="G1273" s="87">
        <v>44929.0</v>
      </c>
      <c r="H1273" s="87">
        <v>44929.0</v>
      </c>
      <c r="I1273" s="87">
        <v>44929.0</v>
      </c>
      <c r="J1273" s="88">
        <v>17.99</v>
      </c>
      <c r="K1273" s="88">
        <v>0.0</v>
      </c>
      <c r="L1273" s="88">
        <v>17.99</v>
      </c>
      <c r="M1273" s="86">
        <v>1.0</v>
      </c>
      <c r="N1273" s="88">
        <v>0.0</v>
      </c>
    </row>
    <row r="1274">
      <c r="A1274" s="93" t="s">
        <v>56</v>
      </c>
      <c r="B1274" s="86" t="s">
        <v>693</v>
      </c>
      <c r="C1274" s="86">
        <v>238.0</v>
      </c>
      <c r="D1274" s="86" t="s">
        <v>1503</v>
      </c>
      <c r="E1274" s="86" t="s">
        <v>24</v>
      </c>
      <c r="F1274" s="87">
        <v>40024.0</v>
      </c>
      <c r="G1274" s="87">
        <v>41404.0</v>
      </c>
      <c r="H1274" s="87">
        <v>41404.0</v>
      </c>
      <c r="I1274" s="87">
        <v>41408.0</v>
      </c>
      <c r="J1274" s="88">
        <v>9.99</v>
      </c>
      <c r="K1274" s="88">
        <v>9.99</v>
      </c>
      <c r="L1274" s="88">
        <v>0.0</v>
      </c>
      <c r="M1274" s="86">
        <v>10.0</v>
      </c>
      <c r="N1274" s="88">
        <v>1.0</v>
      </c>
    </row>
    <row r="1275">
      <c r="A1275" s="86" t="s">
        <v>56</v>
      </c>
      <c r="B1275" s="86" t="s">
        <v>694</v>
      </c>
      <c r="C1275" s="86">
        <v>488.0</v>
      </c>
      <c r="D1275" s="86" t="s">
        <v>1582</v>
      </c>
      <c r="E1275" s="86" t="s">
        <v>25</v>
      </c>
      <c r="F1275" s="87">
        <v>42962.0</v>
      </c>
      <c r="G1275" s="87">
        <v>43091.0</v>
      </c>
      <c r="H1275" s="87">
        <v>43091.0</v>
      </c>
      <c r="I1275" s="87">
        <v>43091.0</v>
      </c>
      <c r="J1275" s="88">
        <v>14.99</v>
      </c>
      <c r="K1275" s="88">
        <v>8.99</v>
      </c>
      <c r="L1275" s="88">
        <v>6.0</v>
      </c>
      <c r="M1275" s="86">
        <v>1.0</v>
      </c>
      <c r="N1275" s="88">
        <v>8.99</v>
      </c>
    </row>
    <row r="1276">
      <c r="A1276" s="86" t="s">
        <v>56</v>
      </c>
      <c r="B1276" s="86" t="s">
        <v>695</v>
      </c>
      <c r="C1276" s="86">
        <v>853.0</v>
      </c>
      <c r="D1276" s="94" t="s">
        <v>1638</v>
      </c>
      <c r="E1276" s="94" t="s">
        <v>26</v>
      </c>
      <c r="F1276" s="87">
        <v>43417.0</v>
      </c>
      <c r="G1276" s="87">
        <v>43341.0</v>
      </c>
      <c r="H1276" s="87">
        <v>43417.0</v>
      </c>
      <c r="I1276" s="87">
        <v>43418.0</v>
      </c>
      <c r="J1276" s="88">
        <v>13.33</v>
      </c>
      <c r="K1276" s="88">
        <v>13.33</v>
      </c>
      <c r="L1276" s="88">
        <v>0.0</v>
      </c>
      <c r="M1276" s="86">
        <v>10.0</v>
      </c>
      <c r="N1276" s="88">
        <v>1.33</v>
      </c>
    </row>
    <row r="1277">
      <c r="A1277" s="86" t="s">
        <v>56</v>
      </c>
      <c r="B1277" s="86"/>
      <c r="C1277" s="86">
        <v>854.0</v>
      </c>
      <c r="D1277" s="94" t="s">
        <v>1639</v>
      </c>
      <c r="E1277" s="94" t="s">
        <v>26</v>
      </c>
      <c r="F1277" s="87">
        <v>43417.0</v>
      </c>
      <c r="G1277" s="87">
        <v>43341.0</v>
      </c>
      <c r="H1277" s="87">
        <v>43418.0</v>
      </c>
      <c r="I1277" s="87">
        <v>43423.0</v>
      </c>
      <c r="J1277" s="88">
        <v>13.33</v>
      </c>
      <c r="K1277" s="88">
        <v>13.33</v>
      </c>
      <c r="L1277" s="88">
        <v>0.0</v>
      </c>
      <c r="M1277" s="86">
        <v>10.0</v>
      </c>
      <c r="N1277" s="88">
        <v>1.33</v>
      </c>
    </row>
    <row r="1278">
      <c r="A1278" s="86" t="s">
        <v>56</v>
      </c>
      <c r="B1278" s="86"/>
      <c r="C1278" s="86">
        <v>855.0</v>
      </c>
      <c r="D1278" s="94" t="s">
        <v>1640</v>
      </c>
      <c r="E1278" s="94" t="s">
        <v>26</v>
      </c>
      <c r="F1278" s="87">
        <v>43417.0</v>
      </c>
      <c r="G1278" s="87">
        <v>43341.0</v>
      </c>
      <c r="H1278" s="87">
        <v>43421.0</v>
      </c>
      <c r="I1278" s="87">
        <v>43423.0</v>
      </c>
      <c r="J1278" s="88">
        <v>13.33</v>
      </c>
      <c r="K1278" s="88">
        <v>13.33</v>
      </c>
      <c r="L1278" s="88">
        <v>0.0</v>
      </c>
      <c r="M1278" s="86">
        <v>11.0</v>
      </c>
      <c r="N1278" s="88">
        <v>1.21</v>
      </c>
    </row>
    <row r="1279">
      <c r="A1279" s="86" t="s">
        <v>56</v>
      </c>
      <c r="B1279" s="86"/>
      <c r="C1279" s="86">
        <v>561.0</v>
      </c>
      <c r="D1279" s="94" t="s">
        <v>1669</v>
      </c>
      <c r="E1279" s="94" t="s">
        <v>26</v>
      </c>
      <c r="F1279" s="87">
        <v>44106.0</v>
      </c>
      <c r="G1279" s="87">
        <v>44083.0</v>
      </c>
      <c r="H1279" s="87">
        <v>44106.0</v>
      </c>
      <c r="I1279" s="87">
        <v>44338.0</v>
      </c>
      <c r="J1279" s="88">
        <v>69.99</v>
      </c>
      <c r="K1279" s="88">
        <v>0.0</v>
      </c>
      <c r="L1279" s="88">
        <v>69.99</v>
      </c>
      <c r="M1279" s="86">
        <v>46.0</v>
      </c>
      <c r="N1279" s="88">
        <v>0.0</v>
      </c>
    </row>
    <row r="1280">
      <c r="A1280" s="89"/>
      <c r="B1280" s="89"/>
      <c r="C1280" s="90"/>
      <c r="D1280" s="89"/>
      <c r="E1280" s="89"/>
      <c r="F1280" s="89"/>
      <c r="G1280" s="89"/>
      <c r="H1280" s="89"/>
      <c r="I1280" s="89"/>
      <c r="J1280" s="91">
        <f t="shared" ref="J1280:M1280" si="177">SUM(J1276:J1279)</f>
        <v>109.98</v>
      </c>
      <c r="K1280" s="91">
        <f t="shared" si="177"/>
        <v>39.99</v>
      </c>
      <c r="L1280" s="91">
        <f t="shared" si="177"/>
        <v>69.99</v>
      </c>
      <c r="M1280" s="89">
        <f t="shared" si="177"/>
        <v>77</v>
      </c>
      <c r="N1280" s="91">
        <f>K1280/M1280</f>
        <v>0.5193506494</v>
      </c>
    </row>
    <row r="1281">
      <c r="A1281" s="86" t="s">
        <v>56</v>
      </c>
      <c r="B1281" s="86" t="s">
        <v>696</v>
      </c>
      <c r="C1281" s="86">
        <v>539.0</v>
      </c>
      <c r="D1281" s="86" t="s">
        <v>1592</v>
      </c>
      <c r="E1281" s="86" t="s">
        <v>26</v>
      </c>
      <c r="F1281" s="87">
        <v>42314.0</v>
      </c>
      <c r="G1281" s="87">
        <v>44590.0</v>
      </c>
      <c r="H1281" s="87">
        <v>44590.0</v>
      </c>
      <c r="I1281" s="87">
        <v>44590.0</v>
      </c>
      <c r="J1281" s="88">
        <v>69.99</v>
      </c>
      <c r="K1281" s="88">
        <v>0.0</v>
      </c>
      <c r="L1281" s="88">
        <v>69.99</v>
      </c>
      <c r="M1281" s="86">
        <v>1.0</v>
      </c>
      <c r="N1281" s="88">
        <v>0.0</v>
      </c>
    </row>
    <row r="1282">
      <c r="A1282" s="86" t="s">
        <v>56</v>
      </c>
      <c r="B1282" s="86"/>
      <c r="C1282" s="86">
        <v>540.0</v>
      </c>
      <c r="D1282" s="86" t="s">
        <v>1673</v>
      </c>
      <c r="E1282" s="86" t="s">
        <v>26</v>
      </c>
      <c r="F1282" s="87">
        <v>44148.0</v>
      </c>
      <c r="G1282" s="87">
        <v>45111.0</v>
      </c>
      <c r="H1282" s="87">
        <v>45111.0</v>
      </c>
      <c r="I1282" s="87">
        <v>45111.0</v>
      </c>
      <c r="J1282" s="88">
        <v>74.99</v>
      </c>
      <c r="K1282" s="88">
        <v>0.0</v>
      </c>
      <c r="L1282" s="88">
        <v>74.99</v>
      </c>
      <c r="M1282" s="86">
        <v>1.0</v>
      </c>
      <c r="N1282" s="88">
        <v>0.0</v>
      </c>
    </row>
    <row r="1283">
      <c r="A1283" s="89"/>
      <c r="B1283" s="89"/>
      <c r="C1283" s="90"/>
      <c r="D1283" s="89"/>
      <c r="E1283" s="89"/>
      <c r="F1283" s="89"/>
      <c r="G1283" s="89"/>
      <c r="H1283" s="89"/>
      <c r="I1283" s="89"/>
      <c r="J1283" s="91">
        <f t="shared" ref="J1283:M1283" si="178">SUM(J1281:J1282)</f>
        <v>144.98</v>
      </c>
      <c r="K1283" s="91">
        <f t="shared" si="178"/>
        <v>0</v>
      </c>
      <c r="L1283" s="91">
        <f t="shared" si="178"/>
        <v>144.98</v>
      </c>
      <c r="M1283" s="89">
        <f t="shared" si="178"/>
        <v>2</v>
      </c>
      <c r="N1283" s="91">
        <f>K1283/M1283</f>
        <v>0</v>
      </c>
    </row>
    <row r="1284">
      <c r="A1284" s="86" t="s">
        <v>56</v>
      </c>
      <c r="B1284" s="86" t="s">
        <v>697</v>
      </c>
      <c r="C1284" s="86">
        <v>722.0</v>
      </c>
      <c r="D1284" s="86" t="s">
        <v>1657</v>
      </c>
      <c r="E1284" s="86" t="s">
        <v>26</v>
      </c>
      <c r="F1284" s="87">
        <v>43973.0</v>
      </c>
      <c r="G1284" s="87">
        <v>44343.0</v>
      </c>
      <c r="H1284" s="87">
        <v>44346.0</v>
      </c>
      <c r="I1284" s="87">
        <v>44347.0</v>
      </c>
      <c r="J1284" s="88">
        <v>39.99</v>
      </c>
      <c r="K1284" s="88">
        <v>19.99</v>
      </c>
      <c r="L1284" s="88">
        <v>20.0</v>
      </c>
      <c r="M1284" s="86">
        <v>14.0</v>
      </c>
      <c r="N1284" s="88">
        <v>1.43</v>
      </c>
    </row>
    <row r="1285">
      <c r="A1285" s="86" t="s">
        <v>56</v>
      </c>
      <c r="B1285" s="86" t="s">
        <v>698</v>
      </c>
      <c r="C1285" s="86">
        <v>1003.0</v>
      </c>
      <c r="D1285" s="86" t="s">
        <v>1726</v>
      </c>
      <c r="E1285" s="86" t="s">
        <v>27</v>
      </c>
      <c r="F1285" s="87">
        <v>43242.0</v>
      </c>
      <c r="G1285" s="87">
        <v>44446.0</v>
      </c>
      <c r="H1285" s="87">
        <v>44677.0</v>
      </c>
      <c r="I1285" s="87">
        <v>44677.0</v>
      </c>
      <c r="J1285" s="88">
        <v>5.99</v>
      </c>
      <c r="K1285" s="88">
        <v>0.0</v>
      </c>
      <c r="L1285" s="88">
        <v>5.99</v>
      </c>
      <c r="M1285" s="86">
        <v>1.0</v>
      </c>
      <c r="N1285" s="88">
        <v>0.0</v>
      </c>
    </row>
    <row r="1286">
      <c r="A1286" s="86" t="s">
        <v>56</v>
      </c>
      <c r="B1286" s="86" t="s">
        <v>699</v>
      </c>
      <c r="C1286" s="86">
        <v>848.0</v>
      </c>
      <c r="D1286" s="86" t="s">
        <v>1625</v>
      </c>
      <c r="E1286" s="86" t="s">
        <v>26</v>
      </c>
      <c r="F1286" s="87">
        <v>43025.0</v>
      </c>
      <c r="G1286" s="87">
        <v>43081.0</v>
      </c>
      <c r="H1286" s="87">
        <v>43084.0</v>
      </c>
      <c r="I1286" s="87">
        <v>44118.0</v>
      </c>
      <c r="J1286" s="88">
        <v>96.94</v>
      </c>
      <c r="K1286" s="88">
        <v>57.94</v>
      </c>
      <c r="L1286" s="88">
        <v>39.0</v>
      </c>
      <c r="M1286" s="86">
        <v>71.0</v>
      </c>
      <c r="N1286" s="88">
        <v>0.82</v>
      </c>
    </row>
    <row r="1287">
      <c r="A1287" s="97" t="s">
        <v>56</v>
      </c>
      <c r="B1287" s="92" t="s">
        <v>700</v>
      </c>
      <c r="C1287" s="86">
        <v>654.0</v>
      </c>
      <c r="D1287" s="86" t="s">
        <v>1634</v>
      </c>
      <c r="E1287" s="86" t="s">
        <v>26</v>
      </c>
      <c r="F1287" s="87">
        <v>43396.0</v>
      </c>
      <c r="G1287" s="87">
        <v>45734.0</v>
      </c>
      <c r="H1287" s="87">
        <v>45739.0</v>
      </c>
      <c r="I1287" s="87">
        <v>45742.0</v>
      </c>
      <c r="J1287" s="94">
        <v>13.99</v>
      </c>
      <c r="K1287" s="94">
        <v>6.99</v>
      </c>
      <c r="L1287" s="94">
        <v>7.0</v>
      </c>
      <c r="M1287" s="86">
        <v>14.0</v>
      </c>
      <c r="N1287" s="94">
        <v>0.5</v>
      </c>
    </row>
    <row r="1288">
      <c r="A1288" s="97" t="s">
        <v>56</v>
      </c>
      <c r="B1288" s="92"/>
      <c r="C1288" s="86">
        <v>682.0</v>
      </c>
      <c r="D1288" s="86" t="s">
        <v>1707</v>
      </c>
      <c r="E1288" s="86" t="s">
        <v>26</v>
      </c>
      <c r="F1288" s="87">
        <v>45735.0</v>
      </c>
      <c r="G1288" s="87">
        <v>45800.0</v>
      </c>
      <c r="H1288" s="87">
        <v>45803.0</v>
      </c>
      <c r="I1288" s="87">
        <v>45805.0</v>
      </c>
      <c r="J1288" s="404">
        <v>21.99</v>
      </c>
      <c r="K1288" s="404">
        <v>17.59</v>
      </c>
      <c r="L1288" s="94">
        <v>4.4</v>
      </c>
      <c r="M1288" s="402">
        <v>9.0</v>
      </c>
      <c r="N1288" s="404">
        <v>1.95</v>
      </c>
    </row>
    <row r="1289">
      <c r="A1289" s="89"/>
      <c r="B1289" s="89"/>
      <c r="C1289" s="90"/>
      <c r="D1289" s="89"/>
      <c r="E1289" s="89"/>
      <c r="F1289" s="89"/>
      <c r="G1289" s="89"/>
      <c r="H1289" s="89"/>
      <c r="I1289" s="89"/>
      <c r="J1289" s="91">
        <f t="shared" ref="J1289:M1289" si="179">SUM(J1287:J1288)</f>
        <v>35.98</v>
      </c>
      <c r="K1289" s="91">
        <f t="shared" si="179"/>
        <v>24.58</v>
      </c>
      <c r="L1289" s="91">
        <f t="shared" si="179"/>
        <v>11.4</v>
      </c>
      <c r="M1289" s="89">
        <f t="shared" si="179"/>
        <v>23</v>
      </c>
      <c r="N1289" s="91">
        <f>K1289/M1289</f>
        <v>1.068695652</v>
      </c>
    </row>
    <row r="1290">
      <c r="A1290" s="86" t="s">
        <v>56</v>
      </c>
      <c r="B1290" s="86" t="s">
        <v>701</v>
      </c>
      <c r="C1290" s="86">
        <v>653.0</v>
      </c>
      <c r="D1290" s="86" t="s">
        <v>1706</v>
      </c>
      <c r="E1290" s="86" t="s">
        <v>26</v>
      </c>
      <c r="F1290" s="87">
        <v>45538.0</v>
      </c>
      <c r="G1290" s="87">
        <v>45538.0</v>
      </c>
      <c r="H1290" s="87">
        <v>45538.0</v>
      </c>
      <c r="I1290" s="87">
        <v>45539.0</v>
      </c>
      <c r="J1290" s="94">
        <v>39.99</v>
      </c>
      <c r="K1290" s="94">
        <v>0.0</v>
      </c>
      <c r="L1290" s="88">
        <v>39.99</v>
      </c>
      <c r="M1290" s="86">
        <v>2.0</v>
      </c>
      <c r="N1290" s="88">
        <v>0.0</v>
      </c>
    </row>
    <row r="1291">
      <c r="A1291" s="86" t="s">
        <v>56</v>
      </c>
      <c r="B1291" s="86" t="s">
        <v>702</v>
      </c>
      <c r="C1291" s="86">
        <v>871.0</v>
      </c>
      <c r="D1291" s="86" t="s">
        <v>1641</v>
      </c>
      <c r="E1291" s="86" t="s">
        <v>26</v>
      </c>
      <c r="F1291" s="87">
        <v>43438.0</v>
      </c>
      <c r="G1291" s="87">
        <v>44296.0</v>
      </c>
      <c r="H1291" s="87">
        <v>44296.0</v>
      </c>
      <c r="I1291" s="87">
        <v>44298.0</v>
      </c>
      <c r="J1291" s="88">
        <v>29.99</v>
      </c>
      <c r="K1291" s="88">
        <v>0.0</v>
      </c>
      <c r="L1291" s="88">
        <v>29.99</v>
      </c>
      <c r="M1291" s="86">
        <v>17.0</v>
      </c>
      <c r="N1291" s="88">
        <v>0.0</v>
      </c>
    </row>
    <row r="1292">
      <c r="A1292" s="86" t="s">
        <v>56</v>
      </c>
      <c r="B1292" s="86"/>
      <c r="C1292" s="86">
        <v>872.0</v>
      </c>
      <c r="D1292" s="86" t="s">
        <v>1679</v>
      </c>
      <c r="E1292" s="86" t="s">
        <v>26</v>
      </c>
      <c r="F1292" s="87">
        <v>44330.0</v>
      </c>
      <c r="G1292" s="87">
        <v>44469.0</v>
      </c>
      <c r="H1292" s="87">
        <v>44521.0</v>
      </c>
      <c r="I1292" s="87">
        <v>44529.0</v>
      </c>
      <c r="J1292" s="88">
        <v>29.99</v>
      </c>
      <c r="K1292" s="88">
        <v>19.49</v>
      </c>
      <c r="L1292" s="88">
        <v>10.5</v>
      </c>
      <c r="M1292" s="86">
        <v>18.0</v>
      </c>
      <c r="N1292" s="88">
        <v>1.08</v>
      </c>
    </row>
    <row r="1293">
      <c r="A1293" s="89"/>
      <c r="B1293" s="89"/>
      <c r="C1293" s="90"/>
      <c r="D1293" s="89"/>
      <c r="E1293" s="89"/>
      <c r="F1293" s="89"/>
      <c r="G1293" s="89"/>
      <c r="H1293" s="89"/>
      <c r="I1293" s="89"/>
      <c r="J1293" s="91">
        <f t="shared" ref="J1293:M1293" si="180">SUM(J1291:J1292)</f>
        <v>59.98</v>
      </c>
      <c r="K1293" s="91">
        <f t="shared" si="180"/>
        <v>19.49</v>
      </c>
      <c r="L1293" s="91">
        <f t="shared" si="180"/>
        <v>40.49</v>
      </c>
      <c r="M1293" s="89">
        <f t="shared" si="180"/>
        <v>35</v>
      </c>
      <c r="N1293" s="91">
        <f>K1293/M1293</f>
        <v>0.5568571429</v>
      </c>
    </row>
    <row r="1294">
      <c r="A1294" s="86" t="s">
        <v>56</v>
      </c>
      <c r="B1294" s="86" t="s">
        <v>703</v>
      </c>
      <c r="C1294" s="86">
        <v>815.0</v>
      </c>
      <c r="D1294" s="86" t="s">
        <v>1603</v>
      </c>
      <c r="E1294" s="86" t="s">
        <v>26</v>
      </c>
      <c r="F1294" s="87">
        <v>42577.0</v>
      </c>
      <c r="G1294" s="87">
        <v>42951.0</v>
      </c>
      <c r="H1294" s="87">
        <v>43450.0</v>
      </c>
      <c r="I1294" s="87">
        <v>45306.0</v>
      </c>
      <c r="J1294" s="88">
        <v>9.99</v>
      </c>
      <c r="K1294" s="88">
        <v>3.99</v>
      </c>
      <c r="L1294" s="88">
        <v>6.0</v>
      </c>
      <c r="M1294" s="86">
        <v>18.0</v>
      </c>
      <c r="N1294" s="88">
        <v>0.22</v>
      </c>
    </row>
    <row r="1295">
      <c r="A1295" s="86" t="s">
        <v>56</v>
      </c>
      <c r="B1295" s="86" t="s">
        <v>704</v>
      </c>
      <c r="C1295" s="86">
        <v>695.0</v>
      </c>
      <c r="D1295" s="86" t="s">
        <v>1680</v>
      </c>
      <c r="E1295" s="86" t="s">
        <v>26</v>
      </c>
      <c r="F1295" s="87">
        <v>44337.0</v>
      </c>
      <c r="G1295" s="87">
        <v>44502.0</v>
      </c>
      <c r="H1295" s="87">
        <v>44502.0</v>
      </c>
      <c r="I1295" s="87">
        <v>44502.0</v>
      </c>
      <c r="J1295" s="88">
        <v>19.99</v>
      </c>
      <c r="K1295" s="88">
        <v>0.0</v>
      </c>
      <c r="L1295" s="88">
        <v>19.99</v>
      </c>
      <c r="M1295" s="86">
        <v>1.0</v>
      </c>
      <c r="N1295" s="88">
        <v>0.0</v>
      </c>
    </row>
    <row r="1296">
      <c r="A1296" s="86" t="s">
        <v>56</v>
      </c>
      <c r="B1296" s="86" t="s">
        <v>705</v>
      </c>
      <c r="C1296" s="86">
        <v>557.0</v>
      </c>
      <c r="D1296" s="94" t="s">
        <v>1616</v>
      </c>
      <c r="E1296" s="94" t="s">
        <v>26</v>
      </c>
      <c r="F1296" s="87">
        <v>42916.0</v>
      </c>
      <c r="G1296" s="87">
        <v>42799.0</v>
      </c>
      <c r="H1296" s="87">
        <v>42916.0</v>
      </c>
      <c r="I1296" s="87">
        <v>44127.0</v>
      </c>
      <c r="J1296" s="88">
        <v>13.33</v>
      </c>
      <c r="K1296" s="88">
        <v>13.33</v>
      </c>
      <c r="L1296" s="88">
        <v>0.0</v>
      </c>
      <c r="M1296" s="86">
        <v>14.0</v>
      </c>
      <c r="N1296" s="88">
        <v>0.95</v>
      </c>
    </row>
    <row r="1297">
      <c r="A1297" s="86" t="s">
        <v>56</v>
      </c>
      <c r="B1297" s="86"/>
      <c r="C1297" s="86">
        <v>558.0</v>
      </c>
      <c r="D1297" s="94" t="s">
        <v>1617</v>
      </c>
      <c r="E1297" s="94" t="s">
        <v>26</v>
      </c>
      <c r="F1297" s="87">
        <v>42916.0</v>
      </c>
      <c r="G1297" s="87">
        <v>42799.0</v>
      </c>
      <c r="H1297" s="87">
        <v>42919.0</v>
      </c>
      <c r="I1297" s="87">
        <v>44123.0</v>
      </c>
      <c r="J1297" s="88">
        <v>13.33</v>
      </c>
      <c r="K1297" s="88">
        <v>13.33</v>
      </c>
      <c r="L1297" s="88">
        <v>0.0</v>
      </c>
      <c r="M1297" s="86">
        <v>14.0</v>
      </c>
      <c r="N1297" s="88">
        <v>0.95</v>
      </c>
    </row>
    <row r="1298">
      <c r="A1298" s="86" t="s">
        <v>56</v>
      </c>
      <c r="B1298" s="86"/>
      <c r="C1298" s="86">
        <v>559.0</v>
      </c>
      <c r="D1298" s="94" t="s">
        <v>1618</v>
      </c>
      <c r="E1298" s="94" t="s">
        <v>26</v>
      </c>
      <c r="F1298" s="87">
        <v>42916.0</v>
      </c>
      <c r="G1298" s="87">
        <v>42799.0</v>
      </c>
      <c r="H1298" s="87">
        <v>42920.0</v>
      </c>
      <c r="I1298" s="87">
        <v>44116.0</v>
      </c>
      <c r="J1298" s="88">
        <v>13.33</v>
      </c>
      <c r="K1298" s="88">
        <v>13.33</v>
      </c>
      <c r="L1298" s="88">
        <v>0.0</v>
      </c>
      <c r="M1298" s="86">
        <v>13.0</v>
      </c>
      <c r="N1298" s="88">
        <v>1.03</v>
      </c>
    </row>
    <row r="1299">
      <c r="A1299" s="86" t="s">
        <v>56</v>
      </c>
      <c r="B1299" s="86"/>
      <c r="C1299" s="86">
        <v>935.0</v>
      </c>
      <c r="D1299" s="86" t="s">
        <v>1662</v>
      </c>
      <c r="E1299" s="86" t="s">
        <v>26</v>
      </c>
      <c r="F1299" s="87">
        <v>44078.0</v>
      </c>
      <c r="G1299" s="87">
        <v>44157.0</v>
      </c>
      <c r="H1299" s="87">
        <v>44158.0</v>
      </c>
      <c r="I1299" s="87">
        <v>44340.0</v>
      </c>
      <c r="J1299" s="88">
        <v>27.5</v>
      </c>
      <c r="K1299" s="88">
        <v>19.25</v>
      </c>
      <c r="L1299" s="88">
        <v>8.25</v>
      </c>
      <c r="M1299" s="86">
        <v>9.0</v>
      </c>
      <c r="N1299" s="88">
        <v>2.14</v>
      </c>
    </row>
    <row r="1300">
      <c r="A1300" s="86" t="s">
        <v>56</v>
      </c>
      <c r="B1300" s="86"/>
      <c r="C1300" s="86">
        <v>936.0</v>
      </c>
      <c r="D1300" s="86" t="s">
        <v>1663</v>
      </c>
      <c r="E1300" s="86" t="s">
        <v>26</v>
      </c>
      <c r="F1300" s="87">
        <v>44078.0</v>
      </c>
      <c r="G1300" s="87">
        <v>44157.0</v>
      </c>
      <c r="H1300" s="87">
        <v>44158.0</v>
      </c>
      <c r="I1300" s="87">
        <v>44342.0</v>
      </c>
      <c r="J1300" s="88">
        <v>27.49</v>
      </c>
      <c r="K1300" s="88">
        <v>19.24</v>
      </c>
      <c r="L1300" s="88">
        <v>8.25</v>
      </c>
      <c r="M1300" s="86">
        <v>9.0</v>
      </c>
      <c r="N1300" s="88">
        <v>2.14</v>
      </c>
    </row>
    <row r="1301">
      <c r="A1301" s="89"/>
      <c r="B1301" s="89"/>
      <c r="C1301" s="90"/>
      <c r="D1301" s="89"/>
      <c r="E1301" s="89"/>
      <c r="F1301" s="89"/>
      <c r="G1301" s="89"/>
      <c r="H1301" s="89"/>
      <c r="I1301" s="89"/>
      <c r="J1301" s="91">
        <f t="shared" ref="J1301:M1301" si="181">SUM(J1296:J1300)</f>
        <v>94.98</v>
      </c>
      <c r="K1301" s="91">
        <f t="shared" si="181"/>
        <v>78.48</v>
      </c>
      <c r="L1301" s="91">
        <f t="shared" si="181"/>
        <v>16.5</v>
      </c>
      <c r="M1301" s="89">
        <f t="shared" si="181"/>
        <v>59</v>
      </c>
      <c r="N1301" s="91">
        <f>K1301/M1301</f>
        <v>1.330169492</v>
      </c>
    </row>
    <row r="1302">
      <c r="A1302" s="93" t="s">
        <v>56</v>
      </c>
      <c r="B1302" s="86" t="s">
        <v>706</v>
      </c>
      <c r="C1302" s="86">
        <v>141.0</v>
      </c>
      <c r="D1302" s="86" t="s">
        <v>1485</v>
      </c>
      <c r="E1302" s="86" t="s">
        <v>22</v>
      </c>
      <c r="F1302" s="87">
        <v>39388.0</v>
      </c>
      <c r="G1302" s="87">
        <v>44115.0</v>
      </c>
      <c r="H1302" s="87">
        <v>44115.0</v>
      </c>
      <c r="I1302" s="87">
        <v>44115.0</v>
      </c>
      <c r="J1302" s="88">
        <v>28.0</v>
      </c>
      <c r="K1302" s="88">
        <v>28.0</v>
      </c>
      <c r="L1302" s="88">
        <v>0.0</v>
      </c>
      <c r="M1302" s="86">
        <v>5.0</v>
      </c>
      <c r="N1302" s="88">
        <v>5.6</v>
      </c>
    </row>
    <row r="1303">
      <c r="A1303" s="93" t="s">
        <v>56</v>
      </c>
      <c r="B1303" s="86"/>
      <c r="C1303" s="86">
        <v>221.0</v>
      </c>
      <c r="D1303" s="86" t="s">
        <v>1499</v>
      </c>
      <c r="E1303" s="86" t="s">
        <v>24</v>
      </c>
      <c r="F1303" s="87">
        <v>39745.0</v>
      </c>
      <c r="G1303" s="87">
        <v>44091.0</v>
      </c>
      <c r="H1303" s="87">
        <v>44091.0</v>
      </c>
      <c r="I1303" s="87">
        <v>44091.0</v>
      </c>
      <c r="J1303" s="88">
        <v>19.99</v>
      </c>
      <c r="K1303" s="88">
        <v>4.0</v>
      </c>
      <c r="L1303" s="88">
        <v>15.99</v>
      </c>
      <c r="M1303" s="86">
        <v>5.0</v>
      </c>
      <c r="N1303" s="88">
        <v>0.8</v>
      </c>
    </row>
    <row r="1304">
      <c r="A1304" s="89"/>
      <c r="B1304" s="89"/>
      <c r="C1304" s="90"/>
      <c r="D1304" s="89"/>
      <c r="E1304" s="89"/>
      <c r="F1304" s="89"/>
      <c r="G1304" s="89"/>
      <c r="H1304" s="89"/>
      <c r="I1304" s="89"/>
      <c r="J1304" s="91">
        <f t="shared" ref="J1304:M1304" si="182">SUM(J1302:J1303)</f>
        <v>47.99</v>
      </c>
      <c r="K1304" s="91">
        <f t="shared" si="182"/>
        <v>32</v>
      </c>
      <c r="L1304" s="91">
        <f t="shared" si="182"/>
        <v>15.99</v>
      </c>
      <c r="M1304" s="89">
        <f t="shared" si="182"/>
        <v>10</v>
      </c>
      <c r="N1304" s="91">
        <f>K1304/M1304</f>
        <v>3.2</v>
      </c>
    </row>
    <row r="1305">
      <c r="A1305" s="86" t="s">
        <v>56</v>
      </c>
      <c r="B1305" s="86" t="s">
        <v>707</v>
      </c>
      <c r="C1305" s="86">
        <v>762.0</v>
      </c>
      <c r="D1305" s="86" t="s">
        <v>1691</v>
      </c>
      <c r="E1305" s="86" t="s">
        <v>26</v>
      </c>
      <c r="F1305" s="87">
        <v>44813.0</v>
      </c>
      <c r="G1305" s="87">
        <v>45083.0</v>
      </c>
      <c r="H1305" s="87">
        <v>45083.0</v>
      </c>
      <c r="I1305" s="87">
        <v>45083.0</v>
      </c>
      <c r="J1305" s="88">
        <v>39.99</v>
      </c>
      <c r="K1305" s="88">
        <v>0.0</v>
      </c>
      <c r="L1305" s="88">
        <v>39.99</v>
      </c>
      <c r="M1305" s="86">
        <v>1.0</v>
      </c>
      <c r="N1305" s="88">
        <v>0.0</v>
      </c>
    </row>
    <row r="1306">
      <c r="A1306" s="86" t="s">
        <v>56</v>
      </c>
      <c r="B1306" s="86"/>
      <c r="C1306" s="86">
        <v>700.0</v>
      </c>
      <c r="D1306" s="86" t="s">
        <v>1697</v>
      </c>
      <c r="E1306" s="86" t="s">
        <v>26</v>
      </c>
      <c r="F1306" s="87">
        <v>45065.0</v>
      </c>
      <c r="G1306" s="87">
        <v>45265.0</v>
      </c>
      <c r="H1306" s="87">
        <v>45265.0</v>
      </c>
      <c r="I1306" s="87">
        <v>45265.0</v>
      </c>
      <c r="J1306" s="88">
        <v>69.99</v>
      </c>
      <c r="K1306" s="88">
        <v>0.0</v>
      </c>
      <c r="L1306" s="88">
        <v>69.99</v>
      </c>
      <c r="M1306" s="86">
        <v>1.0</v>
      </c>
      <c r="N1306" s="88">
        <v>0.0</v>
      </c>
    </row>
    <row r="1307">
      <c r="A1307" s="93" t="s">
        <v>56</v>
      </c>
      <c r="B1307" s="93"/>
      <c r="C1307" s="86">
        <v>975.0</v>
      </c>
      <c r="D1307" s="86" t="s">
        <v>1704</v>
      </c>
      <c r="E1307" s="86" t="s">
        <v>26</v>
      </c>
      <c r="F1307" s="87">
        <v>45359.0</v>
      </c>
      <c r="G1307" s="87">
        <v>45567.0</v>
      </c>
      <c r="H1307" s="87">
        <v>45567.0</v>
      </c>
      <c r="I1307" s="87">
        <v>45567.0</v>
      </c>
      <c r="J1307" s="94">
        <v>74.99</v>
      </c>
      <c r="K1307" s="94">
        <v>0.0</v>
      </c>
      <c r="L1307" s="88">
        <v>74.99</v>
      </c>
      <c r="M1307" s="86">
        <v>1.0</v>
      </c>
      <c r="N1307" s="88">
        <v>0.0</v>
      </c>
    </row>
    <row r="1308">
      <c r="A1308" s="89"/>
      <c r="B1308" s="89"/>
      <c r="C1308" s="90"/>
      <c r="D1308" s="89"/>
      <c r="E1308" s="89"/>
      <c r="F1308" s="89"/>
      <c r="G1308" s="89"/>
      <c r="H1308" s="89"/>
      <c r="I1308" s="89"/>
      <c r="J1308" s="91">
        <f t="shared" ref="J1308:M1308" si="183">SUM(J1305:J1307)</f>
        <v>184.97</v>
      </c>
      <c r="K1308" s="91">
        <f t="shared" si="183"/>
        <v>0</v>
      </c>
      <c r="L1308" s="91">
        <f t="shared" si="183"/>
        <v>184.97</v>
      </c>
      <c r="M1308" s="89">
        <f t="shared" si="183"/>
        <v>3</v>
      </c>
      <c r="N1308" s="91">
        <f>K1308/M1308</f>
        <v>0</v>
      </c>
    </row>
    <row r="1309">
      <c r="A1309" s="86" t="s">
        <v>56</v>
      </c>
      <c r="B1309" s="86" t="s">
        <v>708</v>
      </c>
      <c r="C1309" s="86">
        <v>464.0</v>
      </c>
      <c r="D1309" s="86" t="s">
        <v>1568</v>
      </c>
      <c r="E1309" s="86" t="s">
        <v>25</v>
      </c>
      <c r="F1309" s="87">
        <v>41215.0</v>
      </c>
      <c r="G1309" s="87">
        <v>42665.0</v>
      </c>
      <c r="H1309" s="87">
        <v>45066.0</v>
      </c>
      <c r="I1309" s="87">
        <v>45066.0</v>
      </c>
      <c r="J1309" s="88">
        <v>14.99</v>
      </c>
      <c r="K1309" s="88">
        <v>6.99</v>
      </c>
      <c r="L1309" s="88">
        <v>8.0</v>
      </c>
      <c r="M1309" s="86">
        <v>5.0</v>
      </c>
      <c r="N1309" s="88">
        <v>1.4</v>
      </c>
    </row>
    <row r="1310">
      <c r="A1310" s="93" t="s">
        <v>56</v>
      </c>
      <c r="B1310" s="93"/>
      <c r="C1310" s="86">
        <v>428.0</v>
      </c>
      <c r="D1310" s="86" t="s">
        <v>1576</v>
      </c>
      <c r="E1310" s="86" t="s">
        <v>25</v>
      </c>
      <c r="F1310" s="87">
        <v>42388.0</v>
      </c>
      <c r="G1310" s="87">
        <v>42950.0</v>
      </c>
      <c r="H1310" s="87">
        <v>45769.0</v>
      </c>
      <c r="I1310" s="87">
        <v>45772.0</v>
      </c>
      <c r="J1310" s="88">
        <v>9.99</v>
      </c>
      <c r="K1310" s="88">
        <v>3.99</v>
      </c>
      <c r="L1310" s="88">
        <v>6.0</v>
      </c>
      <c r="M1310" s="86">
        <v>12.0</v>
      </c>
      <c r="N1310" s="88">
        <v>0.33</v>
      </c>
    </row>
    <row r="1311">
      <c r="A1311" s="86" t="s">
        <v>56</v>
      </c>
      <c r="B1311" s="86"/>
      <c r="C1311" s="86">
        <v>834.0</v>
      </c>
      <c r="D1311" s="86" t="s">
        <v>1599</v>
      </c>
      <c r="E1311" s="86" t="s">
        <v>26</v>
      </c>
      <c r="F1311" s="87">
        <v>42480.0</v>
      </c>
      <c r="G1311" s="87">
        <v>43275.0</v>
      </c>
      <c r="H1311" s="87">
        <v>43280.0</v>
      </c>
      <c r="I1311" s="87">
        <v>43282.0</v>
      </c>
      <c r="J1311" s="88">
        <v>19.99</v>
      </c>
      <c r="K1311" s="88">
        <v>19.99</v>
      </c>
      <c r="L1311" s="88">
        <v>0.0</v>
      </c>
      <c r="M1311" s="86">
        <v>15.0</v>
      </c>
      <c r="N1311" s="88">
        <v>1.33</v>
      </c>
    </row>
    <row r="1312">
      <c r="A1312" s="89"/>
      <c r="B1312" s="89"/>
      <c r="C1312" s="90"/>
      <c r="D1312" s="89"/>
      <c r="E1312" s="89"/>
      <c r="F1312" s="89"/>
      <c r="G1312" s="89"/>
      <c r="H1312" s="89"/>
      <c r="I1312" s="89"/>
      <c r="J1312" s="91">
        <f t="shared" ref="J1312:M1312" si="184">SUM(J1309:J1311)</f>
        <v>44.97</v>
      </c>
      <c r="K1312" s="91">
        <f t="shared" si="184"/>
        <v>30.97</v>
      </c>
      <c r="L1312" s="91">
        <f t="shared" si="184"/>
        <v>14</v>
      </c>
      <c r="M1312" s="89">
        <f t="shared" si="184"/>
        <v>32</v>
      </c>
      <c r="N1312" s="91">
        <f>K1312/M1312</f>
        <v>0.9678125</v>
      </c>
    </row>
    <row r="1313">
      <c r="A1313" s="86" t="s">
        <v>56</v>
      </c>
      <c r="B1313" s="86" t="s">
        <v>709</v>
      </c>
      <c r="C1313" s="86">
        <v>1046.0</v>
      </c>
      <c r="D1313" s="86" t="s">
        <v>1732</v>
      </c>
      <c r="E1313" s="86" t="s">
        <v>27</v>
      </c>
      <c r="F1313" s="87">
        <v>44103.0</v>
      </c>
      <c r="G1313" s="87">
        <v>44502.0</v>
      </c>
      <c r="H1313" s="87">
        <v>44502.0</v>
      </c>
      <c r="I1313" s="87">
        <v>44502.0</v>
      </c>
      <c r="J1313" s="88">
        <v>24.99</v>
      </c>
      <c r="K1313" s="88">
        <v>0.0</v>
      </c>
      <c r="L1313" s="88">
        <v>24.99</v>
      </c>
      <c r="M1313" s="86">
        <v>1.0</v>
      </c>
      <c r="N1313" s="88">
        <v>0.0</v>
      </c>
    </row>
    <row r="1314">
      <c r="A1314" s="86" t="s">
        <v>56</v>
      </c>
      <c r="B1314" s="86" t="s">
        <v>710</v>
      </c>
      <c r="C1314" s="86">
        <v>545.0</v>
      </c>
      <c r="D1314" s="86" t="s">
        <v>1681</v>
      </c>
      <c r="E1314" s="86" t="s">
        <v>26</v>
      </c>
      <c r="F1314" s="87">
        <v>44357.0</v>
      </c>
      <c r="G1314" s="87">
        <v>44745.0</v>
      </c>
      <c r="H1314" s="87">
        <v>44815.0</v>
      </c>
      <c r="I1314" s="87">
        <v>44817.0</v>
      </c>
      <c r="J1314" s="88">
        <v>19.99</v>
      </c>
      <c r="K1314" s="88">
        <v>13.99</v>
      </c>
      <c r="L1314" s="88">
        <v>6.0</v>
      </c>
      <c r="M1314" s="86">
        <v>24.0</v>
      </c>
      <c r="N1314" s="88">
        <v>0.58</v>
      </c>
    </row>
    <row r="1315">
      <c r="A1315" s="86" t="s">
        <v>56</v>
      </c>
      <c r="B1315" s="86" t="s">
        <v>711</v>
      </c>
      <c r="C1315" s="86">
        <v>466.0</v>
      </c>
      <c r="D1315" s="86" t="s">
        <v>1580</v>
      </c>
      <c r="E1315" s="86" t="s">
        <v>25</v>
      </c>
      <c r="F1315" s="87">
        <v>42697.0</v>
      </c>
      <c r="G1315" s="87">
        <v>42887.0</v>
      </c>
      <c r="H1315" s="87">
        <v>42904.0</v>
      </c>
      <c r="I1315" s="87">
        <v>44485.0</v>
      </c>
      <c r="J1315" s="88">
        <v>14.99</v>
      </c>
      <c r="K1315" s="88">
        <v>4.99</v>
      </c>
      <c r="L1315" s="88">
        <v>10.0</v>
      </c>
      <c r="M1315" s="86">
        <v>3.0</v>
      </c>
      <c r="N1315" s="88">
        <v>1.66</v>
      </c>
    </row>
    <row r="1316">
      <c r="A1316" s="93" t="s">
        <v>56</v>
      </c>
      <c r="B1316" s="86" t="s">
        <v>712</v>
      </c>
      <c r="C1316" s="86">
        <v>357.0</v>
      </c>
      <c r="D1316" s="86" t="s">
        <v>1564</v>
      </c>
      <c r="E1316" s="86" t="s">
        <v>24</v>
      </c>
      <c r="F1316" s="87">
        <v>42115.0</v>
      </c>
      <c r="G1316" s="87">
        <v>43341.0</v>
      </c>
      <c r="H1316" s="87">
        <v>43341.0</v>
      </c>
      <c r="I1316" s="87">
        <v>43342.0</v>
      </c>
      <c r="J1316" s="88">
        <v>24.99</v>
      </c>
      <c r="K1316" s="88">
        <v>24.99</v>
      </c>
      <c r="L1316" s="88">
        <v>0.0</v>
      </c>
      <c r="M1316" s="86">
        <v>3.0</v>
      </c>
      <c r="N1316" s="88">
        <v>8.33</v>
      </c>
    </row>
    <row r="1317">
      <c r="A1317" s="86" t="s">
        <v>56</v>
      </c>
      <c r="B1317" s="86"/>
      <c r="C1317" s="86">
        <v>836.0</v>
      </c>
      <c r="D1317" s="86" t="s">
        <v>1688</v>
      </c>
      <c r="E1317" s="86" t="s">
        <v>26</v>
      </c>
      <c r="F1317" s="87">
        <v>44543.0</v>
      </c>
      <c r="G1317" s="87">
        <v>44915.0</v>
      </c>
      <c r="H1317" s="87">
        <v>44934.0</v>
      </c>
      <c r="I1317" s="87">
        <v>44937.0</v>
      </c>
      <c r="J1317" s="88">
        <v>19.99</v>
      </c>
      <c r="K1317" s="88">
        <v>14.99</v>
      </c>
      <c r="L1317" s="88">
        <v>5.0</v>
      </c>
      <c r="M1317" s="86">
        <v>12.0</v>
      </c>
      <c r="N1317" s="88">
        <v>1.25</v>
      </c>
    </row>
    <row r="1318">
      <c r="A1318" s="89"/>
      <c r="B1318" s="89"/>
      <c r="C1318" s="90"/>
      <c r="D1318" s="89"/>
      <c r="E1318" s="89"/>
      <c r="F1318" s="89"/>
      <c r="G1318" s="89"/>
      <c r="H1318" s="89"/>
      <c r="I1318" s="89"/>
      <c r="J1318" s="91">
        <f t="shared" ref="J1318:M1318" si="185">SUM(J1316:J1317)</f>
        <v>44.98</v>
      </c>
      <c r="K1318" s="91">
        <f t="shared" si="185"/>
        <v>39.98</v>
      </c>
      <c r="L1318" s="91">
        <f t="shared" si="185"/>
        <v>5</v>
      </c>
      <c r="M1318" s="89">
        <f t="shared" si="185"/>
        <v>15</v>
      </c>
      <c r="N1318" s="91">
        <f>K1318/M1318</f>
        <v>2.665333333</v>
      </c>
    </row>
    <row r="1319">
      <c r="A1319" s="86" t="s">
        <v>56</v>
      </c>
      <c r="B1319" s="86" t="s">
        <v>713</v>
      </c>
      <c r="C1319" s="86">
        <v>775.0</v>
      </c>
      <c r="D1319" s="86" t="s">
        <v>1585</v>
      </c>
      <c r="E1319" s="86" t="s">
        <v>26</v>
      </c>
      <c r="F1319" s="87">
        <v>41752.0</v>
      </c>
      <c r="G1319" s="87">
        <v>42253.0</v>
      </c>
      <c r="H1319" s="87">
        <v>42253.0</v>
      </c>
      <c r="I1319" s="87">
        <v>44866.0</v>
      </c>
      <c r="J1319" s="88">
        <v>13.99</v>
      </c>
      <c r="K1319" s="88">
        <v>7.0</v>
      </c>
      <c r="L1319" s="88">
        <v>6.99</v>
      </c>
      <c r="M1319" s="86">
        <v>10.0</v>
      </c>
      <c r="N1319" s="88">
        <v>0.7</v>
      </c>
    </row>
    <row r="1320">
      <c r="A1320" s="86" t="s">
        <v>56</v>
      </c>
      <c r="B1320" s="86"/>
      <c r="C1320" s="86">
        <v>538.0</v>
      </c>
      <c r="D1320" s="86" t="s">
        <v>1672</v>
      </c>
      <c r="E1320" s="86" t="s">
        <v>26</v>
      </c>
      <c r="F1320" s="87">
        <v>44147.0</v>
      </c>
      <c r="G1320" s="87">
        <v>44343.0</v>
      </c>
      <c r="H1320" s="87">
        <v>44348.0</v>
      </c>
      <c r="I1320" s="87">
        <v>44680.0</v>
      </c>
      <c r="J1320" s="88">
        <v>21.99</v>
      </c>
      <c r="K1320" s="88">
        <v>16.49</v>
      </c>
      <c r="L1320" s="88">
        <v>5.5</v>
      </c>
      <c r="M1320" s="86">
        <v>24.0</v>
      </c>
      <c r="N1320" s="88">
        <v>0.69</v>
      </c>
    </row>
    <row r="1321">
      <c r="A1321" s="89"/>
      <c r="B1321" s="89"/>
      <c r="C1321" s="90"/>
      <c r="D1321" s="89"/>
      <c r="E1321" s="89"/>
      <c r="F1321" s="89"/>
      <c r="G1321" s="89"/>
      <c r="H1321" s="89"/>
      <c r="I1321" s="89"/>
      <c r="J1321" s="91">
        <f t="shared" ref="J1321:M1321" si="186">SUM(J1319:J1320)</f>
        <v>35.98</v>
      </c>
      <c r="K1321" s="91">
        <f t="shared" si="186"/>
        <v>23.49</v>
      </c>
      <c r="L1321" s="91">
        <f t="shared" si="186"/>
        <v>12.49</v>
      </c>
      <c r="M1321" s="89">
        <f t="shared" si="186"/>
        <v>34</v>
      </c>
      <c r="N1321" s="91">
        <f>K1321/M1321</f>
        <v>0.6908823529</v>
      </c>
    </row>
    <row r="1322">
      <c r="A1322" s="331"/>
      <c r="B1322" s="331"/>
      <c r="C1322" s="332"/>
      <c r="D1322" s="333"/>
      <c r="E1322" s="333"/>
      <c r="F1322" s="333"/>
      <c r="G1322" s="333"/>
      <c r="H1322" s="333"/>
      <c r="I1322" s="333"/>
      <c r="J1322" s="334"/>
      <c r="K1322" s="334"/>
      <c r="L1322" s="334"/>
      <c r="M1322" s="333"/>
      <c r="N1322" s="334"/>
    </row>
    <row r="1323">
      <c r="A1323" s="96" t="s">
        <v>715</v>
      </c>
      <c r="B1323" s="96" t="s">
        <v>714</v>
      </c>
      <c r="C1323" s="96">
        <v>719.0</v>
      </c>
      <c r="D1323" s="96" t="s">
        <v>1743</v>
      </c>
      <c r="E1323" s="96" t="s">
        <v>26</v>
      </c>
      <c r="F1323" s="325">
        <v>42514.0</v>
      </c>
      <c r="G1323" s="325">
        <v>42754.0</v>
      </c>
      <c r="H1323" s="325">
        <v>42764.0</v>
      </c>
      <c r="I1323" s="325">
        <v>45058.0</v>
      </c>
      <c r="J1323" s="326">
        <v>17.99</v>
      </c>
      <c r="K1323" s="326">
        <v>9.99</v>
      </c>
      <c r="L1323" s="326">
        <v>8.0</v>
      </c>
      <c r="M1323" s="96">
        <v>3.0</v>
      </c>
      <c r="N1323" s="326">
        <v>3.33</v>
      </c>
    </row>
    <row r="1324">
      <c r="A1324" s="96" t="s">
        <v>715</v>
      </c>
      <c r="B1324" s="96" t="s">
        <v>716</v>
      </c>
      <c r="C1324" s="96">
        <v>908.0</v>
      </c>
      <c r="D1324" s="96" t="s">
        <v>1744</v>
      </c>
      <c r="E1324" s="96" t="s">
        <v>26</v>
      </c>
      <c r="F1324" s="325">
        <v>43921.0</v>
      </c>
      <c r="G1324" s="325">
        <v>44640.0</v>
      </c>
      <c r="H1324" s="325">
        <v>44640.0</v>
      </c>
      <c r="I1324" s="325">
        <v>44640.0</v>
      </c>
      <c r="J1324" s="326">
        <v>11.66</v>
      </c>
      <c r="K1324" s="326">
        <v>5.83</v>
      </c>
      <c r="L1324" s="326">
        <v>5.83</v>
      </c>
      <c r="M1324" s="96">
        <v>1.0</v>
      </c>
      <c r="N1324" s="326">
        <v>5.83</v>
      </c>
    </row>
    <row r="1325">
      <c r="A1325" s="96" t="s">
        <v>715</v>
      </c>
      <c r="B1325" s="96"/>
      <c r="C1325" s="96">
        <v>632.0</v>
      </c>
      <c r="D1325" s="96" t="s">
        <v>1745</v>
      </c>
      <c r="E1325" s="96" t="s">
        <v>26</v>
      </c>
      <c r="F1325" s="325">
        <v>44152.0</v>
      </c>
      <c r="G1325" s="325">
        <v>44640.0</v>
      </c>
      <c r="H1325" s="325">
        <v>44640.0</v>
      </c>
      <c r="I1325" s="325">
        <v>44640.0</v>
      </c>
      <c r="J1325" s="326">
        <v>11.66</v>
      </c>
      <c r="K1325" s="326">
        <v>5.83</v>
      </c>
      <c r="L1325" s="326">
        <v>5.83</v>
      </c>
      <c r="M1325" s="96">
        <v>1.0</v>
      </c>
      <c r="N1325" s="326">
        <v>5.83</v>
      </c>
    </row>
    <row r="1326">
      <c r="A1326" s="96" t="s">
        <v>715</v>
      </c>
      <c r="B1326" s="96"/>
      <c r="C1326" s="96">
        <v>770.0</v>
      </c>
      <c r="D1326" s="96" t="s">
        <v>1746</v>
      </c>
      <c r="E1326" s="96" t="s">
        <v>26</v>
      </c>
      <c r="F1326" s="325">
        <v>44404.0</v>
      </c>
      <c r="G1326" s="325">
        <v>44640.0</v>
      </c>
      <c r="H1326" s="325">
        <v>44838.0</v>
      </c>
      <c r="I1326" s="325">
        <v>44839.0</v>
      </c>
      <c r="J1326" s="326">
        <v>11.67</v>
      </c>
      <c r="K1326" s="326">
        <v>5.83</v>
      </c>
      <c r="L1326" s="326">
        <v>5.84</v>
      </c>
      <c r="M1326" s="96">
        <v>4.0</v>
      </c>
      <c r="N1326" s="326">
        <v>1.46</v>
      </c>
    </row>
    <row r="1327">
      <c r="A1327" s="424"/>
      <c r="B1327" s="424"/>
      <c r="C1327" s="458"/>
      <c r="D1327" s="459"/>
      <c r="E1327" s="459"/>
      <c r="F1327" s="459"/>
      <c r="G1327" s="459"/>
      <c r="H1327" s="459"/>
      <c r="I1327" s="459"/>
      <c r="J1327" s="460">
        <f t="shared" ref="J1327:M1327" si="187">SUM(J1324:J1326)</f>
        <v>34.99</v>
      </c>
      <c r="K1327" s="460">
        <f t="shared" si="187"/>
        <v>17.49</v>
      </c>
      <c r="L1327" s="460">
        <f t="shared" si="187"/>
        <v>17.5</v>
      </c>
      <c r="M1327" s="459">
        <f t="shared" si="187"/>
        <v>6</v>
      </c>
      <c r="N1327" s="460">
        <f>K1327/M1327</f>
        <v>2.915</v>
      </c>
    </row>
  </sheetData>
  <autoFilter ref="$D$1:$N$1327"/>
  <hyperlinks>
    <hyperlink r:id="rId1" ref="B791"/>
    <hyperlink r:id="rId2" ref="B855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63"/>
    <col customWidth="1" min="2" max="2" width="20.13"/>
    <col customWidth="1" min="3" max="3" width="8.88"/>
    <col customWidth="1" min="4" max="4" width="13.13"/>
    <col customWidth="1" min="5" max="5" width="13.63"/>
    <col customWidth="1" min="6" max="6" width="10.5"/>
    <col customWidth="1" min="7" max="7" width="8.63"/>
    <col customWidth="1" min="8" max="8" width="9.0"/>
    <col customWidth="1" min="9" max="10" width="8.75"/>
    <col customWidth="1" min="11" max="11" width="23.5"/>
    <col customWidth="1" min="15" max="18" width="20.38"/>
  </cols>
  <sheetData>
    <row r="1">
      <c r="A1" s="461" t="s">
        <v>5</v>
      </c>
      <c r="B1" s="418" t="s">
        <v>4</v>
      </c>
      <c r="C1" s="418" t="s">
        <v>20</v>
      </c>
      <c r="D1" s="418" t="s">
        <v>13</v>
      </c>
      <c r="E1" s="418" t="s">
        <v>14</v>
      </c>
      <c r="F1" s="418" t="s">
        <v>15</v>
      </c>
      <c r="G1" s="418" t="s">
        <v>16</v>
      </c>
      <c r="H1" s="418" t="s">
        <v>17</v>
      </c>
      <c r="I1" s="7"/>
      <c r="J1" s="7"/>
      <c r="K1" s="7"/>
      <c r="L1" s="7"/>
      <c r="M1" s="7"/>
      <c r="N1" s="7"/>
      <c r="O1" s="7"/>
      <c r="P1" s="7"/>
      <c r="Q1" s="7"/>
      <c r="R1" s="7"/>
    </row>
    <row r="2">
      <c r="A2" s="462" t="s">
        <v>434</v>
      </c>
      <c r="B2" s="68" t="s">
        <v>50</v>
      </c>
      <c r="C2" s="68">
        <v>12.0</v>
      </c>
      <c r="D2" s="67">
        <v>568.21</v>
      </c>
      <c r="E2" s="67">
        <v>182.62</v>
      </c>
      <c r="F2" s="67">
        <v>385.59</v>
      </c>
      <c r="G2" s="68">
        <v>1500.0</v>
      </c>
      <c r="H2" s="67">
        <v>0.12</v>
      </c>
      <c r="I2" s="7"/>
      <c r="J2" s="7"/>
      <c r="K2" s="7"/>
      <c r="L2" s="7"/>
      <c r="M2" s="7"/>
      <c r="N2" s="7"/>
      <c r="O2" s="7"/>
      <c r="P2" s="7"/>
      <c r="Q2" s="7"/>
      <c r="R2" s="7"/>
    </row>
    <row r="3">
      <c r="A3" s="462" t="s">
        <v>636</v>
      </c>
      <c r="B3" s="68" t="s">
        <v>56</v>
      </c>
      <c r="C3" s="462">
        <v>15.0</v>
      </c>
      <c r="D3" s="67">
        <v>385.3</v>
      </c>
      <c r="E3" s="67">
        <v>240.31</v>
      </c>
      <c r="F3" s="67">
        <v>144.99</v>
      </c>
      <c r="G3" s="68">
        <v>890.0</v>
      </c>
      <c r="H3" s="67">
        <v>0.27</v>
      </c>
      <c r="I3" s="7"/>
      <c r="J3" s="7"/>
      <c r="K3" s="7"/>
      <c r="L3" s="7"/>
      <c r="M3" s="7"/>
      <c r="N3" s="7"/>
      <c r="O3" s="7"/>
      <c r="P3" s="7"/>
      <c r="Q3" s="7"/>
      <c r="R3" s="7"/>
    </row>
    <row r="4">
      <c r="A4" s="68" t="s">
        <v>622</v>
      </c>
      <c r="B4" s="68" t="s">
        <v>56</v>
      </c>
      <c r="C4" s="462">
        <v>18.0</v>
      </c>
      <c r="D4" s="67">
        <v>489.86</v>
      </c>
      <c r="E4" s="67">
        <v>133.42</v>
      </c>
      <c r="F4" s="67">
        <v>356.44</v>
      </c>
      <c r="G4" s="68">
        <v>853.0</v>
      </c>
      <c r="H4" s="67">
        <v>0.16</v>
      </c>
      <c r="I4" s="7"/>
      <c r="J4" s="7"/>
      <c r="K4" s="7"/>
      <c r="L4" s="7"/>
      <c r="M4" s="7"/>
      <c r="N4" s="7"/>
      <c r="O4" s="7"/>
      <c r="P4" s="7"/>
      <c r="Q4" s="7"/>
      <c r="R4" s="7"/>
    </row>
    <row r="5">
      <c r="A5" s="462" t="s">
        <v>435</v>
      </c>
      <c r="B5" s="68" t="s">
        <v>50</v>
      </c>
      <c r="C5" s="68">
        <v>20.0</v>
      </c>
      <c r="D5" s="67">
        <v>306.53</v>
      </c>
      <c r="E5" s="67">
        <v>96.17</v>
      </c>
      <c r="F5" s="67">
        <v>210.36</v>
      </c>
      <c r="G5" s="68">
        <v>507.0</v>
      </c>
      <c r="H5" s="67">
        <v>0.19</v>
      </c>
      <c r="I5" s="7"/>
      <c r="J5" s="7"/>
      <c r="K5" s="7"/>
      <c r="L5" s="7"/>
      <c r="M5" s="7"/>
      <c r="N5" s="7"/>
      <c r="O5" s="7"/>
      <c r="P5" s="7"/>
      <c r="Q5" s="7"/>
      <c r="R5" s="7"/>
    </row>
    <row r="6">
      <c r="A6" s="462" t="s">
        <v>504</v>
      </c>
      <c r="B6" s="68" t="s">
        <v>502</v>
      </c>
      <c r="C6" s="462">
        <v>6.0</v>
      </c>
      <c r="D6" s="67">
        <v>218.95</v>
      </c>
      <c r="E6" s="67">
        <v>120.95</v>
      </c>
      <c r="F6" s="67">
        <v>98.0</v>
      </c>
      <c r="G6" s="68">
        <v>480.0</v>
      </c>
      <c r="H6" s="67">
        <v>0.25</v>
      </c>
      <c r="I6" s="7"/>
      <c r="J6" s="7"/>
      <c r="K6" s="7"/>
      <c r="L6" s="7"/>
      <c r="M6" s="7"/>
      <c r="N6" s="7"/>
      <c r="O6" s="7"/>
      <c r="P6" s="7"/>
      <c r="Q6" s="7"/>
      <c r="R6" s="7"/>
    </row>
    <row r="7">
      <c r="A7" s="462" t="s">
        <v>213</v>
      </c>
      <c r="B7" s="68" t="s">
        <v>39</v>
      </c>
      <c r="C7" s="462">
        <v>15.0</v>
      </c>
      <c r="D7" s="67">
        <v>544.86</v>
      </c>
      <c r="E7" s="67">
        <v>238.37</v>
      </c>
      <c r="F7" s="67">
        <v>306.49</v>
      </c>
      <c r="G7" s="68">
        <v>478.0</v>
      </c>
      <c r="H7" s="67">
        <v>0.5</v>
      </c>
      <c r="I7" s="7"/>
      <c r="J7" s="7"/>
      <c r="K7" s="7"/>
      <c r="L7" s="7"/>
      <c r="M7" s="7"/>
      <c r="N7" s="7"/>
      <c r="O7" s="7"/>
      <c r="P7" s="7"/>
      <c r="Q7" s="7"/>
      <c r="R7" s="7"/>
    </row>
    <row r="8">
      <c r="A8" s="462" t="s">
        <v>604</v>
      </c>
      <c r="B8" s="68" t="s">
        <v>56</v>
      </c>
      <c r="C8" s="462">
        <v>6.0</v>
      </c>
      <c r="D8" s="67">
        <v>329.93</v>
      </c>
      <c r="E8" s="67">
        <v>244.94</v>
      </c>
      <c r="F8" s="67">
        <v>84.99</v>
      </c>
      <c r="G8" s="68">
        <v>446.0</v>
      </c>
      <c r="H8" s="67">
        <v>0.55</v>
      </c>
      <c r="I8" s="7"/>
      <c r="J8" s="7"/>
      <c r="K8" s="7"/>
      <c r="L8" s="7"/>
      <c r="M8" s="7"/>
      <c r="N8" s="7"/>
      <c r="O8" s="7"/>
      <c r="P8" s="7"/>
      <c r="Q8" s="7"/>
      <c r="R8" s="7"/>
    </row>
    <row r="9">
      <c r="A9" s="462" t="s">
        <v>679</v>
      </c>
      <c r="B9" s="68" t="s">
        <v>56</v>
      </c>
      <c r="C9" s="462">
        <v>9.0</v>
      </c>
      <c r="D9" s="67">
        <v>189.94</v>
      </c>
      <c r="E9" s="67">
        <v>97.65</v>
      </c>
      <c r="F9" s="67">
        <v>92.29</v>
      </c>
      <c r="G9" s="68">
        <v>433.0</v>
      </c>
      <c r="H9" s="67">
        <v>0.23</v>
      </c>
      <c r="I9" s="7"/>
      <c r="J9" s="7"/>
      <c r="K9" s="7"/>
      <c r="L9" s="7"/>
      <c r="M9" s="7"/>
      <c r="N9" s="7"/>
      <c r="O9" s="7"/>
      <c r="P9" s="7"/>
      <c r="Q9" s="7"/>
      <c r="R9" s="7"/>
    </row>
    <row r="10">
      <c r="A10" s="462" t="s">
        <v>584</v>
      </c>
      <c r="B10" s="68" t="s">
        <v>56</v>
      </c>
      <c r="C10" s="462">
        <v>5.0</v>
      </c>
      <c r="D10" s="67">
        <v>179.93</v>
      </c>
      <c r="E10" s="67">
        <v>55.46</v>
      </c>
      <c r="F10" s="67">
        <v>124.47</v>
      </c>
      <c r="G10" s="68">
        <v>340.0</v>
      </c>
      <c r="H10" s="67">
        <v>0.16</v>
      </c>
      <c r="I10" s="7"/>
      <c r="J10" s="7"/>
      <c r="K10" s="7"/>
      <c r="L10" s="7"/>
      <c r="M10" s="7"/>
      <c r="N10" s="7"/>
      <c r="O10" s="7"/>
      <c r="P10" s="7"/>
      <c r="Q10" s="7"/>
      <c r="R10" s="7"/>
    </row>
    <row r="11">
      <c r="A11" s="462" t="s">
        <v>439</v>
      </c>
      <c r="B11" s="68" t="s">
        <v>50</v>
      </c>
      <c r="C11" s="462">
        <v>23.0</v>
      </c>
      <c r="D11" s="67">
        <v>449.83</v>
      </c>
      <c r="E11" s="67">
        <v>148.28</v>
      </c>
      <c r="F11" s="67">
        <v>301.55</v>
      </c>
      <c r="G11" s="68">
        <v>324.0</v>
      </c>
      <c r="H11" s="67">
        <v>0.46</v>
      </c>
      <c r="I11" s="7"/>
      <c r="J11" s="7"/>
      <c r="K11" s="7"/>
      <c r="L11" s="7"/>
      <c r="M11" s="7"/>
      <c r="N11" s="7"/>
      <c r="O11" s="7"/>
      <c r="P11" s="7"/>
      <c r="Q11" s="7"/>
      <c r="R11" s="7"/>
    </row>
    <row r="12">
      <c r="A12" s="113" t="s">
        <v>257</v>
      </c>
      <c r="B12" s="71" t="s">
        <v>36</v>
      </c>
      <c r="C12" s="113">
        <v>6.0</v>
      </c>
      <c r="D12" s="70">
        <v>339.94</v>
      </c>
      <c r="E12" s="70">
        <v>36.98</v>
      </c>
      <c r="F12" s="70">
        <v>302.96</v>
      </c>
      <c r="G12" s="71">
        <v>317.0</v>
      </c>
      <c r="H12" s="70">
        <v>0.12</v>
      </c>
      <c r="I12" s="7"/>
      <c r="J12" s="7"/>
      <c r="K12" s="7"/>
      <c r="L12" s="7"/>
      <c r="M12" s="7"/>
      <c r="N12" s="7"/>
      <c r="O12" s="7"/>
      <c r="P12" s="7"/>
      <c r="Q12" s="7"/>
      <c r="R12" s="7"/>
    </row>
    <row r="13">
      <c r="A13" s="113" t="s">
        <v>51</v>
      </c>
      <c r="B13" s="71" t="s">
        <v>50</v>
      </c>
      <c r="C13" s="71">
        <v>65.0</v>
      </c>
      <c r="D13" s="70">
        <v>814.7</v>
      </c>
      <c r="E13" s="70">
        <v>395.01</v>
      </c>
      <c r="F13" s="70">
        <v>419.69</v>
      </c>
      <c r="G13" s="71">
        <v>293.0</v>
      </c>
      <c r="H13" s="70">
        <v>1.35</v>
      </c>
      <c r="I13" s="7"/>
      <c r="J13" s="7"/>
      <c r="K13" s="7"/>
      <c r="L13" s="7"/>
      <c r="M13" s="7"/>
      <c r="N13" s="7"/>
      <c r="O13" s="7"/>
      <c r="P13" s="7"/>
      <c r="Q13" s="7"/>
      <c r="R13" s="7"/>
    </row>
    <row r="14">
      <c r="A14" s="71" t="s">
        <v>654</v>
      </c>
      <c r="B14" s="71" t="s">
        <v>56</v>
      </c>
      <c r="C14" s="71">
        <v>1.0</v>
      </c>
      <c r="D14" s="114">
        <v>34.58</v>
      </c>
      <c r="E14" s="114">
        <v>26.58</v>
      </c>
      <c r="F14" s="114">
        <f t="shared" ref="F14:F15" si="1">D14-E14</f>
        <v>8</v>
      </c>
      <c r="G14" s="71">
        <v>260.0</v>
      </c>
      <c r="H14" s="114">
        <f>E14/G14</f>
        <v>0.1022307692</v>
      </c>
      <c r="I14" s="7"/>
      <c r="J14" s="7"/>
      <c r="K14" s="7"/>
      <c r="L14" s="7"/>
      <c r="M14" s="7"/>
      <c r="N14" s="7"/>
      <c r="O14" s="7"/>
      <c r="P14" s="7"/>
      <c r="Q14" s="7"/>
      <c r="R14" s="7"/>
    </row>
    <row r="15">
      <c r="A15" s="113" t="s">
        <v>172</v>
      </c>
      <c r="B15" s="71" t="s">
        <v>39</v>
      </c>
      <c r="C15" s="113">
        <v>2.0</v>
      </c>
      <c r="D15" s="72">
        <v>109.98</v>
      </c>
      <c r="E15" s="72">
        <v>74.99</v>
      </c>
      <c r="F15" s="114">
        <f t="shared" si="1"/>
        <v>34.99</v>
      </c>
      <c r="G15" s="71">
        <v>208.0</v>
      </c>
      <c r="H15" s="70">
        <v>0.36</v>
      </c>
      <c r="I15" s="7"/>
      <c r="J15" s="7"/>
      <c r="K15" s="7"/>
      <c r="L15" s="7"/>
      <c r="M15" s="7"/>
      <c r="N15" s="7"/>
      <c r="O15" s="7"/>
      <c r="P15" s="7"/>
      <c r="Q15" s="7"/>
      <c r="R15" s="7"/>
    </row>
    <row r="16">
      <c r="A16" s="71" t="s">
        <v>418</v>
      </c>
      <c r="B16" s="71" t="s">
        <v>50</v>
      </c>
      <c r="C16" s="71">
        <v>29.0</v>
      </c>
      <c r="D16" s="70">
        <v>253.86</v>
      </c>
      <c r="E16" s="70">
        <v>141.89</v>
      </c>
      <c r="F16" s="70">
        <v>111.97</v>
      </c>
      <c r="G16" s="71">
        <v>198.0</v>
      </c>
      <c r="H16" s="70">
        <v>0.72</v>
      </c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113" t="s">
        <v>684</v>
      </c>
      <c r="B17" s="71" t="s">
        <v>56</v>
      </c>
      <c r="C17" s="113">
        <v>14.0</v>
      </c>
      <c r="D17" s="70">
        <v>271.84</v>
      </c>
      <c r="E17" s="70">
        <v>252.84</v>
      </c>
      <c r="F17" s="70">
        <v>19.0</v>
      </c>
      <c r="G17" s="71">
        <v>198.0</v>
      </c>
      <c r="H17" s="70">
        <v>1.28</v>
      </c>
      <c r="I17" s="7"/>
      <c r="J17" s="7"/>
      <c r="K17" s="7"/>
      <c r="L17" s="7"/>
      <c r="M17" s="7"/>
      <c r="N17" s="7"/>
      <c r="O17" s="7"/>
      <c r="P17" s="7"/>
      <c r="Q17" s="7"/>
      <c r="R17" s="7"/>
    </row>
    <row r="18">
      <c r="A18" s="113" t="s">
        <v>40</v>
      </c>
      <c r="B18" s="71" t="s">
        <v>39</v>
      </c>
      <c r="C18" s="113">
        <v>1.0</v>
      </c>
      <c r="D18" s="114">
        <v>29.99</v>
      </c>
      <c r="E18" s="114">
        <v>23.99</v>
      </c>
      <c r="F18" s="114">
        <v>6.0</v>
      </c>
      <c r="G18" s="71">
        <v>196.0</v>
      </c>
      <c r="H18" s="72">
        <v>0.12365979381443298</v>
      </c>
      <c r="I18" s="7"/>
      <c r="J18" s="7"/>
      <c r="K18" s="7"/>
      <c r="L18" s="7"/>
      <c r="M18" s="7"/>
      <c r="N18" s="7"/>
      <c r="O18" s="7"/>
      <c r="P18" s="7"/>
      <c r="Q18" s="7"/>
      <c r="R18" s="7"/>
    </row>
    <row r="19">
      <c r="A19" s="113" t="s">
        <v>365</v>
      </c>
      <c r="B19" s="71" t="s">
        <v>47</v>
      </c>
      <c r="C19" s="113">
        <v>5.0</v>
      </c>
      <c r="D19" s="70">
        <v>94.93</v>
      </c>
      <c r="E19" s="70">
        <v>78.95</v>
      </c>
      <c r="F19" s="70">
        <v>15.98</v>
      </c>
      <c r="G19" s="71">
        <v>183.0</v>
      </c>
      <c r="H19" s="70">
        <v>0.43</v>
      </c>
      <c r="I19" s="7"/>
      <c r="J19" s="7"/>
      <c r="K19" s="7"/>
      <c r="L19" s="7"/>
      <c r="M19" s="7"/>
      <c r="N19" s="7"/>
      <c r="O19" s="7"/>
      <c r="P19" s="7"/>
      <c r="Q19" s="7"/>
      <c r="R19" s="7"/>
    </row>
    <row r="20">
      <c r="A20" s="113" t="s">
        <v>458</v>
      </c>
      <c r="B20" s="71" t="s">
        <v>53</v>
      </c>
      <c r="C20" s="113">
        <v>3.0</v>
      </c>
      <c r="D20" s="70">
        <v>127.96</v>
      </c>
      <c r="E20" s="70">
        <v>90.56</v>
      </c>
      <c r="F20" s="70">
        <v>37.4</v>
      </c>
      <c r="G20" s="71">
        <v>169.0</v>
      </c>
      <c r="H20" s="70">
        <v>0.54</v>
      </c>
      <c r="I20" s="7"/>
      <c r="J20" s="7"/>
      <c r="K20" s="7"/>
      <c r="L20" s="7"/>
      <c r="M20" s="7"/>
      <c r="N20" s="7"/>
      <c r="O20" s="7"/>
      <c r="P20" s="7"/>
      <c r="Q20" s="7"/>
      <c r="R20" s="7"/>
    </row>
    <row r="21">
      <c r="A21" s="71" t="s">
        <v>320</v>
      </c>
      <c r="B21" s="71" t="s">
        <v>36</v>
      </c>
      <c r="C21" s="71">
        <v>17.0</v>
      </c>
      <c r="D21" s="70">
        <v>341.84</v>
      </c>
      <c r="E21" s="70">
        <v>78.91</v>
      </c>
      <c r="F21" s="70">
        <v>262.93</v>
      </c>
      <c r="G21" s="71">
        <v>159.0</v>
      </c>
      <c r="H21" s="70">
        <v>0.5</v>
      </c>
      <c r="I21" s="7"/>
      <c r="J21" s="7"/>
      <c r="K21" s="7"/>
      <c r="L21" s="7"/>
      <c r="M21" s="7"/>
      <c r="N21" s="7"/>
      <c r="O21" s="7"/>
      <c r="P21" s="7"/>
      <c r="Q21" s="7"/>
      <c r="R21" s="7"/>
    </row>
    <row r="22">
      <c r="A22" s="113" t="s">
        <v>630</v>
      </c>
      <c r="B22" s="71" t="s">
        <v>56</v>
      </c>
      <c r="C22" s="113">
        <v>5.0</v>
      </c>
      <c r="D22" s="70">
        <v>939.57</v>
      </c>
      <c r="E22" s="70">
        <v>748.39</v>
      </c>
      <c r="F22" s="70">
        <v>191.18</v>
      </c>
      <c r="G22" s="71">
        <v>158.0</v>
      </c>
      <c r="H22" s="70">
        <v>4.74</v>
      </c>
      <c r="I22" s="7"/>
      <c r="J22" s="7"/>
      <c r="K22" s="7"/>
      <c r="L22" s="7"/>
      <c r="M22" s="7"/>
      <c r="N22" s="7"/>
      <c r="O22" s="7"/>
      <c r="P22" s="7"/>
      <c r="Q22" s="7"/>
      <c r="R22" s="7"/>
    </row>
    <row r="23">
      <c r="A23" s="71" t="s">
        <v>443</v>
      </c>
      <c r="B23" s="71" t="s">
        <v>50</v>
      </c>
      <c r="C23" s="113">
        <v>16.0</v>
      </c>
      <c r="D23" s="72">
        <v>313.88</v>
      </c>
      <c r="E23" s="72">
        <v>114.7</v>
      </c>
      <c r="F23" s="72">
        <v>199.18</v>
      </c>
      <c r="G23" s="71">
        <v>150.0</v>
      </c>
      <c r="H23" s="72">
        <v>0.76</v>
      </c>
      <c r="I23" s="7"/>
      <c r="J23" s="7"/>
      <c r="K23" s="7"/>
      <c r="L23" s="7"/>
      <c r="M23" s="7"/>
      <c r="N23" s="7"/>
      <c r="O23" s="7"/>
      <c r="P23" s="7"/>
      <c r="Q23" s="7"/>
      <c r="R23" s="7"/>
    </row>
    <row r="24">
      <c r="A24" s="113" t="s">
        <v>187</v>
      </c>
      <c r="B24" s="71" t="s">
        <v>39</v>
      </c>
      <c r="C24" s="113">
        <v>13.0</v>
      </c>
      <c r="D24" s="72">
        <v>889.87</v>
      </c>
      <c r="E24" s="72">
        <v>369.12</v>
      </c>
      <c r="F24" s="72">
        <v>520.75</v>
      </c>
      <c r="G24" s="71">
        <v>149.0</v>
      </c>
      <c r="H24" s="72">
        <v>2.48</v>
      </c>
      <c r="I24" s="7"/>
      <c r="J24" s="7"/>
      <c r="K24" s="7"/>
      <c r="L24" s="7"/>
      <c r="M24" s="7"/>
      <c r="N24" s="7"/>
      <c r="O24" s="7"/>
      <c r="P24" s="7"/>
      <c r="Q24" s="7"/>
      <c r="R24" s="7"/>
    </row>
    <row r="25">
      <c r="A25" s="113" t="s">
        <v>578</v>
      </c>
      <c r="B25" s="71" t="s">
        <v>56</v>
      </c>
      <c r="C25" s="113">
        <v>1.0</v>
      </c>
      <c r="D25" s="114">
        <v>14.99</v>
      </c>
      <c r="E25" s="114">
        <v>7.99</v>
      </c>
      <c r="F25" s="114">
        <f>D25-E25</f>
        <v>7</v>
      </c>
      <c r="G25" s="71">
        <v>147.0</v>
      </c>
      <c r="H25" s="114">
        <f>E25/G25</f>
        <v>0.0543537415</v>
      </c>
      <c r="I25" s="7"/>
      <c r="J25" s="7"/>
      <c r="K25" s="7"/>
      <c r="L25" s="7"/>
      <c r="M25" s="7"/>
      <c r="N25" s="7"/>
      <c r="O25" s="7"/>
      <c r="P25" s="7"/>
      <c r="Q25" s="7"/>
      <c r="R25" s="7"/>
    </row>
    <row r="26">
      <c r="A26" s="113" t="s">
        <v>643</v>
      </c>
      <c r="B26" s="71" t="s">
        <v>56</v>
      </c>
      <c r="C26" s="113">
        <v>5.0</v>
      </c>
      <c r="D26" s="70">
        <v>81.95</v>
      </c>
      <c r="E26" s="70">
        <v>81.95</v>
      </c>
      <c r="F26" s="70">
        <v>0.0</v>
      </c>
      <c r="G26" s="71">
        <v>138.0</v>
      </c>
      <c r="H26" s="70">
        <v>0.59</v>
      </c>
      <c r="I26" s="7"/>
      <c r="J26" s="7"/>
      <c r="K26" s="7"/>
      <c r="L26" s="7"/>
      <c r="M26" s="7"/>
      <c r="N26" s="7"/>
      <c r="O26" s="7"/>
      <c r="P26" s="7"/>
      <c r="Q26" s="7"/>
      <c r="R26" s="7"/>
    </row>
    <row r="27">
      <c r="A27" s="113" t="s">
        <v>214</v>
      </c>
      <c r="B27" s="71" t="s">
        <v>39</v>
      </c>
      <c r="C27" s="113">
        <v>2.0</v>
      </c>
      <c r="D27" s="70">
        <v>169.98</v>
      </c>
      <c r="E27" s="70">
        <v>94.98</v>
      </c>
      <c r="F27" s="70">
        <v>75.0</v>
      </c>
      <c r="G27" s="71">
        <v>134.0</v>
      </c>
      <c r="H27" s="70">
        <v>0.71</v>
      </c>
      <c r="I27" s="7"/>
      <c r="J27" s="7"/>
      <c r="K27" s="7"/>
      <c r="L27" s="7"/>
      <c r="M27" s="7"/>
      <c r="N27" s="7"/>
      <c r="O27" s="7"/>
      <c r="P27" s="7"/>
      <c r="Q27" s="7"/>
      <c r="R27" s="7"/>
    </row>
    <row r="28">
      <c r="A28" s="113" t="s">
        <v>490</v>
      </c>
      <c r="B28" s="71" t="s">
        <v>491</v>
      </c>
      <c r="C28" s="113">
        <v>1.0</v>
      </c>
      <c r="D28" s="72">
        <v>64.98</v>
      </c>
      <c r="E28" s="72">
        <v>19.23</v>
      </c>
      <c r="F28" s="114">
        <f>D28-E28</f>
        <v>45.75</v>
      </c>
      <c r="G28" s="71">
        <v>126.0</v>
      </c>
      <c r="H28" s="114">
        <f t="shared" ref="H28:H29" si="2">E28/G28</f>
        <v>0.1526190476</v>
      </c>
      <c r="I28" s="7"/>
      <c r="J28" s="7"/>
      <c r="K28" s="7"/>
      <c r="L28" s="7"/>
      <c r="M28" s="7"/>
      <c r="N28" s="7"/>
      <c r="O28" s="7"/>
      <c r="P28" s="7"/>
      <c r="Q28" s="7"/>
      <c r="R28" s="7"/>
    </row>
    <row r="29">
      <c r="A29" s="113" t="s">
        <v>569</v>
      </c>
      <c r="B29" s="71" t="s">
        <v>56</v>
      </c>
      <c r="C29" s="113">
        <v>5.0</v>
      </c>
      <c r="D29" s="72">
        <v>112.95</v>
      </c>
      <c r="E29" s="72">
        <v>17.46</v>
      </c>
      <c r="F29" s="72">
        <v>95.49</v>
      </c>
      <c r="G29" s="71">
        <v>124.0</v>
      </c>
      <c r="H29" s="114">
        <f t="shared" si="2"/>
        <v>0.1408064516</v>
      </c>
      <c r="I29" s="7"/>
      <c r="J29" s="7"/>
      <c r="K29" s="7"/>
      <c r="L29" s="7"/>
      <c r="M29" s="7"/>
      <c r="N29" s="7"/>
      <c r="O29" s="7"/>
      <c r="P29" s="7"/>
      <c r="Q29" s="7"/>
      <c r="R29" s="7"/>
    </row>
    <row r="30">
      <c r="A30" s="113" t="s">
        <v>35</v>
      </c>
      <c r="B30" s="71" t="s">
        <v>36</v>
      </c>
      <c r="C30" s="71">
        <v>5.0</v>
      </c>
      <c r="D30" s="72">
        <v>209.94</v>
      </c>
      <c r="E30" s="72">
        <v>19.98</v>
      </c>
      <c r="F30" s="72">
        <v>189.96</v>
      </c>
      <c r="G30" s="71">
        <v>121.0</v>
      </c>
      <c r="H30" s="72">
        <v>0.17</v>
      </c>
      <c r="I30" s="7"/>
      <c r="J30" s="7"/>
      <c r="K30" s="7"/>
      <c r="L30" s="7"/>
      <c r="M30" s="7"/>
      <c r="N30" s="7"/>
      <c r="O30" s="7"/>
      <c r="P30" s="7"/>
      <c r="Q30" s="7"/>
      <c r="R30" s="7"/>
    </row>
    <row r="31">
      <c r="A31" s="113" t="s">
        <v>215</v>
      </c>
      <c r="B31" s="71" t="s">
        <v>39</v>
      </c>
      <c r="C31" s="113">
        <v>3.0</v>
      </c>
      <c r="D31" s="72">
        <v>64.97</v>
      </c>
      <c r="E31" s="72">
        <v>25.48</v>
      </c>
      <c r="F31" s="114">
        <f t="shared" ref="F31:F202" si="3">D31-E31</f>
        <v>39.49</v>
      </c>
      <c r="G31" s="71">
        <v>117.0</v>
      </c>
      <c r="H31" s="114">
        <f t="shared" ref="H31:H202" si="4">E31/G31</f>
        <v>0.2177777778</v>
      </c>
      <c r="I31" s="7"/>
      <c r="J31" s="7"/>
      <c r="K31" s="7"/>
      <c r="L31" s="7"/>
      <c r="M31" s="7"/>
      <c r="N31" s="7"/>
      <c r="O31" s="7"/>
      <c r="P31" s="7"/>
      <c r="Q31" s="7"/>
      <c r="R31" s="7"/>
    </row>
    <row r="32">
      <c r="A32" s="71" t="s">
        <v>581</v>
      </c>
      <c r="B32" s="71" t="s">
        <v>56</v>
      </c>
      <c r="C32" s="113">
        <v>7.0</v>
      </c>
      <c r="D32" s="72">
        <v>121.92</v>
      </c>
      <c r="E32" s="72">
        <v>58.96</v>
      </c>
      <c r="F32" s="114">
        <f t="shared" si="3"/>
        <v>62.96</v>
      </c>
      <c r="G32" s="71">
        <v>116.0</v>
      </c>
      <c r="H32" s="114">
        <f t="shared" si="4"/>
        <v>0.5082758621</v>
      </c>
      <c r="I32" s="7"/>
      <c r="J32" s="7"/>
      <c r="K32" s="7"/>
      <c r="L32" s="7"/>
      <c r="M32" s="7"/>
      <c r="N32" s="7"/>
      <c r="O32" s="7"/>
      <c r="P32" s="7"/>
      <c r="Q32" s="7"/>
      <c r="R32" s="7"/>
    </row>
    <row r="33">
      <c r="A33" s="113" t="s">
        <v>662</v>
      </c>
      <c r="B33" s="71" t="s">
        <v>56</v>
      </c>
      <c r="C33" s="113">
        <v>3.0</v>
      </c>
      <c r="D33" s="72">
        <v>128.96</v>
      </c>
      <c r="E33" s="72">
        <v>58.98</v>
      </c>
      <c r="F33" s="114">
        <f t="shared" si="3"/>
        <v>69.98</v>
      </c>
      <c r="G33" s="71">
        <v>113.0</v>
      </c>
      <c r="H33" s="114">
        <f t="shared" si="4"/>
        <v>0.5219469027</v>
      </c>
      <c r="I33" s="7"/>
      <c r="J33" s="7"/>
      <c r="K33" s="7"/>
      <c r="L33" s="7"/>
      <c r="M33" s="7"/>
      <c r="N33" s="7"/>
      <c r="O33" s="7"/>
      <c r="P33" s="7"/>
      <c r="Q33" s="7"/>
      <c r="R33" s="7"/>
    </row>
    <row r="34">
      <c r="A34" s="113" t="s">
        <v>567</v>
      </c>
      <c r="B34" s="71" t="s">
        <v>56</v>
      </c>
      <c r="C34" s="113">
        <v>1.0</v>
      </c>
      <c r="D34" s="463">
        <v>84.99</v>
      </c>
      <c r="E34" s="463">
        <v>0.0</v>
      </c>
      <c r="F34" s="114">
        <f t="shared" si="3"/>
        <v>84.99</v>
      </c>
      <c r="G34" s="113">
        <v>93.0</v>
      </c>
      <c r="H34" s="114">
        <f t="shared" si="4"/>
        <v>0</v>
      </c>
      <c r="I34" s="7"/>
      <c r="J34" s="7"/>
      <c r="K34" s="7"/>
      <c r="L34" s="7"/>
      <c r="M34" s="7"/>
      <c r="N34" s="7"/>
      <c r="O34" s="7"/>
      <c r="P34" s="7"/>
      <c r="Q34" s="7"/>
      <c r="R34" s="7"/>
    </row>
    <row r="35">
      <c r="A35" s="113" t="s">
        <v>473</v>
      </c>
      <c r="B35" s="71" t="s">
        <v>472</v>
      </c>
      <c r="C35" s="113">
        <v>2.0</v>
      </c>
      <c r="D35" s="70">
        <v>124.97</v>
      </c>
      <c r="E35" s="70">
        <v>58.47</v>
      </c>
      <c r="F35" s="114">
        <f t="shared" si="3"/>
        <v>66.5</v>
      </c>
      <c r="G35" s="113">
        <v>93.0</v>
      </c>
      <c r="H35" s="114">
        <f t="shared" si="4"/>
        <v>0.6287096774</v>
      </c>
      <c r="I35" s="7"/>
      <c r="J35" s="7"/>
      <c r="K35" s="7"/>
      <c r="L35" s="7"/>
      <c r="M35" s="7"/>
      <c r="N35" s="7"/>
      <c r="O35" s="7"/>
      <c r="P35" s="7"/>
      <c r="Q35" s="7"/>
      <c r="R35" s="7"/>
    </row>
    <row r="36">
      <c r="A36" s="113" t="s">
        <v>272</v>
      </c>
      <c r="B36" s="71" t="s">
        <v>36</v>
      </c>
      <c r="C36" s="113">
        <v>5.0</v>
      </c>
      <c r="D36" s="70">
        <v>77.94</v>
      </c>
      <c r="E36" s="70">
        <v>38.36</v>
      </c>
      <c r="F36" s="463">
        <f t="shared" si="3"/>
        <v>39.58</v>
      </c>
      <c r="G36" s="71">
        <v>92.0</v>
      </c>
      <c r="H36" s="114">
        <f t="shared" si="4"/>
        <v>0.4169565217</v>
      </c>
      <c r="I36" s="7"/>
      <c r="J36" s="7"/>
      <c r="K36" s="7"/>
      <c r="L36" s="7"/>
      <c r="M36" s="7"/>
      <c r="N36" s="7"/>
      <c r="O36" s="7"/>
      <c r="P36" s="7"/>
      <c r="Q36" s="7"/>
      <c r="R36" s="7"/>
    </row>
    <row r="37">
      <c r="A37" s="113" t="s">
        <v>419</v>
      </c>
      <c r="B37" s="71" t="s">
        <v>50</v>
      </c>
      <c r="C37" s="113">
        <v>4.0</v>
      </c>
      <c r="D37" s="70">
        <v>149.96</v>
      </c>
      <c r="E37" s="70">
        <v>23.98</v>
      </c>
      <c r="F37" s="114">
        <f t="shared" si="3"/>
        <v>125.98</v>
      </c>
      <c r="G37" s="71">
        <v>88.0</v>
      </c>
      <c r="H37" s="114">
        <f t="shared" si="4"/>
        <v>0.2725</v>
      </c>
      <c r="I37" s="7"/>
      <c r="J37" s="7"/>
      <c r="K37" s="7"/>
      <c r="L37" s="7"/>
      <c r="M37" s="7"/>
      <c r="N37" s="7"/>
      <c r="O37" s="7"/>
      <c r="P37" s="7"/>
      <c r="Q37" s="7"/>
      <c r="R37" s="7"/>
    </row>
    <row r="38">
      <c r="A38" s="113" t="s">
        <v>175</v>
      </c>
      <c r="B38" s="71" t="s">
        <v>39</v>
      </c>
      <c r="C38" s="113">
        <v>3.0</v>
      </c>
      <c r="D38" s="70">
        <v>69.99</v>
      </c>
      <c r="E38" s="70">
        <v>44.79</v>
      </c>
      <c r="F38" s="463">
        <f t="shared" si="3"/>
        <v>25.2</v>
      </c>
      <c r="G38" s="71">
        <v>88.0</v>
      </c>
      <c r="H38" s="114">
        <f t="shared" si="4"/>
        <v>0.5089772727</v>
      </c>
      <c r="I38" s="7"/>
      <c r="J38" s="7"/>
      <c r="K38" s="7"/>
      <c r="L38" s="7"/>
      <c r="M38" s="7"/>
      <c r="N38" s="7"/>
      <c r="O38" s="7"/>
      <c r="P38" s="7"/>
      <c r="Q38" s="7"/>
      <c r="R38" s="7"/>
    </row>
    <row r="39">
      <c r="A39" s="113" t="s">
        <v>432</v>
      </c>
      <c r="B39" s="71" t="s">
        <v>50</v>
      </c>
      <c r="C39" s="113">
        <v>2.0</v>
      </c>
      <c r="D39" s="70">
        <v>34.98</v>
      </c>
      <c r="E39" s="70">
        <v>7.49</v>
      </c>
      <c r="F39" s="463">
        <f t="shared" si="3"/>
        <v>27.49</v>
      </c>
      <c r="G39" s="71">
        <v>83.0</v>
      </c>
      <c r="H39" s="114">
        <f t="shared" si="4"/>
        <v>0.09024096386</v>
      </c>
      <c r="I39" s="7"/>
      <c r="J39" s="7"/>
      <c r="K39" s="7"/>
      <c r="L39" s="7"/>
      <c r="M39" s="7"/>
      <c r="N39" s="7"/>
      <c r="O39" s="7"/>
      <c r="P39" s="7"/>
      <c r="Q39" s="7"/>
      <c r="R39" s="7"/>
    </row>
    <row r="40">
      <c r="A40" s="113" t="s">
        <v>441</v>
      </c>
      <c r="B40" s="71" t="s">
        <v>50</v>
      </c>
      <c r="C40" s="113">
        <v>2.0</v>
      </c>
      <c r="D40" s="70">
        <v>89.98</v>
      </c>
      <c r="E40" s="70">
        <v>40.98</v>
      </c>
      <c r="F40" s="463">
        <f t="shared" si="3"/>
        <v>49</v>
      </c>
      <c r="G40" s="71">
        <v>78.0</v>
      </c>
      <c r="H40" s="114">
        <f t="shared" si="4"/>
        <v>0.5253846154</v>
      </c>
      <c r="I40" s="7"/>
      <c r="J40" s="7"/>
      <c r="K40" s="7"/>
      <c r="L40" s="7"/>
      <c r="M40" s="7"/>
      <c r="N40" s="7"/>
      <c r="O40" s="7"/>
      <c r="P40" s="7"/>
      <c r="Q40" s="7"/>
      <c r="R40" s="7"/>
    </row>
    <row r="41">
      <c r="A41" s="113" t="s">
        <v>695</v>
      </c>
      <c r="B41" s="71" t="s">
        <v>56</v>
      </c>
      <c r="C41" s="113">
        <v>4.0</v>
      </c>
      <c r="D41" s="70">
        <v>109.98</v>
      </c>
      <c r="E41" s="70">
        <v>39.99</v>
      </c>
      <c r="F41" s="463">
        <f t="shared" si="3"/>
        <v>69.99</v>
      </c>
      <c r="G41" s="71">
        <v>77.0</v>
      </c>
      <c r="H41" s="114">
        <f t="shared" si="4"/>
        <v>0.5193506494</v>
      </c>
      <c r="I41" s="7"/>
      <c r="J41" s="7"/>
      <c r="K41" s="7"/>
      <c r="L41" s="7"/>
      <c r="M41" s="7"/>
      <c r="N41" s="7"/>
      <c r="O41" s="7"/>
      <c r="P41" s="7"/>
      <c r="Q41" s="7"/>
      <c r="R41" s="7"/>
    </row>
    <row r="42">
      <c r="A42" s="113" t="s">
        <v>666</v>
      </c>
      <c r="B42" s="71" t="s">
        <v>56</v>
      </c>
      <c r="C42" s="71">
        <v>5.0</v>
      </c>
      <c r="D42" s="70">
        <v>144.96</v>
      </c>
      <c r="E42" s="70">
        <v>17.98</v>
      </c>
      <c r="F42" s="463">
        <f t="shared" si="3"/>
        <v>126.98</v>
      </c>
      <c r="G42" s="71">
        <v>76.0</v>
      </c>
      <c r="H42" s="114">
        <f t="shared" si="4"/>
        <v>0.2365789474</v>
      </c>
      <c r="I42" s="7"/>
      <c r="J42" s="7"/>
      <c r="K42" s="7"/>
      <c r="L42" s="7"/>
      <c r="M42" s="7"/>
      <c r="N42" s="7"/>
      <c r="O42" s="7"/>
      <c r="P42" s="7"/>
      <c r="Q42" s="7"/>
      <c r="R42" s="7"/>
    </row>
    <row r="43">
      <c r="A43" s="113" t="s">
        <v>406</v>
      </c>
      <c r="B43" s="71" t="s">
        <v>50</v>
      </c>
      <c r="C43" s="71">
        <v>15.0</v>
      </c>
      <c r="D43" s="70">
        <v>474.86</v>
      </c>
      <c r="E43" s="70">
        <v>298.38</v>
      </c>
      <c r="F43" s="463">
        <f t="shared" si="3"/>
        <v>176.48</v>
      </c>
      <c r="G43" s="71">
        <v>74.0</v>
      </c>
      <c r="H43" s="114">
        <f t="shared" si="4"/>
        <v>4.032162162</v>
      </c>
      <c r="I43" s="7"/>
      <c r="J43" s="7"/>
      <c r="K43" s="7"/>
      <c r="L43" s="7"/>
      <c r="M43" s="7"/>
      <c r="N43" s="7"/>
      <c r="O43" s="7"/>
      <c r="P43" s="7"/>
      <c r="Q43" s="7"/>
      <c r="R43" s="7"/>
    </row>
    <row r="44">
      <c r="A44" s="113" t="s">
        <v>313</v>
      </c>
      <c r="B44" s="71" t="s">
        <v>36</v>
      </c>
      <c r="C44" s="113">
        <v>3.0</v>
      </c>
      <c r="D44" s="70">
        <v>89.97</v>
      </c>
      <c r="E44" s="70">
        <v>48.97</v>
      </c>
      <c r="F44" s="463">
        <f t="shared" si="3"/>
        <v>41</v>
      </c>
      <c r="G44" s="71">
        <v>72.0</v>
      </c>
      <c r="H44" s="114">
        <f t="shared" si="4"/>
        <v>0.6801388889</v>
      </c>
      <c r="I44" s="7"/>
      <c r="J44" s="7"/>
      <c r="K44" s="7"/>
      <c r="L44" s="7"/>
      <c r="M44" s="7"/>
      <c r="N44" s="7"/>
      <c r="O44" s="7"/>
      <c r="P44" s="7"/>
      <c r="Q44" s="7"/>
      <c r="R44" s="7"/>
    </row>
    <row r="45">
      <c r="A45" s="113" t="s">
        <v>699</v>
      </c>
      <c r="B45" s="71" t="s">
        <v>56</v>
      </c>
      <c r="C45" s="113">
        <v>1.0</v>
      </c>
      <c r="D45" s="114">
        <v>96.94</v>
      </c>
      <c r="E45" s="114">
        <v>57.94</v>
      </c>
      <c r="F45" s="114">
        <f t="shared" si="3"/>
        <v>39</v>
      </c>
      <c r="G45" s="113">
        <v>71.0</v>
      </c>
      <c r="H45" s="114">
        <f t="shared" si="4"/>
        <v>0.816056338</v>
      </c>
      <c r="I45" s="7"/>
      <c r="J45" s="7"/>
      <c r="K45" s="7"/>
      <c r="L45" s="7"/>
      <c r="M45" s="7"/>
      <c r="N45" s="7"/>
      <c r="O45" s="7"/>
      <c r="P45" s="7"/>
      <c r="Q45" s="7"/>
      <c r="R45" s="7"/>
    </row>
    <row r="46">
      <c r="A46" s="113" t="s">
        <v>277</v>
      </c>
      <c r="B46" s="71" t="s">
        <v>36</v>
      </c>
      <c r="C46" s="113">
        <v>1.0</v>
      </c>
      <c r="D46" s="114">
        <v>9.99</v>
      </c>
      <c r="E46" s="114">
        <v>9.99</v>
      </c>
      <c r="F46" s="114">
        <f t="shared" si="3"/>
        <v>0</v>
      </c>
      <c r="G46" s="113">
        <v>70.0</v>
      </c>
      <c r="H46" s="114">
        <f t="shared" si="4"/>
        <v>0.1427142857</v>
      </c>
      <c r="I46" s="7"/>
      <c r="J46" s="7"/>
      <c r="K46" s="7"/>
      <c r="L46" s="7"/>
      <c r="M46" s="7"/>
      <c r="N46" s="7"/>
      <c r="O46" s="7"/>
      <c r="P46" s="7"/>
      <c r="Q46" s="7"/>
      <c r="R46" s="7"/>
    </row>
    <row r="47">
      <c r="A47" s="113" t="s">
        <v>200</v>
      </c>
      <c r="B47" s="71" t="s">
        <v>39</v>
      </c>
      <c r="C47" s="113">
        <v>2.0</v>
      </c>
      <c r="D47" s="70">
        <v>29.98</v>
      </c>
      <c r="E47" s="70">
        <v>29.98</v>
      </c>
      <c r="F47" s="114">
        <f t="shared" si="3"/>
        <v>0</v>
      </c>
      <c r="G47" s="71">
        <v>70.0</v>
      </c>
      <c r="H47" s="114">
        <f t="shared" si="4"/>
        <v>0.4282857143</v>
      </c>
      <c r="I47" s="7"/>
      <c r="J47" s="7"/>
      <c r="K47" s="7"/>
      <c r="L47" s="7"/>
      <c r="M47" s="7"/>
      <c r="N47" s="7"/>
      <c r="O47" s="7"/>
      <c r="P47" s="7"/>
      <c r="Q47" s="7"/>
      <c r="R47" s="7"/>
    </row>
    <row r="48">
      <c r="A48" s="113" t="s">
        <v>280</v>
      </c>
      <c r="B48" s="71" t="s">
        <v>36</v>
      </c>
      <c r="C48" s="113">
        <v>3.0</v>
      </c>
      <c r="D48" s="70">
        <v>57.56</v>
      </c>
      <c r="E48" s="70">
        <v>38.46</v>
      </c>
      <c r="F48" s="114">
        <f t="shared" si="3"/>
        <v>19.1</v>
      </c>
      <c r="G48" s="71">
        <v>69.0</v>
      </c>
      <c r="H48" s="114">
        <f t="shared" si="4"/>
        <v>0.5573913043</v>
      </c>
      <c r="I48" s="7"/>
      <c r="J48" s="7"/>
      <c r="K48" s="7"/>
      <c r="L48" s="7"/>
      <c r="M48" s="7"/>
      <c r="N48" s="7"/>
      <c r="O48" s="7"/>
      <c r="P48" s="7"/>
      <c r="Q48" s="7"/>
      <c r="R48" s="7"/>
    </row>
    <row r="49">
      <c r="A49" s="113" t="s">
        <v>412</v>
      </c>
      <c r="B49" s="71" t="s">
        <v>50</v>
      </c>
      <c r="C49" s="113">
        <v>6.0</v>
      </c>
      <c r="D49" s="70">
        <v>274.94</v>
      </c>
      <c r="E49" s="70">
        <v>142.49</v>
      </c>
      <c r="F49" s="463">
        <f t="shared" si="3"/>
        <v>132.45</v>
      </c>
      <c r="G49" s="71">
        <v>69.0</v>
      </c>
      <c r="H49" s="114">
        <f t="shared" si="4"/>
        <v>2.065072464</v>
      </c>
      <c r="I49" s="7"/>
      <c r="J49" s="7"/>
      <c r="K49" s="7"/>
      <c r="L49" s="7"/>
      <c r="M49" s="7"/>
      <c r="N49" s="7"/>
      <c r="O49" s="7"/>
      <c r="P49" s="7"/>
      <c r="Q49" s="7"/>
      <c r="R49" s="7"/>
    </row>
    <row r="50">
      <c r="A50" s="113" t="s">
        <v>653</v>
      </c>
      <c r="B50" s="71" t="s">
        <v>56</v>
      </c>
      <c r="C50" s="113">
        <v>1.0</v>
      </c>
      <c r="D50" s="114">
        <v>39.99</v>
      </c>
      <c r="E50" s="114">
        <v>24.99</v>
      </c>
      <c r="F50" s="114">
        <f t="shared" si="3"/>
        <v>15</v>
      </c>
      <c r="G50" s="113">
        <v>65.0</v>
      </c>
      <c r="H50" s="114">
        <f t="shared" si="4"/>
        <v>0.3844615385</v>
      </c>
      <c r="I50" s="7"/>
      <c r="J50" s="7"/>
      <c r="K50" s="7"/>
      <c r="L50" s="7"/>
      <c r="M50" s="7"/>
      <c r="N50" s="7"/>
      <c r="O50" s="7"/>
      <c r="P50" s="7"/>
      <c r="Q50" s="7"/>
      <c r="R50" s="7"/>
    </row>
    <row r="51">
      <c r="A51" s="113" t="s">
        <v>136</v>
      </c>
      <c r="B51" s="71" t="s">
        <v>137</v>
      </c>
      <c r="C51" s="113">
        <v>1.0</v>
      </c>
      <c r="D51" s="114">
        <v>54.99</v>
      </c>
      <c r="E51" s="114">
        <v>31.49</v>
      </c>
      <c r="F51" s="114">
        <f t="shared" si="3"/>
        <v>23.5</v>
      </c>
      <c r="G51" s="113">
        <v>65.0</v>
      </c>
      <c r="H51" s="114">
        <f t="shared" si="4"/>
        <v>0.4844615385</v>
      </c>
      <c r="I51" s="7"/>
      <c r="J51" s="7"/>
      <c r="K51" s="7"/>
      <c r="L51" s="7"/>
      <c r="M51" s="7"/>
      <c r="N51" s="7"/>
      <c r="O51" s="7"/>
      <c r="P51" s="7"/>
      <c r="Q51" s="7"/>
      <c r="R51" s="7"/>
    </row>
    <row r="52">
      <c r="A52" s="113" t="s">
        <v>307</v>
      </c>
      <c r="B52" s="71" t="s">
        <v>36</v>
      </c>
      <c r="C52" s="113">
        <v>1.0</v>
      </c>
      <c r="D52" s="114">
        <v>19.99</v>
      </c>
      <c r="E52" s="114">
        <v>4.0</v>
      </c>
      <c r="F52" s="114">
        <f t="shared" si="3"/>
        <v>15.99</v>
      </c>
      <c r="G52" s="113">
        <v>60.0</v>
      </c>
      <c r="H52" s="114">
        <f t="shared" si="4"/>
        <v>0.06666666667</v>
      </c>
      <c r="I52" s="7"/>
      <c r="J52" s="7"/>
      <c r="K52" s="7"/>
      <c r="L52" s="7"/>
      <c r="M52" s="7"/>
      <c r="N52" s="7"/>
      <c r="O52" s="7"/>
      <c r="P52" s="7"/>
      <c r="Q52" s="7"/>
      <c r="R52" s="7"/>
    </row>
    <row r="53">
      <c r="A53" s="113" t="s">
        <v>705</v>
      </c>
      <c r="B53" s="71" t="s">
        <v>56</v>
      </c>
      <c r="C53" s="113">
        <v>5.0</v>
      </c>
      <c r="D53" s="70">
        <v>94.98</v>
      </c>
      <c r="E53" s="70">
        <v>78.48</v>
      </c>
      <c r="F53" s="114">
        <f t="shared" si="3"/>
        <v>16.5</v>
      </c>
      <c r="G53" s="71">
        <v>59.0</v>
      </c>
      <c r="H53" s="114">
        <f t="shared" si="4"/>
        <v>1.330169492</v>
      </c>
      <c r="I53" s="7"/>
      <c r="J53" s="7"/>
      <c r="K53" s="7"/>
      <c r="L53" s="7"/>
      <c r="M53" s="7"/>
      <c r="N53" s="7"/>
      <c r="O53" s="7"/>
      <c r="P53" s="7"/>
      <c r="Q53" s="7"/>
      <c r="R53" s="7"/>
    </row>
    <row r="54">
      <c r="A54" s="113" t="s">
        <v>570</v>
      </c>
      <c r="B54" s="71" t="s">
        <v>56</v>
      </c>
      <c r="C54" s="113">
        <v>3.0</v>
      </c>
      <c r="D54" s="70">
        <v>96.94</v>
      </c>
      <c r="E54" s="70">
        <v>12.99</v>
      </c>
      <c r="F54" s="114">
        <f t="shared" si="3"/>
        <v>83.95</v>
      </c>
      <c r="G54" s="71">
        <v>58.0</v>
      </c>
      <c r="H54" s="114">
        <f t="shared" si="4"/>
        <v>0.2239655172</v>
      </c>
      <c r="I54" s="7"/>
      <c r="J54" s="7"/>
      <c r="K54" s="7"/>
      <c r="L54" s="7"/>
      <c r="M54" s="7"/>
      <c r="N54" s="7"/>
      <c r="O54" s="7"/>
      <c r="P54" s="7"/>
      <c r="Q54" s="7"/>
      <c r="R54" s="7"/>
    </row>
    <row r="55">
      <c r="A55" s="113" t="s">
        <v>447</v>
      </c>
      <c r="B55" s="71" t="s">
        <v>50</v>
      </c>
      <c r="C55" s="113">
        <v>2.0</v>
      </c>
      <c r="D55" s="72">
        <v>29.98</v>
      </c>
      <c r="E55" s="72">
        <v>11.99</v>
      </c>
      <c r="F55" s="114">
        <f t="shared" si="3"/>
        <v>17.99</v>
      </c>
      <c r="G55" s="71">
        <v>57.0</v>
      </c>
      <c r="H55" s="114">
        <f t="shared" si="4"/>
        <v>0.2103508772</v>
      </c>
      <c r="I55" s="7"/>
      <c r="J55" s="7"/>
      <c r="K55" s="7"/>
      <c r="L55" s="7"/>
      <c r="M55" s="7"/>
      <c r="N55" s="7"/>
      <c r="O55" s="7"/>
      <c r="P55" s="7"/>
      <c r="Q55" s="7"/>
      <c r="R55" s="7"/>
    </row>
    <row r="56">
      <c r="A56" s="113" t="s">
        <v>263</v>
      </c>
      <c r="B56" s="71" t="s">
        <v>36</v>
      </c>
      <c r="C56" s="113">
        <v>4.0</v>
      </c>
      <c r="D56" s="72">
        <v>48.97</v>
      </c>
      <c r="E56" s="72">
        <v>43.97</v>
      </c>
      <c r="F56" s="114">
        <f t="shared" si="3"/>
        <v>5</v>
      </c>
      <c r="G56" s="71">
        <v>57.0</v>
      </c>
      <c r="H56" s="114">
        <f t="shared" si="4"/>
        <v>0.7714035088</v>
      </c>
      <c r="I56" s="7"/>
      <c r="J56" s="7"/>
      <c r="K56" s="7"/>
      <c r="L56" s="7"/>
      <c r="M56" s="7"/>
      <c r="N56" s="7"/>
      <c r="O56" s="7"/>
      <c r="P56" s="7"/>
      <c r="Q56" s="7"/>
      <c r="R56" s="7"/>
    </row>
    <row r="57">
      <c r="A57" s="74" t="s">
        <v>289</v>
      </c>
      <c r="B57" s="74" t="s">
        <v>36</v>
      </c>
      <c r="C57" s="74">
        <v>2.0</v>
      </c>
      <c r="D57" s="76">
        <v>29.98</v>
      </c>
      <c r="E57" s="76">
        <v>2.99</v>
      </c>
      <c r="F57" s="76">
        <f t="shared" si="3"/>
        <v>26.99</v>
      </c>
      <c r="G57" s="74">
        <v>56.0</v>
      </c>
      <c r="H57" s="76">
        <f t="shared" si="4"/>
        <v>0.05339285714</v>
      </c>
      <c r="I57" s="464"/>
      <c r="J57" s="464"/>
      <c r="K57" s="464"/>
      <c r="L57" s="464"/>
      <c r="M57" s="464"/>
      <c r="N57" s="464"/>
      <c r="O57" s="464"/>
      <c r="P57" s="464"/>
      <c r="Q57" s="464"/>
      <c r="R57" s="464"/>
    </row>
    <row r="58">
      <c r="A58" s="73" t="s">
        <v>154</v>
      </c>
      <c r="B58" s="74" t="s">
        <v>137</v>
      </c>
      <c r="C58" s="73">
        <v>1.0</v>
      </c>
      <c r="D58" s="465">
        <v>29.99</v>
      </c>
      <c r="E58" s="465">
        <v>29.99</v>
      </c>
      <c r="F58" s="465">
        <f t="shared" si="3"/>
        <v>0</v>
      </c>
      <c r="G58" s="73">
        <v>55.0</v>
      </c>
      <c r="H58" s="465">
        <f t="shared" si="4"/>
        <v>0.5452727273</v>
      </c>
      <c r="I58" s="464"/>
      <c r="J58" s="464"/>
      <c r="K58" s="464"/>
      <c r="L58" s="464"/>
      <c r="M58" s="464"/>
      <c r="N58" s="464"/>
      <c r="O58" s="464"/>
      <c r="P58" s="464"/>
      <c r="Q58" s="464"/>
      <c r="R58" s="464"/>
    </row>
    <row r="59">
      <c r="A59" s="73" t="s">
        <v>179</v>
      </c>
      <c r="B59" s="74" t="s">
        <v>39</v>
      </c>
      <c r="C59" s="73">
        <v>1.0</v>
      </c>
      <c r="D59" s="465">
        <v>19.99</v>
      </c>
      <c r="E59" s="465">
        <v>0.0</v>
      </c>
      <c r="F59" s="465">
        <f t="shared" si="3"/>
        <v>19.99</v>
      </c>
      <c r="G59" s="74">
        <v>54.0</v>
      </c>
      <c r="H59" s="465">
        <f t="shared" si="4"/>
        <v>0</v>
      </c>
      <c r="I59" s="464"/>
      <c r="J59" s="464"/>
      <c r="K59" s="464"/>
      <c r="L59" s="464"/>
      <c r="M59" s="464"/>
      <c r="N59" s="464"/>
      <c r="O59" s="464"/>
      <c r="P59" s="464"/>
      <c r="Q59" s="464"/>
      <c r="R59" s="464"/>
    </row>
    <row r="60">
      <c r="A60" s="73" t="s">
        <v>395</v>
      </c>
      <c r="B60" s="74" t="s">
        <v>394</v>
      </c>
      <c r="C60" s="73">
        <v>2.0</v>
      </c>
      <c r="D60" s="76">
        <v>99.98</v>
      </c>
      <c r="E60" s="465">
        <v>0.0</v>
      </c>
      <c r="F60" s="465">
        <f t="shared" si="3"/>
        <v>99.98</v>
      </c>
      <c r="G60" s="74">
        <v>54.0</v>
      </c>
      <c r="H60" s="465">
        <f t="shared" si="4"/>
        <v>0</v>
      </c>
      <c r="I60" s="464"/>
      <c r="J60" s="464"/>
      <c r="K60" s="464"/>
      <c r="L60" s="464"/>
      <c r="M60" s="464"/>
      <c r="N60" s="464"/>
      <c r="O60" s="464"/>
      <c r="P60" s="464"/>
      <c r="Q60" s="464"/>
      <c r="R60" s="464"/>
    </row>
    <row r="61">
      <c r="A61" s="73" t="s">
        <v>188</v>
      </c>
      <c r="B61" s="74" t="s">
        <v>39</v>
      </c>
      <c r="C61" s="73">
        <v>2.0</v>
      </c>
      <c r="D61" s="76">
        <v>54.98</v>
      </c>
      <c r="E61" s="76">
        <v>12.98</v>
      </c>
      <c r="F61" s="465">
        <f t="shared" si="3"/>
        <v>42</v>
      </c>
      <c r="G61" s="74">
        <v>54.0</v>
      </c>
      <c r="H61" s="465">
        <f t="shared" si="4"/>
        <v>0.2403703704</v>
      </c>
      <c r="I61" s="464"/>
      <c r="J61" s="464"/>
      <c r="K61" s="466"/>
      <c r="L61" s="466"/>
      <c r="M61" s="466"/>
      <c r="N61" s="466"/>
      <c r="O61" s="466"/>
      <c r="P61" s="466"/>
      <c r="Q61" s="466"/>
      <c r="R61" s="466"/>
    </row>
    <row r="62">
      <c r="A62" s="73" t="s">
        <v>366</v>
      </c>
      <c r="B62" s="74" t="s">
        <v>367</v>
      </c>
      <c r="C62" s="73">
        <v>2.0</v>
      </c>
      <c r="D62" s="76">
        <v>79.98</v>
      </c>
      <c r="E62" s="76">
        <v>31.99</v>
      </c>
      <c r="F62" s="465">
        <f t="shared" si="3"/>
        <v>47.99</v>
      </c>
      <c r="G62" s="74">
        <v>54.0</v>
      </c>
      <c r="H62" s="465">
        <f t="shared" si="4"/>
        <v>0.5924074074</v>
      </c>
      <c r="I62" s="464"/>
      <c r="J62" s="464"/>
      <c r="K62" s="466"/>
      <c r="L62" s="466"/>
      <c r="M62" s="466"/>
      <c r="N62" s="466"/>
      <c r="O62" s="466"/>
      <c r="P62" s="466"/>
      <c r="Q62" s="466"/>
      <c r="R62" s="466"/>
    </row>
    <row r="63">
      <c r="A63" s="73" t="s">
        <v>676</v>
      </c>
      <c r="B63" s="74" t="s">
        <v>56</v>
      </c>
      <c r="C63" s="74">
        <v>3.0</v>
      </c>
      <c r="D63" s="76">
        <v>81.97</v>
      </c>
      <c r="E63" s="76">
        <v>4.79</v>
      </c>
      <c r="F63" s="465">
        <f t="shared" si="3"/>
        <v>77.18</v>
      </c>
      <c r="G63" s="74">
        <v>53.0</v>
      </c>
      <c r="H63" s="465">
        <f t="shared" si="4"/>
        <v>0.09037735849</v>
      </c>
      <c r="I63" s="464"/>
      <c r="J63" s="464"/>
      <c r="K63" s="466"/>
      <c r="L63" s="466"/>
      <c r="M63" s="466"/>
      <c r="N63" s="466"/>
      <c r="O63" s="466"/>
      <c r="P63" s="466"/>
      <c r="Q63" s="466"/>
      <c r="R63" s="466"/>
    </row>
    <row r="64">
      <c r="A64" s="73" t="s">
        <v>190</v>
      </c>
      <c r="B64" s="74" t="s">
        <v>39</v>
      </c>
      <c r="C64" s="73">
        <v>2.0</v>
      </c>
      <c r="D64" s="76">
        <v>32.98</v>
      </c>
      <c r="E64" s="76">
        <v>21.63</v>
      </c>
      <c r="F64" s="465">
        <f t="shared" si="3"/>
        <v>11.35</v>
      </c>
      <c r="G64" s="74">
        <v>51.0</v>
      </c>
      <c r="H64" s="465">
        <f t="shared" si="4"/>
        <v>0.4241176471</v>
      </c>
      <c r="I64" s="464"/>
      <c r="J64" s="464"/>
      <c r="K64" s="466"/>
      <c r="L64" s="466"/>
      <c r="M64" s="466"/>
      <c r="N64" s="466"/>
      <c r="O64" s="466"/>
      <c r="P64" s="466"/>
      <c r="Q64" s="466"/>
      <c r="R64" s="466"/>
    </row>
    <row r="65">
      <c r="A65" s="73" t="s">
        <v>589</v>
      </c>
      <c r="B65" s="74" t="s">
        <v>56</v>
      </c>
      <c r="C65" s="73">
        <v>5.0</v>
      </c>
      <c r="D65" s="76">
        <v>117.95</v>
      </c>
      <c r="E65" s="76">
        <v>63.46</v>
      </c>
      <c r="F65" s="76">
        <f t="shared" si="3"/>
        <v>54.49</v>
      </c>
      <c r="G65" s="74">
        <v>51.0</v>
      </c>
      <c r="H65" s="465">
        <f t="shared" si="4"/>
        <v>1.244313725</v>
      </c>
      <c r="I65" s="464"/>
      <c r="J65" s="464"/>
      <c r="K65" s="466"/>
      <c r="L65" s="466"/>
      <c r="M65" s="466"/>
      <c r="N65" s="466"/>
      <c r="O65" s="466"/>
      <c r="P65" s="466"/>
      <c r="Q65" s="466"/>
      <c r="R65" s="466"/>
    </row>
    <row r="66">
      <c r="A66" s="73" t="s">
        <v>501</v>
      </c>
      <c r="B66" s="74" t="s">
        <v>502</v>
      </c>
      <c r="C66" s="73">
        <v>1.0</v>
      </c>
      <c r="D66" s="465">
        <v>14.99</v>
      </c>
      <c r="E66" s="465">
        <v>2.99</v>
      </c>
      <c r="F66" s="465">
        <f t="shared" si="3"/>
        <v>12</v>
      </c>
      <c r="G66" s="73">
        <v>50.0</v>
      </c>
      <c r="H66" s="465">
        <f t="shared" si="4"/>
        <v>0.0598</v>
      </c>
      <c r="I66" s="464"/>
      <c r="J66" s="464"/>
      <c r="K66" s="466"/>
      <c r="L66" s="466"/>
      <c r="M66" s="466"/>
      <c r="N66" s="466"/>
      <c r="O66" s="466"/>
      <c r="P66" s="466"/>
      <c r="Q66" s="466"/>
      <c r="R66" s="466"/>
    </row>
    <row r="67">
      <c r="A67" s="73" t="s">
        <v>314</v>
      </c>
      <c r="B67" s="74" t="s">
        <v>36</v>
      </c>
      <c r="C67" s="73">
        <v>1.0</v>
      </c>
      <c r="D67" s="465">
        <v>4.99</v>
      </c>
      <c r="E67" s="465">
        <v>4.99</v>
      </c>
      <c r="F67" s="465">
        <f t="shared" si="3"/>
        <v>0</v>
      </c>
      <c r="G67" s="73">
        <v>50.0</v>
      </c>
      <c r="H67" s="465">
        <f t="shared" si="4"/>
        <v>0.0998</v>
      </c>
      <c r="I67" s="464"/>
      <c r="J67" s="464"/>
      <c r="K67" s="466"/>
      <c r="L67" s="466"/>
      <c r="M67" s="466"/>
      <c r="N67" s="466"/>
      <c r="O67" s="466"/>
      <c r="P67" s="466"/>
      <c r="Q67" s="466"/>
      <c r="R67" s="466"/>
    </row>
    <row r="68">
      <c r="A68" s="73" t="s">
        <v>534</v>
      </c>
      <c r="B68" s="74" t="s">
        <v>527</v>
      </c>
      <c r="C68" s="73">
        <v>1.0</v>
      </c>
      <c r="D68" s="465">
        <v>59.99</v>
      </c>
      <c r="E68" s="465">
        <v>29.99</v>
      </c>
      <c r="F68" s="465">
        <f t="shared" si="3"/>
        <v>30</v>
      </c>
      <c r="G68" s="73">
        <v>49.0</v>
      </c>
      <c r="H68" s="465">
        <f t="shared" si="4"/>
        <v>0.6120408163</v>
      </c>
      <c r="I68" s="464"/>
      <c r="J68" s="464"/>
      <c r="K68" s="466"/>
      <c r="L68" s="466"/>
      <c r="M68" s="466"/>
      <c r="N68" s="466"/>
      <c r="O68" s="466"/>
      <c r="P68" s="466"/>
      <c r="Q68" s="466"/>
      <c r="R68" s="466"/>
    </row>
    <row r="69">
      <c r="A69" s="73" t="s">
        <v>360</v>
      </c>
      <c r="B69" s="74" t="s">
        <v>47</v>
      </c>
      <c r="C69" s="73">
        <v>4.0</v>
      </c>
      <c r="D69" s="76">
        <v>86.46</v>
      </c>
      <c r="E69" s="76">
        <v>20.37</v>
      </c>
      <c r="F69" s="465">
        <f t="shared" si="3"/>
        <v>66.09</v>
      </c>
      <c r="G69" s="74">
        <v>48.0</v>
      </c>
      <c r="H69" s="465">
        <f t="shared" si="4"/>
        <v>0.424375</v>
      </c>
      <c r="I69" s="464"/>
      <c r="J69" s="464"/>
      <c r="K69" s="466"/>
      <c r="L69" s="466"/>
      <c r="M69" s="466"/>
      <c r="N69" s="466"/>
      <c r="O69" s="466"/>
      <c r="P69" s="466"/>
      <c r="Q69" s="466"/>
      <c r="R69" s="466"/>
    </row>
    <row r="70">
      <c r="A70" s="73" t="s">
        <v>303</v>
      </c>
      <c r="B70" s="74" t="s">
        <v>36</v>
      </c>
      <c r="C70" s="73">
        <v>4.0</v>
      </c>
      <c r="D70" s="76">
        <v>79.96</v>
      </c>
      <c r="E70" s="76">
        <v>33.96</v>
      </c>
      <c r="F70" s="465">
        <f t="shared" si="3"/>
        <v>46</v>
      </c>
      <c r="G70" s="74">
        <v>47.0</v>
      </c>
      <c r="H70" s="465">
        <f t="shared" si="4"/>
        <v>0.7225531915</v>
      </c>
      <c r="I70" s="464"/>
      <c r="J70" s="464"/>
      <c r="K70" s="466"/>
      <c r="L70" s="466"/>
      <c r="M70" s="466"/>
      <c r="N70" s="466"/>
      <c r="O70" s="466"/>
      <c r="P70" s="466"/>
      <c r="Q70" s="466"/>
      <c r="R70" s="466"/>
    </row>
    <row r="71">
      <c r="A71" s="73" t="s">
        <v>262</v>
      </c>
      <c r="B71" s="74" t="s">
        <v>36</v>
      </c>
      <c r="C71" s="73">
        <v>2.0</v>
      </c>
      <c r="D71" s="467">
        <v>11.98</v>
      </c>
      <c r="E71" s="467">
        <v>11.98</v>
      </c>
      <c r="F71" s="465">
        <f t="shared" si="3"/>
        <v>0</v>
      </c>
      <c r="G71" s="74">
        <v>46.0</v>
      </c>
      <c r="H71" s="465">
        <f t="shared" si="4"/>
        <v>0.2604347826</v>
      </c>
      <c r="I71" s="464"/>
      <c r="J71" s="464"/>
      <c r="K71" s="466"/>
      <c r="L71" s="466"/>
      <c r="M71" s="466"/>
      <c r="N71" s="466"/>
      <c r="O71" s="466"/>
      <c r="P71" s="466"/>
      <c r="Q71" s="466"/>
      <c r="R71" s="466"/>
    </row>
    <row r="72">
      <c r="A72" s="73" t="s">
        <v>642</v>
      </c>
      <c r="B72" s="74" t="s">
        <v>56</v>
      </c>
      <c r="C72" s="73">
        <v>2.0</v>
      </c>
      <c r="D72" s="76">
        <v>89.98</v>
      </c>
      <c r="E72" s="76">
        <v>19.79</v>
      </c>
      <c r="F72" s="465">
        <f t="shared" si="3"/>
        <v>70.19</v>
      </c>
      <c r="G72" s="74">
        <v>46.0</v>
      </c>
      <c r="H72" s="465">
        <f t="shared" si="4"/>
        <v>0.4302173913</v>
      </c>
      <c r="I72" s="464"/>
      <c r="J72" s="464"/>
      <c r="K72" s="466"/>
      <c r="L72" s="466"/>
      <c r="M72" s="466"/>
      <c r="N72" s="466"/>
      <c r="O72" s="466"/>
      <c r="P72" s="466"/>
      <c r="Q72" s="466"/>
      <c r="R72" s="466"/>
    </row>
    <row r="73">
      <c r="A73" s="74" t="s">
        <v>230</v>
      </c>
      <c r="B73" s="74" t="s">
        <v>1747</v>
      </c>
      <c r="C73" s="74">
        <v>1.0</v>
      </c>
      <c r="D73" s="76">
        <v>29.99</v>
      </c>
      <c r="E73" s="467">
        <v>10.0</v>
      </c>
      <c r="F73" s="468">
        <f t="shared" si="3"/>
        <v>19.99</v>
      </c>
      <c r="G73" s="74">
        <v>45.0</v>
      </c>
      <c r="H73" s="465">
        <f t="shared" si="4"/>
        <v>0.2222222222</v>
      </c>
      <c r="I73" s="464"/>
      <c r="J73" s="464"/>
      <c r="K73" s="466"/>
      <c r="L73" s="466"/>
      <c r="M73" s="466"/>
      <c r="N73" s="466"/>
      <c r="O73" s="466"/>
      <c r="P73" s="466"/>
      <c r="Q73" s="466"/>
      <c r="R73" s="466"/>
    </row>
    <row r="74">
      <c r="A74" s="73" t="s">
        <v>344</v>
      </c>
      <c r="B74" s="74" t="s">
        <v>47</v>
      </c>
      <c r="C74" s="73">
        <v>1.0</v>
      </c>
      <c r="D74" s="465">
        <v>9.99</v>
      </c>
      <c r="E74" s="465">
        <v>9.99</v>
      </c>
      <c r="F74" s="465">
        <f t="shared" si="3"/>
        <v>0</v>
      </c>
      <c r="G74" s="73">
        <v>45.0</v>
      </c>
      <c r="H74" s="465">
        <f t="shared" si="4"/>
        <v>0.222</v>
      </c>
      <c r="I74" s="464"/>
      <c r="J74" s="464"/>
      <c r="K74" s="466"/>
      <c r="L74" s="466"/>
      <c r="M74" s="466"/>
      <c r="N74" s="466"/>
      <c r="O74" s="466"/>
      <c r="P74" s="466"/>
      <c r="Q74" s="466"/>
      <c r="R74" s="466"/>
    </row>
    <row r="75">
      <c r="A75" s="73" t="s">
        <v>410</v>
      </c>
      <c r="B75" s="74" t="s">
        <v>50</v>
      </c>
      <c r="C75" s="73">
        <v>1.0</v>
      </c>
      <c r="D75" s="465">
        <v>19.99</v>
      </c>
      <c r="E75" s="465">
        <v>13.99</v>
      </c>
      <c r="F75" s="465">
        <f t="shared" si="3"/>
        <v>6</v>
      </c>
      <c r="G75" s="73">
        <v>45.0</v>
      </c>
      <c r="H75" s="465">
        <f t="shared" si="4"/>
        <v>0.3108888889</v>
      </c>
      <c r="I75" s="464"/>
      <c r="J75" s="464"/>
      <c r="K75" s="466"/>
      <c r="L75" s="466"/>
      <c r="M75" s="466"/>
      <c r="N75" s="466"/>
      <c r="O75" s="466"/>
      <c r="P75" s="466"/>
      <c r="Q75" s="466"/>
      <c r="R75" s="466"/>
    </row>
    <row r="76">
      <c r="A76" s="73" t="s">
        <v>334</v>
      </c>
      <c r="B76" s="74" t="s">
        <v>333</v>
      </c>
      <c r="C76" s="73">
        <v>1.0</v>
      </c>
      <c r="D76" s="465">
        <v>29.99</v>
      </c>
      <c r="E76" s="465">
        <v>0.0</v>
      </c>
      <c r="F76" s="465">
        <f t="shared" si="3"/>
        <v>29.99</v>
      </c>
      <c r="G76" s="73">
        <v>43.0</v>
      </c>
      <c r="H76" s="465">
        <f t="shared" si="4"/>
        <v>0</v>
      </c>
      <c r="I76" s="464"/>
      <c r="J76" s="464"/>
      <c r="K76" s="466"/>
      <c r="L76" s="466"/>
      <c r="M76" s="466"/>
      <c r="N76" s="466"/>
      <c r="O76" s="466"/>
      <c r="P76" s="466"/>
      <c r="Q76" s="466"/>
      <c r="R76" s="466"/>
    </row>
    <row r="77">
      <c r="A77" s="74" t="s">
        <v>316</v>
      </c>
      <c r="B77" s="74" t="s">
        <v>36</v>
      </c>
      <c r="C77" s="74">
        <v>8.0</v>
      </c>
      <c r="D77" s="76">
        <v>137.91</v>
      </c>
      <c r="E77" s="76">
        <v>64.17</v>
      </c>
      <c r="F77" s="465">
        <f t="shared" si="3"/>
        <v>73.74</v>
      </c>
      <c r="G77" s="74">
        <v>43.0</v>
      </c>
      <c r="H77" s="465">
        <f t="shared" si="4"/>
        <v>1.492325581</v>
      </c>
      <c r="I77" s="464"/>
      <c r="J77" s="464"/>
      <c r="K77" s="466"/>
      <c r="L77" s="466"/>
      <c r="M77" s="466"/>
      <c r="N77" s="466"/>
      <c r="O77" s="466"/>
      <c r="P77" s="466"/>
      <c r="Q77" s="466"/>
      <c r="R77" s="466"/>
    </row>
    <row r="78">
      <c r="A78" s="73" t="s">
        <v>343</v>
      </c>
      <c r="B78" s="74" t="s">
        <v>47</v>
      </c>
      <c r="C78" s="73">
        <v>5.0</v>
      </c>
      <c r="D78" s="76">
        <v>141.94</v>
      </c>
      <c r="E78" s="76">
        <v>66.94</v>
      </c>
      <c r="F78" s="465">
        <f t="shared" si="3"/>
        <v>75</v>
      </c>
      <c r="G78" s="74">
        <v>43.0</v>
      </c>
      <c r="H78" s="465">
        <f t="shared" si="4"/>
        <v>1.556744186</v>
      </c>
      <c r="I78" s="464"/>
      <c r="J78" s="464"/>
      <c r="K78" s="466"/>
      <c r="L78" s="466"/>
      <c r="M78" s="466"/>
      <c r="N78" s="466"/>
      <c r="O78" s="466"/>
      <c r="P78" s="466"/>
      <c r="Q78" s="466"/>
      <c r="R78" s="466"/>
    </row>
    <row r="79">
      <c r="A79" s="73" t="s">
        <v>261</v>
      </c>
      <c r="B79" s="74" t="s">
        <v>36</v>
      </c>
      <c r="C79" s="73">
        <v>1.0</v>
      </c>
      <c r="D79" s="465">
        <v>69.99</v>
      </c>
      <c r="E79" s="465">
        <v>34.99</v>
      </c>
      <c r="F79" s="465">
        <f t="shared" si="3"/>
        <v>35</v>
      </c>
      <c r="G79" s="73">
        <v>42.0</v>
      </c>
      <c r="H79" s="465">
        <f t="shared" si="4"/>
        <v>0.8330952381</v>
      </c>
      <c r="I79" s="464"/>
      <c r="J79" s="464"/>
      <c r="K79" s="466"/>
      <c r="L79" s="466"/>
      <c r="M79" s="466"/>
      <c r="N79" s="466"/>
      <c r="O79" s="466"/>
      <c r="P79" s="466"/>
      <c r="Q79" s="466"/>
      <c r="R79" s="466"/>
    </row>
    <row r="80">
      <c r="A80" s="73" t="s">
        <v>465</v>
      </c>
      <c r="B80" s="74" t="s">
        <v>466</v>
      </c>
      <c r="C80" s="74">
        <v>2.0</v>
      </c>
      <c r="D80" s="467">
        <v>54.98</v>
      </c>
      <c r="E80" s="467">
        <v>35.43</v>
      </c>
      <c r="F80" s="465">
        <f t="shared" si="3"/>
        <v>19.55</v>
      </c>
      <c r="G80" s="74">
        <v>42.0</v>
      </c>
      <c r="H80" s="465">
        <f t="shared" si="4"/>
        <v>0.8435714286</v>
      </c>
      <c r="I80" s="464"/>
      <c r="J80" s="464"/>
      <c r="K80" s="466"/>
      <c r="L80" s="466"/>
      <c r="M80" s="466"/>
      <c r="N80" s="466"/>
      <c r="O80" s="466"/>
      <c r="P80" s="466"/>
      <c r="Q80" s="466"/>
      <c r="R80" s="466"/>
    </row>
    <row r="81">
      <c r="A81" s="73" t="s">
        <v>288</v>
      </c>
      <c r="B81" s="74" t="s">
        <v>36</v>
      </c>
      <c r="C81" s="73">
        <v>4.0</v>
      </c>
      <c r="D81" s="76">
        <v>104.96</v>
      </c>
      <c r="E81" s="76">
        <v>71.97</v>
      </c>
      <c r="F81" s="465">
        <f t="shared" si="3"/>
        <v>32.99</v>
      </c>
      <c r="G81" s="74">
        <v>42.0</v>
      </c>
      <c r="H81" s="465">
        <f t="shared" si="4"/>
        <v>1.713571429</v>
      </c>
      <c r="I81" s="464"/>
      <c r="J81" s="464"/>
      <c r="K81" s="466"/>
      <c r="L81" s="466"/>
      <c r="M81" s="466"/>
      <c r="N81" s="466"/>
      <c r="O81" s="466"/>
      <c r="P81" s="466"/>
      <c r="Q81" s="466"/>
      <c r="R81" s="466"/>
    </row>
    <row r="82">
      <c r="A82" s="73" t="s">
        <v>647</v>
      </c>
      <c r="B82" s="74" t="s">
        <v>56</v>
      </c>
      <c r="C82" s="73">
        <v>2.0</v>
      </c>
      <c r="D82" s="467">
        <v>39.98</v>
      </c>
      <c r="E82" s="467">
        <v>15.98</v>
      </c>
      <c r="F82" s="465">
        <f t="shared" si="3"/>
        <v>24</v>
      </c>
      <c r="G82" s="74">
        <v>41.0</v>
      </c>
      <c r="H82" s="465">
        <f t="shared" si="4"/>
        <v>0.3897560976</v>
      </c>
      <c r="I82" s="464"/>
      <c r="J82" s="464"/>
      <c r="K82" s="466"/>
      <c r="L82" s="466"/>
      <c r="M82" s="466"/>
      <c r="N82" s="466"/>
      <c r="O82" s="466"/>
      <c r="P82" s="466"/>
      <c r="Q82" s="466"/>
      <c r="R82" s="466"/>
    </row>
    <row r="83">
      <c r="A83" s="73" t="s">
        <v>613</v>
      </c>
      <c r="B83" s="74" t="s">
        <v>56</v>
      </c>
      <c r="C83" s="73">
        <v>1.0</v>
      </c>
      <c r="D83" s="465">
        <v>59.99</v>
      </c>
      <c r="E83" s="465">
        <v>8.0</v>
      </c>
      <c r="F83" s="465">
        <f t="shared" si="3"/>
        <v>51.99</v>
      </c>
      <c r="G83" s="73">
        <v>40.0</v>
      </c>
      <c r="H83" s="465">
        <f t="shared" si="4"/>
        <v>0.2</v>
      </c>
      <c r="I83" s="464"/>
      <c r="J83" s="464"/>
      <c r="K83" s="466"/>
      <c r="L83" s="466"/>
      <c r="M83" s="466"/>
      <c r="N83" s="466"/>
      <c r="O83" s="466"/>
      <c r="P83" s="466"/>
      <c r="Q83" s="466"/>
      <c r="R83" s="466"/>
    </row>
    <row r="84">
      <c r="A84" s="73" t="s">
        <v>615</v>
      </c>
      <c r="B84" s="74" t="s">
        <v>56</v>
      </c>
      <c r="C84" s="73">
        <v>1.0</v>
      </c>
      <c r="D84" s="465">
        <v>39.99</v>
      </c>
      <c r="E84" s="465">
        <v>19.99</v>
      </c>
      <c r="F84" s="465">
        <f t="shared" si="3"/>
        <v>20</v>
      </c>
      <c r="G84" s="73">
        <v>40.0</v>
      </c>
      <c r="H84" s="465">
        <f t="shared" si="4"/>
        <v>0.49975</v>
      </c>
      <c r="I84" s="464"/>
      <c r="J84" s="464"/>
      <c r="K84" s="466"/>
      <c r="L84" s="466"/>
      <c r="M84" s="466"/>
      <c r="N84" s="466"/>
      <c r="O84" s="466"/>
      <c r="P84" s="466"/>
      <c r="Q84" s="466"/>
      <c r="R84" s="466"/>
    </row>
    <row r="85">
      <c r="A85" s="73" t="s">
        <v>369</v>
      </c>
      <c r="B85" s="74" t="s">
        <v>367</v>
      </c>
      <c r="C85" s="73">
        <v>2.0</v>
      </c>
      <c r="D85" s="467">
        <v>79.98</v>
      </c>
      <c r="E85" s="467">
        <v>19.98</v>
      </c>
      <c r="F85" s="465">
        <f t="shared" si="3"/>
        <v>60</v>
      </c>
      <c r="G85" s="74">
        <v>40.0</v>
      </c>
      <c r="H85" s="465">
        <f t="shared" si="4"/>
        <v>0.4995</v>
      </c>
      <c r="I85" s="464"/>
      <c r="J85" s="464"/>
      <c r="K85" s="466"/>
      <c r="L85" s="466"/>
      <c r="M85" s="466"/>
      <c r="N85" s="466"/>
      <c r="O85" s="466"/>
      <c r="P85" s="466"/>
      <c r="Q85" s="466"/>
      <c r="R85" s="466"/>
    </row>
    <row r="86">
      <c r="A86" s="73" t="s">
        <v>382</v>
      </c>
      <c r="B86" s="74" t="s">
        <v>367</v>
      </c>
      <c r="C86" s="73">
        <v>1.0</v>
      </c>
      <c r="D86" s="465">
        <v>19.99</v>
      </c>
      <c r="E86" s="465">
        <v>19.99</v>
      </c>
      <c r="F86" s="465">
        <f t="shared" si="3"/>
        <v>0</v>
      </c>
      <c r="G86" s="73">
        <v>40.0</v>
      </c>
      <c r="H86" s="465">
        <f t="shared" si="4"/>
        <v>0.49975</v>
      </c>
      <c r="I86" s="464"/>
      <c r="J86" s="464"/>
      <c r="K86" s="466"/>
      <c r="L86" s="466"/>
      <c r="M86" s="466"/>
      <c r="N86" s="466"/>
      <c r="O86" s="466"/>
      <c r="P86" s="466"/>
      <c r="Q86" s="466"/>
      <c r="R86" s="466"/>
    </row>
    <row r="87">
      <c r="A87" s="73" t="s">
        <v>294</v>
      </c>
      <c r="B87" s="74" t="s">
        <v>36</v>
      </c>
      <c r="C87" s="73">
        <v>2.0</v>
      </c>
      <c r="D87" s="76">
        <v>15.97</v>
      </c>
      <c r="E87" s="76">
        <v>15.97</v>
      </c>
      <c r="F87" s="465">
        <f t="shared" si="3"/>
        <v>0</v>
      </c>
      <c r="G87" s="74">
        <v>39.0</v>
      </c>
      <c r="H87" s="465">
        <f t="shared" si="4"/>
        <v>0.4094871795</v>
      </c>
      <c r="I87" s="464"/>
      <c r="J87" s="464"/>
      <c r="K87" s="466"/>
      <c r="L87" s="466"/>
      <c r="M87" s="466"/>
      <c r="N87" s="466"/>
      <c r="O87" s="466"/>
      <c r="P87" s="466"/>
      <c r="Q87" s="466"/>
      <c r="R87" s="466"/>
    </row>
    <row r="88">
      <c r="A88" s="73" t="s">
        <v>332</v>
      </c>
      <c r="B88" s="74" t="s">
        <v>333</v>
      </c>
      <c r="C88" s="73">
        <v>3.0</v>
      </c>
      <c r="D88" s="76">
        <v>34.96</v>
      </c>
      <c r="E88" s="76">
        <v>18.46</v>
      </c>
      <c r="F88" s="465">
        <f t="shared" si="3"/>
        <v>16.5</v>
      </c>
      <c r="G88" s="74">
        <v>39.0</v>
      </c>
      <c r="H88" s="465">
        <f t="shared" si="4"/>
        <v>0.4733333333</v>
      </c>
      <c r="I88" s="464"/>
      <c r="J88" s="464"/>
      <c r="K88" s="466"/>
      <c r="L88" s="466"/>
      <c r="M88" s="466"/>
      <c r="N88" s="466"/>
      <c r="O88" s="466"/>
      <c r="P88" s="466"/>
      <c r="Q88" s="466"/>
      <c r="R88" s="466"/>
    </row>
    <row r="89">
      <c r="A89" s="73" t="s">
        <v>183</v>
      </c>
      <c r="B89" s="74" t="s">
        <v>39</v>
      </c>
      <c r="C89" s="73">
        <v>1.0</v>
      </c>
      <c r="D89" s="465">
        <v>24.99</v>
      </c>
      <c r="E89" s="465">
        <v>0.0</v>
      </c>
      <c r="F89" s="465">
        <f t="shared" si="3"/>
        <v>24.99</v>
      </c>
      <c r="G89" s="73">
        <v>37.0</v>
      </c>
      <c r="H89" s="465">
        <f t="shared" si="4"/>
        <v>0</v>
      </c>
      <c r="I89" s="464"/>
      <c r="J89" s="464"/>
      <c r="K89" s="466"/>
      <c r="L89" s="466"/>
      <c r="M89" s="466"/>
      <c r="N89" s="466"/>
      <c r="O89" s="466"/>
      <c r="P89" s="466"/>
      <c r="Q89" s="466"/>
      <c r="R89" s="466"/>
    </row>
    <row r="90">
      <c r="A90" s="73" t="s">
        <v>617</v>
      </c>
      <c r="B90" s="74" t="s">
        <v>56</v>
      </c>
      <c r="C90" s="73">
        <v>2.0</v>
      </c>
      <c r="D90" s="76">
        <v>26.38</v>
      </c>
      <c r="E90" s="76">
        <v>20.88</v>
      </c>
      <c r="F90" s="465">
        <f t="shared" si="3"/>
        <v>5.5</v>
      </c>
      <c r="G90" s="74">
        <v>37.0</v>
      </c>
      <c r="H90" s="465">
        <f t="shared" si="4"/>
        <v>0.5643243243</v>
      </c>
      <c r="I90" s="464"/>
      <c r="J90" s="464"/>
      <c r="K90" s="466"/>
      <c r="L90" s="466"/>
      <c r="M90" s="466"/>
      <c r="N90" s="466"/>
      <c r="O90" s="466"/>
      <c r="P90" s="466"/>
      <c r="Q90" s="466"/>
      <c r="R90" s="466"/>
    </row>
    <row r="91">
      <c r="A91" s="73" t="s">
        <v>207</v>
      </c>
      <c r="B91" s="74" t="s">
        <v>39</v>
      </c>
      <c r="C91" s="73">
        <v>1.0</v>
      </c>
      <c r="D91" s="465">
        <v>13.99</v>
      </c>
      <c r="E91" s="465">
        <v>5.99</v>
      </c>
      <c r="F91" s="465">
        <f t="shared" si="3"/>
        <v>8</v>
      </c>
      <c r="G91" s="73">
        <v>36.0</v>
      </c>
      <c r="H91" s="465">
        <f t="shared" si="4"/>
        <v>0.1663888889</v>
      </c>
      <c r="I91" s="464"/>
      <c r="J91" s="464"/>
      <c r="K91" s="466"/>
      <c r="L91" s="466"/>
      <c r="M91" s="466"/>
      <c r="N91" s="466"/>
      <c r="O91" s="466"/>
      <c r="P91" s="466"/>
      <c r="Q91" s="466"/>
      <c r="R91" s="466"/>
    </row>
    <row r="92">
      <c r="A92" s="73" t="s">
        <v>161</v>
      </c>
      <c r="B92" s="74" t="s">
        <v>159</v>
      </c>
      <c r="C92" s="73">
        <v>3.0</v>
      </c>
      <c r="D92" s="76">
        <v>129.97</v>
      </c>
      <c r="E92" s="76">
        <v>70.97</v>
      </c>
      <c r="F92" s="465">
        <f t="shared" si="3"/>
        <v>59</v>
      </c>
      <c r="G92" s="74">
        <v>36.0</v>
      </c>
      <c r="H92" s="465">
        <f t="shared" si="4"/>
        <v>1.971388889</v>
      </c>
      <c r="I92" s="464"/>
      <c r="J92" s="464"/>
      <c r="K92" s="466"/>
      <c r="L92" s="466"/>
      <c r="M92" s="466"/>
      <c r="N92" s="466"/>
      <c r="O92" s="466"/>
      <c r="P92" s="466"/>
      <c r="Q92" s="466"/>
      <c r="R92" s="466"/>
    </row>
    <row r="93">
      <c r="A93" s="73" t="s">
        <v>631</v>
      </c>
      <c r="B93" s="74" t="s">
        <v>56</v>
      </c>
      <c r="C93" s="73">
        <v>1.0</v>
      </c>
      <c r="D93" s="465">
        <v>24.99</v>
      </c>
      <c r="E93" s="465">
        <v>0.0</v>
      </c>
      <c r="F93" s="465">
        <f t="shared" si="3"/>
        <v>24.99</v>
      </c>
      <c r="G93" s="73">
        <v>35.0</v>
      </c>
      <c r="H93" s="465">
        <f t="shared" si="4"/>
        <v>0</v>
      </c>
      <c r="I93" s="464"/>
      <c r="J93" s="464"/>
      <c r="K93" s="466"/>
      <c r="L93" s="466"/>
      <c r="M93" s="466"/>
      <c r="N93" s="466"/>
      <c r="O93" s="466"/>
      <c r="P93" s="466"/>
      <c r="Q93" s="466"/>
      <c r="R93" s="466"/>
    </row>
    <row r="94">
      <c r="A94" s="73" t="s">
        <v>388</v>
      </c>
      <c r="B94" s="74" t="s">
        <v>389</v>
      </c>
      <c r="C94" s="73">
        <v>1.0</v>
      </c>
      <c r="D94" s="465">
        <v>24.99</v>
      </c>
      <c r="E94" s="465">
        <v>0.0</v>
      </c>
      <c r="F94" s="465">
        <f t="shared" si="3"/>
        <v>24.99</v>
      </c>
      <c r="G94" s="73">
        <v>35.0</v>
      </c>
      <c r="H94" s="465">
        <f t="shared" si="4"/>
        <v>0</v>
      </c>
      <c r="I94" s="464"/>
      <c r="J94" s="464"/>
      <c r="K94" s="466"/>
      <c r="L94" s="466"/>
      <c r="M94" s="466"/>
      <c r="N94" s="466"/>
      <c r="O94" s="466"/>
      <c r="P94" s="466"/>
      <c r="Q94" s="466"/>
      <c r="R94" s="466"/>
    </row>
    <row r="95">
      <c r="A95" s="73" t="s">
        <v>507</v>
      </c>
      <c r="B95" s="74" t="s">
        <v>508</v>
      </c>
      <c r="C95" s="73">
        <v>3.0</v>
      </c>
      <c r="D95" s="76">
        <v>44.97</v>
      </c>
      <c r="E95" s="76">
        <v>4.47</v>
      </c>
      <c r="F95" s="465">
        <f t="shared" si="3"/>
        <v>40.5</v>
      </c>
      <c r="G95" s="74">
        <v>35.0</v>
      </c>
      <c r="H95" s="465">
        <f t="shared" si="4"/>
        <v>0.1277142857</v>
      </c>
      <c r="I95" s="464"/>
      <c r="J95" s="464"/>
      <c r="K95" s="466"/>
      <c r="L95" s="466"/>
      <c r="M95" s="466"/>
      <c r="N95" s="466"/>
      <c r="O95" s="466"/>
      <c r="P95" s="466"/>
      <c r="Q95" s="466"/>
      <c r="R95" s="466"/>
    </row>
    <row r="96">
      <c r="A96" s="73" t="s">
        <v>223</v>
      </c>
      <c r="B96" s="74" t="s">
        <v>219</v>
      </c>
      <c r="C96" s="73">
        <v>1.0</v>
      </c>
      <c r="D96" s="465">
        <v>4.99</v>
      </c>
      <c r="E96" s="465">
        <v>4.99</v>
      </c>
      <c r="F96" s="465">
        <f t="shared" si="3"/>
        <v>0</v>
      </c>
      <c r="G96" s="73">
        <v>35.0</v>
      </c>
      <c r="H96" s="465">
        <f t="shared" si="4"/>
        <v>0.1425714286</v>
      </c>
      <c r="I96" s="464"/>
      <c r="J96" s="464"/>
      <c r="K96" s="466"/>
      <c r="L96" s="466"/>
      <c r="M96" s="466"/>
      <c r="N96" s="466"/>
      <c r="O96" s="466"/>
      <c r="P96" s="466"/>
      <c r="Q96" s="466"/>
      <c r="R96" s="466"/>
    </row>
    <row r="97">
      <c r="A97" s="73" t="s">
        <v>667</v>
      </c>
      <c r="B97" s="74" t="s">
        <v>56</v>
      </c>
      <c r="C97" s="73">
        <v>2.0</v>
      </c>
      <c r="D97" s="76">
        <v>16.98</v>
      </c>
      <c r="E97" s="76">
        <v>6.98</v>
      </c>
      <c r="F97" s="465">
        <f t="shared" si="3"/>
        <v>10</v>
      </c>
      <c r="G97" s="74">
        <v>35.0</v>
      </c>
      <c r="H97" s="465">
        <f t="shared" si="4"/>
        <v>0.1994285714</v>
      </c>
      <c r="I97" s="464"/>
      <c r="J97" s="464"/>
      <c r="K97" s="466"/>
      <c r="L97" s="466"/>
      <c r="M97" s="466"/>
      <c r="N97" s="466"/>
      <c r="O97" s="466"/>
      <c r="P97" s="466"/>
      <c r="Q97" s="466"/>
      <c r="R97" s="466"/>
    </row>
    <row r="98">
      <c r="A98" s="73" t="s">
        <v>680</v>
      </c>
      <c r="B98" s="74" t="s">
        <v>56</v>
      </c>
      <c r="C98" s="73">
        <v>1.0</v>
      </c>
      <c r="D98" s="467">
        <v>19.99</v>
      </c>
      <c r="E98" s="465">
        <v>14.99</v>
      </c>
      <c r="F98" s="465">
        <f t="shared" si="3"/>
        <v>5</v>
      </c>
      <c r="G98" s="73">
        <v>35.0</v>
      </c>
      <c r="H98" s="465">
        <f t="shared" si="4"/>
        <v>0.4282857143</v>
      </c>
      <c r="I98" s="464"/>
      <c r="J98" s="464"/>
      <c r="K98" s="466"/>
      <c r="L98" s="466"/>
      <c r="M98" s="466"/>
      <c r="N98" s="466"/>
      <c r="O98" s="466"/>
      <c r="P98" s="466"/>
      <c r="Q98" s="466"/>
      <c r="R98" s="466"/>
    </row>
    <row r="99">
      <c r="A99" s="73" t="s">
        <v>702</v>
      </c>
      <c r="B99" s="74" t="s">
        <v>56</v>
      </c>
      <c r="C99" s="73">
        <v>2.0</v>
      </c>
      <c r="D99" s="467">
        <v>59.98</v>
      </c>
      <c r="E99" s="467">
        <v>19.49</v>
      </c>
      <c r="F99" s="465">
        <f t="shared" si="3"/>
        <v>40.49</v>
      </c>
      <c r="G99" s="74">
        <v>35.0</v>
      </c>
      <c r="H99" s="465">
        <f t="shared" si="4"/>
        <v>0.5568571429</v>
      </c>
      <c r="I99" s="464"/>
      <c r="J99" s="464"/>
      <c r="K99" s="466"/>
      <c r="L99" s="466"/>
      <c r="M99" s="466"/>
      <c r="N99" s="466"/>
      <c r="O99" s="466"/>
      <c r="P99" s="466"/>
      <c r="Q99" s="466"/>
      <c r="R99" s="466"/>
    </row>
    <row r="100">
      <c r="A100" s="73" t="s">
        <v>416</v>
      </c>
      <c r="B100" s="74" t="s">
        <v>50</v>
      </c>
      <c r="C100" s="73">
        <v>2.0</v>
      </c>
      <c r="D100" s="467">
        <v>49.98</v>
      </c>
      <c r="E100" s="467">
        <v>30.0</v>
      </c>
      <c r="F100" s="465">
        <f t="shared" si="3"/>
        <v>19.98</v>
      </c>
      <c r="G100" s="74">
        <v>35.0</v>
      </c>
      <c r="H100" s="465">
        <f t="shared" si="4"/>
        <v>0.8571428571</v>
      </c>
      <c r="I100" s="464"/>
      <c r="J100" s="464"/>
      <c r="K100" s="466"/>
      <c r="L100" s="466"/>
      <c r="M100" s="466"/>
      <c r="N100" s="466"/>
      <c r="O100" s="466"/>
      <c r="P100" s="466"/>
      <c r="Q100" s="466"/>
      <c r="R100" s="466"/>
    </row>
    <row r="101">
      <c r="A101" s="73" t="s">
        <v>409</v>
      </c>
      <c r="B101" s="74" t="s">
        <v>50</v>
      </c>
      <c r="C101" s="73">
        <v>3.0</v>
      </c>
      <c r="D101" s="76">
        <v>113.91</v>
      </c>
      <c r="E101" s="76">
        <v>73.91</v>
      </c>
      <c r="F101" s="465">
        <f t="shared" si="3"/>
        <v>40</v>
      </c>
      <c r="G101" s="74">
        <v>35.0</v>
      </c>
      <c r="H101" s="465">
        <f t="shared" si="4"/>
        <v>2.111714286</v>
      </c>
      <c r="I101" s="464"/>
      <c r="J101" s="464"/>
      <c r="K101" s="466"/>
      <c r="L101" s="466"/>
      <c r="M101" s="466"/>
      <c r="N101" s="466"/>
      <c r="O101" s="466"/>
      <c r="P101" s="466"/>
      <c r="Q101" s="466"/>
      <c r="R101" s="466"/>
    </row>
    <row r="102">
      <c r="A102" s="121" t="s">
        <v>713</v>
      </c>
      <c r="B102" s="129" t="s">
        <v>56</v>
      </c>
      <c r="C102" s="121">
        <v>2.0</v>
      </c>
      <c r="D102" s="215">
        <v>35.98</v>
      </c>
      <c r="E102" s="215">
        <v>23.49</v>
      </c>
      <c r="F102" s="469">
        <f t="shared" si="3"/>
        <v>12.49</v>
      </c>
      <c r="G102" s="129">
        <v>34.0</v>
      </c>
      <c r="H102" s="469">
        <f t="shared" si="4"/>
        <v>0.6908823529</v>
      </c>
      <c r="I102" s="7"/>
      <c r="J102" s="7"/>
      <c r="K102" s="1"/>
      <c r="L102" s="1"/>
      <c r="M102" s="1"/>
      <c r="N102" s="1"/>
      <c r="O102" s="1"/>
      <c r="P102" s="1"/>
      <c r="Q102" s="1"/>
      <c r="R102" s="1"/>
    </row>
    <row r="103">
      <c r="A103" s="121" t="s">
        <v>528</v>
      </c>
      <c r="B103" s="129" t="s">
        <v>527</v>
      </c>
      <c r="C103" s="121">
        <v>2.0</v>
      </c>
      <c r="D103" s="215">
        <v>61.94</v>
      </c>
      <c r="E103" s="215">
        <v>33.54</v>
      </c>
      <c r="F103" s="469">
        <f t="shared" si="3"/>
        <v>28.4</v>
      </c>
      <c r="G103" s="129">
        <v>34.0</v>
      </c>
      <c r="H103" s="469">
        <f t="shared" si="4"/>
        <v>0.9864705882</v>
      </c>
      <c r="I103" s="7"/>
      <c r="J103" s="7"/>
      <c r="K103" s="1"/>
      <c r="L103" s="1"/>
      <c r="M103" s="1"/>
      <c r="N103" s="1"/>
      <c r="O103" s="1"/>
      <c r="P103" s="1"/>
      <c r="Q103" s="1"/>
      <c r="R103" s="1"/>
    </row>
    <row r="104">
      <c r="A104" s="16" t="s">
        <v>311</v>
      </c>
      <c r="B104" s="26" t="s">
        <v>36</v>
      </c>
      <c r="C104" s="16">
        <v>4.0</v>
      </c>
      <c r="D104" s="215">
        <v>164.96</v>
      </c>
      <c r="E104" s="215">
        <v>44.37</v>
      </c>
      <c r="F104" s="469">
        <f t="shared" si="3"/>
        <v>120.59</v>
      </c>
      <c r="G104" s="26">
        <v>34.0</v>
      </c>
      <c r="H104" s="469">
        <f t="shared" si="4"/>
        <v>1.305</v>
      </c>
      <c r="I104" s="7"/>
      <c r="J104" s="7"/>
      <c r="K104" s="1"/>
      <c r="L104" s="1"/>
      <c r="M104" s="1"/>
      <c r="N104" s="1"/>
      <c r="O104" s="1"/>
      <c r="P104" s="1"/>
      <c r="Q104" s="1"/>
      <c r="R104" s="1"/>
    </row>
    <row r="105">
      <c r="A105" s="16" t="s">
        <v>614</v>
      </c>
      <c r="B105" s="129" t="s">
        <v>56</v>
      </c>
      <c r="C105" s="26">
        <v>3.0</v>
      </c>
      <c r="D105" s="215">
        <v>25.97</v>
      </c>
      <c r="E105" s="215">
        <v>13.75</v>
      </c>
      <c r="F105" s="469">
        <f t="shared" si="3"/>
        <v>12.22</v>
      </c>
      <c r="G105" s="26">
        <v>33.0</v>
      </c>
      <c r="H105" s="469">
        <f t="shared" si="4"/>
        <v>0.4166666667</v>
      </c>
      <c r="I105" s="7"/>
      <c r="J105" s="7"/>
      <c r="K105" s="1"/>
      <c r="L105" s="1"/>
      <c r="M105" s="1"/>
      <c r="N105" s="1"/>
      <c r="O105" s="1"/>
      <c r="P105" s="1"/>
      <c r="Q105" s="1"/>
      <c r="R105" s="1"/>
    </row>
    <row r="106">
      <c r="A106" s="16" t="s">
        <v>708</v>
      </c>
      <c r="B106" s="129" t="s">
        <v>56</v>
      </c>
      <c r="C106" s="16">
        <v>3.0</v>
      </c>
      <c r="D106" s="215">
        <v>44.97</v>
      </c>
      <c r="E106" s="215">
        <v>30.97</v>
      </c>
      <c r="F106" s="469">
        <f t="shared" si="3"/>
        <v>14</v>
      </c>
      <c r="G106" s="26">
        <v>32.0</v>
      </c>
      <c r="H106" s="469">
        <f t="shared" si="4"/>
        <v>0.9678125</v>
      </c>
      <c r="I106" s="7"/>
      <c r="J106" s="7"/>
      <c r="K106" s="1"/>
      <c r="L106" s="1"/>
      <c r="M106" s="1"/>
      <c r="N106" s="1"/>
      <c r="O106" s="1"/>
      <c r="P106" s="1"/>
      <c r="Q106" s="1"/>
      <c r="R106" s="1"/>
    </row>
    <row r="107">
      <c r="A107" s="16" t="s">
        <v>193</v>
      </c>
      <c r="B107" s="26" t="s">
        <v>39</v>
      </c>
      <c r="C107" s="16">
        <v>1.0</v>
      </c>
      <c r="D107" s="216">
        <v>12.99</v>
      </c>
      <c r="E107" s="216">
        <v>12.99</v>
      </c>
      <c r="F107" s="216">
        <f t="shared" si="3"/>
        <v>0</v>
      </c>
      <c r="G107" s="121">
        <v>30.0</v>
      </c>
      <c r="H107" s="216">
        <f t="shared" si="4"/>
        <v>0.433</v>
      </c>
      <c r="I107" s="7"/>
      <c r="J107" s="7"/>
      <c r="K107" s="1"/>
      <c r="L107" s="1"/>
      <c r="M107" s="1"/>
      <c r="N107" s="1"/>
      <c r="O107" s="1"/>
      <c r="P107" s="1"/>
      <c r="Q107" s="1"/>
      <c r="R107" s="1"/>
    </row>
    <row r="108">
      <c r="A108" s="16" t="s">
        <v>221</v>
      </c>
      <c r="B108" s="26" t="s">
        <v>219</v>
      </c>
      <c r="C108" s="16">
        <v>1.0</v>
      </c>
      <c r="D108" s="18">
        <v>19.99</v>
      </c>
      <c r="E108" s="18">
        <v>19.99</v>
      </c>
      <c r="F108" s="18">
        <f t="shared" si="3"/>
        <v>0</v>
      </c>
      <c r="G108" s="16">
        <v>30.0</v>
      </c>
      <c r="H108" s="18">
        <f t="shared" si="4"/>
        <v>0.6663333333</v>
      </c>
      <c r="I108" s="7"/>
      <c r="J108" s="7"/>
      <c r="K108" s="1"/>
      <c r="L108" s="1"/>
      <c r="M108" s="1"/>
      <c r="N108" s="1"/>
      <c r="O108" s="1"/>
      <c r="P108" s="1"/>
      <c r="Q108" s="1"/>
      <c r="R108" s="1"/>
    </row>
    <row r="109">
      <c r="A109" s="16" t="s">
        <v>208</v>
      </c>
      <c r="B109" s="26" t="s">
        <v>39</v>
      </c>
      <c r="C109" s="16">
        <v>1.0</v>
      </c>
      <c r="D109" s="18">
        <v>23.98</v>
      </c>
      <c r="E109" s="18">
        <v>15.98</v>
      </c>
      <c r="F109" s="18">
        <f t="shared" si="3"/>
        <v>8</v>
      </c>
      <c r="G109" s="16">
        <v>29.0</v>
      </c>
      <c r="H109" s="18">
        <f t="shared" si="4"/>
        <v>0.5510344828</v>
      </c>
      <c r="I109" s="7"/>
      <c r="J109" s="7"/>
      <c r="K109" s="1"/>
      <c r="L109" s="1"/>
      <c r="M109" s="1"/>
      <c r="N109" s="1"/>
      <c r="O109" s="1"/>
      <c r="P109" s="1"/>
      <c r="Q109" s="1"/>
      <c r="R109" s="1"/>
    </row>
    <row r="110">
      <c r="A110" s="16" t="s">
        <v>274</v>
      </c>
      <c r="B110" s="26" t="s">
        <v>36</v>
      </c>
      <c r="C110" s="26">
        <v>4.0</v>
      </c>
      <c r="D110" s="215">
        <v>44.96</v>
      </c>
      <c r="E110" s="215">
        <v>19.97</v>
      </c>
      <c r="F110" s="469">
        <f t="shared" si="3"/>
        <v>24.99</v>
      </c>
      <c r="G110" s="26">
        <v>29.0</v>
      </c>
      <c r="H110" s="216">
        <f t="shared" si="4"/>
        <v>0.6886206897</v>
      </c>
      <c r="I110" s="7"/>
      <c r="J110" s="7"/>
      <c r="K110" s="1"/>
      <c r="L110" s="1"/>
      <c r="M110" s="1"/>
      <c r="N110" s="1"/>
      <c r="O110" s="1"/>
      <c r="P110" s="1"/>
      <c r="Q110" s="1"/>
      <c r="R110" s="1"/>
    </row>
    <row r="111">
      <c r="A111" s="16" t="s">
        <v>645</v>
      </c>
      <c r="B111" s="129" t="s">
        <v>56</v>
      </c>
      <c r="C111" s="16">
        <v>1.0</v>
      </c>
      <c r="D111" s="18">
        <v>29.99</v>
      </c>
      <c r="E111" s="18">
        <v>29.99</v>
      </c>
      <c r="F111" s="18">
        <f t="shared" si="3"/>
        <v>0</v>
      </c>
      <c r="G111" s="16">
        <v>29.0</v>
      </c>
      <c r="H111" s="18">
        <f t="shared" si="4"/>
        <v>1.034137931</v>
      </c>
      <c r="I111" s="7"/>
      <c r="J111" s="7"/>
      <c r="K111" s="1"/>
      <c r="L111" s="1"/>
      <c r="M111" s="1"/>
      <c r="N111" s="1"/>
      <c r="O111" s="1"/>
      <c r="P111" s="1"/>
      <c r="Q111" s="1"/>
      <c r="R111" s="1"/>
    </row>
    <row r="112">
      <c r="A112" s="26" t="s">
        <v>169</v>
      </c>
      <c r="B112" s="26" t="s">
        <v>170</v>
      </c>
      <c r="C112" s="26">
        <v>1.0</v>
      </c>
      <c r="D112" s="18">
        <v>24.99</v>
      </c>
      <c r="E112" s="18">
        <v>9.99</v>
      </c>
      <c r="F112" s="18">
        <f t="shared" si="3"/>
        <v>15</v>
      </c>
      <c r="G112" s="26">
        <v>28.0</v>
      </c>
      <c r="H112" s="18">
        <f t="shared" si="4"/>
        <v>0.3567857143</v>
      </c>
      <c r="I112" s="7"/>
      <c r="J112" s="7"/>
      <c r="K112" s="1"/>
      <c r="L112" s="1"/>
      <c r="M112" s="1"/>
      <c r="N112" s="1"/>
      <c r="O112" s="1"/>
      <c r="P112" s="1"/>
      <c r="Q112" s="1"/>
      <c r="R112" s="1"/>
    </row>
    <row r="113">
      <c r="A113" s="16" t="s">
        <v>492</v>
      </c>
      <c r="B113" s="26" t="s">
        <v>491</v>
      </c>
      <c r="C113" s="16">
        <v>2.0</v>
      </c>
      <c r="D113" s="115">
        <v>25.98</v>
      </c>
      <c r="E113" s="115">
        <v>22.73</v>
      </c>
      <c r="F113" s="18">
        <f t="shared" si="3"/>
        <v>3.25</v>
      </c>
      <c r="G113" s="26">
        <v>27.0</v>
      </c>
      <c r="H113" s="18">
        <f t="shared" si="4"/>
        <v>0.8418518519</v>
      </c>
      <c r="I113" s="7"/>
      <c r="J113" s="7"/>
      <c r="K113" s="1"/>
      <c r="L113" s="1"/>
      <c r="M113" s="1"/>
      <c r="N113" s="1"/>
      <c r="O113" s="1"/>
      <c r="P113" s="1"/>
      <c r="Q113" s="1"/>
      <c r="R113" s="1"/>
    </row>
    <row r="114">
      <c r="A114" s="16" t="s">
        <v>181</v>
      </c>
      <c r="B114" s="26" t="s">
        <v>39</v>
      </c>
      <c r="C114" s="16">
        <v>2.0</v>
      </c>
      <c r="D114" s="18">
        <v>29.99</v>
      </c>
      <c r="E114" s="115">
        <v>2.5</v>
      </c>
      <c r="F114" s="18">
        <f t="shared" si="3"/>
        <v>27.49</v>
      </c>
      <c r="G114" s="26">
        <v>26.0</v>
      </c>
      <c r="H114" s="18">
        <f t="shared" si="4"/>
        <v>0.09615384615</v>
      </c>
      <c r="I114" s="7"/>
      <c r="J114" s="7"/>
      <c r="K114" s="1"/>
      <c r="L114" s="1"/>
      <c r="M114" s="1"/>
      <c r="N114" s="1"/>
      <c r="O114" s="1"/>
      <c r="P114" s="1"/>
      <c r="Q114" s="1"/>
      <c r="R114" s="1"/>
    </row>
    <row r="115">
      <c r="A115" s="16" t="s">
        <v>173</v>
      </c>
      <c r="B115" s="26" t="s">
        <v>39</v>
      </c>
      <c r="C115" s="16">
        <v>3.0</v>
      </c>
      <c r="D115" s="115">
        <v>16.48</v>
      </c>
      <c r="E115" s="115">
        <v>6.49</v>
      </c>
      <c r="F115" s="18">
        <f t="shared" si="3"/>
        <v>9.99</v>
      </c>
      <c r="G115" s="26">
        <v>26.0</v>
      </c>
      <c r="H115" s="18">
        <f t="shared" si="4"/>
        <v>0.2496153846</v>
      </c>
      <c r="I115" s="7"/>
      <c r="J115" s="7"/>
      <c r="K115" s="1"/>
      <c r="L115" s="1"/>
      <c r="M115" s="1"/>
      <c r="N115" s="1"/>
      <c r="O115" s="1"/>
      <c r="P115" s="1"/>
      <c r="Q115" s="1"/>
      <c r="R115" s="1"/>
    </row>
    <row r="116">
      <c r="A116" s="16" t="s">
        <v>665</v>
      </c>
      <c r="B116" s="129" t="s">
        <v>56</v>
      </c>
      <c r="C116" s="16">
        <v>2.0</v>
      </c>
      <c r="D116" s="115">
        <v>84.98</v>
      </c>
      <c r="E116" s="115">
        <v>14.99</v>
      </c>
      <c r="F116" s="18">
        <f t="shared" si="3"/>
        <v>69.99</v>
      </c>
      <c r="G116" s="26">
        <v>26.0</v>
      </c>
      <c r="H116" s="18">
        <f t="shared" si="4"/>
        <v>0.5765384615</v>
      </c>
      <c r="I116" s="7"/>
      <c r="J116" s="7"/>
      <c r="K116" s="1"/>
      <c r="L116" s="1"/>
      <c r="M116" s="1"/>
      <c r="N116" s="1"/>
      <c r="O116" s="1"/>
      <c r="P116" s="1"/>
      <c r="Q116" s="1"/>
      <c r="R116" s="1"/>
    </row>
    <row r="117">
      <c r="A117" s="121" t="s">
        <v>565</v>
      </c>
      <c r="B117" s="129" t="s">
        <v>56</v>
      </c>
      <c r="C117" s="121">
        <v>1.0</v>
      </c>
      <c r="D117" s="18">
        <v>19.99</v>
      </c>
      <c r="E117" s="18">
        <v>0.0</v>
      </c>
      <c r="F117" s="18">
        <f t="shared" si="3"/>
        <v>19.99</v>
      </c>
      <c r="G117" s="16">
        <v>25.0</v>
      </c>
      <c r="H117" s="18">
        <f t="shared" si="4"/>
        <v>0</v>
      </c>
      <c r="I117" s="7"/>
      <c r="J117" s="7"/>
      <c r="K117" s="1"/>
      <c r="L117" s="1"/>
      <c r="M117" s="1"/>
      <c r="N117" s="1"/>
      <c r="O117" s="1"/>
      <c r="P117" s="1"/>
      <c r="Q117" s="1"/>
      <c r="R117" s="1"/>
    </row>
    <row r="118">
      <c r="A118" s="121" t="s">
        <v>591</v>
      </c>
      <c r="B118" s="26" t="s">
        <v>56</v>
      </c>
      <c r="C118" s="16">
        <v>1.0</v>
      </c>
      <c r="D118" s="18">
        <v>29.99</v>
      </c>
      <c r="E118" s="18">
        <v>1.0</v>
      </c>
      <c r="F118" s="18">
        <f t="shared" si="3"/>
        <v>28.99</v>
      </c>
      <c r="G118" s="16">
        <v>25.0</v>
      </c>
      <c r="H118" s="18">
        <f t="shared" si="4"/>
        <v>0.04</v>
      </c>
      <c r="I118" s="7"/>
      <c r="J118" s="7"/>
      <c r="K118" s="1"/>
      <c r="L118" s="1"/>
      <c r="M118" s="1"/>
      <c r="N118" s="1"/>
      <c r="O118" s="1"/>
      <c r="P118" s="1"/>
      <c r="Q118" s="1"/>
      <c r="R118" s="1"/>
    </row>
    <row r="119">
      <c r="A119" s="15" t="s">
        <v>212</v>
      </c>
      <c r="B119" s="26" t="s">
        <v>39</v>
      </c>
      <c r="C119" s="16">
        <v>1.0</v>
      </c>
      <c r="D119" s="14">
        <v>29.99</v>
      </c>
      <c r="E119" s="14">
        <v>5.99</v>
      </c>
      <c r="F119" s="14">
        <f t="shared" si="3"/>
        <v>24</v>
      </c>
      <c r="G119" s="26">
        <v>25.0</v>
      </c>
      <c r="H119" s="14">
        <f t="shared" si="4"/>
        <v>0.2396</v>
      </c>
      <c r="I119" s="7"/>
      <c r="J119" s="7"/>
      <c r="K119" s="1"/>
      <c r="L119" s="1"/>
      <c r="M119" s="1"/>
      <c r="N119" s="1"/>
      <c r="O119" s="1"/>
      <c r="P119" s="1"/>
      <c r="Q119" s="1"/>
      <c r="R119" s="1"/>
    </row>
    <row r="120">
      <c r="A120" s="121" t="s">
        <v>350</v>
      </c>
      <c r="B120" s="26" t="s">
        <v>47</v>
      </c>
      <c r="C120" s="16">
        <v>1.0</v>
      </c>
      <c r="D120" s="18">
        <v>16.99</v>
      </c>
      <c r="E120" s="18">
        <v>5.99</v>
      </c>
      <c r="F120" s="18">
        <f t="shared" si="3"/>
        <v>11</v>
      </c>
      <c r="G120" s="16">
        <v>25.0</v>
      </c>
      <c r="H120" s="18">
        <f t="shared" si="4"/>
        <v>0.2396</v>
      </c>
      <c r="I120" s="7"/>
      <c r="J120" s="7"/>
      <c r="K120" s="1"/>
      <c r="L120" s="1"/>
      <c r="M120" s="1"/>
      <c r="N120" s="1"/>
      <c r="O120" s="1"/>
      <c r="P120" s="1"/>
      <c r="Q120" s="1"/>
      <c r="R120" s="1"/>
    </row>
    <row r="121">
      <c r="A121" s="121" t="s">
        <v>400</v>
      </c>
      <c r="B121" s="26" t="s">
        <v>50</v>
      </c>
      <c r="C121" s="16">
        <v>1.0</v>
      </c>
      <c r="D121" s="18">
        <v>5.99</v>
      </c>
      <c r="E121" s="18">
        <v>5.99</v>
      </c>
      <c r="F121" s="18">
        <f t="shared" si="3"/>
        <v>0</v>
      </c>
      <c r="G121" s="16">
        <v>25.0</v>
      </c>
      <c r="H121" s="18">
        <f t="shared" si="4"/>
        <v>0.2396</v>
      </c>
      <c r="I121" s="7"/>
      <c r="J121" s="7"/>
      <c r="K121" s="1"/>
      <c r="L121" s="1"/>
      <c r="M121" s="1"/>
      <c r="N121" s="1"/>
      <c r="O121" s="1"/>
      <c r="P121" s="1"/>
      <c r="Q121" s="1"/>
      <c r="R121" s="1"/>
    </row>
    <row r="122">
      <c r="A122" s="26" t="s">
        <v>149</v>
      </c>
      <c r="B122" s="26" t="s">
        <v>137</v>
      </c>
      <c r="C122" s="26">
        <v>2.0</v>
      </c>
      <c r="D122" s="115">
        <v>53.98</v>
      </c>
      <c r="E122" s="115">
        <v>2.85</v>
      </c>
      <c r="F122" s="18">
        <f t="shared" si="3"/>
        <v>51.13</v>
      </c>
      <c r="G122" s="26">
        <v>25.0</v>
      </c>
      <c r="H122" s="18">
        <f t="shared" si="4"/>
        <v>0.114</v>
      </c>
      <c r="I122" s="7"/>
      <c r="J122" s="7"/>
      <c r="K122" s="1"/>
      <c r="L122" s="1"/>
      <c r="M122" s="1"/>
      <c r="N122" s="1"/>
      <c r="O122" s="1"/>
      <c r="P122" s="1"/>
      <c r="Q122" s="1"/>
      <c r="R122" s="1"/>
    </row>
    <row r="123">
      <c r="A123" s="121" t="s">
        <v>258</v>
      </c>
      <c r="B123" s="26" t="s">
        <v>36</v>
      </c>
      <c r="C123" s="16">
        <v>1.0</v>
      </c>
      <c r="D123" s="18">
        <v>24.99</v>
      </c>
      <c r="E123" s="18">
        <v>9.99</v>
      </c>
      <c r="F123" s="18">
        <f t="shared" si="3"/>
        <v>15</v>
      </c>
      <c r="G123" s="16">
        <v>25.0</v>
      </c>
      <c r="H123" s="18">
        <f t="shared" si="4"/>
        <v>0.3996</v>
      </c>
      <c r="I123" s="7"/>
      <c r="J123" s="7"/>
      <c r="K123" s="1"/>
      <c r="L123" s="1"/>
      <c r="M123" s="1"/>
      <c r="N123" s="1"/>
      <c r="O123" s="1"/>
      <c r="P123" s="1"/>
      <c r="Q123" s="1"/>
      <c r="R123" s="1"/>
    </row>
    <row r="124">
      <c r="A124" s="121" t="s">
        <v>308</v>
      </c>
      <c r="B124" s="26" t="s">
        <v>36</v>
      </c>
      <c r="C124" s="16">
        <v>1.0</v>
      </c>
      <c r="D124" s="18">
        <v>24.99</v>
      </c>
      <c r="E124" s="18">
        <v>9.99</v>
      </c>
      <c r="F124" s="18">
        <f t="shared" si="3"/>
        <v>15</v>
      </c>
      <c r="G124" s="16">
        <v>25.0</v>
      </c>
      <c r="H124" s="18">
        <f t="shared" si="4"/>
        <v>0.3996</v>
      </c>
      <c r="I124" s="7"/>
      <c r="J124" s="7"/>
      <c r="K124" s="1"/>
      <c r="L124" s="1"/>
      <c r="M124" s="1"/>
      <c r="N124" s="1"/>
      <c r="O124" s="1"/>
      <c r="P124" s="1"/>
      <c r="Q124" s="1"/>
      <c r="R124" s="1"/>
    </row>
    <row r="125">
      <c r="A125" s="16" t="s">
        <v>185</v>
      </c>
      <c r="B125" s="26" t="s">
        <v>39</v>
      </c>
      <c r="C125" s="16">
        <v>2.0</v>
      </c>
      <c r="D125" s="115">
        <v>39.98</v>
      </c>
      <c r="E125" s="115">
        <v>16.0</v>
      </c>
      <c r="F125" s="18">
        <f t="shared" si="3"/>
        <v>23.98</v>
      </c>
      <c r="G125" s="26">
        <v>25.0</v>
      </c>
      <c r="H125" s="18">
        <f t="shared" si="4"/>
        <v>0.64</v>
      </c>
      <c r="I125" s="7"/>
      <c r="J125" s="7"/>
      <c r="K125" s="1"/>
      <c r="L125" s="1"/>
      <c r="M125" s="1"/>
      <c r="N125" s="1"/>
      <c r="O125" s="1"/>
      <c r="P125" s="1"/>
      <c r="Q125" s="1"/>
      <c r="R125" s="1"/>
    </row>
    <row r="126">
      <c r="A126" s="16" t="s">
        <v>252</v>
      </c>
      <c r="B126" s="26" t="s">
        <v>36</v>
      </c>
      <c r="C126" s="16">
        <v>1.0</v>
      </c>
      <c r="D126" s="18">
        <v>19.99</v>
      </c>
      <c r="E126" s="18">
        <v>18.0</v>
      </c>
      <c r="F126" s="18">
        <f t="shared" si="3"/>
        <v>1.99</v>
      </c>
      <c r="G126" s="16">
        <v>25.0</v>
      </c>
      <c r="H126" s="18">
        <f t="shared" si="4"/>
        <v>0.72</v>
      </c>
      <c r="I126" s="7"/>
      <c r="J126" s="7"/>
      <c r="K126" s="1"/>
      <c r="L126" s="1"/>
      <c r="M126" s="1"/>
      <c r="N126" s="1"/>
      <c r="O126" s="1"/>
      <c r="P126" s="1"/>
      <c r="Q126" s="1"/>
      <c r="R126" s="1"/>
    </row>
    <row r="127">
      <c r="A127" s="16" t="s">
        <v>629</v>
      </c>
      <c r="B127" s="26" t="s">
        <v>56</v>
      </c>
      <c r="C127" s="16">
        <v>4.0</v>
      </c>
      <c r="D127" s="115">
        <v>49.96</v>
      </c>
      <c r="E127" s="115">
        <v>23.46</v>
      </c>
      <c r="F127" s="18">
        <f t="shared" si="3"/>
        <v>26.5</v>
      </c>
      <c r="G127" s="26">
        <v>25.0</v>
      </c>
      <c r="H127" s="18">
        <f t="shared" si="4"/>
        <v>0.9384</v>
      </c>
      <c r="I127" s="7"/>
      <c r="J127" s="7"/>
      <c r="K127" s="1"/>
      <c r="L127" s="1"/>
      <c r="M127" s="1"/>
      <c r="N127" s="1"/>
      <c r="O127" s="1"/>
      <c r="P127" s="1"/>
      <c r="Q127" s="1"/>
      <c r="R127" s="1"/>
    </row>
    <row r="128">
      <c r="A128" s="16" t="s">
        <v>146</v>
      </c>
      <c r="B128" s="26" t="s">
        <v>137</v>
      </c>
      <c r="C128" s="16">
        <v>1.0</v>
      </c>
      <c r="D128" s="18">
        <v>4.99</v>
      </c>
      <c r="E128" s="18">
        <v>4.99</v>
      </c>
      <c r="F128" s="18">
        <f t="shared" si="3"/>
        <v>0</v>
      </c>
      <c r="G128" s="16">
        <v>24.0</v>
      </c>
      <c r="H128" s="18">
        <f t="shared" si="4"/>
        <v>0.2079166667</v>
      </c>
      <c r="I128" s="7"/>
      <c r="J128" s="7"/>
      <c r="K128" s="1"/>
      <c r="L128" s="1"/>
      <c r="M128" s="1"/>
      <c r="N128" s="1"/>
      <c r="O128" s="1"/>
      <c r="P128" s="1"/>
      <c r="Q128" s="1"/>
      <c r="R128" s="1"/>
    </row>
    <row r="129">
      <c r="A129" s="16" t="s">
        <v>295</v>
      </c>
      <c r="B129" s="26" t="s">
        <v>36</v>
      </c>
      <c r="C129" s="16">
        <v>2.0</v>
      </c>
      <c r="D129" s="115">
        <v>69.98</v>
      </c>
      <c r="E129" s="115">
        <v>11.99</v>
      </c>
      <c r="F129" s="18">
        <f t="shared" si="3"/>
        <v>57.99</v>
      </c>
      <c r="G129" s="26">
        <v>24.0</v>
      </c>
      <c r="H129" s="18">
        <f t="shared" si="4"/>
        <v>0.4995833333</v>
      </c>
      <c r="I129" s="7"/>
      <c r="J129" s="7"/>
      <c r="K129" s="1"/>
      <c r="L129" s="1"/>
      <c r="M129" s="1"/>
      <c r="N129" s="1"/>
      <c r="O129" s="1"/>
      <c r="P129" s="1"/>
      <c r="Q129" s="1"/>
      <c r="R129" s="1"/>
    </row>
    <row r="130">
      <c r="A130" s="16" t="s">
        <v>710</v>
      </c>
      <c r="B130" s="26" t="s">
        <v>56</v>
      </c>
      <c r="C130" s="16">
        <v>1.0</v>
      </c>
      <c r="D130" s="18">
        <v>19.99</v>
      </c>
      <c r="E130" s="18">
        <v>13.99</v>
      </c>
      <c r="F130" s="18">
        <f t="shared" si="3"/>
        <v>6</v>
      </c>
      <c r="G130" s="16">
        <v>24.0</v>
      </c>
      <c r="H130" s="18">
        <f t="shared" si="4"/>
        <v>0.5829166667</v>
      </c>
      <c r="I130" s="7"/>
      <c r="J130" s="7"/>
      <c r="K130" s="1"/>
      <c r="L130" s="1"/>
      <c r="M130" s="1"/>
      <c r="N130" s="1"/>
      <c r="O130" s="1"/>
      <c r="P130" s="1"/>
      <c r="Q130" s="1"/>
      <c r="R130" s="1"/>
    </row>
    <row r="131">
      <c r="A131" s="16" t="s">
        <v>476</v>
      </c>
      <c r="B131" s="26" t="s">
        <v>472</v>
      </c>
      <c r="C131" s="16">
        <v>1.0</v>
      </c>
      <c r="D131" s="18">
        <v>29.99</v>
      </c>
      <c r="E131" s="18">
        <v>14.99</v>
      </c>
      <c r="F131" s="18">
        <f t="shared" si="3"/>
        <v>15</v>
      </c>
      <c r="G131" s="16">
        <v>24.0</v>
      </c>
      <c r="H131" s="18">
        <f t="shared" si="4"/>
        <v>0.6245833333</v>
      </c>
      <c r="I131" s="7"/>
      <c r="J131" s="7"/>
      <c r="K131" s="1"/>
      <c r="L131" s="1"/>
      <c r="M131" s="1"/>
      <c r="N131" s="1"/>
      <c r="O131" s="1"/>
      <c r="P131" s="1"/>
      <c r="Q131" s="1"/>
      <c r="R131" s="1"/>
    </row>
    <row r="132">
      <c r="A132" s="16" t="s">
        <v>151</v>
      </c>
      <c r="B132" s="26" t="s">
        <v>137</v>
      </c>
      <c r="C132" s="16">
        <v>1.0</v>
      </c>
      <c r="D132" s="18">
        <v>29.99</v>
      </c>
      <c r="E132" s="18">
        <v>23.99</v>
      </c>
      <c r="F132" s="18">
        <f t="shared" si="3"/>
        <v>6</v>
      </c>
      <c r="G132" s="16">
        <v>24.0</v>
      </c>
      <c r="H132" s="18">
        <f t="shared" si="4"/>
        <v>0.9995833333</v>
      </c>
      <c r="I132" s="7"/>
      <c r="J132" s="7"/>
      <c r="K132" s="1"/>
      <c r="L132" s="1"/>
      <c r="M132" s="1"/>
      <c r="N132" s="1"/>
      <c r="O132" s="1"/>
      <c r="P132" s="1"/>
      <c r="Q132" s="1"/>
      <c r="R132" s="1"/>
    </row>
    <row r="133">
      <c r="A133" s="16" t="s">
        <v>539</v>
      </c>
      <c r="B133" s="26" t="s">
        <v>527</v>
      </c>
      <c r="C133" s="26">
        <v>4.0</v>
      </c>
      <c r="D133" s="115">
        <v>73.96</v>
      </c>
      <c r="E133" s="115">
        <v>32.71</v>
      </c>
      <c r="F133" s="18">
        <f t="shared" si="3"/>
        <v>41.25</v>
      </c>
      <c r="G133" s="26">
        <v>24.0</v>
      </c>
      <c r="H133" s="18">
        <f t="shared" si="4"/>
        <v>1.362916667</v>
      </c>
      <c r="I133" s="7"/>
      <c r="J133" s="7"/>
      <c r="K133" s="1"/>
      <c r="L133" s="1"/>
      <c r="M133" s="1"/>
      <c r="N133" s="1"/>
      <c r="O133" s="1"/>
      <c r="P133" s="1"/>
      <c r="Q133" s="1"/>
      <c r="R133" s="1"/>
    </row>
    <row r="134">
      <c r="A134" s="26" t="s">
        <v>483</v>
      </c>
      <c r="B134" s="26" t="s">
        <v>472</v>
      </c>
      <c r="C134" s="26">
        <v>1.0</v>
      </c>
      <c r="D134" s="14">
        <v>19.99</v>
      </c>
      <c r="E134" s="14">
        <v>2.99</v>
      </c>
      <c r="F134" s="14">
        <f t="shared" si="3"/>
        <v>17</v>
      </c>
      <c r="G134" s="26">
        <v>23.0</v>
      </c>
      <c r="H134" s="14">
        <f t="shared" si="4"/>
        <v>0.13</v>
      </c>
      <c r="I134" s="7"/>
      <c r="J134" s="7"/>
      <c r="K134" s="1"/>
      <c r="L134" s="1"/>
      <c r="M134" s="1"/>
      <c r="N134" s="1"/>
      <c r="O134" s="1"/>
      <c r="P134" s="1"/>
      <c r="Q134" s="1"/>
      <c r="R134" s="1"/>
    </row>
    <row r="135">
      <c r="A135" s="16" t="s">
        <v>467</v>
      </c>
      <c r="B135" s="26" t="s">
        <v>468</v>
      </c>
      <c r="C135" s="26">
        <v>2.0</v>
      </c>
      <c r="D135" s="115">
        <v>29.98</v>
      </c>
      <c r="E135" s="115">
        <v>4.99</v>
      </c>
      <c r="F135" s="18">
        <f t="shared" si="3"/>
        <v>24.99</v>
      </c>
      <c r="G135" s="26">
        <v>23.0</v>
      </c>
      <c r="H135" s="18">
        <f t="shared" si="4"/>
        <v>0.2169565217</v>
      </c>
      <c r="I135" s="7"/>
      <c r="J135" s="7"/>
      <c r="K135" s="1"/>
      <c r="L135" s="1"/>
      <c r="M135" s="1"/>
      <c r="N135" s="1"/>
      <c r="O135" s="1"/>
      <c r="P135" s="1"/>
      <c r="Q135" s="1"/>
      <c r="R135" s="1"/>
    </row>
    <row r="136">
      <c r="A136" s="16" t="s">
        <v>376</v>
      </c>
      <c r="B136" s="26" t="s">
        <v>367</v>
      </c>
      <c r="C136" s="16">
        <v>1.0</v>
      </c>
      <c r="D136" s="18">
        <v>24.99</v>
      </c>
      <c r="E136" s="18">
        <v>17.49</v>
      </c>
      <c r="F136" s="18">
        <f t="shared" si="3"/>
        <v>7.5</v>
      </c>
      <c r="G136" s="16">
        <v>23.0</v>
      </c>
      <c r="H136" s="18">
        <f t="shared" si="4"/>
        <v>0.7604347826</v>
      </c>
      <c r="I136" s="7"/>
      <c r="J136" s="7"/>
      <c r="K136" s="1"/>
      <c r="L136" s="1"/>
      <c r="M136" s="1"/>
      <c r="N136" s="1"/>
      <c r="O136" s="1"/>
      <c r="P136" s="1"/>
      <c r="Q136" s="1"/>
      <c r="R136" s="1"/>
    </row>
    <row r="137">
      <c r="A137" s="26" t="s">
        <v>700</v>
      </c>
      <c r="B137" s="26" t="s">
        <v>56</v>
      </c>
      <c r="C137" s="26">
        <v>2.0</v>
      </c>
      <c r="D137" s="115">
        <v>35.98</v>
      </c>
      <c r="E137" s="115">
        <v>24.58</v>
      </c>
      <c r="F137" s="18">
        <f t="shared" si="3"/>
        <v>11.4</v>
      </c>
      <c r="G137" s="26">
        <v>23.0</v>
      </c>
      <c r="H137" s="18">
        <f t="shared" si="4"/>
        <v>1.068695652</v>
      </c>
      <c r="I137" s="7"/>
      <c r="J137" s="7"/>
      <c r="K137" s="1"/>
      <c r="L137" s="1"/>
      <c r="M137" s="1"/>
      <c r="N137" s="1"/>
      <c r="O137" s="1"/>
      <c r="P137" s="1"/>
      <c r="Q137" s="1"/>
      <c r="R137" s="1"/>
    </row>
    <row r="138">
      <c r="A138" s="26" t="s">
        <v>431</v>
      </c>
      <c r="B138" s="26" t="s">
        <v>50</v>
      </c>
      <c r="C138" s="26">
        <v>1.0</v>
      </c>
      <c r="D138" s="14">
        <v>28.99</v>
      </c>
      <c r="E138" s="14">
        <v>28.99</v>
      </c>
      <c r="F138" s="14">
        <f t="shared" si="3"/>
        <v>0</v>
      </c>
      <c r="G138" s="26">
        <v>22.0</v>
      </c>
      <c r="H138" s="18">
        <f t="shared" si="4"/>
        <v>1.317727273</v>
      </c>
      <c r="I138" s="7"/>
      <c r="J138" s="7"/>
      <c r="K138" s="1"/>
      <c r="L138" s="1"/>
      <c r="M138" s="1"/>
      <c r="N138" s="1"/>
      <c r="O138" s="1"/>
      <c r="P138" s="1"/>
      <c r="Q138" s="1"/>
      <c r="R138" s="1"/>
    </row>
    <row r="139">
      <c r="A139" s="16" t="s">
        <v>554</v>
      </c>
      <c r="B139" s="26" t="s">
        <v>555</v>
      </c>
      <c r="C139" s="16">
        <v>1.0</v>
      </c>
      <c r="D139" s="18">
        <v>14.99</v>
      </c>
      <c r="E139" s="18">
        <v>0.0</v>
      </c>
      <c r="F139" s="18">
        <f t="shared" si="3"/>
        <v>14.99</v>
      </c>
      <c r="G139" s="26">
        <v>21.0</v>
      </c>
      <c r="H139" s="18">
        <f t="shared" si="4"/>
        <v>0</v>
      </c>
      <c r="I139" s="7"/>
      <c r="J139" s="7"/>
      <c r="K139" s="1"/>
      <c r="L139" s="1"/>
      <c r="M139" s="1"/>
      <c r="N139" s="1"/>
      <c r="O139" s="1"/>
      <c r="P139" s="1"/>
      <c r="Q139" s="1"/>
      <c r="R139" s="1"/>
    </row>
    <row r="140">
      <c r="A140" s="16" t="s">
        <v>54</v>
      </c>
      <c r="B140" s="26" t="s">
        <v>53</v>
      </c>
      <c r="C140" s="16">
        <v>2.0</v>
      </c>
      <c r="D140" s="115">
        <v>36.98</v>
      </c>
      <c r="E140" s="115">
        <v>1.49</v>
      </c>
      <c r="F140" s="18">
        <f t="shared" si="3"/>
        <v>35.49</v>
      </c>
      <c r="G140" s="26">
        <v>21.0</v>
      </c>
      <c r="H140" s="18">
        <f t="shared" si="4"/>
        <v>0.07095238095</v>
      </c>
      <c r="I140" s="7"/>
      <c r="J140" s="7"/>
      <c r="K140" s="1"/>
      <c r="L140" s="1"/>
      <c r="M140" s="1"/>
      <c r="N140" s="1"/>
      <c r="O140" s="1"/>
      <c r="P140" s="1"/>
      <c r="Q140" s="1"/>
      <c r="R140" s="1"/>
    </row>
    <row r="141">
      <c r="A141" s="16" t="s">
        <v>480</v>
      </c>
      <c r="B141" s="26" t="s">
        <v>472</v>
      </c>
      <c r="C141" s="16">
        <v>1.0</v>
      </c>
      <c r="D141" s="18">
        <v>14.99</v>
      </c>
      <c r="E141" s="18">
        <v>1.49</v>
      </c>
      <c r="F141" s="18">
        <f t="shared" si="3"/>
        <v>13.5</v>
      </c>
      <c r="G141" s="16">
        <v>20.0</v>
      </c>
      <c r="H141" s="18">
        <f t="shared" si="4"/>
        <v>0.0745</v>
      </c>
      <c r="I141" s="7"/>
      <c r="J141" s="7"/>
      <c r="K141" s="1"/>
      <c r="L141" s="1"/>
      <c r="M141" s="1"/>
      <c r="N141" s="1"/>
      <c r="O141" s="1"/>
      <c r="P141" s="1"/>
      <c r="Q141" s="1"/>
      <c r="R141" s="1"/>
    </row>
    <row r="142">
      <c r="A142" s="16" t="s">
        <v>605</v>
      </c>
      <c r="B142" s="26" t="s">
        <v>56</v>
      </c>
      <c r="C142" s="16">
        <v>1.0</v>
      </c>
      <c r="D142" s="18">
        <v>12.99</v>
      </c>
      <c r="E142" s="18">
        <v>2.99</v>
      </c>
      <c r="F142" s="18">
        <f t="shared" si="3"/>
        <v>10</v>
      </c>
      <c r="G142" s="16">
        <v>20.0</v>
      </c>
      <c r="H142" s="18">
        <f t="shared" si="4"/>
        <v>0.1495</v>
      </c>
      <c r="I142" s="7"/>
      <c r="J142" s="7"/>
      <c r="K142" s="1"/>
      <c r="L142" s="1"/>
      <c r="M142" s="1"/>
      <c r="N142" s="1"/>
      <c r="O142" s="1"/>
      <c r="P142" s="1"/>
      <c r="Q142" s="1"/>
      <c r="R142" s="1"/>
    </row>
    <row r="143">
      <c r="A143" s="16" t="s">
        <v>620</v>
      </c>
      <c r="B143" s="26" t="s">
        <v>56</v>
      </c>
      <c r="C143" s="16">
        <v>1.0</v>
      </c>
      <c r="D143" s="18">
        <v>29.99</v>
      </c>
      <c r="E143" s="18">
        <v>4.0</v>
      </c>
      <c r="F143" s="18">
        <f t="shared" si="3"/>
        <v>25.99</v>
      </c>
      <c r="G143" s="16">
        <v>20.0</v>
      </c>
      <c r="H143" s="18">
        <f t="shared" si="4"/>
        <v>0.2</v>
      </c>
      <c r="I143" s="7"/>
      <c r="J143" s="7"/>
      <c r="K143" s="1"/>
      <c r="L143" s="1"/>
      <c r="M143" s="1"/>
      <c r="N143" s="1"/>
      <c r="O143" s="1"/>
      <c r="P143" s="1"/>
      <c r="Q143" s="1"/>
      <c r="R143" s="1"/>
    </row>
    <row r="144">
      <c r="A144" s="16" t="s">
        <v>512</v>
      </c>
      <c r="B144" s="26" t="s">
        <v>513</v>
      </c>
      <c r="C144" s="26">
        <v>2.0</v>
      </c>
      <c r="D144" s="115">
        <v>34.98</v>
      </c>
      <c r="E144" s="115">
        <v>4.99</v>
      </c>
      <c r="F144" s="18">
        <f t="shared" si="3"/>
        <v>29.99</v>
      </c>
      <c r="G144" s="26">
        <v>20.0</v>
      </c>
      <c r="H144" s="18">
        <f t="shared" si="4"/>
        <v>0.2495</v>
      </c>
      <c r="I144" s="7"/>
      <c r="J144" s="7"/>
      <c r="K144" s="1"/>
      <c r="L144" s="1"/>
      <c r="M144" s="1"/>
      <c r="N144" s="1"/>
      <c r="O144" s="1"/>
      <c r="P144" s="1"/>
      <c r="Q144" s="1"/>
      <c r="R144" s="1"/>
    </row>
    <row r="145">
      <c r="A145" s="16" t="s">
        <v>259</v>
      </c>
      <c r="B145" s="26" t="s">
        <v>36</v>
      </c>
      <c r="C145" s="16">
        <v>1.0</v>
      </c>
      <c r="D145" s="18">
        <v>6.99</v>
      </c>
      <c r="E145" s="18">
        <v>6.99</v>
      </c>
      <c r="F145" s="18">
        <f t="shared" si="3"/>
        <v>0</v>
      </c>
      <c r="G145" s="16">
        <v>20.0</v>
      </c>
      <c r="H145" s="18">
        <f t="shared" si="4"/>
        <v>0.3495</v>
      </c>
      <c r="I145" s="7"/>
      <c r="J145" s="7"/>
      <c r="K145" s="1"/>
      <c r="L145" s="1"/>
      <c r="M145" s="1"/>
      <c r="N145" s="1"/>
      <c r="O145" s="1"/>
      <c r="P145" s="1"/>
      <c r="Q145" s="1"/>
      <c r="R145" s="1"/>
    </row>
    <row r="146">
      <c r="A146" s="16" t="s">
        <v>640</v>
      </c>
      <c r="B146" s="26" t="s">
        <v>56</v>
      </c>
      <c r="C146" s="16">
        <v>1.0</v>
      </c>
      <c r="D146" s="18">
        <v>14.99</v>
      </c>
      <c r="E146" s="18">
        <v>7.5</v>
      </c>
      <c r="F146" s="18">
        <f t="shared" si="3"/>
        <v>7.49</v>
      </c>
      <c r="G146" s="16">
        <v>20.0</v>
      </c>
      <c r="H146" s="18">
        <f t="shared" si="4"/>
        <v>0.375</v>
      </c>
      <c r="I146" s="7"/>
      <c r="J146" s="7"/>
      <c r="K146" s="1"/>
      <c r="L146" s="1"/>
      <c r="M146" s="1"/>
      <c r="N146" s="1"/>
      <c r="O146" s="1"/>
      <c r="P146" s="1"/>
      <c r="Q146" s="1"/>
      <c r="R146" s="1"/>
    </row>
    <row r="147">
      <c r="A147" s="16" t="s">
        <v>351</v>
      </c>
      <c r="B147" s="26" t="s">
        <v>47</v>
      </c>
      <c r="C147" s="16">
        <v>1.0</v>
      </c>
      <c r="D147" s="18">
        <v>9.99</v>
      </c>
      <c r="E147" s="18">
        <v>9.99</v>
      </c>
      <c r="F147" s="18">
        <f t="shared" si="3"/>
        <v>0</v>
      </c>
      <c r="G147" s="16">
        <v>20.0</v>
      </c>
      <c r="H147" s="18">
        <f t="shared" si="4"/>
        <v>0.4995</v>
      </c>
      <c r="I147" s="7"/>
      <c r="J147" s="7"/>
      <c r="K147" s="1"/>
      <c r="L147" s="1"/>
      <c r="M147" s="1"/>
      <c r="N147" s="1"/>
      <c r="O147" s="1"/>
      <c r="P147" s="1"/>
      <c r="Q147" s="1"/>
      <c r="R147" s="1"/>
    </row>
    <row r="148">
      <c r="A148" s="16" t="s">
        <v>371</v>
      </c>
      <c r="B148" s="26" t="s">
        <v>367</v>
      </c>
      <c r="C148" s="16">
        <v>1.0</v>
      </c>
      <c r="D148" s="18">
        <v>9.99</v>
      </c>
      <c r="E148" s="18">
        <v>9.99</v>
      </c>
      <c r="F148" s="18">
        <f t="shared" si="3"/>
        <v>0</v>
      </c>
      <c r="G148" s="16">
        <v>20.0</v>
      </c>
      <c r="H148" s="18">
        <f t="shared" si="4"/>
        <v>0.4995</v>
      </c>
      <c r="I148" s="7"/>
      <c r="J148" s="7"/>
      <c r="K148" s="1"/>
      <c r="L148" s="1"/>
      <c r="M148" s="1"/>
      <c r="N148" s="1"/>
      <c r="O148" s="1"/>
      <c r="P148" s="1"/>
      <c r="Q148" s="1"/>
      <c r="R148" s="1"/>
    </row>
    <row r="149">
      <c r="A149" s="16" t="s">
        <v>445</v>
      </c>
      <c r="B149" s="26" t="s">
        <v>50</v>
      </c>
      <c r="C149" s="16">
        <v>2.0</v>
      </c>
      <c r="D149" s="115">
        <v>35.97</v>
      </c>
      <c r="E149" s="115">
        <v>12.98</v>
      </c>
      <c r="F149" s="18">
        <f t="shared" si="3"/>
        <v>22.99</v>
      </c>
      <c r="G149" s="26">
        <v>20.0</v>
      </c>
      <c r="H149" s="18">
        <f t="shared" si="4"/>
        <v>0.649</v>
      </c>
      <c r="I149" s="7"/>
      <c r="J149" s="7"/>
      <c r="K149" s="1"/>
      <c r="L149" s="1"/>
      <c r="M149" s="1"/>
      <c r="N149" s="1"/>
      <c r="O149" s="1"/>
      <c r="P149" s="1"/>
      <c r="Q149" s="1"/>
      <c r="R149" s="1"/>
    </row>
    <row r="150">
      <c r="A150" s="16" t="s">
        <v>448</v>
      </c>
      <c r="B150" s="26" t="s">
        <v>449</v>
      </c>
      <c r="C150" s="16">
        <v>1.0</v>
      </c>
      <c r="D150" s="18">
        <v>49.98</v>
      </c>
      <c r="E150" s="18">
        <v>12.98</v>
      </c>
      <c r="F150" s="18">
        <f t="shared" si="3"/>
        <v>37</v>
      </c>
      <c r="G150" s="16">
        <v>20.0</v>
      </c>
      <c r="H150" s="18">
        <f t="shared" si="4"/>
        <v>0.649</v>
      </c>
      <c r="I150" s="7"/>
      <c r="J150" s="7"/>
      <c r="K150" s="1"/>
      <c r="L150" s="1"/>
      <c r="M150" s="1"/>
      <c r="N150" s="1"/>
      <c r="O150" s="1"/>
      <c r="P150" s="1"/>
      <c r="Q150" s="1"/>
      <c r="R150" s="1"/>
    </row>
    <row r="151">
      <c r="A151" s="16" t="s">
        <v>147</v>
      </c>
      <c r="B151" s="26" t="s">
        <v>137</v>
      </c>
      <c r="C151" s="16">
        <v>1.0</v>
      </c>
      <c r="D151" s="18">
        <v>19.99</v>
      </c>
      <c r="E151" s="18">
        <v>14.99</v>
      </c>
      <c r="F151" s="18">
        <f t="shared" si="3"/>
        <v>5</v>
      </c>
      <c r="G151" s="16">
        <v>20.0</v>
      </c>
      <c r="H151" s="18">
        <f t="shared" si="4"/>
        <v>0.7495</v>
      </c>
      <c r="I151" s="7"/>
      <c r="J151" s="7"/>
      <c r="K151" s="1"/>
      <c r="L151" s="1"/>
      <c r="M151" s="1"/>
      <c r="N151" s="1"/>
      <c r="O151" s="1"/>
      <c r="P151" s="1"/>
      <c r="Q151" s="1"/>
      <c r="R151" s="1"/>
    </row>
    <row r="152">
      <c r="A152" s="16" t="s">
        <v>144</v>
      </c>
      <c r="B152" s="26" t="s">
        <v>137</v>
      </c>
      <c r="C152" s="16">
        <v>1.0</v>
      </c>
      <c r="D152" s="18">
        <v>24.98</v>
      </c>
      <c r="E152" s="18">
        <v>24.98</v>
      </c>
      <c r="F152" s="18">
        <f t="shared" si="3"/>
        <v>0</v>
      </c>
      <c r="G152" s="16">
        <v>20.0</v>
      </c>
      <c r="H152" s="18">
        <f t="shared" si="4"/>
        <v>1.249</v>
      </c>
      <c r="I152" s="7"/>
      <c r="J152" s="7"/>
      <c r="K152" s="1"/>
      <c r="L152" s="1"/>
      <c r="M152" s="1"/>
      <c r="N152" s="1"/>
      <c r="O152" s="1"/>
      <c r="P152" s="1"/>
      <c r="Q152" s="1"/>
      <c r="R152" s="1"/>
    </row>
    <row r="153">
      <c r="A153" s="16" t="s">
        <v>603</v>
      </c>
      <c r="B153" s="26" t="s">
        <v>56</v>
      </c>
      <c r="C153" s="16">
        <v>2.0</v>
      </c>
      <c r="D153" s="115">
        <v>39.98</v>
      </c>
      <c r="E153" s="115">
        <v>29.98</v>
      </c>
      <c r="F153" s="18">
        <f t="shared" si="3"/>
        <v>10</v>
      </c>
      <c r="G153" s="26">
        <v>20.0</v>
      </c>
      <c r="H153" s="18">
        <f t="shared" si="4"/>
        <v>1.499</v>
      </c>
      <c r="I153" s="7"/>
      <c r="J153" s="7"/>
      <c r="K153" s="1"/>
      <c r="L153" s="1"/>
      <c r="M153" s="1"/>
      <c r="N153" s="1"/>
      <c r="O153" s="1"/>
      <c r="P153" s="1"/>
      <c r="Q153" s="1"/>
      <c r="R153" s="1"/>
    </row>
    <row r="154">
      <c r="A154" s="16" t="s">
        <v>593</v>
      </c>
      <c r="B154" s="26" t="s">
        <v>56</v>
      </c>
      <c r="C154" s="16">
        <v>1.0</v>
      </c>
      <c r="D154" s="18">
        <v>39.99</v>
      </c>
      <c r="E154" s="18">
        <v>0.0</v>
      </c>
      <c r="F154" s="18">
        <f t="shared" si="3"/>
        <v>39.99</v>
      </c>
      <c r="G154" s="16">
        <v>19.0</v>
      </c>
      <c r="H154" s="18">
        <f t="shared" si="4"/>
        <v>0</v>
      </c>
      <c r="I154" s="7"/>
      <c r="J154" s="7"/>
      <c r="K154" s="1"/>
      <c r="L154" s="1"/>
      <c r="M154" s="1"/>
      <c r="N154" s="1"/>
      <c r="O154" s="1"/>
      <c r="P154" s="1"/>
      <c r="Q154" s="1"/>
      <c r="R154" s="1"/>
    </row>
    <row r="155">
      <c r="A155" s="16" t="s">
        <v>588</v>
      </c>
      <c r="B155" s="26" t="s">
        <v>56</v>
      </c>
      <c r="C155" s="16">
        <v>2.0</v>
      </c>
      <c r="D155" s="115">
        <v>24.98</v>
      </c>
      <c r="E155" s="115">
        <v>14.48</v>
      </c>
      <c r="F155" s="18">
        <f t="shared" si="3"/>
        <v>10.5</v>
      </c>
      <c r="G155" s="26">
        <v>19.0</v>
      </c>
      <c r="H155" s="18">
        <f t="shared" si="4"/>
        <v>0.7621052632</v>
      </c>
      <c r="I155" s="7"/>
      <c r="J155" s="7"/>
      <c r="K155" s="1"/>
      <c r="L155" s="1"/>
      <c r="M155" s="1"/>
      <c r="N155" s="1"/>
      <c r="O155" s="1"/>
      <c r="P155" s="1"/>
      <c r="Q155" s="1"/>
      <c r="R155" s="1"/>
    </row>
    <row r="156">
      <c r="A156" s="16" t="s">
        <v>405</v>
      </c>
      <c r="B156" s="26" t="s">
        <v>50</v>
      </c>
      <c r="C156" s="16">
        <v>2.0</v>
      </c>
      <c r="D156" s="115">
        <v>149.97</v>
      </c>
      <c r="E156" s="115">
        <v>114.97</v>
      </c>
      <c r="F156" s="18">
        <f t="shared" si="3"/>
        <v>35</v>
      </c>
      <c r="G156" s="26">
        <v>19.0</v>
      </c>
      <c r="H156" s="18">
        <f t="shared" si="4"/>
        <v>6.051052632</v>
      </c>
      <c r="I156" s="7"/>
      <c r="J156" s="7"/>
      <c r="K156" s="1"/>
      <c r="L156" s="1"/>
      <c r="M156" s="1"/>
      <c r="N156" s="1"/>
      <c r="O156" s="1"/>
      <c r="P156" s="1"/>
      <c r="Q156" s="1"/>
      <c r="R156" s="1"/>
    </row>
    <row r="157">
      <c r="A157" s="16" t="s">
        <v>703</v>
      </c>
      <c r="B157" s="26" t="s">
        <v>56</v>
      </c>
      <c r="C157" s="16">
        <v>1.0</v>
      </c>
      <c r="D157" s="18">
        <v>9.99</v>
      </c>
      <c r="E157" s="18">
        <v>3.99</v>
      </c>
      <c r="F157" s="18">
        <f t="shared" si="3"/>
        <v>6</v>
      </c>
      <c r="G157" s="16">
        <v>18.0</v>
      </c>
      <c r="H157" s="18">
        <f t="shared" si="4"/>
        <v>0.2216666667</v>
      </c>
      <c r="I157" s="7"/>
      <c r="J157" s="7"/>
      <c r="K157" s="1"/>
      <c r="L157" s="1"/>
      <c r="M157" s="1"/>
      <c r="N157" s="1"/>
      <c r="O157" s="1"/>
      <c r="P157" s="1"/>
      <c r="Q157" s="1"/>
      <c r="R157" s="1"/>
    </row>
    <row r="158">
      <c r="A158" s="16" t="s">
        <v>292</v>
      </c>
      <c r="B158" s="26" t="s">
        <v>36</v>
      </c>
      <c r="C158" s="16">
        <v>1.0</v>
      </c>
      <c r="D158" s="18">
        <v>19.99</v>
      </c>
      <c r="E158" s="18">
        <v>11.99</v>
      </c>
      <c r="F158" s="18">
        <f t="shared" si="3"/>
        <v>8</v>
      </c>
      <c r="G158" s="16">
        <v>18.0</v>
      </c>
      <c r="H158" s="18">
        <f t="shared" si="4"/>
        <v>0.6661111111</v>
      </c>
      <c r="I158" s="7"/>
      <c r="J158" s="7"/>
      <c r="K158" s="1"/>
      <c r="L158" s="1"/>
      <c r="M158" s="1"/>
      <c r="N158" s="1"/>
      <c r="O158" s="1"/>
      <c r="P158" s="1"/>
      <c r="Q158" s="1"/>
      <c r="R158" s="1"/>
    </row>
    <row r="159">
      <c r="A159" s="16" t="s">
        <v>484</v>
      </c>
      <c r="B159" s="26" t="s">
        <v>472</v>
      </c>
      <c r="C159" s="16">
        <v>2.0</v>
      </c>
      <c r="D159" s="115">
        <v>104.98</v>
      </c>
      <c r="E159" s="115">
        <v>42.98</v>
      </c>
      <c r="F159" s="18">
        <f t="shared" si="3"/>
        <v>62</v>
      </c>
      <c r="G159" s="26">
        <v>18.0</v>
      </c>
      <c r="H159" s="18">
        <f t="shared" si="4"/>
        <v>2.387777778</v>
      </c>
      <c r="I159" s="7"/>
      <c r="J159" s="7"/>
      <c r="K159" s="1"/>
      <c r="L159" s="1"/>
      <c r="M159" s="1"/>
      <c r="N159" s="1"/>
      <c r="O159" s="1"/>
      <c r="P159" s="1"/>
      <c r="Q159" s="1"/>
      <c r="R159" s="1"/>
    </row>
    <row r="160">
      <c r="A160" s="16" t="s">
        <v>548</v>
      </c>
      <c r="B160" s="26" t="s">
        <v>527</v>
      </c>
      <c r="C160" s="16">
        <v>3.0</v>
      </c>
      <c r="D160" s="115">
        <v>69.97</v>
      </c>
      <c r="E160" s="115">
        <v>8.99</v>
      </c>
      <c r="F160" s="18">
        <f t="shared" si="3"/>
        <v>60.98</v>
      </c>
      <c r="G160" s="26">
        <v>17.0</v>
      </c>
      <c r="H160" s="18">
        <f t="shared" si="4"/>
        <v>0.5288235294</v>
      </c>
      <c r="I160" s="7"/>
      <c r="J160" s="7"/>
      <c r="K160" s="1"/>
      <c r="L160" s="1"/>
      <c r="M160" s="1"/>
      <c r="N160" s="1"/>
      <c r="O160" s="1"/>
      <c r="P160" s="1"/>
      <c r="Q160" s="1"/>
      <c r="R160" s="1"/>
    </row>
    <row r="161">
      <c r="A161" s="16" t="s">
        <v>233</v>
      </c>
      <c r="B161" s="26" t="s">
        <v>1747</v>
      </c>
      <c r="C161" s="16">
        <v>1.0</v>
      </c>
      <c r="D161" s="18">
        <v>19.99</v>
      </c>
      <c r="E161" s="18">
        <v>9.99</v>
      </c>
      <c r="F161" s="18">
        <f t="shared" si="3"/>
        <v>10</v>
      </c>
      <c r="G161" s="16">
        <v>17.0</v>
      </c>
      <c r="H161" s="18">
        <f t="shared" si="4"/>
        <v>0.5876470588</v>
      </c>
      <c r="I161" s="7"/>
      <c r="J161" s="7"/>
      <c r="K161" s="1"/>
      <c r="L161" s="1"/>
      <c r="M161" s="1"/>
      <c r="N161" s="1"/>
      <c r="O161" s="1"/>
      <c r="P161" s="1"/>
      <c r="Q161" s="1"/>
      <c r="R161" s="1"/>
    </row>
    <row r="162">
      <c r="A162" s="16" t="s">
        <v>310</v>
      </c>
      <c r="B162" s="26" t="s">
        <v>36</v>
      </c>
      <c r="C162" s="16">
        <v>4.0</v>
      </c>
      <c r="D162" s="115">
        <v>62.96</v>
      </c>
      <c r="E162" s="115">
        <v>19.97</v>
      </c>
      <c r="F162" s="18">
        <f t="shared" si="3"/>
        <v>42.99</v>
      </c>
      <c r="G162" s="26">
        <v>17.0</v>
      </c>
      <c r="H162" s="18">
        <f t="shared" si="4"/>
        <v>1.174705882</v>
      </c>
      <c r="I162" s="7"/>
      <c r="J162" s="7"/>
      <c r="K162" s="1"/>
      <c r="L162" s="1"/>
      <c r="M162" s="1"/>
      <c r="N162" s="1"/>
      <c r="O162" s="1"/>
      <c r="P162" s="1"/>
      <c r="Q162" s="1"/>
      <c r="R162" s="1"/>
    </row>
    <row r="163">
      <c r="A163" s="16" t="s">
        <v>469</v>
      </c>
      <c r="B163" s="26" t="s">
        <v>470</v>
      </c>
      <c r="C163" s="26">
        <v>2.0</v>
      </c>
      <c r="D163" s="115">
        <v>69.98</v>
      </c>
      <c r="E163" s="115">
        <v>21.48</v>
      </c>
      <c r="F163" s="18">
        <f t="shared" si="3"/>
        <v>48.5</v>
      </c>
      <c r="G163" s="26">
        <v>17.0</v>
      </c>
      <c r="H163" s="18">
        <f t="shared" si="4"/>
        <v>1.263529412</v>
      </c>
      <c r="I163" s="7"/>
      <c r="J163" s="7"/>
      <c r="K163" s="1"/>
      <c r="L163" s="1"/>
      <c r="M163" s="1"/>
      <c r="N163" s="1"/>
      <c r="O163" s="1"/>
      <c r="P163" s="1"/>
      <c r="Q163" s="1"/>
      <c r="R163" s="1"/>
    </row>
    <row r="164">
      <c r="A164" s="16" t="s">
        <v>171</v>
      </c>
      <c r="B164" s="26" t="s">
        <v>39</v>
      </c>
      <c r="C164" s="16">
        <v>1.0</v>
      </c>
      <c r="D164" s="18">
        <v>14.99</v>
      </c>
      <c r="E164" s="18">
        <v>4.99</v>
      </c>
      <c r="F164" s="18">
        <f t="shared" si="3"/>
        <v>10</v>
      </c>
      <c r="G164" s="16">
        <v>16.0</v>
      </c>
      <c r="H164" s="18">
        <f t="shared" si="4"/>
        <v>0.311875</v>
      </c>
      <c r="I164" s="7"/>
      <c r="J164" s="7"/>
      <c r="K164" s="1"/>
      <c r="L164" s="1"/>
      <c r="M164" s="1"/>
      <c r="N164" s="1"/>
      <c r="O164" s="1"/>
      <c r="P164" s="1"/>
      <c r="Q164" s="1"/>
      <c r="R164" s="1"/>
    </row>
    <row r="165">
      <c r="A165" s="16" t="s">
        <v>639</v>
      </c>
      <c r="B165" s="26" t="s">
        <v>56</v>
      </c>
      <c r="C165" s="16">
        <v>2.0</v>
      </c>
      <c r="D165" s="115">
        <v>33.98</v>
      </c>
      <c r="E165" s="115">
        <v>9.58</v>
      </c>
      <c r="F165" s="18">
        <f t="shared" si="3"/>
        <v>24.4</v>
      </c>
      <c r="G165" s="26">
        <v>16.0</v>
      </c>
      <c r="H165" s="18">
        <f t="shared" si="4"/>
        <v>0.59875</v>
      </c>
      <c r="I165" s="7"/>
      <c r="J165" s="7"/>
      <c r="K165" s="1"/>
      <c r="L165" s="1"/>
      <c r="M165" s="1"/>
      <c r="N165" s="1"/>
      <c r="O165" s="1"/>
      <c r="P165" s="1"/>
      <c r="Q165" s="1"/>
      <c r="R165" s="1"/>
    </row>
    <row r="166">
      <c r="A166" s="16" t="s">
        <v>562</v>
      </c>
      <c r="B166" s="26" t="s">
        <v>56</v>
      </c>
      <c r="C166" s="16">
        <v>2.0</v>
      </c>
      <c r="D166" s="115">
        <v>37.49</v>
      </c>
      <c r="E166" s="115">
        <v>14.99</v>
      </c>
      <c r="F166" s="18">
        <f t="shared" si="3"/>
        <v>22.5</v>
      </c>
      <c r="G166" s="26">
        <v>16.0</v>
      </c>
      <c r="H166" s="18">
        <f t="shared" si="4"/>
        <v>0.936875</v>
      </c>
      <c r="I166" s="7"/>
      <c r="J166" s="7"/>
      <c r="K166" s="1"/>
      <c r="L166" s="1"/>
      <c r="M166" s="1"/>
      <c r="N166" s="1"/>
      <c r="O166" s="1"/>
      <c r="P166" s="1"/>
      <c r="Q166" s="1"/>
      <c r="R166" s="1"/>
    </row>
    <row r="167">
      <c r="A167" s="16" t="s">
        <v>390</v>
      </c>
      <c r="B167" s="26" t="s">
        <v>389</v>
      </c>
      <c r="C167" s="16">
        <v>2.0</v>
      </c>
      <c r="D167" s="115">
        <v>28.98</v>
      </c>
      <c r="E167" s="115">
        <v>24.48</v>
      </c>
      <c r="F167" s="18">
        <f t="shared" si="3"/>
        <v>4.5</v>
      </c>
      <c r="G167" s="26">
        <v>16.0</v>
      </c>
      <c r="H167" s="18">
        <f t="shared" si="4"/>
        <v>1.53</v>
      </c>
      <c r="I167" s="7"/>
      <c r="J167" s="7"/>
      <c r="K167" s="1"/>
      <c r="L167" s="1"/>
      <c r="M167" s="1"/>
      <c r="N167" s="1"/>
      <c r="O167" s="1"/>
      <c r="P167" s="1"/>
      <c r="Q167" s="1"/>
      <c r="R167" s="1"/>
    </row>
    <row r="168">
      <c r="A168" s="121" t="s">
        <v>598</v>
      </c>
      <c r="B168" s="26" t="s">
        <v>56</v>
      </c>
      <c r="C168" s="16">
        <v>2.0</v>
      </c>
      <c r="D168" s="115">
        <v>89.97</v>
      </c>
      <c r="E168" s="115">
        <v>38.47</v>
      </c>
      <c r="F168" s="18">
        <f t="shared" si="3"/>
        <v>51.5</v>
      </c>
      <c r="G168" s="26">
        <v>16.0</v>
      </c>
      <c r="H168" s="18">
        <f t="shared" si="4"/>
        <v>2.404375</v>
      </c>
      <c r="I168" s="7"/>
      <c r="J168" s="7"/>
      <c r="K168" s="1"/>
      <c r="L168" s="1"/>
      <c r="M168" s="1"/>
      <c r="N168" s="1"/>
      <c r="O168" s="1"/>
      <c r="P168" s="1"/>
      <c r="Q168" s="1"/>
      <c r="R168" s="1"/>
    </row>
    <row r="169">
      <c r="A169" s="121" t="s">
        <v>322</v>
      </c>
      <c r="B169" s="26" t="s">
        <v>36</v>
      </c>
      <c r="C169" s="16">
        <v>2.0</v>
      </c>
      <c r="D169" s="115">
        <v>86.97</v>
      </c>
      <c r="E169" s="115">
        <v>52.57</v>
      </c>
      <c r="F169" s="18">
        <f t="shared" si="3"/>
        <v>34.4</v>
      </c>
      <c r="G169" s="26">
        <v>16.0</v>
      </c>
      <c r="H169" s="18">
        <f t="shared" si="4"/>
        <v>3.285625</v>
      </c>
      <c r="I169" s="7"/>
      <c r="J169" s="7"/>
      <c r="K169" s="1"/>
      <c r="L169" s="1"/>
      <c r="M169" s="1"/>
      <c r="N169" s="1"/>
      <c r="O169" s="1"/>
      <c r="P169" s="1"/>
      <c r="Q169" s="1"/>
      <c r="R169" s="1"/>
    </row>
    <row r="170">
      <c r="A170" s="26" t="s">
        <v>293</v>
      </c>
      <c r="B170" s="26" t="s">
        <v>36</v>
      </c>
      <c r="C170" s="16">
        <v>1.0</v>
      </c>
      <c r="D170" s="18">
        <v>24.99</v>
      </c>
      <c r="E170" s="18">
        <v>0.0</v>
      </c>
      <c r="F170" s="18">
        <f t="shared" si="3"/>
        <v>24.99</v>
      </c>
      <c r="G170" s="26">
        <v>15.0</v>
      </c>
      <c r="H170" s="18">
        <f t="shared" si="4"/>
        <v>0</v>
      </c>
      <c r="I170" s="7"/>
      <c r="J170" s="7"/>
      <c r="K170" s="1"/>
      <c r="L170" s="1"/>
      <c r="M170" s="1"/>
      <c r="N170" s="1"/>
      <c r="O170" s="1"/>
      <c r="P170" s="1"/>
      <c r="Q170" s="1"/>
      <c r="R170" s="1"/>
    </row>
    <row r="171">
      <c r="A171" s="16" t="s">
        <v>523</v>
      </c>
      <c r="B171" s="26" t="s">
        <v>515</v>
      </c>
      <c r="C171" s="16">
        <v>1.0</v>
      </c>
      <c r="D171" s="18">
        <v>4.99</v>
      </c>
      <c r="E171" s="18">
        <v>1.99</v>
      </c>
      <c r="F171" s="18">
        <f t="shared" si="3"/>
        <v>3</v>
      </c>
      <c r="G171" s="16">
        <v>15.0</v>
      </c>
      <c r="H171" s="18">
        <f t="shared" si="4"/>
        <v>0.1326666667</v>
      </c>
      <c r="I171" s="7"/>
      <c r="J171" s="7"/>
      <c r="K171" s="1"/>
      <c r="L171" s="1"/>
      <c r="M171" s="1"/>
      <c r="N171" s="1"/>
      <c r="O171" s="1"/>
      <c r="P171" s="1"/>
      <c r="Q171" s="1"/>
      <c r="R171" s="1"/>
    </row>
    <row r="172">
      <c r="A172" s="16" t="s">
        <v>364</v>
      </c>
      <c r="B172" s="26" t="s">
        <v>47</v>
      </c>
      <c r="C172" s="16">
        <v>2.0</v>
      </c>
      <c r="D172" s="18">
        <v>2.99</v>
      </c>
      <c r="E172" s="18">
        <v>2.99</v>
      </c>
      <c r="F172" s="18">
        <f t="shared" si="3"/>
        <v>0</v>
      </c>
      <c r="G172" s="26">
        <v>15.0</v>
      </c>
      <c r="H172" s="18">
        <f t="shared" si="4"/>
        <v>0.1993333333</v>
      </c>
      <c r="I172" s="7"/>
      <c r="J172" s="7"/>
      <c r="K172" s="1"/>
      <c r="L172" s="1"/>
      <c r="M172" s="1"/>
      <c r="N172" s="1"/>
      <c r="O172" s="1"/>
      <c r="P172" s="1"/>
      <c r="Q172" s="1"/>
      <c r="R172" s="1"/>
    </row>
    <row r="173">
      <c r="A173" s="16" t="s">
        <v>284</v>
      </c>
      <c r="B173" s="26" t="s">
        <v>36</v>
      </c>
      <c r="C173" s="16">
        <v>1.0</v>
      </c>
      <c r="D173" s="18">
        <v>7.99</v>
      </c>
      <c r="E173" s="18">
        <v>3.99</v>
      </c>
      <c r="F173" s="18">
        <f t="shared" si="3"/>
        <v>4</v>
      </c>
      <c r="G173" s="16">
        <v>15.0</v>
      </c>
      <c r="H173" s="18">
        <f t="shared" si="4"/>
        <v>0.266</v>
      </c>
      <c r="I173" s="7"/>
      <c r="J173" s="7"/>
      <c r="K173" s="1"/>
      <c r="L173" s="1"/>
      <c r="M173" s="1"/>
      <c r="N173" s="1"/>
      <c r="O173" s="1"/>
      <c r="P173" s="1"/>
      <c r="Q173" s="1"/>
      <c r="R173" s="1"/>
    </row>
    <row r="174">
      <c r="A174" s="16" t="s">
        <v>180</v>
      </c>
      <c r="B174" s="26" t="s">
        <v>39</v>
      </c>
      <c r="C174" s="16">
        <v>1.0</v>
      </c>
      <c r="D174" s="18">
        <v>12.99</v>
      </c>
      <c r="E174" s="18">
        <v>4.99</v>
      </c>
      <c r="F174" s="18">
        <f t="shared" si="3"/>
        <v>8</v>
      </c>
      <c r="G174" s="16">
        <v>15.0</v>
      </c>
      <c r="H174" s="18">
        <f t="shared" si="4"/>
        <v>0.3326666667</v>
      </c>
      <c r="I174" s="7"/>
      <c r="J174" s="7"/>
      <c r="K174" s="1"/>
      <c r="L174" s="1"/>
      <c r="M174" s="1"/>
      <c r="N174" s="1"/>
      <c r="O174" s="1"/>
      <c r="P174" s="1"/>
      <c r="Q174" s="1"/>
      <c r="R174" s="1"/>
    </row>
    <row r="175">
      <c r="A175" s="16" t="s">
        <v>563</v>
      </c>
      <c r="B175" s="26" t="s">
        <v>56</v>
      </c>
      <c r="C175" s="16">
        <v>1.0</v>
      </c>
      <c r="D175" s="18">
        <v>12.49</v>
      </c>
      <c r="E175" s="18">
        <v>4.99</v>
      </c>
      <c r="F175" s="18">
        <f t="shared" si="3"/>
        <v>7.5</v>
      </c>
      <c r="G175" s="16">
        <v>15.0</v>
      </c>
      <c r="H175" s="18">
        <f t="shared" si="4"/>
        <v>0.3326666667</v>
      </c>
      <c r="I175" s="7"/>
      <c r="J175" s="7"/>
      <c r="K175" s="1"/>
      <c r="L175" s="1"/>
      <c r="M175" s="1"/>
      <c r="N175" s="1"/>
      <c r="O175" s="1"/>
      <c r="P175" s="1"/>
      <c r="Q175" s="1"/>
      <c r="R175" s="1"/>
    </row>
    <row r="176">
      <c r="A176" s="16" t="s">
        <v>323</v>
      </c>
      <c r="B176" s="26" t="s">
        <v>36</v>
      </c>
      <c r="C176" s="16">
        <v>2.0</v>
      </c>
      <c r="D176" s="115">
        <v>5.0</v>
      </c>
      <c r="E176" s="115">
        <v>5.0</v>
      </c>
      <c r="F176" s="18">
        <f t="shared" si="3"/>
        <v>0</v>
      </c>
      <c r="G176" s="26">
        <v>15.0</v>
      </c>
      <c r="H176" s="18">
        <f t="shared" si="4"/>
        <v>0.3333333333</v>
      </c>
      <c r="I176" s="7"/>
      <c r="J176" s="7"/>
      <c r="K176" s="1"/>
      <c r="L176" s="1"/>
      <c r="M176" s="1"/>
      <c r="N176" s="1"/>
      <c r="O176" s="1"/>
      <c r="P176" s="1"/>
      <c r="Q176" s="1"/>
      <c r="R176" s="1"/>
    </row>
    <row r="177">
      <c r="A177" s="16" t="s">
        <v>324</v>
      </c>
      <c r="B177" s="26" t="s">
        <v>36</v>
      </c>
      <c r="C177" s="16">
        <v>2.0</v>
      </c>
      <c r="D177" s="115">
        <v>7.48</v>
      </c>
      <c r="E177" s="115">
        <v>5.48</v>
      </c>
      <c r="F177" s="18">
        <f t="shared" si="3"/>
        <v>2</v>
      </c>
      <c r="G177" s="26">
        <v>15.0</v>
      </c>
      <c r="H177" s="18">
        <f t="shared" si="4"/>
        <v>0.3653333333</v>
      </c>
      <c r="I177" s="7"/>
      <c r="J177" s="7"/>
      <c r="K177" s="1"/>
      <c r="L177" s="1"/>
      <c r="M177" s="1"/>
      <c r="N177" s="1"/>
      <c r="O177" s="1"/>
      <c r="P177" s="1"/>
      <c r="Q177" s="1"/>
      <c r="R177" s="1"/>
    </row>
    <row r="178">
      <c r="A178" s="121" t="s">
        <v>626</v>
      </c>
      <c r="B178" s="26" t="s">
        <v>56</v>
      </c>
      <c r="C178" s="16">
        <v>2.0</v>
      </c>
      <c r="D178" s="115">
        <v>5.49</v>
      </c>
      <c r="E178" s="115">
        <v>5.49</v>
      </c>
      <c r="F178" s="18">
        <f t="shared" si="3"/>
        <v>0</v>
      </c>
      <c r="G178" s="26">
        <v>15.0</v>
      </c>
      <c r="H178" s="18">
        <f t="shared" si="4"/>
        <v>0.366</v>
      </c>
      <c r="I178" s="7"/>
      <c r="J178" s="7"/>
      <c r="K178" s="1"/>
      <c r="L178" s="1"/>
      <c r="M178" s="1"/>
      <c r="N178" s="1"/>
      <c r="O178" s="1"/>
      <c r="P178" s="1"/>
      <c r="Q178" s="1"/>
      <c r="R178" s="1"/>
    </row>
    <row r="179">
      <c r="A179" s="16" t="s">
        <v>712</v>
      </c>
      <c r="B179" s="26" t="s">
        <v>56</v>
      </c>
      <c r="C179" s="16">
        <v>2.0</v>
      </c>
      <c r="D179" s="115">
        <v>44.98</v>
      </c>
      <c r="E179" s="115">
        <v>39.98</v>
      </c>
      <c r="F179" s="18">
        <f t="shared" si="3"/>
        <v>5</v>
      </c>
      <c r="G179" s="26">
        <v>15.0</v>
      </c>
      <c r="H179" s="18">
        <f t="shared" si="4"/>
        <v>2.665333333</v>
      </c>
      <c r="I179" s="7"/>
      <c r="J179" s="7"/>
      <c r="K179" s="1"/>
      <c r="L179" s="1"/>
      <c r="M179" s="1"/>
      <c r="N179" s="1"/>
      <c r="O179" s="1"/>
      <c r="P179" s="1"/>
      <c r="Q179" s="1"/>
      <c r="R179" s="1"/>
    </row>
    <row r="180">
      <c r="A180" s="16" t="s">
        <v>413</v>
      </c>
      <c r="B180" s="26" t="s">
        <v>50</v>
      </c>
      <c r="C180" s="16">
        <v>1.0</v>
      </c>
      <c r="D180" s="18">
        <v>12.99</v>
      </c>
      <c r="E180" s="18">
        <v>3.49</v>
      </c>
      <c r="F180" s="18">
        <f t="shared" si="3"/>
        <v>9.5</v>
      </c>
      <c r="G180" s="16">
        <v>14.0</v>
      </c>
      <c r="H180" s="18">
        <f t="shared" si="4"/>
        <v>0.2492857143</v>
      </c>
      <c r="I180" s="7"/>
      <c r="J180" s="7"/>
      <c r="K180" s="1"/>
      <c r="L180" s="1"/>
      <c r="M180" s="1"/>
      <c r="N180" s="1"/>
      <c r="O180" s="1"/>
      <c r="P180" s="1"/>
      <c r="Q180" s="1"/>
      <c r="R180" s="1"/>
    </row>
    <row r="181">
      <c r="A181" s="16" t="s">
        <v>531</v>
      </c>
      <c r="B181" s="26" t="s">
        <v>527</v>
      </c>
      <c r="C181" s="16">
        <v>1.0</v>
      </c>
      <c r="D181" s="18">
        <v>13.99</v>
      </c>
      <c r="E181" s="18">
        <v>6.29</v>
      </c>
      <c r="F181" s="18">
        <f t="shared" si="3"/>
        <v>7.7</v>
      </c>
      <c r="G181" s="16">
        <v>14.0</v>
      </c>
      <c r="H181" s="18">
        <f t="shared" si="4"/>
        <v>0.4492857143</v>
      </c>
      <c r="I181" s="7"/>
      <c r="J181" s="7"/>
      <c r="K181" s="1"/>
      <c r="L181" s="1"/>
      <c r="M181" s="1"/>
      <c r="N181" s="1"/>
      <c r="O181" s="1"/>
      <c r="P181" s="1"/>
      <c r="Q181" s="1"/>
      <c r="R181" s="1"/>
    </row>
    <row r="182">
      <c r="A182" s="16" t="s">
        <v>597</v>
      </c>
      <c r="B182" s="26" t="s">
        <v>56</v>
      </c>
      <c r="C182" s="16">
        <v>1.0</v>
      </c>
      <c r="D182" s="18">
        <v>19.99</v>
      </c>
      <c r="E182" s="18">
        <v>7.99</v>
      </c>
      <c r="F182" s="18">
        <f t="shared" si="3"/>
        <v>12</v>
      </c>
      <c r="G182" s="16">
        <v>14.0</v>
      </c>
      <c r="H182" s="18">
        <f t="shared" si="4"/>
        <v>0.5707142857</v>
      </c>
      <c r="I182" s="7"/>
      <c r="J182" s="7"/>
      <c r="K182" s="1"/>
      <c r="L182" s="1"/>
      <c r="M182" s="1"/>
      <c r="N182" s="1"/>
      <c r="O182" s="1"/>
      <c r="P182" s="1"/>
      <c r="Q182" s="1"/>
      <c r="R182" s="1"/>
    </row>
    <row r="183">
      <c r="A183" s="16" t="s">
        <v>697</v>
      </c>
      <c r="B183" s="26" t="s">
        <v>56</v>
      </c>
      <c r="C183" s="16">
        <v>1.0</v>
      </c>
      <c r="D183" s="18">
        <v>39.99</v>
      </c>
      <c r="E183" s="18">
        <v>19.99</v>
      </c>
      <c r="F183" s="18">
        <f t="shared" si="3"/>
        <v>20</v>
      </c>
      <c r="G183" s="16">
        <v>14.0</v>
      </c>
      <c r="H183" s="18">
        <f t="shared" si="4"/>
        <v>1.427857143</v>
      </c>
      <c r="I183" s="7"/>
      <c r="J183" s="7"/>
      <c r="K183" s="1"/>
      <c r="L183" s="1"/>
      <c r="M183" s="1"/>
      <c r="N183" s="1"/>
      <c r="O183" s="1"/>
      <c r="P183" s="1"/>
      <c r="Q183" s="1"/>
      <c r="R183" s="1"/>
    </row>
    <row r="184">
      <c r="A184" s="16" t="s">
        <v>425</v>
      </c>
      <c r="B184" s="26" t="s">
        <v>50</v>
      </c>
      <c r="C184" s="16">
        <v>4.0</v>
      </c>
      <c r="D184" s="115">
        <v>34.96</v>
      </c>
      <c r="E184" s="115">
        <v>27.96</v>
      </c>
      <c r="F184" s="18">
        <f t="shared" si="3"/>
        <v>7</v>
      </c>
      <c r="G184" s="26">
        <v>14.0</v>
      </c>
      <c r="H184" s="18">
        <f t="shared" si="4"/>
        <v>1.997142857</v>
      </c>
      <c r="I184" s="7"/>
      <c r="J184" s="7"/>
      <c r="K184" s="1"/>
      <c r="L184" s="1"/>
      <c r="M184" s="1"/>
      <c r="N184" s="1"/>
      <c r="O184" s="1"/>
      <c r="P184" s="1"/>
      <c r="Q184" s="1"/>
      <c r="R184" s="1"/>
    </row>
    <row r="185">
      <c r="A185" s="16" t="s">
        <v>610</v>
      </c>
      <c r="B185" s="26" t="s">
        <v>56</v>
      </c>
      <c r="C185" s="26">
        <v>2.0</v>
      </c>
      <c r="D185" s="115">
        <v>79.98</v>
      </c>
      <c r="E185" s="115">
        <v>39.98</v>
      </c>
      <c r="F185" s="18">
        <f t="shared" si="3"/>
        <v>40</v>
      </c>
      <c r="G185" s="26">
        <v>14.0</v>
      </c>
      <c r="H185" s="18">
        <f t="shared" si="4"/>
        <v>2.855714286</v>
      </c>
      <c r="I185" s="7"/>
      <c r="J185" s="7"/>
      <c r="K185" s="1"/>
      <c r="L185" s="1"/>
      <c r="M185" s="1"/>
      <c r="N185" s="1"/>
      <c r="O185" s="1"/>
      <c r="P185" s="1"/>
      <c r="Q185" s="1"/>
      <c r="R185" s="1"/>
    </row>
    <row r="186">
      <c r="A186" s="16" t="s">
        <v>423</v>
      </c>
      <c r="B186" s="26" t="s">
        <v>50</v>
      </c>
      <c r="C186" s="16">
        <v>1.0</v>
      </c>
      <c r="D186" s="18">
        <v>39.99</v>
      </c>
      <c r="E186" s="18">
        <v>39.99</v>
      </c>
      <c r="F186" s="18">
        <f t="shared" si="3"/>
        <v>0</v>
      </c>
      <c r="G186" s="16">
        <v>14.0</v>
      </c>
      <c r="H186" s="18">
        <f t="shared" si="4"/>
        <v>2.856428571</v>
      </c>
      <c r="I186" s="7"/>
      <c r="J186" s="7"/>
      <c r="K186" s="1"/>
      <c r="L186" s="1"/>
      <c r="M186" s="1"/>
      <c r="N186" s="1"/>
      <c r="O186" s="1"/>
      <c r="P186" s="1"/>
      <c r="Q186" s="1"/>
      <c r="R186" s="1"/>
    </row>
    <row r="187">
      <c r="A187" s="34" t="s">
        <v>505</v>
      </c>
      <c r="B187" s="26" t="s">
        <v>502</v>
      </c>
      <c r="C187" s="16">
        <v>1.0</v>
      </c>
      <c r="D187" s="115">
        <v>24.99</v>
      </c>
      <c r="E187" s="115">
        <v>0.0</v>
      </c>
      <c r="F187" s="18">
        <f t="shared" si="3"/>
        <v>24.99</v>
      </c>
      <c r="G187" s="26">
        <v>13.0</v>
      </c>
      <c r="H187" s="18">
        <f t="shared" si="4"/>
        <v>0</v>
      </c>
      <c r="I187" s="7"/>
      <c r="J187" s="7"/>
      <c r="K187" s="1"/>
      <c r="L187" s="1"/>
      <c r="M187" s="1"/>
      <c r="N187" s="1"/>
      <c r="O187" s="1"/>
      <c r="P187" s="1"/>
      <c r="Q187" s="1"/>
      <c r="R187" s="1"/>
    </row>
    <row r="188">
      <c r="A188" s="16" t="s">
        <v>359</v>
      </c>
      <c r="B188" s="26" t="s">
        <v>47</v>
      </c>
      <c r="C188" s="16">
        <v>1.0</v>
      </c>
      <c r="D188" s="18">
        <v>19.99</v>
      </c>
      <c r="E188" s="18">
        <v>0.0</v>
      </c>
      <c r="F188" s="18">
        <f t="shared" si="3"/>
        <v>19.99</v>
      </c>
      <c r="G188" s="16">
        <v>13.0</v>
      </c>
      <c r="H188" s="18">
        <f t="shared" si="4"/>
        <v>0</v>
      </c>
      <c r="I188" s="7"/>
      <c r="J188" s="7"/>
      <c r="K188" s="1"/>
      <c r="L188" s="1"/>
      <c r="M188" s="1"/>
      <c r="N188" s="1"/>
      <c r="O188" s="1"/>
      <c r="P188" s="1"/>
      <c r="Q188" s="1"/>
      <c r="R188" s="1"/>
    </row>
    <row r="189">
      <c r="A189" s="16" t="s">
        <v>621</v>
      </c>
      <c r="B189" s="26" t="s">
        <v>56</v>
      </c>
      <c r="C189" s="16">
        <v>1.0</v>
      </c>
      <c r="D189" s="18">
        <v>24.99</v>
      </c>
      <c r="E189" s="18">
        <v>12.49</v>
      </c>
      <c r="F189" s="18">
        <f t="shared" si="3"/>
        <v>12.5</v>
      </c>
      <c r="G189" s="16">
        <v>13.0</v>
      </c>
      <c r="H189" s="18">
        <f t="shared" si="4"/>
        <v>0.9607692308</v>
      </c>
      <c r="I189" s="7"/>
      <c r="J189" s="7"/>
      <c r="K189" s="1"/>
      <c r="L189" s="1"/>
      <c r="M189" s="1"/>
      <c r="N189" s="1"/>
      <c r="O189" s="1"/>
      <c r="P189" s="1"/>
      <c r="Q189" s="1"/>
      <c r="R189" s="1"/>
    </row>
    <row r="190">
      <c r="A190" s="16" t="s">
        <v>191</v>
      </c>
      <c r="B190" s="26" t="s">
        <v>39</v>
      </c>
      <c r="C190" s="16">
        <v>1.0</v>
      </c>
      <c r="D190" s="18">
        <v>39.99</v>
      </c>
      <c r="E190" s="18">
        <v>19.99</v>
      </c>
      <c r="F190" s="18">
        <f t="shared" si="3"/>
        <v>20</v>
      </c>
      <c r="G190" s="16">
        <v>13.0</v>
      </c>
      <c r="H190" s="18">
        <f t="shared" si="4"/>
        <v>1.537692308</v>
      </c>
      <c r="I190" s="7"/>
      <c r="J190" s="7"/>
      <c r="K190" s="1"/>
      <c r="L190" s="1"/>
      <c r="M190" s="1"/>
      <c r="N190" s="1"/>
      <c r="O190" s="1"/>
      <c r="P190" s="1"/>
      <c r="Q190" s="1"/>
      <c r="R190" s="1"/>
    </row>
    <row r="191">
      <c r="A191" s="16" t="s">
        <v>145</v>
      </c>
      <c r="B191" s="26" t="s">
        <v>137</v>
      </c>
      <c r="C191" s="16">
        <v>2.0</v>
      </c>
      <c r="D191" s="115">
        <v>22.57</v>
      </c>
      <c r="E191" s="115">
        <v>20.97</v>
      </c>
      <c r="F191" s="18">
        <f t="shared" si="3"/>
        <v>1.6</v>
      </c>
      <c r="G191" s="26">
        <v>13.0</v>
      </c>
      <c r="H191" s="18">
        <f t="shared" si="4"/>
        <v>1.613076923</v>
      </c>
      <c r="I191" s="7"/>
      <c r="J191" s="7"/>
      <c r="K191" s="1"/>
      <c r="L191" s="1"/>
      <c r="M191" s="1"/>
      <c r="N191" s="1"/>
      <c r="O191" s="1"/>
      <c r="P191" s="1"/>
      <c r="Q191" s="1"/>
      <c r="R191" s="1"/>
    </row>
    <row r="192">
      <c r="A192" s="16" t="s">
        <v>650</v>
      </c>
      <c r="B192" s="26" t="s">
        <v>56</v>
      </c>
      <c r="C192" s="16">
        <v>2.0</v>
      </c>
      <c r="D192" s="115">
        <v>37.98</v>
      </c>
      <c r="E192" s="115">
        <v>25.98</v>
      </c>
      <c r="F192" s="18">
        <f t="shared" si="3"/>
        <v>12</v>
      </c>
      <c r="G192" s="26">
        <v>13.0</v>
      </c>
      <c r="H192" s="18">
        <f t="shared" si="4"/>
        <v>1.998461538</v>
      </c>
      <c r="I192" s="7"/>
      <c r="J192" s="7"/>
      <c r="K192" s="1"/>
      <c r="L192" s="1"/>
      <c r="M192" s="1"/>
      <c r="N192" s="1"/>
      <c r="O192" s="1"/>
      <c r="P192" s="1"/>
      <c r="Q192" s="1"/>
      <c r="R192" s="1"/>
    </row>
    <row r="193">
      <c r="A193" s="16" t="s">
        <v>426</v>
      </c>
      <c r="B193" s="26" t="s">
        <v>50</v>
      </c>
      <c r="C193" s="16">
        <v>3.0</v>
      </c>
      <c r="D193" s="115">
        <v>59.97</v>
      </c>
      <c r="E193" s="115">
        <v>34.97</v>
      </c>
      <c r="F193" s="18">
        <f t="shared" si="3"/>
        <v>25</v>
      </c>
      <c r="G193" s="26">
        <v>13.0</v>
      </c>
      <c r="H193" s="18">
        <f t="shared" si="4"/>
        <v>2.69</v>
      </c>
      <c r="I193" s="7"/>
      <c r="J193" s="7"/>
      <c r="K193" s="1"/>
      <c r="L193" s="1"/>
      <c r="M193" s="1"/>
      <c r="N193" s="1"/>
      <c r="O193" s="1"/>
      <c r="P193" s="1"/>
      <c r="Q193" s="1"/>
      <c r="R193" s="1"/>
    </row>
    <row r="194">
      <c r="A194" s="16" t="s">
        <v>638</v>
      </c>
      <c r="B194" s="26" t="s">
        <v>56</v>
      </c>
      <c r="C194" s="16">
        <v>1.0</v>
      </c>
      <c r="D194" s="18">
        <v>14.99</v>
      </c>
      <c r="E194" s="18">
        <v>0.0</v>
      </c>
      <c r="F194" s="18">
        <f t="shared" si="3"/>
        <v>14.99</v>
      </c>
      <c r="G194" s="16">
        <v>12.0</v>
      </c>
      <c r="H194" s="18">
        <f t="shared" si="4"/>
        <v>0</v>
      </c>
      <c r="I194" s="7"/>
      <c r="J194" s="7"/>
      <c r="K194" s="1"/>
      <c r="L194" s="1"/>
      <c r="M194" s="1"/>
      <c r="N194" s="1"/>
      <c r="O194" s="1"/>
      <c r="P194" s="1"/>
      <c r="Q194" s="1"/>
      <c r="R194" s="1"/>
    </row>
    <row r="195">
      <c r="A195" s="16" t="s">
        <v>543</v>
      </c>
      <c r="B195" s="26" t="s">
        <v>527</v>
      </c>
      <c r="C195" s="16">
        <v>3.0</v>
      </c>
      <c r="D195" s="115">
        <v>78.97</v>
      </c>
      <c r="E195" s="115">
        <v>8.46</v>
      </c>
      <c r="F195" s="18">
        <f t="shared" si="3"/>
        <v>70.51</v>
      </c>
      <c r="G195" s="26">
        <v>12.0</v>
      </c>
      <c r="H195" s="18">
        <f t="shared" si="4"/>
        <v>0.705</v>
      </c>
      <c r="I195" s="7"/>
      <c r="J195" s="7"/>
      <c r="K195" s="1"/>
      <c r="L195" s="1"/>
      <c r="M195" s="1"/>
      <c r="N195" s="1"/>
      <c r="O195" s="1"/>
      <c r="P195" s="1"/>
      <c r="Q195" s="1"/>
      <c r="R195" s="1"/>
    </row>
    <row r="196">
      <c r="A196" s="16" t="s">
        <v>661</v>
      </c>
      <c r="B196" s="26" t="s">
        <v>56</v>
      </c>
      <c r="C196" s="16">
        <v>1.0</v>
      </c>
      <c r="D196" s="18">
        <v>14.99</v>
      </c>
      <c r="E196" s="18">
        <v>9.99</v>
      </c>
      <c r="F196" s="18">
        <f t="shared" si="3"/>
        <v>5</v>
      </c>
      <c r="G196" s="16">
        <v>12.0</v>
      </c>
      <c r="H196" s="18">
        <f t="shared" si="4"/>
        <v>0.8325</v>
      </c>
      <c r="I196" s="7"/>
      <c r="J196" s="7"/>
      <c r="K196" s="1"/>
      <c r="L196" s="1"/>
      <c r="M196" s="1"/>
      <c r="N196" s="1"/>
      <c r="O196" s="1"/>
      <c r="P196" s="1"/>
      <c r="Q196" s="1"/>
      <c r="R196" s="1"/>
    </row>
    <row r="197">
      <c r="A197" s="26" t="s">
        <v>372</v>
      </c>
      <c r="B197" s="26" t="s">
        <v>367</v>
      </c>
      <c r="C197" s="16">
        <v>1.0</v>
      </c>
      <c r="D197" s="141">
        <v>19.99</v>
      </c>
      <c r="E197" s="141">
        <v>13.99</v>
      </c>
      <c r="F197" s="14">
        <f t="shared" si="3"/>
        <v>6</v>
      </c>
      <c r="G197" s="26">
        <v>12.0</v>
      </c>
      <c r="H197" s="14">
        <f t="shared" si="4"/>
        <v>1.165833333</v>
      </c>
      <c r="I197" s="7"/>
      <c r="J197" s="7"/>
      <c r="K197" s="1"/>
      <c r="L197" s="1"/>
      <c r="M197" s="1"/>
      <c r="N197" s="1"/>
      <c r="O197" s="1"/>
      <c r="P197" s="1"/>
      <c r="Q197" s="1"/>
      <c r="R197" s="1"/>
    </row>
    <row r="198">
      <c r="A198" s="16" t="s">
        <v>275</v>
      </c>
      <c r="B198" s="26" t="s">
        <v>36</v>
      </c>
      <c r="C198" s="16">
        <v>2.0</v>
      </c>
      <c r="D198" s="115">
        <v>62.98</v>
      </c>
      <c r="E198" s="115">
        <v>37.98</v>
      </c>
      <c r="F198" s="18">
        <f t="shared" si="3"/>
        <v>25</v>
      </c>
      <c r="G198" s="26">
        <v>12.0</v>
      </c>
      <c r="H198" s="14">
        <f t="shared" si="4"/>
        <v>3.165</v>
      </c>
      <c r="I198" s="7"/>
      <c r="J198" s="7"/>
      <c r="K198" s="1"/>
      <c r="L198" s="1"/>
      <c r="M198" s="1"/>
      <c r="N198" s="1"/>
      <c r="O198" s="1"/>
      <c r="P198" s="1"/>
      <c r="Q198" s="1"/>
      <c r="R198" s="1"/>
    </row>
    <row r="199">
      <c r="A199" s="16" t="s">
        <v>436</v>
      </c>
      <c r="B199" s="26" t="s">
        <v>50</v>
      </c>
      <c r="C199" s="16">
        <v>3.0</v>
      </c>
      <c r="D199" s="18">
        <v>0.0</v>
      </c>
      <c r="E199" s="18">
        <v>0.0</v>
      </c>
      <c r="F199" s="18">
        <f t="shared" si="3"/>
        <v>0</v>
      </c>
      <c r="G199" s="26">
        <v>11.0</v>
      </c>
      <c r="H199" s="14">
        <f t="shared" si="4"/>
        <v>0</v>
      </c>
      <c r="I199" s="7"/>
      <c r="J199" s="7"/>
      <c r="K199" s="1"/>
      <c r="L199" s="1"/>
      <c r="M199" s="1"/>
      <c r="N199" s="1"/>
      <c r="O199" s="1"/>
      <c r="P199" s="1"/>
      <c r="Q199" s="1"/>
      <c r="R199" s="1"/>
    </row>
    <row r="200">
      <c r="A200" s="16" t="s">
        <v>533</v>
      </c>
      <c r="B200" s="26" t="s">
        <v>527</v>
      </c>
      <c r="C200" s="16">
        <v>1.0</v>
      </c>
      <c r="D200" s="18">
        <v>69.99</v>
      </c>
      <c r="E200" s="18">
        <v>0.0</v>
      </c>
      <c r="F200" s="18">
        <f t="shared" si="3"/>
        <v>69.99</v>
      </c>
      <c r="G200" s="16">
        <v>11.0</v>
      </c>
      <c r="H200" s="18">
        <f t="shared" si="4"/>
        <v>0</v>
      </c>
      <c r="I200" s="7"/>
      <c r="J200" s="7"/>
      <c r="K200" s="1"/>
      <c r="L200" s="1"/>
      <c r="M200" s="1"/>
      <c r="N200" s="1"/>
      <c r="O200" s="1"/>
      <c r="P200" s="1"/>
      <c r="Q200" s="1"/>
      <c r="R200" s="1"/>
    </row>
    <row r="201">
      <c r="A201" s="16" t="s">
        <v>541</v>
      </c>
      <c r="B201" s="26" t="s">
        <v>527</v>
      </c>
      <c r="C201" s="16">
        <v>1.0</v>
      </c>
      <c r="D201" s="18">
        <v>49.99</v>
      </c>
      <c r="E201" s="18">
        <v>0.0</v>
      </c>
      <c r="F201" s="18">
        <f t="shared" si="3"/>
        <v>49.99</v>
      </c>
      <c r="G201" s="16">
        <v>11.0</v>
      </c>
      <c r="H201" s="18">
        <f t="shared" si="4"/>
        <v>0</v>
      </c>
      <c r="I201" s="7"/>
      <c r="J201" s="7"/>
      <c r="K201" s="1"/>
      <c r="L201" s="1"/>
      <c r="M201" s="1"/>
      <c r="N201" s="1"/>
      <c r="O201" s="1"/>
      <c r="P201" s="1"/>
      <c r="Q201" s="1"/>
      <c r="R201" s="1"/>
    </row>
    <row r="202">
      <c r="A202" s="16" t="s">
        <v>286</v>
      </c>
      <c r="B202" s="26" t="s">
        <v>36</v>
      </c>
      <c r="C202" s="16">
        <v>1.0</v>
      </c>
      <c r="D202" s="18">
        <v>29.99</v>
      </c>
      <c r="E202" s="18">
        <v>0.0</v>
      </c>
      <c r="F202" s="18">
        <f t="shared" si="3"/>
        <v>29.99</v>
      </c>
      <c r="G202" s="16">
        <v>11.0</v>
      </c>
      <c r="H202" s="18">
        <f t="shared" si="4"/>
        <v>0</v>
      </c>
      <c r="I202" s="7"/>
      <c r="J202" s="7"/>
      <c r="K202" s="1"/>
      <c r="L202" s="1"/>
      <c r="M202" s="1"/>
      <c r="N202" s="1"/>
      <c r="O202" s="1"/>
      <c r="P202" s="1"/>
      <c r="Q202" s="1"/>
      <c r="R202" s="1"/>
    </row>
    <row r="203">
      <c r="A203" s="26" t="s">
        <v>57</v>
      </c>
      <c r="B203" s="26" t="s">
        <v>56</v>
      </c>
      <c r="C203" s="16">
        <v>1.0</v>
      </c>
      <c r="D203" s="14">
        <v>24.99</v>
      </c>
      <c r="E203" s="14">
        <v>0.0</v>
      </c>
      <c r="F203" s="14">
        <v>24.99</v>
      </c>
      <c r="G203" s="26">
        <v>11.0</v>
      </c>
      <c r="H203" s="14">
        <v>0.0</v>
      </c>
      <c r="I203" s="7"/>
      <c r="J203" s="7"/>
      <c r="K203" s="1"/>
      <c r="L203" s="1"/>
      <c r="M203" s="1"/>
      <c r="N203" s="1"/>
      <c r="O203" s="1"/>
      <c r="P203" s="1"/>
      <c r="Q203" s="1"/>
      <c r="R203" s="1"/>
    </row>
    <row r="204">
      <c r="A204" s="26" t="s">
        <v>268</v>
      </c>
      <c r="B204" s="26" t="s">
        <v>36</v>
      </c>
      <c r="C204" s="26">
        <v>2.0</v>
      </c>
      <c r="D204" s="115">
        <v>9.99</v>
      </c>
      <c r="E204" s="18">
        <v>0.0</v>
      </c>
      <c r="F204" s="18">
        <f t="shared" ref="F204:F243" si="5">D204-E204</f>
        <v>9.99</v>
      </c>
      <c r="G204" s="26">
        <v>11.0</v>
      </c>
      <c r="H204" s="18">
        <f t="shared" ref="H204:H243" si="6">E204/G204</f>
        <v>0</v>
      </c>
      <c r="I204" s="7"/>
      <c r="J204" s="7"/>
      <c r="K204" s="1"/>
      <c r="L204" s="1"/>
      <c r="M204" s="1"/>
      <c r="N204" s="1"/>
      <c r="O204" s="1"/>
      <c r="P204" s="1"/>
      <c r="Q204" s="1"/>
      <c r="R204" s="1"/>
    </row>
    <row r="205">
      <c r="A205" s="16" t="s">
        <v>479</v>
      </c>
      <c r="B205" s="26" t="s">
        <v>472</v>
      </c>
      <c r="C205" s="16">
        <v>1.0</v>
      </c>
      <c r="D205" s="18">
        <v>19.99</v>
      </c>
      <c r="E205" s="18">
        <v>4.99</v>
      </c>
      <c r="F205" s="18">
        <f t="shared" si="5"/>
        <v>15</v>
      </c>
      <c r="G205" s="16">
        <v>11.0</v>
      </c>
      <c r="H205" s="18">
        <f t="shared" si="6"/>
        <v>0.4536363636</v>
      </c>
      <c r="I205" s="7"/>
      <c r="J205" s="7"/>
      <c r="K205" s="1"/>
      <c r="L205" s="1"/>
      <c r="M205" s="1"/>
      <c r="N205" s="1"/>
      <c r="O205" s="1"/>
      <c r="P205" s="1"/>
      <c r="Q205" s="1"/>
      <c r="R205" s="1"/>
    </row>
    <row r="206">
      <c r="A206" s="16" t="s">
        <v>254</v>
      </c>
      <c r="B206" s="26" t="s">
        <v>36</v>
      </c>
      <c r="C206" s="16">
        <v>1.0</v>
      </c>
      <c r="D206" s="18">
        <v>17.99</v>
      </c>
      <c r="E206" s="18">
        <v>8.99</v>
      </c>
      <c r="F206" s="18">
        <f t="shared" si="5"/>
        <v>9</v>
      </c>
      <c r="G206" s="16">
        <v>11.0</v>
      </c>
      <c r="H206" s="18">
        <f t="shared" si="6"/>
        <v>0.8172727273</v>
      </c>
      <c r="I206" s="7"/>
      <c r="J206" s="7"/>
      <c r="K206" s="1"/>
      <c r="L206" s="1"/>
      <c r="M206" s="1"/>
      <c r="N206" s="1"/>
      <c r="O206" s="1"/>
      <c r="P206" s="1"/>
      <c r="Q206" s="1"/>
      <c r="R206" s="1"/>
    </row>
    <row r="207">
      <c r="A207" s="16" t="s">
        <v>417</v>
      </c>
      <c r="B207" s="26" t="s">
        <v>50</v>
      </c>
      <c r="C207" s="16">
        <v>1.0</v>
      </c>
      <c r="D207" s="18">
        <v>39.99</v>
      </c>
      <c r="E207" s="18">
        <v>14.79</v>
      </c>
      <c r="F207" s="18">
        <f t="shared" si="5"/>
        <v>25.2</v>
      </c>
      <c r="G207" s="16">
        <v>11.0</v>
      </c>
      <c r="H207" s="18">
        <f t="shared" si="6"/>
        <v>1.344545455</v>
      </c>
      <c r="I207" s="7"/>
      <c r="J207" s="7"/>
      <c r="K207" s="1"/>
      <c r="L207" s="1"/>
      <c r="M207" s="1"/>
      <c r="N207" s="1"/>
      <c r="O207" s="1"/>
      <c r="P207" s="1"/>
      <c r="Q207" s="1"/>
      <c r="R207" s="1"/>
    </row>
    <row r="208">
      <c r="A208" s="16" t="s">
        <v>347</v>
      </c>
      <c r="B208" s="26" t="s">
        <v>47</v>
      </c>
      <c r="C208" s="16">
        <v>1.0</v>
      </c>
      <c r="D208" s="18">
        <v>29.99</v>
      </c>
      <c r="E208" s="18">
        <v>18.99</v>
      </c>
      <c r="F208" s="18">
        <f t="shared" si="5"/>
        <v>11</v>
      </c>
      <c r="G208" s="16">
        <v>11.0</v>
      </c>
      <c r="H208" s="18">
        <f t="shared" si="6"/>
        <v>1.726363636</v>
      </c>
      <c r="I208" s="7"/>
      <c r="J208" s="7"/>
      <c r="K208" s="1"/>
      <c r="L208" s="1"/>
      <c r="M208" s="1"/>
      <c r="N208" s="1"/>
      <c r="O208" s="1"/>
      <c r="P208" s="1"/>
      <c r="Q208" s="1"/>
      <c r="R208" s="1"/>
    </row>
    <row r="209">
      <c r="A209" s="16" t="s">
        <v>685</v>
      </c>
      <c r="B209" s="26" t="s">
        <v>56</v>
      </c>
      <c r="C209" s="16">
        <v>2.0</v>
      </c>
      <c r="D209" s="115">
        <v>39.98</v>
      </c>
      <c r="E209" s="115">
        <v>27.98</v>
      </c>
      <c r="F209" s="18">
        <f t="shared" si="5"/>
        <v>12</v>
      </c>
      <c r="G209" s="26">
        <v>11.0</v>
      </c>
      <c r="H209" s="18">
        <f t="shared" si="6"/>
        <v>2.543636364</v>
      </c>
      <c r="I209" s="7"/>
      <c r="J209" s="7"/>
      <c r="K209" s="1"/>
      <c r="L209" s="1"/>
      <c r="M209" s="1"/>
      <c r="N209" s="1"/>
      <c r="O209" s="1"/>
      <c r="P209" s="1"/>
      <c r="Q209" s="1"/>
      <c r="R209" s="1"/>
    </row>
    <row r="210">
      <c r="A210" s="16" t="s">
        <v>273</v>
      </c>
      <c r="B210" s="26" t="s">
        <v>36</v>
      </c>
      <c r="C210" s="16">
        <v>2.0</v>
      </c>
      <c r="D210" s="115">
        <v>128.44</v>
      </c>
      <c r="E210" s="115">
        <v>94.85</v>
      </c>
      <c r="F210" s="18">
        <f t="shared" si="5"/>
        <v>33.59</v>
      </c>
      <c r="G210" s="26">
        <v>11.0</v>
      </c>
      <c r="H210" s="18">
        <f t="shared" si="6"/>
        <v>8.622727273</v>
      </c>
      <c r="I210" s="7"/>
      <c r="J210" s="7"/>
      <c r="K210" s="1"/>
      <c r="L210" s="1"/>
      <c r="M210" s="1"/>
      <c r="N210" s="1"/>
      <c r="O210" s="1"/>
      <c r="P210" s="1"/>
      <c r="Q210" s="1"/>
      <c r="R210" s="1"/>
    </row>
    <row r="211">
      <c r="A211" s="16" t="s">
        <v>644</v>
      </c>
      <c r="B211" s="26" t="s">
        <v>56</v>
      </c>
      <c r="C211" s="16">
        <v>1.0</v>
      </c>
      <c r="D211" s="18">
        <v>0.0</v>
      </c>
      <c r="E211" s="18">
        <v>0.0</v>
      </c>
      <c r="F211" s="18">
        <f t="shared" si="5"/>
        <v>0</v>
      </c>
      <c r="G211" s="16">
        <v>10.0</v>
      </c>
      <c r="H211" s="18">
        <f t="shared" si="6"/>
        <v>0</v>
      </c>
      <c r="I211" s="7"/>
      <c r="J211" s="7"/>
      <c r="K211" s="1"/>
      <c r="L211" s="1"/>
      <c r="M211" s="1"/>
      <c r="N211" s="1"/>
      <c r="O211" s="1"/>
      <c r="P211" s="1"/>
      <c r="Q211" s="1"/>
      <c r="R211" s="1"/>
    </row>
    <row r="212">
      <c r="A212" s="16" t="s">
        <v>182</v>
      </c>
      <c r="B212" s="26" t="s">
        <v>39</v>
      </c>
      <c r="C212" s="16">
        <v>1.0</v>
      </c>
      <c r="D212" s="18">
        <v>0.0</v>
      </c>
      <c r="E212" s="18">
        <v>0.0</v>
      </c>
      <c r="F212" s="18">
        <f t="shared" si="5"/>
        <v>0</v>
      </c>
      <c r="G212" s="16">
        <v>10.0</v>
      </c>
      <c r="H212" s="18">
        <f t="shared" si="6"/>
        <v>0</v>
      </c>
      <c r="I212" s="7"/>
      <c r="J212" s="7"/>
      <c r="K212" s="1"/>
      <c r="L212" s="1"/>
      <c r="M212" s="1"/>
      <c r="N212" s="1"/>
      <c r="O212" s="1"/>
      <c r="P212" s="1"/>
      <c r="Q212" s="1"/>
      <c r="R212" s="1"/>
    </row>
    <row r="213">
      <c r="A213" s="16" t="s">
        <v>247</v>
      </c>
      <c r="B213" s="26" t="s">
        <v>36</v>
      </c>
      <c r="C213" s="16">
        <v>1.0</v>
      </c>
      <c r="D213" s="14">
        <v>29.99</v>
      </c>
      <c r="E213" s="14">
        <v>0.0</v>
      </c>
      <c r="F213" s="14">
        <f t="shared" si="5"/>
        <v>29.99</v>
      </c>
      <c r="G213" s="26">
        <v>10.0</v>
      </c>
      <c r="H213" s="18">
        <f t="shared" si="6"/>
        <v>0</v>
      </c>
      <c r="I213" s="7"/>
      <c r="J213" s="7"/>
      <c r="K213" s="1"/>
      <c r="L213" s="1"/>
      <c r="M213" s="1"/>
      <c r="N213" s="1"/>
      <c r="O213" s="1"/>
      <c r="P213" s="1"/>
      <c r="Q213" s="1"/>
      <c r="R213" s="1"/>
    </row>
    <row r="214">
      <c r="A214" s="16" t="s">
        <v>547</v>
      </c>
      <c r="B214" s="26" t="s">
        <v>527</v>
      </c>
      <c r="C214" s="16">
        <v>1.0</v>
      </c>
      <c r="D214" s="14">
        <v>19.99</v>
      </c>
      <c r="E214" s="14">
        <v>0.0</v>
      </c>
      <c r="F214" s="18">
        <f t="shared" si="5"/>
        <v>19.99</v>
      </c>
      <c r="G214" s="16">
        <v>10.0</v>
      </c>
      <c r="H214" s="18">
        <f t="shared" si="6"/>
        <v>0</v>
      </c>
      <c r="I214" s="7"/>
      <c r="J214" s="7"/>
      <c r="K214" s="1"/>
      <c r="L214" s="1"/>
      <c r="M214" s="1"/>
      <c r="N214" s="1"/>
      <c r="O214" s="1"/>
      <c r="P214" s="1"/>
      <c r="Q214" s="1"/>
      <c r="R214" s="1"/>
    </row>
    <row r="215">
      <c r="A215" s="16" t="s">
        <v>155</v>
      </c>
      <c r="B215" s="26" t="s">
        <v>137</v>
      </c>
      <c r="C215" s="16">
        <v>1.0</v>
      </c>
      <c r="D215" s="18">
        <v>14.49</v>
      </c>
      <c r="E215" s="18">
        <v>0.0</v>
      </c>
      <c r="F215" s="18">
        <f t="shared" si="5"/>
        <v>14.49</v>
      </c>
      <c r="G215" s="16">
        <v>10.0</v>
      </c>
      <c r="H215" s="18">
        <f t="shared" si="6"/>
        <v>0</v>
      </c>
      <c r="I215" s="7"/>
      <c r="J215" s="7"/>
      <c r="K215" s="1"/>
      <c r="L215" s="1"/>
      <c r="M215" s="1"/>
      <c r="N215" s="1"/>
      <c r="O215" s="1"/>
      <c r="P215" s="1"/>
      <c r="Q215" s="1"/>
      <c r="R215" s="1"/>
    </row>
    <row r="216">
      <c r="A216" s="16" t="s">
        <v>658</v>
      </c>
      <c r="B216" s="26" t="s">
        <v>56</v>
      </c>
      <c r="C216" s="16">
        <v>1.0</v>
      </c>
      <c r="D216" s="18">
        <v>7.99</v>
      </c>
      <c r="E216" s="18">
        <v>2.99</v>
      </c>
      <c r="F216" s="18">
        <f t="shared" si="5"/>
        <v>5</v>
      </c>
      <c r="G216" s="16">
        <v>10.0</v>
      </c>
      <c r="H216" s="18">
        <f t="shared" si="6"/>
        <v>0.299</v>
      </c>
      <c r="I216" s="7"/>
      <c r="J216" s="7"/>
      <c r="K216" s="1"/>
      <c r="L216" s="1"/>
      <c r="M216" s="1"/>
      <c r="N216" s="1"/>
      <c r="O216" s="1"/>
      <c r="P216" s="1"/>
      <c r="Q216" s="1"/>
      <c r="R216" s="1"/>
    </row>
    <row r="217">
      <c r="A217" s="16" t="s">
        <v>663</v>
      </c>
      <c r="B217" s="26" t="s">
        <v>56</v>
      </c>
      <c r="C217" s="16">
        <v>2.0</v>
      </c>
      <c r="D217" s="115">
        <v>54.98</v>
      </c>
      <c r="E217" s="115">
        <v>3.49</v>
      </c>
      <c r="F217" s="18">
        <f t="shared" si="5"/>
        <v>51.49</v>
      </c>
      <c r="G217" s="26">
        <v>10.0</v>
      </c>
      <c r="H217" s="18">
        <f t="shared" si="6"/>
        <v>0.349</v>
      </c>
      <c r="I217" s="7"/>
      <c r="J217" s="7"/>
      <c r="K217" s="1"/>
      <c r="L217" s="1"/>
      <c r="M217" s="1"/>
      <c r="N217" s="1"/>
      <c r="O217" s="1"/>
      <c r="P217" s="1"/>
      <c r="Q217" s="1"/>
      <c r="R217" s="1"/>
    </row>
    <row r="218">
      <c r="A218" s="16" t="s">
        <v>265</v>
      </c>
      <c r="B218" s="26" t="s">
        <v>36</v>
      </c>
      <c r="C218" s="16">
        <v>1.0</v>
      </c>
      <c r="D218" s="18">
        <v>14.99</v>
      </c>
      <c r="E218" s="18">
        <v>4.99</v>
      </c>
      <c r="F218" s="18">
        <f t="shared" si="5"/>
        <v>10</v>
      </c>
      <c r="G218" s="16">
        <v>10.0</v>
      </c>
      <c r="H218" s="18">
        <f t="shared" si="6"/>
        <v>0.499</v>
      </c>
      <c r="I218" s="7"/>
      <c r="J218" s="7"/>
      <c r="K218" s="1"/>
      <c r="L218" s="1"/>
      <c r="M218" s="1"/>
      <c r="N218" s="1"/>
      <c r="O218" s="1"/>
      <c r="P218" s="1"/>
      <c r="Q218" s="1"/>
      <c r="R218" s="1"/>
    </row>
    <row r="219">
      <c r="A219" s="16" t="s">
        <v>291</v>
      </c>
      <c r="B219" s="26" t="s">
        <v>36</v>
      </c>
      <c r="C219" s="16">
        <v>2.0</v>
      </c>
      <c r="D219" s="115">
        <v>44.47</v>
      </c>
      <c r="E219" s="115">
        <v>6.99</v>
      </c>
      <c r="F219" s="18">
        <f t="shared" si="5"/>
        <v>37.48</v>
      </c>
      <c r="G219" s="26">
        <v>10.0</v>
      </c>
      <c r="H219" s="18">
        <f t="shared" si="6"/>
        <v>0.699</v>
      </c>
      <c r="I219" s="7"/>
      <c r="J219" s="7"/>
      <c r="K219" s="1"/>
      <c r="L219" s="1"/>
      <c r="M219" s="1"/>
      <c r="N219" s="1"/>
      <c r="O219" s="1"/>
      <c r="P219" s="1"/>
      <c r="Q219" s="1"/>
      <c r="R219" s="1"/>
    </row>
    <row r="220">
      <c r="A220" s="16" t="s">
        <v>656</v>
      </c>
      <c r="B220" s="26" t="s">
        <v>56</v>
      </c>
      <c r="C220" s="16">
        <v>1.0</v>
      </c>
      <c r="D220" s="18">
        <v>7.99</v>
      </c>
      <c r="E220" s="18">
        <v>7.99</v>
      </c>
      <c r="F220" s="18">
        <f t="shared" si="5"/>
        <v>0</v>
      </c>
      <c r="G220" s="16">
        <v>10.0</v>
      </c>
      <c r="H220" s="18">
        <f t="shared" si="6"/>
        <v>0.799</v>
      </c>
      <c r="I220" s="7"/>
      <c r="J220" s="7"/>
      <c r="K220" s="1"/>
      <c r="L220" s="1"/>
      <c r="M220" s="1"/>
      <c r="N220" s="1"/>
      <c r="O220" s="1"/>
      <c r="P220" s="1"/>
      <c r="Q220" s="1"/>
      <c r="R220" s="1"/>
    </row>
    <row r="221">
      <c r="A221" s="16" t="s">
        <v>203</v>
      </c>
      <c r="B221" s="26" t="s">
        <v>39</v>
      </c>
      <c r="C221" s="16">
        <v>1.0</v>
      </c>
      <c r="D221" s="18">
        <v>13.98</v>
      </c>
      <c r="E221" s="18">
        <v>7.98</v>
      </c>
      <c r="F221" s="18">
        <f t="shared" si="5"/>
        <v>6</v>
      </c>
      <c r="G221" s="26">
        <v>10.0</v>
      </c>
      <c r="H221" s="18">
        <f t="shared" si="6"/>
        <v>0.798</v>
      </c>
      <c r="I221" s="7"/>
      <c r="J221" s="7"/>
      <c r="K221" s="1"/>
      <c r="L221" s="1"/>
      <c r="M221" s="1"/>
      <c r="N221" s="1"/>
      <c r="O221" s="1"/>
      <c r="P221" s="1"/>
      <c r="Q221" s="1"/>
      <c r="R221" s="1"/>
    </row>
    <row r="222">
      <c r="A222" s="16" t="s">
        <v>561</v>
      </c>
      <c r="B222" s="129" t="s">
        <v>559</v>
      </c>
      <c r="C222" s="16">
        <v>2.0</v>
      </c>
      <c r="D222" s="115">
        <v>32.98</v>
      </c>
      <c r="E222" s="115">
        <v>9.98</v>
      </c>
      <c r="F222" s="18">
        <f t="shared" si="5"/>
        <v>23</v>
      </c>
      <c r="G222" s="129">
        <v>10.0</v>
      </c>
      <c r="H222" s="18">
        <f t="shared" si="6"/>
        <v>0.998</v>
      </c>
      <c r="I222" s="7"/>
      <c r="J222" s="7"/>
      <c r="K222" s="1"/>
      <c r="L222" s="1"/>
      <c r="M222" s="1"/>
      <c r="N222" s="1"/>
      <c r="O222" s="1"/>
      <c r="P222" s="1"/>
      <c r="Q222" s="1"/>
      <c r="R222" s="1"/>
    </row>
    <row r="223">
      <c r="A223" s="16" t="s">
        <v>693</v>
      </c>
      <c r="B223" s="26" t="s">
        <v>56</v>
      </c>
      <c r="C223" s="16">
        <v>1.0</v>
      </c>
      <c r="D223" s="18">
        <v>9.99</v>
      </c>
      <c r="E223" s="18">
        <v>9.99</v>
      </c>
      <c r="F223" s="18">
        <f t="shared" si="5"/>
        <v>0</v>
      </c>
      <c r="G223" s="16">
        <v>10.0</v>
      </c>
      <c r="H223" s="18">
        <f t="shared" si="6"/>
        <v>0.999</v>
      </c>
      <c r="I223" s="7"/>
      <c r="J223" s="7"/>
      <c r="K223" s="1"/>
      <c r="L223" s="1"/>
      <c r="M223" s="1"/>
      <c r="N223" s="1"/>
      <c r="O223" s="1"/>
      <c r="P223" s="1"/>
      <c r="Q223" s="1"/>
      <c r="R223" s="1"/>
    </row>
    <row r="224">
      <c r="A224" s="16" t="s">
        <v>585</v>
      </c>
      <c r="B224" s="26" t="s">
        <v>56</v>
      </c>
      <c r="C224" s="16">
        <v>1.0</v>
      </c>
      <c r="D224" s="18">
        <v>10.99</v>
      </c>
      <c r="E224" s="18">
        <v>10.99</v>
      </c>
      <c r="F224" s="18">
        <f t="shared" si="5"/>
        <v>0</v>
      </c>
      <c r="G224" s="16">
        <v>10.0</v>
      </c>
      <c r="H224" s="18">
        <f t="shared" si="6"/>
        <v>1.099</v>
      </c>
      <c r="I224" s="7"/>
      <c r="J224" s="7"/>
      <c r="K224" s="1"/>
      <c r="L224" s="1"/>
      <c r="M224" s="1"/>
      <c r="N224" s="1"/>
      <c r="O224" s="1"/>
      <c r="P224" s="1"/>
      <c r="Q224" s="1"/>
      <c r="R224" s="1"/>
    </row>
    <row r="225">
      <c r="A225" s="16" t="s">
        <v>530</v>
      </c>
      <c r="B225" s="26" t="s">
        <v>527</v>
      </c>
      <c r="C225" s="16">
        <v>2.0</v>
      </c>
      <c r="D225" s="115">
        <v>24.98</v>
      </c>
      <c r="E225" s="115">
        <v>13.58</v>
      </c>
      <c r="F225" s="18">
        <f t="shared" si="5"/>
        <v>11.4</v>
      </c>
      <c r="G225" s="129">
        <v>10.0</v>
      </c>
      <c r="H225" s="18">
        <f t="shared" si="6"/>
        <v>1.358</v>
      </c>
      <c r="I225" s="7"/>
      <c r="J225" s="7"/>
      <c r="K225" s="1"/>
      <c r="L225" s="1"/>
      <c r="M225" s="1"/>
      <c r="N225" s="1"/>
      <c r="O225" s="1"/>
      <c r="P225" s="1"/>
      <c r="Q225" s="1"/>
      <c r="R225" s="1"/>
    </row>
    <row r="226">
      <c r="A226" s="16" t="s">
        <v>438</v>
      </c>
      <c r="B226" s="129" t="s">
        <v>50</v>
      </c>
      <c r="C226" s="16">
        <v>1.0</v>
      </c>
      <c r="D226" s="18">
        <v>19.99</v>
      </c>
      <c r="E226" s="18">
        <v>19.99</v>
      </c>
      <c r="F226" s="18">
        <f t="shared" si="5"/>
        <v>0</v>
      </c>
      <c r="G226" s="16">
        <v>10.0</v>
      </c>
      <c r="H226" s="18">
        <f t="shared" si="6"/>
        <v>1.999</v>
      </c>
      <c r="I226" s="7"/>
      <c r="J226" s="7"/>
      <c r="K226" s="1"/>
      <c r="L226" s="1"/>
      <c r="M226" s="1"/>
      <c r="N226" s="1"/>
      <c r="O226" s="1"/>
      <c r="P226" s="1"/>
      <c r="Q226" s="1"/>
      <c r="R226" s="1"/>
    </row>
    <row r="227">
      <c r="A227" s="16" t="s">
        <v>706</v>
      </c>
      <c r="B227" s="26" t="s">
        <v>56</v>
      </c>
      <c r="C227" s="16">
        <v>2.0</v>
      </c>
      <c r="D227" s="115">
        <v>47.99</v>
      </c>
      <c r="E227" s="115">
        <v>32.0</v>
      </c>
      <c r="F227" s="18">
        <f t="shared" si="5"/>
        <v>15.99</v>
      </c>
      <c r="G227" s="129">
        <v>10.0</v>
      </c>
      <c r="H227" s="18">
        <f t="shared" si="6"/>
        <v>3.2</v>
      </c>
      <c r="I227" s="7"/>
      <c r="J227" s="7"/>
      <c r="K227" s="1"/>
      <c r="L227" s="1"/>
      <c r="M227" s="1"/>
      <c r="N227" s="1"/>
      <c r="O227" s="1"/>
      <c r="P227" s="1"/>
      <c r="Q227" s="1"/>
      <c r="R227" s="1"/>
    </row>
    <row r="228">
      <c r="A228" s="16" t="s">
        <v>338</v>
      </c>
      <c r="B228" s="129" t="s">
        <v>333</v>
      </c>
      <c r="C228" s="16">
        <v>3.0</v>
      </c>
      <c r="D228" s="115">
        <v>125.96</v>
      </c>
      <c r="E228" s="115">
        <v>61.96</v>
      </c>
      <c r="F228" s="18">
        <f t="shared" si="5"/>
        <v>64</v>
      </c>
      <c r="G228" s="129">
        <v>10.0</v>
      </c>
      <c r="H228" s="18">
        <f t="shared" si="6"/>
        <v>6.196</v>
      </c>
      <c r="I228" s="7"/>
      <c r="J228" s="7"/>
      <c r="K228" s="1"/>
      <c r="L228" s="1"/>
      <c r="M228" s="1"/>
      <c r="N228" s="1"/>
      <c r="O228" s="1"/>
      <c r="P228" s="1"/>
      <c r="Q228" s="1"/>
      <c r="R228" s="1"/>
    </row>
    <row r="229">
      <c r="A229" s="16" t="s">
        <v>689</v>
      </c>
      <c r="B229" s="26" t="s">
        <v>56</v>
      </c>
      <c r="C229" s="16">
        <v>1.0</v>
      </c>
      <c r="D229" s="18">
        <v>14.99</v>
      </c>
      <c r="E229" s="18">
        <v>4.49</v>
      </c>
      <c r="F229" s="18">
        <f t="shared" si="5"/>
        <v>10.5</v>
      </c>
      <c r="G229" s="16">
        <v>9.0</v>
      </c>
      <c r="H229" s="18">
        <f t="shared" si="6"/>
        <v>0.4988888889</v>
      </c>
      <c r="I229" s="7"/>
      <c r="J229" s="7"/>
      <c r="K229" s="1"/>
      <c r="L229" s="1"/>
      <c r="M229" s="1"/>
      <c r="N229" s="1"/>
      <c r="O229" s="1"/>
      <c r="P229" s="1"/>
      <c r="Q229" s="1"/>
      <c r="R229" s="1"/>
    </row>
    <row r="230">
      <c r="A230" s="16" t="s">
        <v>315</v>
      </c>
      <c r="B230" s="26" t="s">
        <v>36</v>
      </c>
      <c r="C230" s="16">
        <v>1.0</v>
      </c>
      <c r="D230" s="18">
        <v>24.99</v>
      </c>
      <c r="E230" s="18">
        <v>6.99</v>
      </c>
      <c r="F230" s="18">
        <f t="shared" si="5"/>
        <v>18</v>
      </c>
      <c r="G230" s="16">
        <v>9.0</v>
      </c>
      <c r="H230" s="18">
        <f t="shared" si="6"/>
        <v>0.7766666667</v>
      </c>
      <c r="I230" s="7"/>
      <c r="J230" s="7"/>
      <c r="K230" s="1"/>
      <c r="L230" s="1"/>
      <c r="M230" s="1"/>
      <c r="N230" s="1"/>
      <c r="O230" s="1"/>
      <c r="P230" s="1"/>
      <c r="Q230" s="1"/>
      <c r="R230" s="1"/>
    </row>
    <row r="231">
      <c r="A231" s="16" t="s">
        <v>393</v>
      </c>
      <c r="B231" s="26" t="s">
        <v>394</v>
      </c>
      <c r="C231" s="16">
        <v>1.0</v>
      </c>
      <c r="D231" s="18">
        <v>9.99</v>
      </c>
      <c r="E231" s="18">
        <v>6.99</v>
      </c>
      <c r="F231" s="18">
        <f t="shared" si="5"/>
        <v>3</v>
      </c>
      <c r="G231" s="16">
        <v>9.0</v>
      </c>
      <c r="H231" s="18">
        <f t="shared" si="6"/>
        <v>0.7766666667</v>
      </c>
      <c r="I231" s="7"/>
      <c r="J231" s="7"/>
      <c r="K231" s="1"/>
      <c r="L231" s="1"/>
      <c r="M231" s="1"/>
      <c r="N231" s="1"/>
      <c r="O231" s="1"/>
      <c r="P231" s="1"/>
      <c r="Q231" s="1"/>
      <c r="R231" s="1"/>
    </row>
    <row r="232">
      <c r="A232" s="16" t="s">
        <v>599</v>
      </c>
      <c r="B232" s="26" t="s">
        <v>56</v>
      </c>
      <c r="C232" s="16">
        <v>1.0</v>
      </c>
      <c r="D232" s="18">
        <v>29.99</v>
      </c>
      <c r="E232" s="18">
        <v>7.99</v>
      </c>
      <c r="F232" s="18">
        <f t="shared" si="5"/>
        <v>22</v>
      </c>
      <c r="G232" s="16">
        <v>9.0</v>
      </c>
      <c r="H232" s="18">
        <f t="shared" si="6"/>
        <v>0.8877777778</v>
      </c>
      <c r="I232" s="7"/>
      <c r="J232" s="7"/>
      <c r="K232" s="1"/>
      <c r="L232" s="1"/>
      <c r="M232" s="1"/>
      <c r="N232" s="1"/>
      <c r="O232" s="1"/>
      <c r="P232" s="1"/>
      <c r="Q232" s="1"/>
      <c r="R232" s="1"/>
    </row>
    <row r="233">
      <c r="A233" s="16" t="s">
        <v>242</v>
      </c>
      <c r="B233" s="26" t="s">
        <v>237</v>
      </c>
      <c r="C233" s="16">
        <v>4.0</v>
      </c>
      <c r="D233" s="115">
        <v>131.96</v>
      </c>
      <c r="E233" s="115">
        <v>9.0</v>
      </c>
      <c r="F233" s="18">
        <f t="shared" si="5"/>
        <v>122.96</v>
      </c>
      <c r="G233" s="26">
        <v>9.0</v>
      </c>
      <c r="H233" s="18">
        <f t="shared" si="6"/>
        <v>1</v>
      </c>
      <c r="I233" s="7"/>
      <c r="J233" s="7"/>
      <c r="K233" s="1"/>
      <c r="L233" s="1"/>
      <c r="M233" s="1"/>
      <c r="N233" s="1"/>
      <c r="O233" s="1"/>
      <c r="P233" s="1"/>
      <c r="Q233" s="1"/>
      <c r="R233" s="1"/>
    </row>
    <row r="234">
      <c r="A234" s="16" t="s">
        <v>353</v>
      </c>
      <c r="B234" s="26" t="s">
        <v>47</v>
      </c>
      <c r="C234" s="16">
        <v>1.0</v>
      </c>
      <c r="D234" s="18">
        <v>19.99</v>
      </c>
      <c r="E234" s="18">
        <v>12.99</v>
      </c>
      <c r="F234" s="18">
        <f t="shared" si="5"/>
        <v>7</v>
      </c>
      <c r="G234" s="26">
        <v>9.0</v>
      </c>
      <c r="H234" s="18">
        <f t="shared" si="6"/>
        <v>1.443333333</v>
      </c>
      <c r="I234" s="7"/>
      <c r="J234" s="7"/>
      <c r="K234" s="1"/>
      <c r="L234" s="1"/>
      <c r="M234" s="1"/>
      <c r="N234" s="1"/>
      <c r="O234" s="1"/>
      <c r="P234" s="1"/>
      <c r="Q234" s="1"/>
      <c r="R234" s="1"/>
    </row>
    <row r="235">
      <c r="A235" s="26" t="s">
        <v>655</v>
      </c>
      <c r="B235" s="26" t="s">
        <v>56</v>
      </c>
      <c r="C235" s="16">
        <v>1.0</v>
      </c>
      <c r="D235" s="14">
        <v>29.99</v>
      </c>
      <c r="E235" s="14">
        <v>19.49</v>
      </c>
      <c r="F235" s="14">
        <f t="shared" si="5"/>
        <v>10.5</v>
      </c>
      <c r="G235" s="26">
        <v>9.0</v>
      </c>
      <c r="H235" s="18">
        <f t="shared" si="6"/>
        <v>2.165555556</v>
      </c>
      <c r="I235" s="7"/>
      <c r="J235" s="7"/>
      <c r="K235" s="1"/>
      <c r="L235" s="1"/>
      <c r="M235" s="1"/>
      <c r="N235" s="1"/>
      <c r="O235" s="1"/>
      <c r="P235" s="1"/>
      <c r="Q235" s="1"/>
      <c r="R235" s="1"/>
    </row>
    <row r="236">
      <c r="A236" s="16" t="s">
        <v>634</v>
      </c>
      <c r="B236" s="26" t="s">
        <v>56</v>
      </c>
      <c r="C236" s="16">
        <v>1.0</v>
      </c>
      <c r="D236" s="18">
        <v>14.99</v>
      </c>
      <c r="E236" s="18">
        <v>0.0</v>
      </c>
      <c r="F236" s="18">
        <f t="shared" si="5"/>
        <v>14.99</v>
      </c>
      <c r="G236" s="16">
        <v>8.0</v>
      </c>
      <c r="H236" s="18">
        <f t="shared" si="6"/>
        <v>0</v>
      </c>
      <c r="I236" s="7"/>
      <c r="J236" s="7"/>
      <c r="K236" s="1"/>
      <c r="L236" s="1"/>
      <c r="M236" s="1"/>
      <c r="N236" s="1"/>
      <c r="O236" s="1"/>
      <c r="P236" s="1"/>
      <c r="Q236" s="1"/>
      <c r="R236" s="1"/>
    </row>
    <row r="237">
      <c r="A237" s="16" t="s">
        <v>399</v>
      </c>
      <c r="B237" s="26" t="s">
        <v>394</v>
      </c>
      <c r="C237" s="16">
        <v>1.0</v>
      </c>
      <c r="D237" s="18">
        <v>19.99</v>
      </c>
      <c r="E237" s="18">
        <v>3.99</v>
      </c>
      <c r="F237" s="18">
        <f t="shared" si="5"/>
        <v>16</v>
      </c>
      <c r="G237" s="16">
        <v>8.0</v>
      </c>
      <c r="H237" s="18">
        <f t="shared" si="6"/>
        <v>0.49875</v>
      </c>
      <c r="I237" s="7"/>
      <c r="J237" s="7"/>
      <c r="K237" s="1"/>
      <c r="L237" s="1"/>
      <c r="M237" s="1"/>
      <c r="N237" s="1"/>
      <c r="O237" s="1"/>
      <c r="P237" s="1"/>
      <c r="Q237" s="1"/>
      <c r="R237" s="1"/>
    </row>
    <row r="238">
      <c r="A238" s="16" t="s">
        <v>354</v>
      </c>
      <c r="B238" s="26" t="s">
        <v>47</v>
      </c>
      <c r="C238" s="16">
        <v>1.0</v>
      </c>
      <c r="D238" s="18">
        <v>12.99</v>
      </c>
      <c r="E238" s="18">
        <v>4.49</v>
      </c>
      <c r="F238" s="18">
        <f t="shared" si="5"/>
        <v>8.5</v>
      </c>
      <c r="G238" s="16">
        <v>8.0</v>
      </c>
      <c r="H238" s="18">
        <f t="shared" si="6"/>
        <v>0.56125</v>
      </c>
      <c r="I238" s="7"/>
      <c r="J238" s="7"/>
      <c r="K238" s="1"/>
      <c r="L238" s="1"/>
      <c r="M238" s="1"/>
      <c r="N238" s="1"/>
      <c r="O238" s="1"/>
      <c r="P238" s="1"/>
      <c r="Q238" s="1"/>
      <c r="R238" s="1"/>
    </row>
    <row r="239">
      <c r="A239" s="16" t="s">
        <v>451</v>
      </c>
      <c r="B239" s="26" t="s">
        <v>452</v>
      </c>
      <c r="C239" s="16">
        <v>1.0</v>
      </c>
      <c r="D239" s="18">
        <v>14.99</v>
      </c>
      <c r="E239" s="18">
        <v>9.99</v>
      </c>
      <c r="F239" s="18">
        <f t="shared" si="5"/>
        <v>5</v>
      </c>
      <c r="G239" s="16">
        <v>8.0</v>
      </c>
      <c r="H239" s="18">
        <f t="shared" si="6"/>
        <v>1.24875</v>
      </c>
      <c r="I239" s="7"/>
      <c r="J239" s="7"/>
      <c r="K239" s="1"/>
      <c r="L239" s="1"/>
      <c r="M239" s="1"/>
      <c r="N239" s="1"/>
      <c r="O239" s="1"/>
      <c r="P239" s="1"/>
      <c r="Q239" s="1"/>
      <c r="R239" s="1"/>
    </row>
    <row r="240">
      <c r="A240" s="26" t="s">
        <v>583</v>
      </c>
      <c r="B240" s="26" t="s">
        <v>56</v>
      </c>
      <c r="C240" s="26">
        <v>1.0</v>
      </c>
      <c r="D240" s="14">
        <v>19.99</v>
      </c>
      <c r="E240" s="14">
        <v>13.99</v>
      </c>
      <c r="F240" s="14">
        <f t="shared" si="5"/>
        <v>6</v>
      </c>
      <c r="G240" s="26">
        <v>8.0</v>
      </c>
      <c r="H240" s="18">
        <f t="shared" si="6"/>
        <v>1.74875</v>
      </c>
      <c r="I240" s="7"/>
      <c r="J240" s="7"/>
      <c r="K240" s="1"/>
      <c r="L240" s="1"/>
      <c r="M240" s="1"/>
      <c r="N240" s="1"/>
      <c r="O240" s="1"/>
      <c r="P240" s="1"/>
      <c r="Q240" s="1"/>
      <c r="R240" s="1"/>
    </row>
    <row r="241">
      <c r="A241" s="16" t="s">
        <v>602</v>
      </c>
      <c r="B241" s="26" t="s">
        <v>56</v>
      </c>
      <c r="C241" s="16">
        <v>1.0</v>
      </c>
      <c r="D241" s="18">
        <v>28.98</v>
      </c>
      <c r="E241" s="18">
        <v>14.98</v>
      </c>
      <c r="F241" s="18">
        <f t="shared" si="5"/>
        <v>14</v>
      </c>
      <c r="G241" s="16">
        <v>8.0</v>
      </c>
      <c r="H241" s="18">
        <f t="shared" si="6"/>
        <v>1.8725</v>
      </c>
      <c r="I241" s="7"/>
      <c r="J241" s="7"/>
      <c r="K241" s="1"/>
      <c r="L241" s="1"/>
      <c r="M241" s="1"/>
      <c r="N241" s="1"/>
      <c r="O241" s="1"/>
      <c r="P241" s="1"/>
      <c r="Q241" s="1"/>
      <c r="R241" s="1"/>
    </row>
    <row r="242">
      <c r="A242" s="16" t="s">
        <v>297</v>
      </c>
      <c r="B242" s="26" t="s">
        <v>36</v>
      </c>
      <c r="C242" s="16">
        <v>2.0</v>
      </c>
      <c r="D242" s="115">
        <v>19.98</v>
      </c>
      <c r="E242" s="115">
        <v>19.98</v>
      </c>
      <c r="F242" s="18">
        <f t="shared" si="5"/>
        <v>0</v>
      </c>
      <c r="G242" s="26">
        <v>8.0</v>
      </c>
      <c r="H242" s="18">
        <f t="shared" si="6"/>
        <v>2.4975</v>
      </c>
      <c r="I242" s="7"/>
      <c r="J242" s="7"/>
      <c r="K242" s="1"/>
      <c r="L242" s="1"/>
      <c r="M242" s="1"/>
      <c r="N242" s="1"/>
      <c r="O242" s="1"/>
      <c r="P242" s="1"/>
      <c r="Q242" s="1"/>
      <c r="R242" s="1"/>
    </row>
    <row r="243">
      <c r="A243" s="16" t="s">
        <v>341</v>
      </c>
      <c r="B243" s="26" t="s">
        <v>333</v>
      </c>
      <c r="C243" s="16">
        <v>3.0</v>
      </c>
      <c r="D243" s="141">
        <v>29.99</v>
      </c>
      <c r="E243" s="141">
        <v>29.99</v>
      </c>
      <c r="F243" s="14">
        <f t="shared" si="5"/>
        <v>0</v>
      </c>
      <c r="G243" s="26">
        <v>8.0</v>
      </c>
      <c r="H243" s="18">
        <f t="shared" si="6"/>
        <v>3.74875</v>
      </c>
      <c r="I243" s="7"/>
      <c r="J243" s="7"/>
      <c r="K243" s="1"/>
      <c r="L243" s="1"/>
      <c r="M243" s="1"/>
      <c r="N243" s="1"/>
      <c r="O243" s="1"/>
      <c r="P243" s="1"/>
      <c r="Q243" s="1"/>
      <c r="R243" s="1"/>
    </row>
    <row r="244">
      <c r="A244" s="26" t="s">
        <v>42</v>
      </c>
      <c r="B244" s="26" t="s">
        <v>36</v>
      </c>
      <c r="C244" s="16">
        <v>1.0</v>
      </c>
      <c r="D244" s="14">
        <v>17.99</v>
      </c>
      <c r="E244" s="14">
        <v>0.0</v>
      </c>
      <c r="F244" s="14">
        <v>17.99</v>
      </c>
      <c r="G244" s="26">
        <v>7.0</v>
      </c>
      <c r="H244" s="14">
        <v>0.0</v>
      </c>
      <c r="I244" s="7"/>
      <c r="J244" s="7"/>
      <c r="K244" s="1"/>
      <c r="L244" s="1"/>
      <c r="M244" s="1"/>
      <c r="N244" s="1"/>
      <c r="O244" s="1"/>
      <c r="P244" s="1"/>
      <c r="Q244" s="1"/>
      <c r="R244" s="1"/>
    </row>
    <row r="245">
      <c r="A245" s="16" t="s">
        <v>309</v>
      </c>
      <c r="B245" s="26" t="s">
        <v>36</v>
      </c>
      <c r="C245" s="16">
        <v>1.0</v>
      </c>
      <c r="D245" s="18">
        <v>19.99</v>
      </c>
      <c r="E245" s="18">
        <v>0.5</v>
      </c>
      <c r="F245" s="18">
        <f t="shared" ref="F245:F547" si="7">D245-E245</f>
        <v>19.49</v>
      </c>
      <c r="G245" s="16">
        <v>7.0</v>
      </c>
      <c r="H245" s="18">
        <f t="shared" ref="H245:H547" si="8">E245/G245</f>
        <v>0.07142857143</v>
      </c>
      <c r="I245" s="7"/>
      <c r="J245" s="7"/>
      <c r="K245" s="1"/>
      <c r="L245" s="1"/>
      <c r="M245" s="1"/>
      <c r="N245" s="1"/>
      <c r="O245" s="1"/>
      <c r="P245" s="1"/>
      <c r="Q245" s="1"/>
      <c r="R245" s="1"/>
    </row>
    <row r="246">
      <c r="A246" s="16" t="s">
        <v>424</v>
      </c>
      <c r="B246" s="26" t="s">
        <v>50</v>
      </c>
      <c r="C246" s="16">
        <v>1.0</v>
      </c>
      <c r="D246" s="18">
        <v>4.99</v>
      </c>
      <c r="E246" s="18">
        <v>1.99</v>
      </c>
      <c r="F246" s="18">
        <f t="shared" si="7"/>
        <v>3</v>
      </c>
      <c r="G246" s="16">
        <v>7.0</v>
      </c>
      <c r="H246" s="18">
        <f t="shared" si="8"/>
        <v>0.2842857143</v>
      </c>
      <c r="I246" s="7"/>
      <c r="J246" s="7"/>
      <c r="K246" s="1"/>
      <c r="L246" s="1"/>
      <c r="M246" s="1"/>
      <c r="N246" s="1"/>
      <c r="O246" s="1"/>
      <c r="P246" s="1"/>
      <c r="Q246" s="1"/>
      <c r="R246" s="1"/>
    </row>
    <row r="247">
      <c r="A247" s="16" t="s">
        <v>251</v>
      </c>
      <c r="B247" s="26" t="s">
        <v>36</v>
      </c>
      <c r="C247" s="16">
        <v>2.0</v>
      </c>
      <c r="D247" s="115">
        <v>25.98</v>
      </c>
      <c r="E247" s="115">
        <v>4.99</v>
      </c>
      <c r="F247" s="18">
        <f t="shared" si="7"/>
        <v>20.99</v>
      </c>
      <c r="G247" s="26">
        <v>7.0</v>
      </c>
      <c r="H247" s="18">
        <f t="shared" si="8"/>
        <v>0.7128571429</v>
      </c>
      <c r="I247" s="7"/>
      <c r="J247" s="7"/>
      <c r="K247" s="1"/>
      <c r="L247" s="1"/>
      <c r="M247" s="1"/>
      <c r="N247" s="1"/>
      <c r="O247" s="1"/>
      <c r="P247" s="1"/>
      <c r="Q247" s="1"/>
      <c r="R247" s="1"/>
    </row>
    <row r="248">
      <c r="A248" s="16" t="s">
        <v>566</v>
      </c>
      <c r="B248" s="26" t="s">
        <v>56</v>
      </c>
      <c r="C248" s="16">
        <v>1.0</v>
      </c>
      <c r="D248" s="18">
        <v>10.99</v>
      </c>
      <c r="E248" s="18">
        <v>10.99</v>
      </c>
      <c r="F248" s="18">
        <f t="shared" si="7"/>
        <v>0</v>
      </c>
      <c r="G248" s="16">
        <v>7.0</v>
      </c>
      <c r="H248" s="18">
        <f t="shared" si="8"/>
        <v>1.57</v>
      </c>
      <c r="I248" s="7"/>
      <c r="J248" s="7"/>
      <c r="K248" s="1"/>
      <c r="L248" s="1"/>
      <c r="M248" s="1"/>
      <c r="N248" s="1"/>
      <c r="O248" s="1"/>
      <c r="P248" s="1"/>
      <c r="Q248" s="1"/>
      <c r="R248" s="1"/>
    </row>
    <row r="249">
      <c r="A249" s="26" t="s">
        <v>249</v>
      </c>
      <c r="B249" s="26" t="s">
        <v>36</v>
      </c>
      <c r="C249" s="16">
        <v>1.0</v>
      </c>
      <c r="D249" s="115">
        <v>29.99</v>
      </c>
      <c r="E249" s="18">
        <v>0.0</v>
      </c>
      <c r="F249" s="18">
        <f t="shared" si="7"/>
        <v>29.99</v>
      </c>
      <c r="G249" s="26">
        <v>6.0</v>
      </c>
      <c r="H249" s="18">
        <f t="shared" si="8"/>
        <v>0</v>
      </c>
      <c r="I249" s="7"/>
      <c r="J249" s="7"/>
      <c r="K249" s="1"/>
      <c r="L249" s="1"/>
      <c r="M249" s="1"/>
      <c r="N249" s="1"/>
      <c r="O249" s="1"/>
      <c r="P249" s="1"/>
      <c r="Q249" s="1"/>
      <c r="R249" s="1"/>
    </row>
    <row r="250">
      <c r="A250" s="16" t="s">
        <v>651</v>
      </c>
      <c r="B250" s="26" t="s">
        <v>56</v>
      </c>
      <c r="C250" s="16">
        <v>1.0</v>
      </c>
      <c r="D250" s="18">
        <v>16.99</v>
      </c>
      <c r="E250" s="18">
        <v>0.0</v>
      </c>
      <c r="F250" s="18">
        <f t="shared" si="7"/>
        <v>16.99</v>
      </c>
      <c r="G250" s="16">
        <v>6.0</v>
      </c>
      <c r="H250" s="18">
        <f t="shared" si="8"/>
        <v>0</v>
      </c>
      <c r="I250" s="7"/>
      <c r="J250" s="7"/>
      <c r="K250" s="1"/>
      <c r="L250" s="1"/>
      <c r="M250" s="1"/>
      <c r="N250" s="1"/>
      <c r="O250" s="1"/>
      <c r="P250" s="1"/>
      <c r="Q250" s="1"/>
      <c r="R250" s="1"/>
    </row>
    <row r="251">
      <c r="A251" s="16" t="s">
        <v>290</v>
      </c>
      <c r="B251" s="26" t="s">
        <v>36</v>
      </c>
      <c r="C251" s="16">
        <v>1.0</v>
      </c>
      <c r="D251" s="18">
        <v>13.99</v>
      </c>
      <c r="E251" s="18">
        <v>2.99</v>
      </c>
      <c r="F251" s="18">
        <f t="shared" si="7"/>
        <v>11</v>
      </c>
      <c r="G251" s="16">
        <v>6.0</v>
      </c>
      <c r="H251" s="18">
        <f t="shared" si="8"/>
        <v>0.4983333333</v>
      </c>
      <c r="I251" s="7"/>
      <c r="J251" s="7"/>
      <c r="K251" s="1"/>
      <c r="L251" s="1"/>
      <c r="M251" s="1"/>
      <c r="N251" s="1"/>
      <c r="O251" s="1"/>
      <c r="P251" s="1"/>
      <c r="Q251" s="1"/>
      <c r="R251" s="1"/>
    </row>
    <row r="252">
      <c r="A252" s="16" t="s">
        <v>225</v>
      </c>
      <c r="B252" s="26" t="s">
        <v>226</v>
      </c>
      <c r="C252" s="16">
        <v>1.0</v>
      </c>
      <c r="D252" s="18">
        <v>7.99</v>
      </c>
      <c r="E252" s="18">
        <v>2.99</v>
      </c>
      <c r="F252" s="18">
        <f t="shared" si="7"/>
        <v>5</v>
      </c>
      <c r="G252" s="16">
        <v>6.0</v>
      </c>
      <c r="H252" s="18">
        <f t="shared" si="8"/>
        <v>0.4983333333</v>
      </c>
      <c r="I252" s="7"/>
      <c r="J252" s="7"/>
      <c r="K252" s="1"/>
      <c r="L252" s="1"/>
      <c r="M252" s="1"/>
      <c r="N252" s="1"/>
      <c r="O252" s="1"/>
      <c r="P252" s="1"/>
      <c r="Q252" s="1"/>
      <c r="R252" s="1"/>
    </row>
    <row r="253">
      <c r="A253" s="26" t="s">
        <v>279</v>
      </c>
      <c r="B253" s="26" t="s">
        <v>36</v>
      </c>
      <c r="C253" s="16">
        <v>1.0</v>
      </c>
      <c r="D253" s="14">
        <v>19.99</v>
      </c>
      <c r="E253" s="14">
        <v>3.99</v>
      </c>
      <c r="F253" s="14">
        <f t="shared" si="7"/>
        <v>16</v>
      </c>
      <c r="G253" s="26">
        <v>6.0</v>
      </c>
      <c r="H253" s="14">
        <f t="shared" si="8"/>
        <v>0.665</v>
      </c>
      <c r="I253" s="7"/>
      <c r="J253" s="7"/>
      <c r="K253" s="1"/>
      <c r="L253" s="1"/>
      <c r="M253" s="1"/>
      <c r="N253" s="1"/>
      <c r="O253" s="1"/>
      <c r="P253" s="1"/>
      <c r="Q253" s="1"/>
      <c r="R253" s="1"/>
    </row>
    <row r="254">
      <c r="A254" s="16" t="s">
        <v>260</v>
      </c>
      <c r="B254" s="26" t="s">
        <v>36</v>
      </c>
      <c r="C254" s="16">
        <v>2.0</v>
      </c>
      <c r="D254" s="115">
        <v>16.98</v>
      </c>
      <c r="E254" s="115">
        <v>4.98</v>
      </c>
      <c r="F254" s="18">
        <f t="shared" si="7"/>
        <v>12</v>
      </c>
      <c r="G254" s="26">
        <v>6.0</v>
      </c>
      <c r="H254" s="18">
        <f t="shared" si="8"/>
        <v>0.83</v>
      </c>
      <c r="I254" s="7"/>
      <c r="J254" s="7"/>
      <c r="K254" s="1"/>
      <c r="L254" s="1"/>
      <c r="M254" s="1"/>
      <c r="N254" s="1"/>
      <c r="O254" s="1"/>
      <c r="P254" s="1"/>
      <c r="Q254" s="1"/>
      <c r="R254" s="1"/>
    </row>
    <row r="255">
      <c r="A255" s="16" t="s">
        <v>568</v>
      </c>
      <c r="B255" s="26" t="s">
        <v>56</v>
      </c>
      <c r="C255" s="16">
        <v>1.0</v>
      </c>
      <c r="D255" s="18">
        <v>12.99</v>
      </c>
      <c r="E255" s="18">
        <v>6.49</v>
      </c>
      <c r="F255" s="18">
        <f t="shared" si="7"/>
        <v>6.5</v>
      </c>
      <c r="G255" s="16">
        <v>6.0</v>
      </c>
      <c r="H255" s="18">
        <f t="shared" si="8"/>
        <v>1.081666667</v>
      </c>
      <c r="I255" s="7"/>
      <c r="J255" s="7"/>
      <c r="K255" s="1"/>
      <c r="L255" s="1"/>
      <c r="M255" s="1"/>
      <c r="N255" s="1"/>
      <c r="O255" s="1"/>
      <c r="P255" s="1"/>
      <c r="Q255" s="1"/>
      <c r="R255" s="1"/>
    </row>
    <row r="256">
      <c r="A256" s="16" t="s">
        <v>153</v>
      </c>
      <c r="B256" s="26" t="s">
        <v>137</v>
      </c>
      <c r="C256" s="16">
        <v>1.0</v>
      </c>
      <c r="D256" s="18">
        <v>13.99</v>
      </c>
      <c r="E256" s="18">
        <v>6.99</v>
      </c>
      <c r="F256" s="18">
        <f t="shared" si="7"/>
        <v>7</v>
      </c>
      <c r="G256" s="16">
        <v>6.0</v>
      </c>
      <c r="H256" s="18">
        <f t="shared" si="8"/>
        <v>1.165</v>
      </c>
      <c r="I256" s="7"/>
      <c r="J256" s="7"/>
      <c r="K256" s="1"/>
      <c r="L256" s="1"/>
      <c r="M256" s="1"/>
      <c r="N256" s="1"/>
      <c r="O256" s="1"/>
      <c r="P256" s="1"/>
      <c r="Q256" s="1"/>
      <c r="R256" s="1"/>
    </row>
    <row r="257">
      <c r="A257" s="16" t="s">
        <v>348</v>
      </c>
      <c r="B257" s="26" t="s">
        <v>47</v>
      </c>
      <c r="C257" s="16">
        <v>1.0</v>
      </c>
      <c r="D257" s="18">
        <v>19.99</v>
      </c>
      <c r="E257" s="18">
        <v>7.49</v>
      </c>
      <c r="F257" s="18">
        <f t="shared" si="7"/>
        <v>12.5</v>
      </c>
      <c r="G257" s="16">
        <v>6.0</v>
      </c>
      <c r="H257" s="18">
        <f t="shared" si="8"/>
        <v>1.248333333</v>
      </c>
      <c r="I257" s="7"/>
      <c r="J257" s="7"/>
      <c r="K257" s="1"/>
      <c r="L257" s="1"/>
      <c r="M257" s="1"/>
      <c r="N257" s="1"/>
      <c r="O257" s="1"/>
      <c r="P257" s="1"/>
      <c r="Q257" s="1"/>
      <c r="R257" s="1"/>
    </row>
    <row r="258">
      <c r="A258" s="16" t="s">
        <v>682</v>
      </c>
      <c r="B258" s="26" t="s">
        <v>56</v>
      </c>
      <c r="C258" s="26">
        <v>2.0</v>
      </c>
      <c r="D258" s="115">
        <v>25.98</v>
      </c>
      <c r="E258" s="115">
        <v>7.58</v>
      </c>
      <c r="F258" s="18">
        <f t="shared" si="7"/>
        <v>18.4</v>
      </c>
      <c r="G258" s="26">
        <v>6.0</v>
      </c>
      <c r="H258" s="18">
        <f t="shared" si="8"/>
        <v>1.263333333</v>
      </c>
      <c r="I258" s="7"/>
      <c r="J258" s="7"/>
      <c r="K258" s="1"/>
      <c r="L258" s="1"/>
      <c r="M258" s="1"/>
      <c r="N258" s="1"/>
      <c r="O258" s="1"/>
      <c r="P258" s="1"/>
      <c r="Q258" s="1"/>
      <c r="R258" s="1"/>
    </row>
    <row r="259">
      <c r="A259" s="16" t="s">
        <v>429</v>
      </c>
      <c r="B259" s="26" t="s">
        <v>50</v>
      </c>
      <c r="C259" s="16">
        <v>1.0</v>
      </c>
      <c r="D259" s="18">
        <v>25.0</v>
      </c>
      <c r="E259" s="18">
        <v>15.0</v>
      </c>
      <c r="F259" s="18">
        <f t="shared" si="7"/>
        <v>10</v>
      </c>
      <c r="G259" s="16">
        <v>6.0</v>
      </c>
      <c r="H259" s="18">
        <f t="shared" si="8"/>
        <v>2.5</v>
      </c>
      <c r="I259" s="7"/>
      <c r="J259" s="7"/>
      <c r="K259" s="1"/>
      <c r="L259" s="1"/>
      <c r="M259" s="1"/>
      <c r="N259" s="1"/>
      <c r="O259" s="1"/>
      <c r="P259" s="1"/>
      <c r="Q259" s="1"/>
      <c r="R259" s="1"/>
    </row>
    <row r="260">
      <c r="A260" s="16" t="s">
        <v>716</v>
      </c>
      <c r="B260" s="26" t="s">
        <v>715</v>
      </c>
      <c r="C260" s="16">
        <v>3.0</v>
      </c>
      <c r="D260" s="115">
        <v>34.99</v>
      </c>
      <c r="E260" s="115">
        <v>17.49</v>
      </c>
      <c r="F260" s="18">
        <f t="shared" si="7"/>
        <v>17.5</v>
      </c>
      <c r="G260" s="26">
        <v>6.0</v>
      </c>
      <c r="H260" s="18">
        <f t="shared" si="8"/>
        <v>2.915</v>
      </c>
      <c r="I260" s="7"/>
      <c r="J260" s="7"/>
      <c r="K260" s="1"/>
      <c r="L260" s="1"/>
      <c r="M260" s="1"/>
      <c r="N260" s="1"/>
      <c r="O260" s="1"/>
      <c r="P260" s="1"/>
      <c r="Q260" s="1"/>
      <c r="R260" s="1"/>
    </row>
    <row r="261">
      <c r="A261" s="16" t="s">
        <v>298</v>
      </c>
      <c r="B261" s="26" t="s">
        <v>36</v>
      </c>
      <c r="C261" s="16">
        <v>6.0</v>
      </c>
      <c r="D261" s="115">
        <v>94.93</v>
      </c>
      <c r="E261" s="115">
        <v>19.43</v>
      </c>
      <c r="F261" s="18">
        <f t="shared" si="7"/>
        <v>75.5</v>
      </c>
      <c r="G261" s="26">
        <v>6.0</v>
      </c>
      <c r="H261" s="18">
        <f t="shared" si="8"/>
        <v>3.238333333</v>
      </c>
      <c r="I261" s="7"/>
      <c r="J261" s="7"/>
      <c r="K261" s="1"/>
      <c r="L261" s="1"/>
      <c r="M261" s="1"/>
      <c r="N261" s="1"/>
      <c r="O261" s="1"/>
      <c r="P261" s="1"/>
      <c r="Q261" s="1"/>
      <c r="R261" s="1"/>
    </row>
    <row r="262">
      <c r="A262" s="16" t="s">
        <v>253</v>
      </c>
      <c r="B262" s="26" t="s">
        <v>36</v>
      </c>
      <c r="C262" s="16">
        <v>2.0</v>
      </c>
      <c r="D262" s="115">
        <v>43.97</v>
      </c>
      <c r="E262" s="115">
        <v>27.57</v>
      </c>
      <c r="F262" s="18">
        <f t="shared" si="7"/>
        <v>16.4</v>
      </c>
      <c r="G262" s="26">
        <v>6.0</v>
      </c>
      <c r="H262" s="18">
        <f t="shared" si="8"/>
        <v>4.595</v>
      </c>
      <c r="I262" s="7"/>
      <c r="J262" s="7"/>
      <c r="K262" s="1"/>
      <c r="L262" s="1"/>
      <c r="M262" s="1"/>
      <c r="N262" s="1"/>
      <c r="O262" s="1"/>
      <c r="P262" s="1"/>
      <c r="Q262" s="1"/>
      <c r="R262" s="1"/>
    </row>
    <row r="263">
      <c r="A263" s="16" t="s">
        <v>516</v>
      </c>
      <c r="B263" s="26" t="s">
        <v>515</v>
      </c>
      <c r="C263" s="16">
        <v>1.0</v>
      </c>
      <c r="D263" s="18">
        <v>15.99</v>
      </c>
      <c r="E263" s="18">
        <v>0.0</v>
      </c>
      <c r="F263" s="18">
        <f t="shared" si="7"/>
        <v>15.99</v>
      </c>
      <c r="G263" s="16">
        <v>5.0</v>
      </c>
      <c r="H263" s="18">
        <f t="shared" si="8"/>
        <v>0</v>
      </c>
      <c r="I263" s="7"/>
      <c r="J263" s="7"/>
      <c r="K263" s="1"/>
      <c r="L263" s="1"/>
      <c r="M263" s="1"/>
      <c r="N263" s="1"/>
      <c r="O263" s="1"/>
      <c r="P263" s="1"/>
      <c r="Q263" s="1"/>
      <c r="R263" s="1"/>
    </row>
    <row r="264">
      <c r="A264" s="16" t="s">
        <v>457</v>
      </c>
      <c r="B264" s="26" t="s">
        <v>53</v>
      </c>
      <c r="C264" s="16">
        <v>1.0</v>
      </c>
      <c r="D264" s="18">
        <v>2.49</v>
      </c>
      <c r="E264" s="18">
        <v>2.49</v>
      </c>
      <c r="F264" s="18">
        <f t="shared" si="7"/>
        <v>0</v>
      </c>
      <c r="G264" s="16">
        <v>5.0</v>
      </c>
      <c r="H264" s="18">
        <f t="shared" si="8"/>
        <v>0.498</v>
      </c>
      <c r="I264" s="7"/>
      <c r="J264" s="7"/>
      <c r="K264" s="1"/>
      <c r="L264" s="1"/>
      <c r="M264" s="1"/>
      <c r="N264" s="1"/>
      <c r="O264" s="1"/>
      <c r="P264" s="1"/>
      <c r="Q264" s="1"/>
      <c r="R264" s="1"/>
    </row>
    <row r="265">
      <c r="A265" s="16" t="s">
        <v>342</v>
      </c>
      <c r="B265" s="26" t="s">
        <v>47</v>
      </c>
      <c r="C265" s="16">
        <v>1.0</v>
      </c>
      <c r="D265" s="18">
        <v>24.99</v>
      </c>
      <c r="E265" s="18">
        <v>3.0</v>
      </c>
      <c r="F265" s="18">
        <f t="shared" si="7"/>
        <v>21.99</v>
      </c>
      <c r="G265" s="16">
        <v>5.0</v>
      </c>
      <c r="H265" s="18">
        <f t="shared" si="8"/>
        <v>0.6</v>
      </c>
      <c r="I265" s="7"/>
      <c r="J265" s="7"/>
      <c r="K265" s="1"/>
      <c r="L265" s="1"/>
      <c r="M265" s="1"/>
      <c r="N265" s="1"/>
      <c r="O265" s="1"/>
      <c r="P265" s="1"/>
      <c r="Q265" s="1"/>
      <c r="R265" s="1"/>
    </row>
    <row r="266">
      <c r="A266" s="16" t="s">
        <v>178</v>
      </c>
      <c r="B266" s="26" t="s">
        <v>39</v>
      </c>
      <c r="C266" s="16">
        <v>1.0</v>
      </c>
      <c r="D266" s="18">
        <v>14.99</v>
      </c>
      <c r="E266" s="18">
        <v>3.5</v>
      </c>
      <c r="F266" s="18">
        <f t="shared" si="7"/>
        <v>11.49</v>
      </c>
      <c r="G266" s="16">
        <v>5.0</v>
      </c>
      <c r="H266" s="18">
        <f t="shared" si="8"/>
        <v>0.7</v>
      </c>
      <c r="I266" s="7"/>
      <c r="J266" s="7"/>
      <c r="K266" s="1"/>
      <c r="L266" s="1"/>
      <c r="M266" s="1"/>
      <c r="N266" s="1"/>
      <c r="O266" s="1"/>
      <c r="P266" s="1"/>
      <c r="Q266" s="1"/>
      <c r="R266" s="1"/>
    </row>
    <row r="267">
      <c r="A267" s="16" t="s">
        <v>264</v>
      </c>
      <c r="B267" s="26" t="s">
        <v>36</v>
      </c>
      <c r="C267" s="16">
        <v>1.0</v>
      </c>
      <c r="D267" s="18">
        <v>3.59</v>
      </c>
      <c r="E267" s="18">
        <v>3.59</v>
      </c>
      <c r="F267" s="18">
        <f t="shared" si="7"/>
        <v>0</v>
      </c>
      <c r="G267" s="16">
        <v>5.0</v>
      </c>
      <c r="H267" s="18">
        <f t="shared" si="8"/>
        <v>0.718</v>
      </c>
      <c r="I267" s="7"/>
      <c r="J267" s="7"/>
      <c r="K267" s="1"/>
      <c r="L267" s="1"/>
      <c r="M267" s="1"/>
      <c r="N267" s="1"/>
      <c r="O267" s="1"/>
      <c r="P267" s="1"/>
      <c r="Q267" s="1"/>
      <c r="R267" s="1"/>
    </row>
    <row r="268">
      <c r="A268" s="16" t="s">
        <v>287</v>
      </c>
      <c r="B268" s="26" t="s">
        <v>36</v>
      </c>
      <c r="C268" s="16">
        <v>1.0</v>
      </c>
      <c r="D268" s="18">
        <v>14.99</v>
      </c>
      <c r="E268" s="18">
        <v>3.99</v>
      </c>
      <c r="F268" s="18">
        <f t="shared" si="7"/>
        <v>11</v>
      </c>
      <c r="G268" s="16">
        <v>5.0</v>
      </c>
      <c r="H268" s="18">
        <f t="shared" si="8"/>
        <v>0.798</v>
      </c>
      <c r="I268" s="7"/>
      <c r="J268" s="7"/>
      <c r="K268" s="1"/>
      <c r="L268" s="1"/>
      <c r="M268" s="1"/>
      <c r="N268" s="1"/>
      <c r="O268" s="1"/>
      <c r="P268" s="1"/>
      <c r="Q268" s="1"/>
      <c r="R268" s="1"/>
    </row>
    <row r="269">
      <c r="A269" s="16" t="s">
        <v>204</v>
      </c>
      <c r="B269" s="26" t="s">
        <v>39</v>
      </c>
      <c r="C269" s="16">
        <v>1.0</v>
      </c>
      <c r="D269" s="18">
        <v>14.99</v>
      </c>
      <c r="E269" s="18">
        <v>3.99</v>
      </c>
      <c r="F269" s="18">
        <f t="shared" si="7"/>
        <v>11</v>
      </c>
      <c r="G269" s="16">
        <v>5.0</v>
      </c>
      <c r="H269" s="18">
        <f t="shared" si="8"/>
        <v>0.798</v>
      </c>
      <c r="I269" s="7"/>
      <c r="J269" s="7"/>
      <c r="K269" s="1"/>
      <c r="L269" s="1"/>
      <c r="M269" s="1"/>
      <c r="N269" s="1"/>
      <c r="O269" s="1"/>
      <c r="P269" s="1"/>
      <c r="Q269" s="1"/>
      <c r="R269" s="1"/>
    </row>
    <row r="270">
      <c r="A270" s="16" t="s">
        <v>430</v>
      </c>
      <c r="B270" s="26" t="s">
        <v>50</v>
      </c>
      <c r="C270" s="16">
        <v>1.0</v>
      </c>
      <c r="D270" s="18">
        <v>14.99</v>
      </c>
      <c r="E270" s="18">
        <v>4.0</v>
      </c>
      <c r="F270" s="18">
        <f t="shared" si="7"/>
        <v>10.99</v>
      </c>
      <c r="G270" s="16">
        <v>5.0</v>
      </c>
      <c r="H270" s="18">
        <f t="shared" si="8"/>
        <v>0.8</v>
      </c>
      <c r="I270" s="7"/>
      <c r="J270" s="7"/>
      <c r="K270" s="1"/>
      <c r="L270" s="1"/>
      <c r="M270" s="1"/>
      <c r="N270" s="1"/>
      <c r="O270" s="1"/>
      <c r="P270" s="1"/>
      <c r="Q270" s="1"/>
      <c r="R270" s="1"/>
    </row>
    <row r="271">
      <c r="A271" s="16" t="s">
        <v>590</v>
      </c>
      <c r="B271" s="26" t="s">
        <v>56</v>
      </c>
      <c r="C271" s="16">
        <v>1.0</v>
      </c>
      <c r="D271" s="18">
        <v>12.99</v>
      </c>
      <c r="E271" s="18">
        <v>3.99</v>
      </c>
      <c r="F271" s="18">
        <f t="shared" si="7"/>
        <v>9</v>
      </c>
      <c r="G271" s="16">
        <v>5.0</v>
      </c>
      <c r="H271" s="18">
        <f t="shared" si="8"/>
        <v>0.798</v>
      </c>
      <c r="I271" s="7"/>
      <c r="J271" s="7"/>
      <c r="K271" s="1"/>
      <c r="L271" s="1"/>
      <c r="M271" s="1"/>
      <c r="N271" s="1"/>
      <c r="O271" s="1"/>
      <c r="P271" s="1"/>
      <c r="Q271" s="1"/>
      <c r="R271" s="1"/>
    </row>
    <row r="272">
      <c r="A272" s="16" t="s">
        <v>256</v>
      </c>
      <c r="B272" s="26" t="s">
        <v>36</v>
      </c>
      <c r="C272" s="16">
        <v>1.0</v>
      </c>
      <c r="D272" s="18">
        <v>5.99</v>
      </c>
      <c r="E272" s="18">
        <v>4.19</v>
      </c>
      <c r="F272" s="18">
        <f t="shared" si="7"/>
        <v>1.8</v>
      </c>
      <c r="G272" s="16">
        <v>5.0</v>
      </c>
      <c r="H272" s="18">
        <f t="shared" si="8"/>
        <v>0.838</v>
      </c>
      <c r="I272" s="7"/>
      <c r="J272" s="7"/>
      <c r="K272" s="1"/>
      <c r="L272" s="1"/>
      <c r="M272" s="1"/>
      <c r="N272" s="1"/>
      <c r="O272" s="1"/>
      <c r="P272" s="1"/>
      <c r="Q272" s="1"/>
      <c r="R272" s="1"/>
    </row>
    <row r="273">
      <c r="A273" s="16" t="s">
        <v>255</v>
      </c>
      <c r="B273" s="26" t="s">
        <v>36</v>
      </c>
      <c r="C273" s="16">
        <v>1.0</v>
      </c>
      <c r="D273" s="18">
        <v>4.99</v>
      </c>
      <c r="E273" s="18">
        <v>4.99</v>
      </c>
      <c r="F273" s="18">
        <f t="shared" si="7"/>
        <v>0</v>
      </c>
      <c r="G273" s="16">
        <v>5.0</v>
      </c>
      <c r="H273" s="18">
        <f t="shared" si="8"/>
        <v>0.998</v>
      </c>
      <c r="I273" s="7"/>
      <c r="J273" s="7"/>
      <c r="K273" s="1"/>
      <c r="L273" s="1"/>
      <c r="M273" s="1"/>
      <c r="N273" s="1"/>
      <c r="O273" s="1"/>
      <c r="P273" s="1"/>
      <c r="Q273" s="1"/>
      <c r="R273" s="1"/>
    </row>
    <row r="274">
      <c r="A274" s="16" t="s">
        <v>373</v>
      </c>
      <c r="B274" s="26" t="s">
        <v>367</v>
      </c>
      <c r="C274" s="16">
        <v>1.0</v>
      </c>
      <c r="D274" s="18">
        <v>4.99</v>
      </c>
      <c r="E274" s="18">
        <v>4.99</v>
      </c>
      <c r="F274" s="18">
        <f t="shared" si="7"/>
        <v>0</v>
      </c>
      <c r="G274" s="16">
        <v>5.0</v>
      </c>
      <c r="H274" s="18">
        <f t="shared" si="8"/>
        <v>0.998</v>
      </c>
      <c r="I274" s="7"/>
      <c r="J274" s="7"/>
      <c r="K274" s="1"/>
      <c r="L274" s="1"/>
      <c r="M274" s="1"/>
      <c r="N274" s="1"/>
      <c r="O274" s="1"/>
      <c r="P274" s="1"/>
      <c r="Q274" s="1"/>
      <c r="R274" s="1"/>
    </row>
    <row r="275">
      <c r="A275" s="16" t="s">
        <v>503</v>
      </c>
      <c r="B275" s="26" t="s">
        <v>502</v>
      </c>
      <c r="C275" s="16">
        <v>1.0</v>
      </c>
      <c r="D275" s="18">
        <v>8.99</v>
      </c>
      <c r="E275" s="18">
        <v>5.49</v>
      </c>
      <c r="F275" s="18">
        <f t="shared" si="7"/>
        <v>3.5</v>
      </c>
      <c r="G275" s="16">
        <v>5.0</v>
      </c>
      <c r="H275" s="18">
        <f t="shared" si="8"/>
        <v>1.098</v>
      </c>
      <c r="I275" s="7"/>
      <c r="J275" s="7"/>
      <c r="K275" s="1"/>
      <c r="L275" s="1"/>
      <c r="M275" s="1"/>
      <c r="N275" s="1"/>
      <c r="O275" s="1"/>
      <c r="P275" s="1"/>
      <c r="Q275" s="1"/>
      <c r="R275" s="1"/>
    </row>
    <row r="276">
      <c r="A276" s="16" t="s">
        <v>499</v>
      </c>
      <c r="B276" s="26" t="s">
        <v>494</v>
      </c>
      <c r="C276" s="16">
        <v>1.0</v>
      </c>
      <c r="D276" s="18">
        <v>7.99</v>
      </c>
      <c r="E276" s="18">
        <v>5.59</v>
      </c>
      <c r="F276" s="18">
        <f t="shared" si="7"/>
        <v>2.4</v>
      </c>
      <c r="G276" s="16">
        <v>5.0</v>
      </c>
      <c r="H276" s="18">
        <f t="shared" si="8"/>
        <v>1.118</v>
      </c>
      <c r="I276" s="7"/>
      <c r="J276" s="7"/>
      <c r="K276" s="1"/>
      <c r="L276" s="1"/>
      <c r="M276" s="1"/>
      <c r="N276" s="1"/>
      <c r="O276" s="1"/>
      <c r="P276" s="1"/>
      <c r="Q276" s="1"/>
      <c r="R276" s="1"/>
    </row>
    <row r="277">
      <c r="A277" s="16" t="s">
        <v>478</v>
      </c>
      <c r="B277" s="26" t="s">
        <v>472</v>
      </c>
      <c r="C277" s="16">
        <v>1.0</v>
      </c>
      <c r="D277" s="18">
        <v>9.99</v>
      </c>
      <c r="E277" s="18">
        <v>5.99</v>
      </c>
      <c r="F277" s="18">
        <f t="shared" si="7"/>
        <v>4</v>
      </c>
      <c r="G277" s="16">
        <v>5.0</v>
      </c>
      <c r="H277" s="18">
        <f t="shared" si="8"/>
        <v>1.198</v>
      </c>
      <c r="I277" s="7"/>
      <c r="J277" s="7"/>
      <c r="K277" s="1"/>
      <c r="L277" s="1"/>
      <c r="M277" s="1"/>
      <c r="N277" s="1"/>
      <c r="O277" s="1"/>
      <c r="P277" s="1"/>
      <c r="Q277" s="1"/>
      <c r="R277" s="1"/>
    </row>
    <row r="278">
      <c r="A278" s="16" t="s">
        <v>520</v>
      </c>
      <c r="B278" s="26" t="s">
        <v>515</v>
      </c>
      <c r="C278" s="16">
        <v>1.0</v>
      </c>
      <c r="D278" s="18">
        <v>5.99</v>
      </c>
      <c r="E278" s="18">
        <v>5.99</v>
      </c>
      <c r="F278" s="18">
        <f t="shared" si="7"/>
        <v>0</v>
      </c>
      <c r="G278" s="16">
        <v>5.0</v>
      </c>
      <c r="H278" s="18">
        <f t="shared" si="8"/>
        <v>1.198</v>
      </c>
      <c r="I278" s="7"/>
      <c r="J278" s="7"/>
      <c r="K278" s="1"/>
      <c r="L278" s="1"/>
      <c r="M278" s="1"/>
      <c r="N278" s="1"/>
      <c r="O278" s="1"/>
      <c r="P278" s="1"/>
      <c r="Q278" s="1"/>
      <c r="R278" s="1"/>
    </row>
    <row r="279">
      <c r="A279" s="16" t="s">
        <v>189</v>
      </c>
      <c r="B279" s="26" t="s">
        <v>39</v>
      </c>
      <c r="C279" s="16">
        <v>1.0</v>
      </c>
      <c r="D279" s="18">
        <v>6.19</v>
      </c>
      <c r="E279" s="18">
        <v>6.19</v>
      </c>
      <c r="F279" s="18">
        <f t="shared" si="7"/>
        <v>0</v>
      </c>
      <c r="G279" s="16">
        <v>5.0</v>
      </c>
      <c r="H279" s="18">
        <f t="shared" si="8"/>
        <v>1.238</v>
      </c>
      <c r="I279" s="7"/>
      <c r="J279" s="7"/>
      <c r="K279" s="1"/>
      <c r="L279" s="1"/>
      <c r="M279" s="1"/>
      <c r="N279" s="1"/>
      <c r="O279" s="1"/>
      <c r="P279" s="1"/>
      <c r="Q279" s="1"/>
      <c r="R279" s="1"/>
    </row>
    <row r="280">
      <c r="A280" s="16" t="s">
        <v>628</v>
      </c>
      <c r="B280" s="26" t="s">
        <v>56</v>
      </c>
      <c r="C280" s="16">
        <v>1.0</v>
      </c>
      <c r="D280" s="18">
        <v>7.99</v>
      </c>
      <c r="E280" s="18">
        <v>7.99</v>
      </c>
      <c r="F280" s="18">
        <f t="shared" si="7"/>
        <v>0</v>
      </c>
      <c r="G280" s="16">
        <v>5.0</v>
      </c>
      <c r="H280" s="18">
        <f t="shared" si="8"/>
        <v>1.598</v>
      </c>
      <c r="I280" s="7"/>
      <c r="J280" s="7"/>
      <c r="K280" s="1"/>
      <c r="L280" s="1"/>
      <c r="M280" s="1"/>
      <c r="N280" s="1"/>
      <c r="O280" s="1"/>
      <c r="P280" s="1"/>
      <c r="Q280" s="1"/>
      <c r="R280" s="1"/>
    </row>
    <row r="281">
      <c r="A281" s="16" t="s">
        <v>582</v>
      </c>
      <c r="B281" s="26" t="s">
        <v>56</v>
      </c>
      <c r="C281" s="16">
        <v>1.0</v>
      </c>
      <c r="D281" s="18">
        <v>14.99</v>
      </c>
      <c r="E281" s="18">
        <v>8.24</v>
      </c>
      <c r="F281" s="18">
        <f t="shared" si="7"/>
        <v>6.75</v>
      </c>
      <c r="G281" s="16">
        <v>5.0</v>
      </c>
      <c r="H281" s="18">
        <f t="shared" si="8"/>
        <v>1.648</v>
      </c>
      <c r="I281" s="7"/>
      <c r="J281" s="7"/>
      <c r="K281" s="1"/>
      <c r="L281" s="1"/>
      <c r="M281" s="1"/>
      <c r="N281" s="1"/>
      <c r="O281" s="1"/>
      <c r="P281" s="1"/>
      <c r="Q281" s="1"/>
      <c r="R281" s="1"/>
    </row>
    <row r="282">
      <c r="A282" s="26" t="s">
        <v>227</v>
      </c>
      <c r="B282" s="26" t="s">
        <v>228</v>
      </c>
      <c r="C282" s="26">
        <v>4.0</v>
      </c>
      <c r="D282" s="115">
        <v>59.98</v>
      </c>
      <c r="E282" s="115">
        <v>8.98</v>
      </c>
      <c r="F282" s="18">
        <f t="shared" si="7"/>
        <v>51</v>
      </c>
      <c r="G282" s="26">
        <v>5.0</v>
      </c>
      <c r="H282" s="18">
        <f t="shared" si="8"/>
        <v>1.796</v>
      </c>
      <c r="I282" s="7"/>
      <c r="J282" s="7"/>
      <c r="K282" s="1"/>
      <c r="L282" s="1"/>
      <c r="M282" s="1"/>
      <c r="N282" s="1"/>
      <c r="O282" s="1"/>
      <c r="P282" s="1"/>
      <c r="Q282" s="1"/>
      <c r="R282" s="1"/>
    </row>
    <row r="283">
      <c r="A283" s="16" t="s">
        <v>143</v>
      </c>
      <c r="B283" s="26" t="s">
        <v>137</v>
      </c>
      <c r="C283" s="16">
        <v>1.0</v>
      </c>
      <c r="D283" s="18">
        <v>17.99</v>
      </c>
      <c r="E283" s="18">
        <v>8.99</v>
      </c>
      <c r="F283" s="18">
        <f t="shared" si="7"/>
        <v>9</v>
      </c>
      <c r="G283" s="16">
        <v>5.0</v>
      </c>
      <c r="H283" s="18">
        <f t="shared" si="8"/>
        <v>1.798</v>
      </c>
      <c r="I283" s="7"/>
      <c r="J283" s="7"/>
      <c r="K283" s="1"/>
      <c r="L283" s="1"/>
      <c r="M283" s="1"/>
      <c r="N283" s="1"/>
      <c r="O283" s="1"/>
      <c r="P283" s="1"/>
      <c r="Q283" s="1"/>
      <c r="R283" s="1"/>
    </row>
    <row r="284">
      <c r="A284" s="16" t="s">
        <v>618</v>
      </c>
      <c r="B284" s="26" t="s">
        <v>56</v>
      </c>
      <c r="C284" s="16">
        <v>4.0</v>
      </c>
      <c r="D284" s="115">
        <v>49.96</v>
      </c>
      <c r="E284" s="115">
        <v>9.97</v>
      </c>
      <c r="F284" s="18">
        <f t="shared" si="7"/>
        <v>39.99</v>
      </c>
      <c r="G284" s="26">
        <v>5.0</v>
      </c>
      <c r="H284" s="18">
        <f t="shared" si="8"/>
        <v>1.994</v>
      </c>
      <c r="I284" s="7"/>
      <c r="J284" s="7"/>
      <c r="K284" s="1"/>
      <c r="L284" s="1"/>
      <c r="M284" s="1"/>
      <c r="N284" s="1"/>
      <c r="O284" s="1"/>
      <c r="P284" s="1"/>
      <c r="Q284" s="1"/>
      <c r="R284" s="1"/>
    </row>
    <row r="285">
      <c r="A285" s="16" t="s">
        <v>446</v>
      </c>
      <c r="B285" s="26" t="s">
        <v>50</v>
      </c>
      <c r="C285" s="16">
        <v>1.0</v>
      </c>
      <c r="D285" s="18">
        <v>9.99</v>
      </c>
      <c r="E285" s="18">
        <v>9.99</v>
      </c>
      <c r="F285" s="18">
        <f t="shared" si="7"/>
        <v>0</v>
      </c>
      <c r="G285" s="16">
        <v>5.0</v>
      </c>
      <c r="H285" s="18">
        <f t="shared" si="8"/>
        <v>1.998</v>
      </c>
      <c r="I285" s="7"/>
      <c r="J285" s="7"/>
      <c r="K285" s="1"/>
      <c r="L285" s="1"/>
      <c r="M285" s="1"/>
      <c r="N285" s="1"/>
      <c r="O285" s="1"/>
      <c r="P285" s="1"/>
      <c r="Q285" s="1"/>
      <c r="R285" s="1"/>
    </row>
    <row r="286">
      <c r="A286" s="16" t="s">
        <v>383</v>
      </c>
      <c r="B286" s="26" t="s">
        <v>384</v>
      </c>
      <c r="C286" s="16">
        <v>1.0</v>
      </c>
      <c r="D286" s="18">
        <v>9.99</v>
      </c>
      <c r="E286" s="18">
        <v>9.99</v>
      </c>
      <c r="F286" s="18">
        <f t="shared" si="7"/>
        <v>0</v>
      </c>
      <c r="G286" s="26">
        <v>5.0</v>
      </c>
      <c r="H286" s="18">
        <f t="shared" si="8"/>
        <v>1.998</v>
      </c>
      <c r="I286" s="7"/>
      <c r="J286" s="7"/>
      <c r="K286" s="1"/>
      <c r="L286" s="1"/>
      <c r="M286" s="1"/>
      <c r="N286" s="1"/>
      <c r="O286" s="1"/>
      <c r="P286" s="1"/>
      <c r="Q286" s="1"/>
      <c r="R286" s="1"/>
    </row>
    <row r="287">
      <c r="A287" s="16" t="s">
        <v>608</v>
      </c>
      <c r="B287" s="26" t="s">
        <v>56</v>
      </c>
      <c r="C287" s="16">
        <v>1.0</v>
      </c>
      <c r="D287" s="18">
        <v>17.99</v>
      </c>
      <c r="E287" s="18">
        <v>14.39</v>
      </c>
      <c r="F287" s="18">
        <f t="shared" si="7"/>
        <v>3.6</v>
      </c>
      <c r="G287" s="16">
        <v>5.0</v>
      </c>
      <c r="H287" s="18">
        <f t="shared" si="8"/>
        <v>2.878</v>
      </c>
      <c r="I287" s="7"/>
      <c r="J287" s="7"/>
      <c r="K287" s="1"/>
      <c r="L287" s="1"/>
      <c r="M287" s="1"/>
      <c r="N287" s="1"/>
      <c r="O287" s="1"/>
      <c r="P287" s="1"/>
      <c r="Q287" s="1"/>
      <c r="R287" s="1"/>
    </row>
    <row r="288">
      <c r="A288" s="16" t="s">
        <v>302</v>
      </c>
      <c r="B288" s="26" t="s">
        <v>36</v>
      </c>
      <c r="C288" s="16">
        <v>3.0</v>
      </c>
      <c r="D288" s="115">
        <v>34.98</v>
      </c>
      <c r="E288" s="115">
        <v>14.99</v>
      </c>
      <c r="F288" s="18">
        <f t="shared" si="7"/>
        <v>19.99</v>
      </c>
      <c r="G288" s="26">
        <v>5.0</v>
      </c>
      <c r="H288" s="18">
        <f t="shared" si="8"/>
        <v>2.998</v>
      </c>
      <c r="I288" s="7"/>
      <c r="J288" s="7"/>
      <c r="K288" s="1"/>
      <c r="L288" s="1"/>
      <c r="M288" s="1"/>
      <c r="N288" s="1"/>
      <c r="O288" s="1"/>
      <c r="P288" s="1"/>
      <c r="Q288" s="1"/>
      <c r="R288" s="1"/>
    </row>
    <row r="289">
      <c r="A289" s="16" t="s">
        <v>318</v>
      </c>
      <c r="B289" s="26" t="s">
        <v>36</v>
      </c>
      <c r="C289" s="16">
        <v>4.0</v>
      </c>
      <c r="D289" s="115">
        <v>68.96</v>
      </c>
      <c r="E289" s="115">
        <v>21.46</v>
      </c>
      <c r="F289" s="18">
        <f t="shared" si="7"/>
        <v>47.5</v>
      </c>
      <c r="G289" s="26">
        <v>5.0</v>
      </c>
      <c r="H289" s="18">
        <f t="shared" si="8"/>
        <v>4.292</v>
      </c>
      <c r="I289" s="7"/>
      <c r="J289" s="7"/>
      <c r="K289" s="1"/>
      <c r="L289" s="1"/>
      <c r="M289" s="1"/>
      <c r="N289" s="1"/>
      <c r="O289" s="1"/>
      <c r="P289" s="1"/>
      <c r="Q289" s="1"/>
      <c r="R289" s="1"/>
    </row>
    <row r="290">
      <c r="A290" s="16" t="s">
        <v>304</v>
      </c>
      <c r="B290" s="26" t="s">
        <v>36</v>
      </c>
      <c r="C290" s="16">
        <v>4.0</v>
      </c>
      <c r="D290" s="115">
        <v>97.96</v>
      </c>
      <c r="E290" s="115">
        <v>26.37</v>
      </c>
      <c r="F290" s="18">
        <f t="shared" si="7"/>
        <v>71.59</v>
      </c>
      <c r="G290" s="26">
        <v>5.0</v>
      </c>
      <c r="H290" s="18">
        <f t="shared" si="8"/>
        <v>5.274</v>
      </c>
      <c r="I290" s="7"/>
      <c r="J290" s="7"/>
      <c r="K290" s="1"/>
      <c r="L290" s="1"/>
      <c r="M290" s="1"/>
      <c r="N290" s="1"/>
      <c r="O290" s="1"/>
      <c r="P290" s="1"/>
      <c r="Q290" s="1"/>
      <c r="R290" s="1"/>
    </row>
    <row r="291">
      <c r="A291" s="16" t="s">
        <v>197</v>
      </c>
      <c r="B291" s="26" t="s">
        <v>39</v>
      </c>
      <c r="C291" s="16">
        <v>1.0</v>
      </c>
      <c r="D291" s="14">
        <v>79.99</v>
      </c>
      <c r="E291" s="14">
        <v>27.99</v>
      </c>
      <c r="F291" s="14">
        <f t="shared" si="7"/>
        <v>52</v>
      </c>
      <c r="G291" s="26">
        <v>5.0</v>
      </c>
      <c r="H291" s="18">
        <f t="shared" si="8"/>
        <v>5.598</v>
      </c>
      <c r="I291" s="7"/>
      <c r="J291" s="7"/>
      <c r="K291" s="1"/>
      <c r="L291" s="1"/>
      <c r="M291" s="1"/>
      <c r="N291" s="1"/>
      <c r="O291" s="1"/>
      <c r="P291" s="1"/>
      <c r="Q291" s="1"/>
      <c r="R291" s="1"/>
    </row>
    <row r="292">
      <c r="A292" s="16" t="s">
        <v>637</v>
      </c>
      <c r="B292" s="26" t="s">
        <v>56</v>
      </c>
      <c r="C292" s="16">
        <v>4.0</v>
      </c>
      <c r="D292" s="115">
        <v>119.96</v>
      </c>
      <c r="E292" s="115">
        <v>29.58</v>
      </c>
      <c r="F292" s="18">
        <f t="shared" si="7"/>
        <v>90.38</v>
      </c>
      <c r="G292" s="26">
        <v>5.0</v>
      </c>
      <c r="H292" s="18">
        <f t="shared" si="8"/>
        <v>5.916</v>
      </c>
      <c r="I292" s="7"/>
      <c r="J292" s="7"/>
      <c r="K292" s="1"/>
      <c r="L292" s="1"/>
      <c r="M292" s="1"/>
      <c r="N292" s="1"/>
      <c r="O292" s="1"/>
      <c r="P292" s="1"/>
      <c r="Q292" s="1"/>
      <c r="R292" s="1"/>
    </row>
    <row r="293">
      <c r="A293" s="16" t="s">
        <v>300</v>
      </c>
      <c r="B293" s="26" t="s">
        <v>36</v>
      </c>
      <c r="C293" s="16">
        <v>1.0</v>
      </c>
      <c r="D293" s="18">
        <v>29.99</v>
      </c>
      <c r="E293" s="18">
        <v>29.99</v>
      </c>
      <c r="F293" s="18">
        <f t="shared" si="7"/>
        <v>0</v>
      </c>
      <c r="G293" s="16">
        <v>5.0</v>
      </c>
      <c r="H293" s="18">
        <f t="shared" si="8"/>
        <v>5.998</v>
      </c>
      <c r="I293" s="7"/>
      <c r="J293" s="7"/>
      <c r="K293" s="1"/>
      <c r="L293" s="1"/>
      <c r="M293" s="1"/>
      <c r="N293" s="1"/>
      <c r="O293" s="1"/>
      <c r="P293" s="1"/>
      <c r="Q293" s="1"/>
      <c r="R293" s="1"/>
    </row>
    <row r="294">
      <c r="A294" s="16" t="s">
        <v>444</v>
      </c>
      <c r="B294" s="26" t="s">
        <v>50</v>
      </c>
      <c r="C294" s="16">
        <v>3.0</v>
      </c>
      <c r="D294" s="115">
        <v>134.96</v>
      </c>
      <c r="E294" s="115">
        <v>48.97</v>
      </c>
      <c r="F294" s="18">
        <f t="shared" si="7"/>
        <v>85.99</v>
      </c>
      <c r="G294" s="26">
        <v>5.0</v>
      </c>
      <c r="H294" s="18">
        <f t="shared" si="8"/>
        <v>9.794</v>
      </c>
      <c r="I294" s="7"/>
      <c r="J294" s="7"/>
      <c r="K294" s="1"/>
      <c r="L294" s="1"/>
      <c r="M294" s="1"/>
      <c r="N294" s="1"/>
      <c r="O294" s="1"/>
      <c r="P294" s="1"/>
      <c r="Q294" s="1"/>
      <c r="R294" s="1"/>
    </row>
    <row r="295">
      <c r="A295" s="16" t="s">
        <v>646</v>
      </c>
      <c r="B295" s="26" t="s">
        <v>56</v>
      </c>
      <c r="C295" s="16">
        <v>2.0</v>
      </c>
      <c r="D295" s="115">
        <v>49.98</v>
      </c>
      <c r="E295" s="115">
        <v>49.98</v>
      </c>
      <c r="F295" s="18">
        <f t="shared" si="7"/>
        <v>0</v>
      </c>
      <c r="G295" s="26">
        <v>5.0</v>
      </c>
      <c r="H295" s="18">
        <f t="shared" si="8"/>
        <v>9.996</v>
      </c>
      <c r="I295" s="7"/>
      <c r="J295" s="7"/>
      <c r="K295" s="1"/>
      <c r="L295" s="1"/>
      <c r="M295" s="1"/>
      <c r="N295" s="1"/>
      <c r="O295" s="1"/>
      <c r="P295" s="1"/>
      <c r="Q295" s="1"/>
      <c r="R295" s="1"/>
    </row>
    <row r="296">
      <c r="A296" s="16" t="s">
        <v>270</v>
      </c>
      <c r="B296" s="26" t="s">
        <v>36</v>
      </c>
      <c r="C296" s="16">
        <v>4.0</v>
      </c>
      <c r="D296" s="115">
        <v>234.95</v>
      </c>
      <c r="E296" s="115">
        <v>65.48</v>
      </c>
      <c r="F296" s="18">
        <f t="shared" si="7"/>
        <v>169.47</v>
      </c>
      <c r="G296" s="26">
        <v>5.0</v>
      </c>
      <c r="H296" s="18">
        <f t="shared" si="8"/>
        <v>13.096</v>
      </c>
      <c r="I296" s="7"/>
      <c r="J296" s="7"/>
      <c r="K296" s="1"/>
      <c r="L296" s="1"/>
      <c r="M296" s="1"/>
      <c r="N296" s="1"/>
      <c r="O296" s="1"/>
      <c r="P296" s="1"/>
      <c r="Q296" s="1"/>
      <c r="R296" s="1"/>
    </row>
    <row r="297">
      <c r="A297" s="26" t="s">
        <v>624</v>
      </c>
      <c r="B297" s="26" t="s">
        <v>56</v>
      </c>
      <c r="C297" s="16">
        <v>2.0</v>
      </c>
      <c r="D297" s="141">
        <v>49.99</v>
      </c>
      <c r="E297" s="141">
        <v>0.0</v>
      </c>
      <c r="F297" s="14">
        <f t="shared" si="7"/>
        <v>49.99</v>
      </c>
      <c r="G297" s="26">
        <v>4.0</v>
      </c>
      <c r="H297" s="18">
        <f t="shared" si="8"/>
        <v>0</v>
      </c>
      <c r="I297" s="7"/>
      <c r="J297" s="7"/>
      <c r="K297" s="1"/>
      <c r="L297" s="1"/>
      <c r="M297" s="1"/>
      <c r="N297" s="1"/>
      <c r="O297" s="1"/>
      <c r="P297" s="1"/>
      <c r="Q297" s="1"/>
      <c r="R297" s="1"/>
    </row>
    <row r="298">
      <c r="A298" s="26" t="s">
        <v>556</v>
      </c>
      <c r="B298" s="26" t="s">
        <v>557</v>
      </c>
      <c r="C298" s="26">
        <v>1.0</v>
      </c>
      <c r="D298" s="115">
        <v>19.99</v>
      </c>
      <c r="E298" s="18">
        <v>0.0</v>
      </c>
      <c r="F298" s="18">
        <f t="shared" si="7"/>
        <v>19.99</v>
      </c>
      <c r="G298" s="26">
        <v>4.0</v>
      </c>
      <c r="H298" s="18">
        <f t="shared" si="8"/>
        <v>0</v>
      </c>
      <c r="I298" s="7"/>
      <c r="J298" s="7"/>
      <c r="K298" s="1"/>
      <c r="L298" s="1"/>
      <c r="M298" s="1"/>
      <c r="N298" s="1"/>
      <c r="O298" s="1"/>
      <c r="P298" s="1"/>
      <c r="Q298" s="1"/>
      <c r="R298" s="1"/>
    </row>
    <row r="299">
      <c r="A299" s="26" t="s">
        <v>546</v>
      </c>
      <c r="B299" s="26" t="s">
        <v>527</v>
      </c>
      <c r="C299" s="16">
        <v>1.0</v>
      </c>
      <c r="D299" s="18">
        <v>9.99</v>
      </c>
      <c r="E299" s="18">
        <v>0.0</v>
      </c>
      <c r="F299" s="18">
        <f t="shared" si="7"/>
        <v>9.99</v>
      </c>
      <c r="G299" s="26">
        <v>4.0</v>
      </c>
      <c r="H299" s="18">
        <f t="shared" si="8"/>
        <v>0</v>
      </c>
      <c r="I299" s="7"/>
      <c r="J299" s="7"/>
      <c r="K299" s="1"/>
      <c r="L299" s="1"/>
      <c r="M299" s="1"/>
      <c r="N299" s="1"/>
      <c r="O299" s="1"/>
      <c r="P299" s="1"/>
      <c r="Q299" s="1"/>
      <c r="R299" s="1"/>
    </row>
    <row r="300">
      <c r="A300" s="16" t="s">
        <v>514</v>
      </c>
      <c r="B300" s="26" t="s">
        <v>515</v>
      </c>
      <c r="C300" s="16">
        <v>1.0</v>
      </c>
      <c r="D300" s="18">
        <v>19.99</v>
      </c>
      <c r="E300" s="18">
        <v>3.99</v>
      </c>
      <c r="F300" s="18">
        <f t="shared" si="7"/>
        <v>16</v>
      </c>
      <c r="G300" s="16">
        <v>4.0</v>
      </c>
      <c r="H300" s="18">
        <f t="shared" si="8"/>
        <v>0.9975</v>
      </c>
      <c r="I300" s="7"/>
      <c r="J300" s="7"/>
      <c r="K300" s="1"/>
      <c r="L300" s="1"/>
      <c r="M300" s="1"/>
      <c r="N300" s="1"/>
      <c r="O300" s="1"/>
      <c r="P300" s="1"/>
      <c r="Q300" s="1"/>
      <c r="R300" s="1"/>
    </row>
    <row r="301">
      <c r="A301" s="16" t="s">
        <v>336</v>
      </c>
      <c r="B301" s="26" t="s">
        <v>333</v>
      </c>
      <c r="C301" s="16">
        <v>1.0</v>
      </c>
      <c r="D301" s="18">
        <v>14.99</v>
      </c>
      <c r="E301" s="18">
        <v>3.99</v>
      </c>
      <c r="F301" s="18">
        <f t="shared" si="7"/>
        <v>11</v>
      </c>
      <c r="G301" s="16">
        <v>4.0</v>
      </c>
      <c r="H301" s="18">
        <f t="shared" si="8"/>
        <v>0.9975</v>
      </c>
      <c r="I301" s="7"/>
      <c r="J301" s="7"/>
      <c r="K301" s="1"/>
      <c r="L301" s="1"/>
      <c r="M301" s="1"/>
      <c r="N301" s="1"/>
      <c r="O301" s="1"/>
      <c r="P301" s="1"/>
      <c r="Q301" s="1"/>
      <c r="R301" s="1"/>
    </row>
    <row r="302">
      <c r="A302" s="16" t="s">
        <v>157</v>
      </c>
      <c r="B302" s="26" t="s">
        <v>137</v>
      </c>
      <c r="C302" s="16">
        <v>1.0</v>
      </c>
      <c r="D302" s="18">
        <v>14.49</v>
      </c>
      <c r="E302" s="18">
        <v>3.99</v>
      </c>
      <c r="F302" s="18">
        <f t="shared" si="7"/>
        <v>10.5</v>
      </c>
      <c r="G302" s="16">
        <v>4.0</v>
      </c>
      <c r="H302" s="18">
        <f t="shared" si="8"/>
        <v>0.9975</v>
      </c>
      <c r="I302" s="7"/>
      <c r="J302" s="7"/>
      <c r="K302" s="1"/>
      <c r="L302" s="1"/>
      <c r="M302" s="1"/>
      <c r="N302" s="1"/>
      <c r="O302" s="1"/>
      <c r="P302" s="1"/>
      <c r="Q302" s="1"/>
      <c r="R302" s="1"/>
    </row>
    <row r="303">
      <c r="A303" s="16" t="s">
        <v>375</v>
      </c>
      <c r="B303" s="26" t="s">
        <v>367</v>
      </c>
      <c r="C303" s="16">
        <v>1.0</v>
      </c>
      <c r="D303" s="18">
        <v>8.99</v>
      </c>
      <c r="E303" s="18">
        <v>3.99</v>
      </c>
      <c r="F303" s="18">
        <f t="shared" si="7"/>
        <v>5</v>
      </c>
      <c r="G303" s="16">
        <v>4.0</v>
      </c>
      <c r="H303" s="18">
        <f t="shared" si="8"/>
        <v>0.9975</v>
      </c>
      <c r="I303" s="7"/>
      <c r="J303" s="7"/>
      <c r="K303" s="1"/>
      <c r="L303" s="1"/>
      <c r="M303" s="1"/>
      <c r="N303" s="1"/>
      <c r="O303" s="1"/>
      <c r="P303" s="1"/>
      <c r="Q303" s="1"/>
      <c r="R303" s="1"/>
    </row>
    <row r="304">
      <c r="A304" s="16" t="s">
        <v>403</v>
      </c>
      <c r="B304" s="26" t="s">
        <v>50</v>
      </c>
      <c r="C304" s="16">
        <v>1.0</v>
      </c>
      <c r="D304" s="18">
        <v>19.99</v>
      </c>
      <c r="E304" s="18">
        <v>4.99</v>
      </c>
      <c r="F304" s="18">
        <f t="shared" si="7"/>
        <v>15</v>
      </c>
      <c r="G304" s="16">
        <v>4.0</v>
      </c>
      <c r="H304" s="18">
        <f t="shared" si="8"/>
        <v>1.2475</v>
      </c>
      <c r="I304" s="7"/>
      <c r="J304" s="7"/>
      <c r="K304" s="1"/>
      <c r="L304" s="1"/>
      <c r="M304" s="1"/>
      <c r="N304" s="1"/>
      <c r="O304" s="1"/>
      <c r="P304" s="1"/>
      <c r="Q304" s="1"/>
      <c r="R304" s="1"/>
    </row>
    <row r="305">
      <c r="A305" s="16" t="s">
        <v>198</v>
      </c>
      <c r="B305" s="26" t="s">
        <v>39</v>
      </c>
      <c r="C305" s="16">
        <v>1.0</v>
      </c>
      <c r="D305" s="18">
        <v>17.99</v>
      </c>
      <c r="E305" s="18">
        <v>4.99</v>
      </c>
      <c r="F305" s="18">
        <f t="shared" si="7"/>
        <v>13</v>
      </c>
      <c r="G305" s="16">
        <v>4.0</v>
      </c>
      <c r="H305" s="18">
        <f t="shared" si="8"/>
        <v>1.2475</v>
      </c>
      <c r="I305" s="7"/>
      <c r="J305" s="7"/>
      <c r="K305" s="1"/>
      <c r="L305" s="1"/>
      <c r="M305" s="1"/>
      <c r="N305" s="1"/>
      <c r="O305" s="1"/>
      <c r="P305" s="1"/>
      <c r="Q305" s="1"/>
      <c r="R305" s="1"/>
    </row>
    <row r="306">
      <c r="A306" s="16" t="s">
        <v>378</v>
      </c>
      <c r="B306" s="26" t="s">
        <v>367</v>
      </c>
      <c r="C306" s="16">
        <v>1.0</v>
      </c>
      <c r="D306" s="18">
        <v>11.99</v>
      </c>
      <c r="E306" s="18">
        <v>4.99</v>
      </c>
      <c r="F306" s="18">
        <f t="shared" si="7"/>
        <v>7</v>
      </c>
      <c r="G306" s="16">
        <v>4.0</v>
      </c>
      <c r="H306" s="18">
        <f t="shared" si="8"/>
        <v>1.2475</v>
      </c>
      <c r="I306" s="7"/>
      <c r="J306" s="7"/>
      <c r="K306" s="1"/>
      <c r="L306" s="1"/>
      <c r="M306" s="1"/>
      <c r="N306" s="1"/>
      <c r="O306" s="1"/>
      <c r="P306" s="1"/>
      <c r="Q306" s="1"/>
      <c r="R306" s="1"/>
    </row>
    <row r="307">
      <c r="A307" s="16" t="s">
        <v>319</v>
      </c>
      <c r="B307" s="26" t="s">
        <v>36</v>
      </c>
      <c r="C307" s="16">
        <v>1.0</v>
      </c>
      <c r="D307" s="18">
        <v>5.49</v>
      </c>
      <c r="E307" s="18">
        <v>5.49</v>
      </c>
      <c r="F307" s="18">
        <f t="shared" si="7"/>
        <v>0</v>
      </c>
      <c r="G307" s="16">
        <v>4.0</v>
      </c>
      <c r="H307" s="18">
        <f t="shared" si="8"/>
        <v>1.3725</v>
      </c>
      <c r="I307" s="7"/>
      <c r="J307" s="7"/>
      <c r="K307" s="1"/>
      <c r="L307" s="1"/>
      <c r="M307" s="1"/>
      <c r="N307" s="1"/>
      <c r="O307" s="1"/>
      <c r="P307" s="1"/>
      <c r="Q307" s="1"/>
      <c r="R307" s="1"/>
    </row>
    <row r="308">
      <c r="A308" s="16" t="s">
        <v>337</v>
      </c>
      <c r="B308" s="26" t="s">
        <v>333</v>
      </c>
      <c r="C308" s="16">
        <v>3.0</v>
      </c>
      <c r="D308" s="115">
        <v>29.97</v>
      </c>
      <c r="E308" s="115">
        <v>7.97</v>
      </c>
      <c r="F308" s="18">
        <f t="shared" si="7"/>
        <v>22</v>
      </c>
      <c r="G308" s="26">
        <v>4.0</v>
      </c>
      <c r="H308" s="18">
        <f t="shared" si="8"/>
        <v>1.9925</v>
      </c>
      <c r="I308" s="7"/>
      <c r="J308" s="7"/>
      <c r="K308" s="1"/>
      <c r="L308" s="1"/>
      <c r="M308" s="1"/>
      <c r="N308" s="1"/>
      <c r="O308" s="1"/>
      <c r="P308" s="1"/>
      <c r="Q308" s="1"/>
      <c r="R308" s="1"/>
    </row>
    <row r="309">
      <c r="A309" s="16" t="s">
        <v>152</v>
      </c>
      <c r="B309" s="26" t="s">
        <v>137</v>
      </c>
      <c r="C309" s="16">
        <v>1.0</v>
      </c>
      <c r="D309" s="18">
        <v>19.99</v>
      </c>
      <c r="E309" s="18">
        <v>7.99</v>
      </c>
      <c r="F309" s="18">
        <f t="shared" si="7"/>
        <v>12</v>
      </c>
      <c r="G309" s="16">
        <v>4.0</v>
      </c>
      <c r="H309" s="18">
        <f t="shared" si="8"/>
        <v>1.9975</v>
      </c>
      <c r="I309" s="7"/>
      <c r="J309" s="7"/>
      <c r="K309" s="1"/>
      <c r="L309" s="1"/>
      <c r="M309" s="1"/>
      <c r="N309" s="1"/>
      <c r="O309" s="1"/>
      <c r="P309" s="1"/>
      <c r="Q309" s="1"/>
      <c r="R309" s="1"/>
    </row>
    <row r="310">
      <c r="A310" s="16" t="s">
        <v>671</v>
      </c>
      <c r="B310" s="26" t="s">
        <v>56</v>
      </c>
      <c r="C310" s="16">
        <v>1.0</v>
      </c>
      <c r="D310" s="18">
        <v>15.99</v>
      </c>
      <c r="E310" s="18">
        <v>10.39</v>
      </c>
      <c r="F310" s="18">
        <f t="shared" si="7"/>
        <v>5.6</v>
      </c>
      <c r="G310" s="16">
        <v>4.0</v>
      </c>
      <c r="H310" s="18">
        <f t="shared" si="8"/>
        <v>2.5975</v>
      </c>
      <c r="I310" s="7"/>
      <c r="J310" s="7"/>
      <c r="K310" s="1"/>
      <c r="L310" s="1"/>
      <c r="M310" s="1"/>
      <c r="N310" s="1"/>
      <c r="O310" s="1"/>
      <c r="P310" s="1"/>
      <c r="Q310" s="1"/>
      <c r="R310" s="1"/>
    </row>
    <row r="311">
      <c r="A311" s="16" t="s">
        <v>673</v>
      </c>
      <c r="B311" s="26" t="s">
        <v>56</v>
      </c>
      <c r="C311" s="16">
        <v>1.0</v>
      </c>
      <c r="D311" s="18">
        <v>14.99</v>
      </c>
      <c r="E311" s="18">
        <v>11.24</v>
      </c>
      <c r="F311" s="18">
        <f t="shared" si="7"/>
        <v>3.75</v>
      </c>
      <c r="G311" s="16">
        <v>4.0</v>
      </c>
      <c r="H311" s="18">
        <f t="shared" si="8"/>
        <v>2.81</v>
      </c>
      <c r="I311" s="7"/>
      <c r="J311" s="7"/>
      <c r="K311" s="1"/>
      <c r="L311" s="1"/>
      <c r="M311" s="1"/>
      <c r="N311" s="1"/>
      <c r="O311" s="1"/>
      <c r="P311" s="1"/>
      <c r="Q311" s="1"/>
      <c r="R311" s="1"/>
    </row>
    <row r="312">
      <c r="A312" s="16" t="s">
        <v>632</v>
      </c>
      <c r="B312" s="26" t="s">
        <v>56</v>
      </c>
      <c r="C312" s="16">
        <v>4.0</v>
      </c>
      <c r="D312" s="115">
        <v>14.98</v>
      </c>
      <c r="E312" s="115">
        <v>12.48</v>
      </c>
      <c r="F312" s="18">
        <f t="shared" si="7"/>
        <v>2.5</v>
      </c>
      <c r="G312" s="26">
        <v>4.0</v>
      </c>
      <c r="H312" s="18">
        <f t="shared" si="8"/>
        <v>3.12</v>
      </c>
      <c r="I312" s="7"/>
      <c r="J312" s="7"/>
      <c r="K312" s="1"/>
      <c r="L312" s="1"/>
      <c r="M312" s="1"/>
      <c r="N312" s="1"/>
      <c r="O312" s="1"/>
      <c r="P312" s="1"/>
      <c r="Q312" s="1"/>
      <c r="R312" s="1"/>
    </row>
    <row r="313">
      <c r="A313" s="16" t="s">
        <v>542</v>
      </c>
      <c r="B313" s="26" t="s">
        <v>527</v>
      </c>
      <c r="C313" s="16">
        <v>4.0</v>
      </c>
      <c r="D313" s="115">
        <v>99.96</v>
      </c>
      <c r="E313" s="115">
        <v>13.99</v>
      </c>
      <c r="F313" s="18">
        <f t="shared" si="7"/>
        <v>85.97</v>
      </c>
      <c r="G313" s="26">
        <v>4.0</v>
      </c>
      <c r="H313" s="18">
        <f t="shared" si="8"/>
        <v>3.4975</v>
      </c>
      <c r="I313" s="7"/>
      <c r="J313" s="7"/>
      <c r="K313" s="1"/>
      <c r="L313" s="1"/>
      <c r="M313" s="1"/>
      <c r="N313" s="1"/>
      <c r="O313" s="1"/>
      <c r="P313" s="1"/>
      <c r="Q313" s="1"/>
      <c r="R313" s="1"/>
    </row>
    <row r="314">
      <c r="A314" s="16" t="s">
        <v>442</v>
      </c>
      <c r="B314" s="26" t="s">
        <v>50</v>
      </c>
      <c r="C314" s="16">
        <v>1.0</v>
      </c>
      <c r="D314" s="18">
        <v>19.99</v>
      </c>
      <c r="E314" s="18">
        <v>14.99</v>
      </c>
      <c r="F314" s="18">
        <f t="shared" si="7"/>
        <v>5</v>
      </c>
      <c r="G314" s="16">
        <v>4.0</v>
      </c>
      <c r="H314" s="18">
        <f t="shared" si="8"/>
        <v>3.7475</v>
      </c>
      <c r="I314" s="7"/>
      <c r="J314" s="7"/>
      <c r="K314" s="1"/>
      <c r="L314" s="1"/>
      <c r="M314" s="1"/>
      <c r="N314" s="1"/>
      <c r="O314" s="1"/>
      <c r="P314" s="1"/>
      <c r="Q314" s="1"/>
      <c r="R314" s="1"/>
    </row>
    <row r="315">
      <c r="A315" s="16" t="s">
        <v>681</v>
      </c>
      <c r="B315" s="26" t="s">
        <v>56</v>
      </c>
      <c r="C315" s="16">
        <v>2.0</v>
      </c>
      <c r="D315" s="115">
        <v>49.98</v>
      </c>
      <c r="E315" s="115">
        <v>19.98</v>
      </c>
      <c r="F315" s="18">
        <f t="shared" si="7"/>
        <v>30</v>
      </c>
      <c r="G315" s="26">
        <v>4.0</v>
      </c>
      <c r="H315" s="18">
        <f t="shared" si="8"/>
        <v>4.995</v>
      </c>
      <c r="I315" s="7"/>
      <c r="J315" s="7"/>
      <c r="K315" s="1"/>
      <c r="L315" s="1"/>
      <c r="M315" s="1"/>
      <c r="N315" s="1"/>
      <c r="O315" s="1"/>
      <c r="P315" s="1"/>
      <c r="Q315" s="1"/>
      <c r="R315" s="1"/>
    </row>
    <row r="316">
      <c r="A316" s="16" t="s">
        <v>688</v>
      </c>
      <c r="B316" s="26" t="s">
        <v>56</v>
      </c>
      <c r="C316" s="16">
        <v>1.0</v>
      </c>
      <c r="D316" s="18">
        <v>30.98</v>
      </c>
      <c r="E316" s="18">
        <v>30.98</v>
      </c>
      <c r="F316" s="18">
        <f t="shared" si="7"/>
        <v>0</v>
      </c>
      <c r="G316" s="16">
        <v>4.0</v>
      </c>
      <c r="H316" s="18">
        <f t="shared" si="8"/>
        <v>7.745</v>
      </c>
      <c r="I316" s="7"/>
      <c r="J316" s="7"/>
      <c r="K316" s="1"/>
      <c r="L316" s="1"/>
      <c r="M316" s="1"/>
      <c r="N316" s="1"/>
      <c r="O316" s="1"/>
      <c r="P316" s="1"/>
      <c r="Q316" s="1"/>
      <c r="R316" s="1"/>
    </row>
    <row r="317">
      <c r="A317" s="16" t="s">
        <v>440</v>
      </c>
      <c r="B317" s="26" t="s">
        <v>50</v>
      </c>
      <c r="C317" s="16">
        <v>3.0</v>
      </c>
      <c r="D317" s="115">
        <v>109.98</v>
      </c>
      <c r="E317" s="115">
        <v>42.28</v>
      </c>
      <c r="F317" s="18">
        <f t="shared" si="7"/>
        <v>67.7</v>
      </c>
      <c r="G317" s="26">
        <v>4.0</v>
      </c>
      <c r="H317" s="18">
        <f t="shared" si="8"/>
        <v>10.57</v>
      </c>
      <c r="I317" s="7"/>
      <c r="J317" s="7"/>
      <c r="K317" s="1"/>
      <c r="L317" s="1"/>
      <c r="M317" s="1"/>
      <c r="N317" s="1"/>
      <c r="O317" s="1"/>
      <c r="P317" s="1"/>
      <c r="Q317" s="1"/>
      <c r="R317" s="1"/>
    </row>
    <row r="318">
      <c r="A318" s="16" t="s">
        <v>560</v>
      </c>
      <c r="B318" s="26" t="s">
        <v>559</v>
      </c>
      <c r="C318" s="16">
        <v>1.0</v>
      </c>
      <c r="D318" s="18">
        <v>64.99</v>
      </c>
      <c r="E318" s="18">
        <v>45.49</v>
      </c>
      <c r="F318" s="18">
        <f t="shared" si="7"/>
        <v>19.5</v>
      </c>
      <c r="G318" s="16">
        <v>4.0</v>
      </c>
      <c r="H318" s="18">
        <f t="shared" si="8"/>
        <v>11.3725</v>
      </c>
      <c r="I318" s="7"/>
      <c r="J318" s="7"/>
      <c r="K318" s="1"/>
      <c r="L318" s="1"/>
      <c r="M318" s="1"/>
      <c r="N318" s="1"/>
      <c r="O318" s="1"/>
      <c r="P318" s="1"/>
      <c r="Q318" s="1"/>
      <c r="R318" s="1"/>
    </row>
    <row r="319">
      <c r="A319" s="16" t="s">
        <v>707</v>
      </c>
      <c r="B319" s="26" t="s">
        <v>56</v>
      </c>
      <c r="C319" s="16">
        <v>3.0</v>
      </c>
      <c r="D319" s="115">
        <v>184.97</v>
      </c>
      <c r="E319" s="115">
        <v>0.0</v>
      </c>
      <c r="F319" s="18">
        <f t="shared" si="7"/>
        <v>184.97</v>
      </c>
      <c r="G319" s="26">
        <v>3.0</v>
      </c>
      <c r="H319" s="18">
        <f t="shared" si="8"/>
        <v>0</v>
      </c>
      <c r="I319" s="7"/>
      <c r="J319" s="7"/>
      <c r="K319" s="1"/>
      <c r="L319" s="1"/>
      <c r="M319" s="1"/>
      <c r="N319" s="1"/>
      <c r="O319" s="1"/>
      <c r="P319" s="1"/>
      <c r="Q319" s="1"/>
      <c r="R319" s="1"/>
    </row>
    <row r="320">
      <c r="A320" s="16" t="s">
        <v>532</v>
      </c>
      <c r="B320" s="26" t="s">
        <v>527</v>
      </c>
      <c r="C320" s="16">
        <v>3.0</v>
      </c>
      <c r="D320" s="115">
        <v>119.97</v>
      </c>
      <c r="E320" s="115">
        <v>0.0</v>
      </c>
      <c r="F320" s="18">
        <f t="shared" si="7"/>
        <v>119.97</v>
      </c>
      <c r="G320" s="26">
        <v>3.0</v>
      </c>
      <c r="H320" s="18">
        <f t="shared" si="8"/>
        <v>0</v>
      </c>
      <c r="I320" s="7"/>
      <c r="J320" s="7"/>
      <c r="K320" s="1"/>
      <c r="L320" s="1"/>
      <c r="M320" s="1"/>
      <c r="N320" s="1"/>
      <c r="O320" s="1"/>
      <c r="P320" s="1"/>
      <c r="Q320" s="1"/>
      <c r="R320" s="1"/>
    </row>
    <row r="321">
      <c r="A321" s="16" t="s">
        <v>574</v>
      </c>
      <c r="B321" s="26" t="s">
        <v>56</v>
      </c>
      <c r="C321" s="16">
        <v>1.0</v>
      </c>
      <c r="D321" s="18">
        <v>39.99</v>
      </c>
      <c r="E321" s="18">
        <v>0.0</v>
      </c>
      <c r="F321" s="18">
        <f t="shared" si="7"/>
        <v>39.99</v>
      </c>
      <c r="G321" s="16">
        <v>3.0</v>
      </c>
      <c r="H321" s="18">
        <f t="shared" si="8"/>
        <v>0</v>
      </c>
      <c r="I321" s="7"/>
      <c r="J321" s="7"/>
      <c r="K321" s="1"/>
      <c r="L321" s="1"/>
      <c r="M321" s="1"/>
      <c r="N321" s="1"/>
      <c r="O321" s="1"/>
      <c r="P321" s="1"/>
      <c r="Q321" s="1"/>
      <c r="R321" s="1"/>
    </row>
    <row r="322">
      <c r="A322" s="16" t="s">
        <v>664</v>
      </c>
      <c r="B322" s="26" t="s">
        <v>56</v>
      </c>
      <c r="C322" s="16">
        <v>1.0</v>
      </c>
      <c r="D322" s="18">
        <v>39.99</v>
      </c>
      <c r="E322" s="18">
        <v>0.0</v>
      </c>
      <c r="F322" s="18">
        <f t="shared" si="7"/>
        <v>39.99</v>
      </c>
      <c r="G322" s="16">
        <v>3.0</v>
      </c>
      <c r="H322" s="18">
        <f t="shared" si="8"/>
        <v>0</v>
      </c>
      <c r="I322" s="7"/>
      <c r="J322" s="7"/>
      <c r="K322" s="1"/>
      <c r="L322" s="1"/>
      <c r="M322" s="1"/>
      <c r="N322" s="1"/>
      <c r="O322" s="1"/>
      <c r="P322" s="1"/>
      <c r="Q322" s="1"/>
      <c r="R322" s="1"/>
    </row>
    <row r="323">
      <c r="A323" s="16" t="s">
        <v>481</v>
      </c>
      <c r="B323" s="26" t="s">
        <v>472</v>
      </c>
      <c r="C323" s="16">
        <v>1.0</v>
      </c>
      <c r="D323" s="18">
        <v>9.99</v>
      </c>
      <c r="E323" s="18">
        <v>0.0</v>
      </c>
      <c r="F323" s="18">
        <f t="shared" si="7"/>
        <v>9.99</v>
      </c>
      <c r="G323" s="16">
        <v>3.0</v>
      </c>
      <c r="H323" s="18">
        <f t="shared" si="8"/>
        <v>0</v>
      </c>
      <c r="I323" s="7"/>
      <c r="J323" s="7"/>
      <c r="K323" s="1"/>
      <c r="L323" s="1"/>
      <c r="M323" s="1"/>
      <c r="N323" s="1"/>
      <c r="O323" s="1"/>
      <c r="P323" s="1"/>
      <c r="Q323" s="1"/>
      <c r="R323" s="1"/>
    </row>
    <row r="324">
      <c r="A324" s="16" t="s">
        <v>391</v>
      </c>
      <c r="B324" s="26" t="s">
        <v>392</v>
      </c>
      <c r="C324" s="16">
        <v>1.0</v>
      </c>
      <c r="D324" s="18">
        <v>4.99</v>
      </c>
      <c r="E324" s="18">
        <v>0.0</v>
      </c>
      <c r="F324" s="18">
        <f t="shared" si="7"/>
        <v>4.99</v>
      </c>
      <c r="G324" s="16">
        <v>3.0</v>
      </c>
      <c r="H324" s="18">
        <f t="shared" si="8"/>
        <v>0</v>
      </c>
      <c r="I324" s="7"/>
      <c r="J324" s="7"/>
      <c r="K324" s="1"/>
      <c r="L324" s="1"/>
      <c r="M324" s="1"/>
      <c r="N324" s="1"/>
      <c r="O324" s="1"/>
      <c r="P324" s="1"/>
      <c r="Q324" s="1"/>
      <c r="R324" s="1"/>
    </row>
    <row r="325">
      <c r="A325" s="16" t="s">
        <v>349</v>
      </c>
      <c r="B325" s="26" t="s">
        <v>47</v>
      </c>
      <c r="C325" s="16">
        <v>2.0</v>
      </c>
      <c r="D325" s="115">
        <v>27.98</v>
      </c>
      <c r="E325" s="115">
        <v>3.98</v>
      </c>
      <c r="F325" s="18">
        <f t="shared" si="7"/>
        <v>24</v>
      </c>
      <c r="G325" s="26">
        <v>3.0</v>
      </c>
      <c r="H325" s="18">
        <f t="shared" si="8"/>
        <v>1.326666667</v>
      </c>
      <c r="I325" s="7"/>
      <c r="J325" s="7"/>
      <c r="K325" s="1"/>
      <c r="L325" s="1"/>
      <c r="M325" s="1"/>
      <c r="N325" s="1"/>
      <c r="O325" s="1"/>
      <c r="P325" s="1"/>
      <c r="Q325" s="1"/>
      <c r="R325" s="1"/>
    </row>
    <row r="326">
      <c r="A326" s="16" t="s">
        <v>489</v>
      </c>
      <c r="B326" s="26" t="s">
        <v>488</v>
      </c>
      <c r="C326" s="16">
        <v>1.0</v>
      </c>
      <c r="D326" s="18">
        <v>8.99</v>
      </c>
      <c r="E326" s="18">
        <v>3.99</v>
      </c>
      <c r="F326" s="18">
        <f t="shared" si="7"/>
        <v>5</v>
      </c>
      <c r="G326" s="26">
        <v>3.0</v>
      </c>
      <c r="H326" s="18">
        <f t="shared" si="8"/>
        <v>1.33</v>
      </c>
      <c r="I326" s="7"/>
      <c r="J326" s="7"/>
      <c r="K326" s="1"/>
      <c r="L326" s="1"/>
      <c r="M326" s="1"/>
      <c r="N326" s="1"/>
      <c r="O326" s="1"/>
      <c r="P326" s="1"/>
      <c r="Q326" s="1"/>
      <c r="R326" s="1"/>
    </row>
    <row r="327">
      <c r="A327" s="16" t="s">
        <v>711</v>
      </c>
      <c r="B327" s="26" t="s">
        <v>56</v>
      </c>
      <c r="C327" s="16">
        <v>1.0</v>
      </c>
      <c r="D327" s="18">
        <v>14.99</v>
      </c>
      <c r="E327" s="18">
        <v>4.99</v>
      </c>
      <c r="F327" s="18">
        <f t="shared" si="7"/>
        <v>10</v>
      </c>
      <c r="G327" s="16">
        <v>3.0</v>
      </c>
      <c r="H327" s="18">
        <f t="shared" si="8"/>
        <v>1.663333333</v>
      </c>
      <c r="I327" s="7"/>
      <c r="J327" s="7"/>
      <c r="K327" s="1"/>
      <c r="L327" s="1"/>
      <c r="M327" s="1"/>
      <c r="N327" s="1"/>
      <c r="O327" s="1"/>
      <c r="P327" s="1"/>
      <c r="Q327" s="1"/>
      <c r="R327" s="1"/>
    </row>
    <row r="328">
      <c r="A328" s="16" t="s">
        <v>437</v>
      </c>
      <c r="B328" s="26" t="s">
        <v>50</v>
      </c>
      <c r="C328" s="16">
        <v>1.0</v>
      </c>
      <c r="D328" s="18">
        <v>13.99</v>
      </c>
      <c r="E328" s="18">
        <v>4.99</v>
      </c>
      <c r="F328" s="18">
        <f t="shared" si="7"/>
        <v>9</v>
      </c>
      <c r="G328" s="26">
        <v>3.0</v>
      </c>
      <c r="H328" s="18">
        <f t="shared" si="8"/>
        <v>1.663333333</v>
      </c>
      <c r="I328" s="7"/>
      <c r="J328" s="7"/>
      <c r="K328" s="1"/>
      <c r="L328" s="1"/>
      <c r="M328" s="1"/>
      <c r="N328" s="1"/>
      <c r="O328" s="1"/>
      <c r="P328" s="1"/>
      <c r="Q328" s="1"/>
      <c r="R328" s="1"/>
    </row>
    <row r="329">
      <c r="A329" s="16" t="s">
        <v>216</v>
      </c>
      <c r="B329" s="26" t="s">
        <v>39</v>
      </c>
      <c r="C329" s="16">
        <v>1.0</v>
      </c>
      <c r="D329" s="18">
        <v>9.99</v>
      </c>
      <c r="E329" s="18">
        <v>4.99</v>
      </c>
      <c r="F329" s="18">
        <f t="shared" si="7"/>
        <v>5</v>
      </c>
      <c r="G329" s="16">
        <v>3.0</v>
      </c>
      <c r="H329" s="18">
        <f t="shared" si="8"/>
        <v>1.663333333</v>
      </c>
      <c r="I329" s="7"/>
      <c r="J329" s="7"/>
      <c r="K329" s="1"/>
      <c r="L329" s="1"/>
      <c r="M329" s="1"/>
      <c r="N329" s="1"/>
      <c r="O329" s="1"/>
      <c r="P329" s="1"/>
      <c r="Q329" s="1"/>
      <c r="R329" s="1"/>
    </row>
    <row r="330">
      <c r="A330" s="16" t="s">
        <v>641</v>
      </c>
      <c r="B330" s="26" t="s">
        <v>56</v>
      </c>
      <c r="C330" s="16">
        <v>1.0</v>
      </c>
      <c r="D330" s="18">
        <v>4.99</v>
      </c>
      <c r="E330" s="18">
        <v>4.99</v>
      </c>
      <c r="F330" s="18">
        <f t="shared" si="7"/>
        <v>0</v>
      </c>
      <c r="G330" s="16">
        <v>3.0</v>
      </c>
      <c r="H330" s="18">
        <f t="shared" si="8"/>
        <v>1.663333333</v>
      </c>
      <c r="I330" s="7"/>
      <c r="J330" s="7"/>
      <c r="K330" s="1"/>
      <c r="L330" s="1"/>
      <c r="M330" s="1"/>
      <c r="N330" s="1"/>
      <c r="O330" s="1"/>
      <c r="P330" s="1"/>
      <c r="Q330" s="1"/>
      <c r="R330" s="1"/>
    </row>
    <row r="331">
      <c r="A331" s="16" t="s">
        <v>411</v>
      </c>
      <c r="B331" s="26" t="s">
        <v>50</v>
      </c>
      <c r="C331" s="16">
        <v>1.0</v>
      </c>
      <c r="D331" s="18">
        <v>4.99</v>
      </c>
      <c r="E331" s="18">
        <v>4.99</v>
      </c>
      <c r="F331" s="18">
        <f t="shared" si="7"/>
        <v>0</v>
      </c>
      <c r="G331" s="16">
        <v>3.0</v>
      </c>
      <c r="H331" s="18">
        <f t="shared" si="8"/>
        <v>1.663333333</v>
      </c>
      <c r="I331" s="7"/>
      <c r="J331" s="7"/>
      <c r="K331" s="1"/>
      <c r="L331" s="1"/>
      <c r="M331" s="1"/>
      <c r="N331" s="1"/>
      <c r="O331" s="1"/>
      <c r="P331" s="1"/>
      <c r="Q331" s="1"/>
      <c r="R331" s="1"/>
    </row>
    <row r="332">
      <c r="A332" s="16" t="s">
        <v>537</v>
      </c>
      <c r="B332" s="26" t="s">
        <v>527</v>
      </c>
      <c r="C332" s="16">
        <v>1.0</v>
      </c>
      <c r="D332" s="18">
        <v>4.99</v>
      </c>
      <c r="E332" s="18">
        <v>4.99</v>
      </c>
      <c r="F332" s="18">
        <f t="shared" si="7"/>
        <v>0</v>
      </c>
      <c r="G332" s="16">
        <v>3.0</v>
      </c>
      <c r="H332" s="18">
        <f t="shared" si="8"/>
        <v>1.663333333</v>
      </c>
      <c r="I332" s="7"/>
      <c r="J332" s="7"/>
      <c r="K332" s="1"/>
      <c r="L332" s="1"/>
      <c r="M332" s="1"/>
      <c r="N332" s="1"/>
      <c r="O332" s="1"/>
      <c r="P332" s="1"/>
      <c r="Q332" s="1"/>
      <c r="R332" s="1"/>
    </row>
    <row r="333">
      <c r="A333" s="16" t="s">
        <v>340</v>
      </c>
      <c r="B333" s="26" t="s">
        <v>333</v>
      </c>
      <c r="C333" s="16">
        <v>2.0</v>
      </c>
      <c r="D333" s="115">
        <v>43.98</v>
      </c>
      <c r="E333" s="115">
        <v>5.99</v>
      </c>
      <c r="F333" s="18">
        <f t="shared" si="7"/>
        <v>37.99</v>
      </c>
      <c r="G333" s="26">
        <v>3.0</v>
      </c>
      <c r="H333" s="18">
        <f t="shared" si="8"/>
        <v>1.996666667</v>
      </c>
      <c r="I333" s="7"/>
      <c r="J333" s="7"/>
      <c r="K333" s="1"/>
      <c r="L333" s="1"/>
      <c r="M333" s="1"/>
      <c r="N333" s="1"/>
      <c r="O333" s="1"/>
      <c r="P333" s="1"/>
      <c r="Q333" s="1"/>
      <c r="R333" s="1"/>
    </row>
    <row r="334">
      <c r="A334" s="16" t="s">
        <v>167</v>
      </c>
      <c r="B334" s="26" t="s">
        <v>168</v>
      </c>
      <c r="C334" s="16">
        <v>1.0</v>
      </c>
      <c r="D334" s="18">
        <v>5.99</v>
      </c>
      <c r="E334" s="18">
        <v>5.99</v>
      </c>
      <c r="F334" s="18">
        <f t="shared" si="7"/>
        <v>0</v>
      </c>
      <c r="G334" s="16">
        <v>3.0</v>
      </c>
      <c r="H334" s="18">
        <f t="shared" si="8"/>
        <v>1.996666667</v>
      </c>
      <c r="I334" s="7"/>
      <c r="J334" s="7"/>
      <c r="K334" s="1"/>
      <c r="L334" s="1"/>
      <c r="M334" s="1"/>
      <c r="N334" s="1"/>
      <c r="O334" s="1"/>
      <c r="P334" s="1"/>
      <c r="Q334" s="1"/>
      <c r="R334" s="1"/>
    </row>
    <row r="335">
      <c r="A335" s="470" t="s">
        <v>453</v>
      </c>
      <c r="B335" s="26" t="s">
        <v>454</v>
      </c>
      <c r="C335" s="16">
        <v>1.0</v>
      </c>
      <c r="D335" s="18">
        <v>9.99</v>
      </c>
      <c r="E335" s="18">
        <v>6.99</v>
      </c>
      <c r="F335" s="18">
        <f t="shared" si="7"/>
        <v>3</v>
      </c>
      <c r="G335" s="16">
        <v>3.0</v>
      </c>
      <c r="H335" s="18">
        <f t="shared" si="8"/>
        <v>2.33</v>
      </c>
      <c r="I335" s="7"/>
      <c r="J335" s="7"/>
      <c r="K335" s="1"/>
      <c r="L335" s="1"/>
      <c r="M335" s="1"/>
      <c r="N335" s="1"/>
      <c r="O335" s="1"/>
      <c r="P335" s="1"/>
      <c r="Q335" s="1"/>
      <c r="R335" s="1"/>
    </row>
    <row r="336">
      <c r="A336" s="16" t="s">
        <v>234</v>
      </c>
      <c r="B336" s="26" t="s">
        <v>1747</v>
      </c>
      <c r="C336" s="16">
        <v>1.0</v>
      </c>
      <c r="D336" s="18">
        <v>6.99</v>
      </c>
      <c r="E336" s="18">
        <v>6.99</v>
      </c>
      <c r="F336" s="18">
        <f t="shared" si="7"/>
        <v>0</v>
      </c>
      <c r="G336" s="16">
        <v>3.0</v>
      </c>
      <c r="H336" s="18">
        <f t="shared" si="8"/>
        <v>2.33</v>
      </c>
      <c r="I336" s="7"/>
      <c r="J336" s="7"/>
      <c r="K336" s="1"/>
      <c r="L336" s="1"/>
      <c r="M336" s="1"/>
      <c r="N336" s="1"/>
      <c r="O336" s="1"/>
      <c r="P336" s="1"/>
      <c r="Q336" s="1"/>
      <c r="R336" s="1"/>
    </row>
    <row r="337">
      <c r="A337" s="16" t="s">
        <v>522</v>
      </c>
      <c r="B337" s="26" t="s">
        <v>515</v>
      </c>
      <c r="C337" s="16">
        <v>2.0</v>
      </c>
      <c r="D337" s="115">
        <v>12.98</v>
      </c>
      <c r="E337" s="115">
        <v>9.23</v>
      </c>
      <c r="F337" s="18">
        <f t="shared" si="7"/>
        <v>3.75</v>
      </c>
      <c r="G337" s="26">
        <v>3.0</v>
      </c>
      <c r="H337" s="18">
        <f t="shared" si="8"/>
        <v>3.076666667</v>
      </c>
      <c r="I337" s="7"/>
      <c r="J337" s="7"/>
      <c r="K337" s="1"/>
      <c r="L337" s="1"/>
      <c r="M337" s="1"/>
      <c r="N337" s="1"/>
      <c r="O337" s="1"/>
      <c r="P337" s="1"/>
      <c r="Q337" s="1"/>
      <c r="R337" s="1"/>
    </row>
    <row r="338">
      <c r="A338" s="16" t="s">
        <v>564</v>
      </c>
      <c r="B338" s="26" t="s">
        <v>56</v>
      </c>
      <c r="C338" s="16">
        <v>2.0</v>
      </c>
      <c r="D338" s="115">
        <v>29.98</v>
      </c>
      <c r="E338" s="115">
        <v>9.98</v>
      </c>
      <c r="F338" s="18">
        <f t="shared" si="7"/>
        <v>20</v>
      </c>
      <c r="G338" s="26">
        <v>3.0</v>
      </c>
      <c r="H338" s="18">
        <f t="shared" si="8"/>
        <v>3.326666667</v>
      </c>
      <c r="I338" s="7"/>
      <c r="J338" s="7"/>
      <c r="K338" s="1"/>
      <c r="L338" s="1"/>
      <c r="M338" s="1"/>
      <c r="N338" s="1"/>
      <c r="O338" s="1"/>
      <c r="P338" s="1"/>
      <c r="Q338" s="1"/>
      <c r="R338" s="1"/>
    </row>
    <row r="339">
      <c r="A339" s="16" t="s">
        <v>612</v>
      </c>
      <c r="B339" s="26" t="s">
        <v>56</v>
      </c>
      <c r="C339" s="16">
        <v>1.0</v>
      </c>
      <c r="D339" s="18">
        <v>19.99</v>
      </c>
      <c r="E339" s="18">
        <v>9.99</v>
      </c>
      <c r="F339" s="18">
        <f t="shared" si="7"/>
        <v>10</v>
      </c>
      <c r="G339" s="16">
        <v>3.0</v>
      </c>
      <c r="H339" s="18">
        <f t="shared" si="8"/>
        <v>3.33</v>
      </c>
      <c r="I339" s="7"/>
      <c r="J339" s="7"/>
      <c r="K339" s="1"/>
      <c r="L339" s="1"/>
      <c r="M339" s="1"/>
      <c r="N339" s="1"/>
      <c r="O339" s="1"/>
      <c r="P339" s="1"/>
      <c r="Q339" s="1"/>
      <c r="R339" s="1"/>
    </row>
    <row r="340">
      <c r="A340" s="16" t="s">
        <v>714</v>
      </c>
      <c r="B340" s="26" t="s">
        <v>715</v>
      </c>
      <c r="C340" s="16">
        <v>1.0</v>
      </c>
      <c r="D340" s="18">
        <v>17.99</v>
      </c>
      <c r="E340" s="18">
        <v>9.99</v>
      </c>
      <c r="F340" s="18">
        <f t="shared" si="7"/>
        <v>8</v>
      </c>
      <c r="G340" s="16">
        <v>3.0</v>
      </c>
      <c r="H340" s="18">
        <f t="shared" si="8"/>
        <v>3.33</v>
      </c>
      <c r="I340" s="7"/>
      <c r="J340" s="7"/>
      <c r="K340" s="1"/>
      <c r="L340" s="1"/>
      <c r="M340" s="1"/>
      <c r="N340" s="1"/>
      <c r="O340" s="1"/>
      <c r="P340" s="1"/>
      <c r="Q340" s="1"/>
      <c r="R340" s="1"/>
    </row>
    <row r="341">
      <c r="A341" s="16" t="s">
        <v>352</v>
      </c>
      <c r="B341" s="26" t="s">
        <v>47</v>
      </c>
      <c r="C341" s="16">
        <v>1.0</v>
      </c>
      <c r="D341" s="18">
        <v>24.99</v>
      </c>
      <c r="E341" s="18">
        <v>11.99</v>
      </c>
      <c r="F341" s="18">
        <f t="shared" si="7"/>
        <v>13</v>
      </c>
      <c r="G341" s="16">
        <v>3.0</v>
      </c>
      <c r="H341" s="18">
        <f t="shared" si="8"/>
        <v>3.996666667</v>
      </c>
      <c r="I341" s="7"/>
      <c r="J341" s="7"/>
      <c r="K341" s="1"/>
      <c r="L341" s="1"/>
      <c r="M341" s="1"/>
      <c r="N341" s="1"/>
      <c r="O341" s="1"/>
      <c r="P341" s="1"/>
      <c r="Q341" s="1"/>
      <c r="R341" s="1"/>
    </row>
    <row r="342">
      <c r="A342" s="16" t="s">
        <v>509</v>
      </c>
      <c r="B342" s="26" t="s">
        <v>508</v>
      </c>
      <c r="C342" s="16">
        <v>1.0</v>
      </c>
      <c r="D342" s="18">
        <v>12.99</v>
      </c>
      <c r="E342" s="18">
        <v>12.99</v>
      </c>
      <c r="F342" s="18">
        <f t="shared" si="7"/>
        <v>0</v>
      </c>
      <c r="G342" s="16">
        <v>3.0</v>
      </c>
      <c r="H342" s="18">
        <f t="shared" si="8"/>
        <v>4.33</v>
      </c>
      <c r="I342" s="7"/>
      <c r="J342" s="7"/>
      <c r="K342" s="1"/>
      <c r="L342" s="1"/>
      <c r="M342" s="1"/>
      <c r="N342" s="1"/>
      <c r="O342" s="1"/>
      <c r="P342" s="1"/>
      <c r="Q342" s="1"/>
      <c r="R342" s="1"/>
    </row>
    <row r="343">
      <c r="A343" s="16" t="s">
        <v>558</v>
      </c>
      <c r="B343" s="26" t="s">
        <v>559</v>
      </c>
      <c r="C343" s="16">
        <v>3.0</v>
      </c>
      <c r="D343" s="115">
        <v>69.98</v>
      </c>
      <c r="E343" s="115">
        <v>14.48</v>
      </c>
      <c r="F343" s="18">
        <f t="shared" si="7"/>
        <v>55.5</v>
      </c>
      <c r="G343" s="26">
        <v>3.0</v>
      </c>
      <c r="H343" s="18">
        <f t="shared" si="8"/>
        <v>4.826666667</v>
      </c>
      <c r="I343" s="7"/>
      <c r="J343" s="7"/>
      <c r="K343" s="1"/>
      <c r="L343" s="1"/>
      <c r="M343" s="1"/>
      <c r="N343" s="1"/>
      <c r="O343" s="1"/>
      <c r="P343" s="1"/>
      <c r="Q343" s="1"/>
      <c r="R343" s="1"/>
    </row>
    <row r="344">
      <c r="A344" s="16" t="s">
        <v>687</v>
      </c>
      <c r="B344" s="26" t="s">
        <v>56</v>
      </c>
      <c r="C344" s="16">
        <v>3.0</v>
      </c>
      <c r="D344" s="115">
        <v>27.97</v>
      </c>
      <c r="E344" s="115">
        <v>18.97</v>
      </c>
      <c r="F344" s="18">
        <f t="shared" si="7"/>
        <v>9</v>
      </c>
      <c r="G344" s="26">
        <v>3.0</v>
      </c>
      <c r="H344" s="18">
        <f t="shared" si="8"/>
        <v>6.323333333</v>
      </c>
      <c r="I344" s="7"/>
      <c r="J344" s="7"/>
      <c r="K344" s="1"/>
      <c r="L344" s="1"/>
      <c r="M344" s="1"/>
      <c r="N344" s="1"/>
      <c r="O344" s="1"/>
      <c r="P344" s="1"/>
      <c r="Q344" s="1"/>
      <c r="R344" s="1"/>
    </row>
    <row r="345">
      <c r="A345" s="26" t="s">
        <v>269</v>
      </c>
      <c r="B345" s="26" t="s">
        <v>36</v>
      </c>
      <c r="C345" s="26">
        <v>3.0</v>
      </c>
      <c r="D345" s="115">
        <v>29.97</v>
      </c>
      <c r="E345" s="115">
        <v>20.97</v>
      </c>
      <c r="F345" s="18">
        <f t="shared" si="7"/>
        <v>9</v>
      </c>
      <c r="G345" s="26">
        <v>3.0</v>
      </c>
      <c r="H345" s="18">
        <f t="shared" si="8"/>
        <v>6.99</v>
      </c>
      <c r="I345" s="7"/>
      <c r="J345" s="7"/>
      <c r="K345" s="1"/>
      <c r="L345" s="1"/>
      <c r="M345" s="1"/>
      <c r="N345" s="1"/>
      <c r="O345" s="1"/>
      <c r="P345" s="1"/>
      <c r="Q345" s="1"/>
      <c r="R345" s="1"/>
    </row>
    <row r="346">
      <c r="A346" s="16" t="s">
        <v>526</v>
      </c>
      <c r="B346" s="26" t="s">
        <v>527</v>
      </c>
      <c r="C346" s="16">
        <v>1.0</v>
      </c>
      <c r="D346" s="18">
        <v>29.99</v>
      </c>
      <c r="E346" s="18">
        <v>29.99</v>
      </c>
      <c r="F346" s="18">
        <f t="shared" si="7"/>
        <v>0</v>
      </c>
      <c r="G346" s="16">
        <v>3.0</v>
      </c>
      <c r="H346" s="18">
        <f t="shared" si="8"/>
        <v>9.996666667</v>
      </c>
      <c r="I346" s="7"/>
      <c r="J346" s="7"/>
      <c r="K346" s="1"/>
      <c r="L346" s="1"/>
      <c r="M346" s="1"/>
      <c r="N346" s="1"/>
      <c r="O346" s="1"/>
      <c r="P346" s="1"/>
      <c r="Q346" s="1"/>
      <c r="R346" s="1"/>
    </row>
    <row r="347">
      <c r="A347" s="26" t="s">
        <v>44</v>
      </c>
      <c r="B347" s="26" t="s">
        <v>36</v>
      </c>
      <c r="C347" s="26">
        <v>2.0</v>
      </c>
      <c r="D347" s="115">
        <v>99.98</v>
      </c>
      <c r="E347" s="115">
        <v>63.98</v>
      </c>
      <c r="F347" s="18">
        <f t="shared" si="7"/>
        <v>36</v>
      </c>
      <c r="G347" s="26">
        <v>3.0</v>
      </c>
      <c r="H347" s="18">
        <f t="shared" si="8"/>
        <v>21.32666667</v>
      </c>
      <c r="I347" s="7"/>
      <c r="J347" s="7"/>
      <c r="K347" s="1"/>
      <c r="L347" s="1"/>
      <c r="M347" s="1"/>
      <c r="N347" s="1"/>
      <c r="O347" s="1"/>
      <c r="P347" s="1"/>
      <c r="Q347" s="1"/>
      <c r="R347" s="1"/>
    </row>
    <row r="348">
      <c r="A348" s="16" t="s">
        <v>696</v>
      </c>
      <c r="B348" s="26" t="s">
        <v>56</v>
      </c>
      <c r="C348" s="16">
        <v>2.0</v>
      </c>
      <c r="D348" s="115">
        <v>144.98</v>
      </c>
      <c r="E348" s="115">
        <v>0.0</v>
      </c>
      <c r="F348" s="18">
        <f t="shared" si="7"/>
        <v>144.98</v>
      </c>
      <c r="G348" s="26">
        <v>2.0</v>
      </c>
      <c r="H348" s="18">
        <f t="shared" si="8"/>
        <v>0</v>
      </c>
      <c r="I348" s="7"/>
      <c r="J348" s="7"/>
      <c r="K348" s="1"/>
      <c r="L348" s="1"/>
      <c r="M348" s="1"/>
      <c r="N348" s="1"/>
      <c r="O348" s="1"/>
      <c r="P348" s="1"/>
      <c r="Q348" s="1"/>
      <c r="R348" s="1"/>
    </row>
    <row r="349">
      <c r="A349" s="16" t="s">
        <v>550</v>
      </c>
      <c r="B349" s="26" t="s">
        <v>527</v>
      </c>
      <c r="C349" s="16">
        <v>2.0</v>
      </c>
      <c r="D349" s="115">
        <v>49.98</v>
      </c>
      <c r="E349" s="115">
        <v>0.0</v>
      </c>
      <c r="F349" s="18">
        <f t="shared" si="7"/>
        <v>49.98</v>
      </c>
      <c r="G349" s="26">
        <v>2.0</v>
      </c>
      <c r="H349" s="18">
        <f t="shared" si="8"/>
        <v>0</v>
      </c>
      <c r="I349" s="7"/>
      <c r="J349" s="7"/>
      <c r="K349" s="1"/>
      <c r="L349" s="1"/>
      <c r="M349" s="1"/>
      <c r="N349" s="1"/>
      <c r="O349" s="1"/>
      <c r="P349" s="1"/>
      <c r="Q349" s="1"/>
      <c r="R349" s="1"/>
    </row>
    <row r="350">
      <c r="A350" s="16" t="s">
        <v>701</v>
      </c>
      <c r="B350" s="26" t="s">
        <v>56</v>
      </c>
      <c r="C350" s="16">
        <v>1.0</v>
      </c>
      <c r="D350" s="115">
        <v>39.99</v>
      </c>
      <c r="E350" s="115">
        <v>0.0</v>
      </c>
      <c r="F350" s="18">
        <f t="shared" si="7"/>
        <v>39.99</v>
      </c>
      <c r="G350" s="26">
        <v>2.0</v>
      </c>
      <c r="H350" s="18">
        <f t="shared" si="8"/>
        <v>0</v>
      </c>
      <c r="I350" s="7"/>
      <c r="J350" s="7"/>
      <c r="K350" s="1"/>
      <c r="L350" s="1"/>
      <c r="M350" s="1"/>
      <c r="N350" s="1"/>
      <c r="O350" s="1"/>
      <c r="P350" s="1"/>
      <c r="Q350" s="1"/>
      <c r="R350" s="1"/>
    </row>
    <row r="351">
      <c r="A351" s="26" t="s">
        <v>48</v>
      </c>
      <c r="B351" s="26" t="s">
        <v>47</v>
      </c>
      <c r="C351" s="16">
        <v>1.0</v>
      </c>
      <c r="D351" s="115">
        <v>39.99</v>
      </c>
      <c r="E351" s="115">
        <v>0.0</v>
      </c>
      <c r="F351" s="18">
        <f t="shared" si="7"/>
        <v>39.99</v>
      </c>
      <c r="G351" s="26">
        <v>2.0</v>
      </c>
      <c r="H351" s="18">
        <f t="shared" si="8"/>
        <v>0</v>
      </c>
      <c r="I351" s="7"/>
      <c r="J351" s="7"/>
      <c r="K351" s="1"/>
      <c r="L351" s="1"/>
      <c r="M351" s="1"/>
      <c r="N351" s="1"/>
      <c r="O351" s="1"/>
      <c r="P351" s="1"/>
      <c r="Q351" s="1"/>
      <c r="R351" s="1"/>
    </row>
    <row r="352">
      <c r="A352" s="16" t="s">
        <v>194</v>
      </c>
      <c r="B352" s="26" t="s">
        <v>39</v>
      </c>
      <c r="C352" s="16">
        <v>1.0</v>
      </c>
      <c r="D352" s="216">
        <v>29.99</v>
      </c>
      <c r="E352" s="216">
        <v>0.0</v>
      </c>
      <c r="F352" s="216">
        <f t="shared" si="7"/>
        <v>29.99</v>
      </c>
      <c r="G352" s="129">
        <v>2.0</v>
      </c>
      <c r="H352" s="216">
        <f t="shared" si="8"/>
        <v>0</v>
      </c>
      <c r="I352" s="7"/>
      <c r="J352" s="7"/>
      <c r="K352" s="1"/>
      <c r="L352" s="1"/>
      <c r="M352" s="1"/>
      <c r="N352" s="1"/>
      <c r="O352" s="1"/>
      <c r="P352" s="1"/>
      <c r="Q352" s="1"/>
      <c r="R352" s="1"/>
    </row>
    <row r="353">
      <c r="A353" s="16" t="s">
        <v>177</v>
      </c>
      <c r="B353" s="26" t="s">
        <v>39</v>
      </c>
      <c r="C353" s="16">
        <v>1.0</v>
      </c>
      <c r="D353" s="216">
        <v>29.99</v>
      </c>
      <c r="E353" s="216">
        <v>0.0</v>
      </c>
      <c r="F353" s="216">
        <f t="shared" si="7"/>
        <v>29.99</v>
      </c>
      <c r="G353" s="129">
        <v>2.0</v>
      </c>
      <c r="H353" s="216">
        <f t="shared" si="8"/>
        <v>0</v>
      </c>
      <c r="I353" s="7"/>
      <c r="J353" s="7"/>
      <c r="K353" s="1"/>
      <c r="L353" s="1"/>
      <c r="M353" s="1"/>
      <c r="N353" s="1"/>
      <c r="O353" s="1"/>
      <c r="P353" s="1"/>
      <c r="Q353" s="1"/>
      <c r="R353" s="1"/>
    </row>
    <row r="354">
      <c r="A354" s="16" t="s">
        <v>243</v>
      </c>
      <c r="B354" s="26" t="s">
        <v>237</v>
      </c>
      <c r="C354" s="16">
        <v>1.0</v>
      </c>
      <c r="D354" s="216">
        <v>29.99</v>
      </c>
      <c r="E354" s="216">
        <v>0.0</v>
      </c>
      <c r="F354" s="216">
        <f t="shared" si="7"/>
        <v>29.99</v>
      </c>
      <c r="G354" s="129">
        <v>2.0</v>
      </c>
      <c r="H354" s="216">
        <f t="shared" si="8"/>
        <v>0</v>
      </c>
      <c r="I354" s="7"/>
      <c r="J354" s="7"/>
      <c r="K354" s="1"/>
      <c r="L354" s="1"/>
      <c r="M354" s="1"/>
      <c r="N354" s="1"/>
      <c r="O354" s="1"/>
      <c r="P354" s="1"/>
      <c r="Q354" s="1"/>
      <c r="R354" s="1"/>
    </row>
    <row r="355">
      <c r="A355" s="26" t="s">
        <v>246</v>
      </c>
      <c r="B355" s="26" t="s">
        <v>36</v>
      </c>
      <c r="C355" s="16">
        <v>1.0</v>
      </c>
      <c r="D355" s="18">
        <v>19.99</v>
      </c>
      <c r="E355" s="18">
        <v>0.0</v>
      </c>
      <c r="F355" s="18">
        <f t="shared" si="7"/>
        <v>19.99</v>
      </c>
      <c r="G355" s="26">
        <v>2.0</v>
      </c>
      <c r="H355" s="18">
        <f t="shared" si="8"/>
        <v>0</v>
      </c>
      <c r="I355" s="7"/>
      <c r="J355" s="7"/>
      <c r="K355" s="1"/>
      <c r="L355" s="1"/>
      <c r="M355" s="1"/>
      <c r="N355" s="1"/>
      <c r="O355" s="1"/>
      <c r="P355" s="1"/>
      <c r="Q355" s="1"/>
      <c r="R355" s="1"/>
    </row>
    <row r="356">
      <c r="A356" s="16" t="s">
        <v>606</v>
      </c>
      <c r="B356" s="26" t="s">
        <v>56</v>
      </c>
      <c r="C356" s="16">
        <v>1.0</v>
      </c>
      <c r="D356" s="18">
        <v>19.99</v>
      </c>
      <c r="E356" s="18">
        <v>0.0</v>
      </c>
      <c r="F356" s="18">
        <f t="shared" si="7"/>
        <v>19.99</v>
      </c>
      <c r="G356" s="26">
        <v>2.0</v>
      </c>
      <c r="H356" s="18">
        <f t="shared" si="8"/>
        <v>0</v>
      </c>
      <c r="I356" s="7"/>
      <c r="J356" s="7"/>
      <c r="K356" s="1"/>
      <c r="L356" s="1"/>
      <c r="M356" s="1"/>
      <c r="N356" s="1"/>
      <c r="O356" s="1"/>
      <c r="P356" s="1"/>
      <c r="Q356" s="1"/>
      <c r="R356" s="1"/>
    </row>
    <row r="357">
      <c r="A357" s="16" t="s">
        <v>139</v>
      </c>
      <c r="B357" s="26" t="s">
        <v>137</v>
      </c>
      <c r="C357" s="16">
        <v>1.0</v>
      </c>
      <c r="D357" s="18">
        <v>19.99</v>
      </c>
      <c r="E357" s="18">
        <v>0.0</v>
      </c>
      <c r="F357" s="18">
        <f t="shared" si="7"/>
        <v>19.99</v>
      </c>
      <c r="G357" s="26">
        <v>2.0</v>
      </c>
      <c r="H357" s="18">
        <f t="shared" si="8"/>
        <v>0</v>
      </c>
      <c r="I357" s="7"/>
      <c r="J357" s="7"/>
      <c r="K357" s="1"/>
      <c r="L357" s="1"/>
      <c r="M357" s="1"/>
      <c r="N357" s="1"/>
      <c r="O357" s="1"/>
      <c r="P357" s="1"/>
      <c r="Q357" s="1"/>
      <c r="R357" s="1"/>
    </row>
    <row r="358">
      <c r="A358" s="16" t="s">
        <v>477</v>
      </c>
      <c r="B358" s="26" t="s">
        <v>472</v>
      </c>
      <c r="C358" s="16">
        <v>1.0</v>
      </c>
      <c r="D358" s="18">
        <v>19.99</v>
      </c>
      <c r="E358" s="18">
        <v>0.0</v>
      </c>
      <c r="F358" s="18">
        <f t="shared" si="7"/>
        <v>19.99</v>
      </c>
      <c r="G358" s="26">
        <v>2.0</v>
      </c>
      <c r="H358" s="18">
        <f t="shared" si="8"/>
        <v>0</v>
      </c>
      <c r="I358" s="7"/>
      <c r="J358" s="7"/>
      <c r="K358" s="1"/>
      <c r="L358" s="1"/>
      <c r="M358" s="1"/>
      <c r="N358" s="1"/>
      <c r="O358" s="1"/>
      <c r="P358" s="1"/>
      <c r="Q358" s="1"/>
      <c r="R358" s="1"/>
    </row>
    <row r="359">
      <c r="A359" s="16" t="s">
        <v>686</v>
      </c>
      <c r="B359" s="26" t="s">
        <v>56</v>
      </c>
      <c r="C359" s="16">
        <v>1.0</v>
      </c>
      <c r="D359" s="18">
        <v>14.99</v>
      </c>
      <c r="E359" s="18">
        <v>0.0</v>
      </c>
      <c r="F359" s="18">
        <f t="shared" si="7"/>
        <v>14.99</v>
      </c>
      <c r="G359" s="16">
        <v>2.0</v>
      </c>
      <c r="H359" s="18">
        <f t="shared" si="8"/>
        <v>0</v>
      </c>
      <c r="I359" s="7"/>
      <c r="J359" s="7"/>
      <c r="K359" s="1"/>
      <c r="L359" s="1"/>
      <c r="M359" s="1"/>
      <c r="N359" s="1"/>
      <c r="O359" s="1"/>
      <c r="P359" s="1"/>
      <c r="Q359" s="1"/>
      <c r="R359" s="1"/>
    </row>
    <row r="360">
      <c r="A360" s="26" t="s">
        <v>683</v>
      </c>
      <c r="B360" s="26" t="s">
        <v>56</v>
      </c>
      <c r="C360" s="26">
        <v>1.0</v>
      </c>
      <c r="D360" s="14">
        <v>12.49</v>
      </c>
      <c r="E360" s="14">
        <v>0.0</v>
      </c>
      <c r="F360" s="14">
        <f t="shared" si="7"/>
        <v>12.49</v>
      </c>
      <c r="G360" s="26">
        <v>2.0</v>
      </c>
      <c r="H360" s="18">
        <f t="shared" si="8"/>
        <v>0</v>
      </c>
      <c r="I360" s="7"/>
      <c r="J360" s="7"/>
      <c r="K360" s="1"/>
      <c r="L360" s="1"/>
      <c r="M360" s="1"/>
      <c r="N360" s="1"/>
      <c r="O360" s="1"/>
      <c r="P360" s="1"/>
      <c r="Q360" s="1"/>
      <c r="R360" s="1"/>
    </row>
    <row r="361">
      <c r="A361" s="16" t="s">
        <v>186</v>
      </c>
      <c r="B361" s="26" t="s">
        <v>39</v>
      </c>
      <c r="C361" s="16">
        <v>1.0</v>
      </c>
      <c r="D361" s="18">
        <v>14.99</v>
      </c>
      <c r="E361" s="18">
        <v>2.0</v>
      </c>
      <c r="F361" s="18">
        <f t="shared" si="7"/>
        <v>12.99</v>
      </c>
      <c r="G361" s="16">
        <v>2.0</v>
      </c>
      <c r="H361" s="18">
        <f t="shared" si="8"/>
        <v>1</v>
      </c>
      <c r="I361" s="7"/>
      <c r="J361" s="7"/>
      <c r="K361" s="1"/>
      <c r="L361" s="1"/>
      <c r="M361" s="1"/>
      <c r="N361" s="1"/>
      <c r="O361" s="1"/>
      <c r="P361" s="1"/>
      <c r="Q361" s="1"/>
      <c r="R361" s="1"/>
    </row>
    <row r="362">
      <c r="A362" s="16" t="s">
        <v>649</v>
      </c>
      <c r="B362" s="26" t="s">
        <v>56</v>
      </c>
      <c r="C362" s="16">
        <v>1.0</v>
      </c>
      <c r="D362" s="18">
        <v>9.99</v>
      </c>
      <c r="E362" s="18">
        <v>1.99</v>
      </c>
      <c r="F362" s="18">
        <f t="shared" si="7"/>
        <v>8</v>
      </c>
      <c r="G362" s="26">
        <v>2.0</v>
      </c>
      <c r="H362" s="18">
        <f t="shared" si="8"/>
        <v>0.995</v>
      </c>
      <c r="I362" s="7"/>
      <c r="J362" s="7"/>
      <c r="K362" s="1"/>
      <c r="L362" s="1"/>
      <c r="M362" s="1"/>
      <c r="N362" s="1"/>
      <c r="O362" s="1"/>
      <c r="P362" s="1"/>
      <c r="Q362" s="1"/>
      <c r="R362" s="1"/>
    </row>
    <row r="363">
      <c r="A363" s="16" t="s">
        <v>202</v>
      </c>
      <c r="B363" s="26" t="s">
        <v>39</v>
      </c>
      <c r="C363" s="16">
        <v>1.0</v>
      </c>
      <c r="D363" s="18">
        <v>9.99</v>
      </c>
      <c r="E363" s="18">
        <v>1.99</v>
      </c>
      <c r="F363" s="18">
        <f t="shared" si="7"/>
        <v>8</v>
      </c>
      <c r="G363" s="26">
        <v>2.0</v>
      </c>
      <c r="H363" s="18">
        <f t="shared" si="8"/>
        <v>0.995</v>
      </c>
      <c r="I363" s="7"/>
      <c r="J363" s="7"/>
      <c r="K363" s="1"/>
      <c r="L363" s="1"/>
      <c r="M363" s="1"/>
      <c r="N363" s="1"/>
      <c r="O363" s="1"/>
      <c r="P363" s="1"/>
      <c r="Q363" s="1"/>
      <c r="R363" s="1"/>
    </row>
    <row r="364">
      <c r="A364" s="16" t="s">
        <v>244</v>
      </c>
      <c r="B364" s="26" t="s">
        <v>245</v>
      </c>
      <c r="C364" s="16">
        <v>1.0</v>
      </c>
      <c r="D364" s="216">
        <v>1.99</v>
      </c>
      <c r="E364" s="216">
        <v>1.99</v>
      </c>
      <c r="F364" s="216">
        <f t="shared" si="7"/>
        <v>0</v>
      </c>
      <c r="G364" s="129">
        <v>2.0</v>
      </c>
      <c r="H364" s="216">
        <f t="shared" si="8"/>
        <v>0.995</v>
      </c>
      <c r="I364" s="7"/>
      <c r="J364" s="7"/>
      <c r="K364" s="1"/>
      <c r="L364" s="1"/>
      <c r="M364" s="1"/>
      <c r="N364" s="1"/>
      <c r="O364" s="1"/>
      <c r="P364" s="1"/>
      <c r="Q364" s="1"/>
      <c r="R364" s="1"/>
    </row>
    <row r="365">
      <c r="A365" s="16" t="s">
        <v>148</v>
      </c>
      <c r="B365" s="26" t="s">
        <v>137</v>
      </c>
      <c r="C365" s="16">
        <v>1.0</v>
      </c>
      <c r="D365" s="18">
        <v>12.99</v>
      </c>
      <c r="E365" s="18">
        <v>2.59</v>
      </c>
      <c r="F365" s="18">
        <f t="shared" si="7"/>
        <v>10.4</v>
      </c>
      <c r="G365" s="16">
        <v>2.0</v>
      </c>
      <c r="H365" s="18">
        <f t="shared" si="8"/>
        <v>1.295</v>
      </c>
      <c r="I365" s="7"/>
      <c r="J365" s="7"/>
      <c r="K365" s="1"/>
      <c r="L365" s="1"/>
      <c r="M365" s="1"/>
      <c r="N365" s="1"/>
      <c r="O365" s="1"/>
      <c r="P365" s="1"/>
      <c r="Q365" s="1"/>
      <c r="R365" s="1"/>
    </row>
    <row r="366">
      <c r="A366" s="16" t="s">
        <v>496</v>
      </c>
      <c r="B366" s="26" t="s">
        <v>494</v>
      </c>
      <c r="C366" s="16">
        <v>1.0</v>
      </c>
      <c r="D366" s="18">
        <v>6.99</v>
      </c>
      <c r="E366" s="18">
        <v>2.79</v>
      </c>
      <c r="F366" s="18">
        <f t="shared" si="7"/>
        <v>4.2</v>
      </c>
      <c r="G366" s="16">
        <v>2.0</v>
      </c>
      <c r="H366" s="18">
        <f t="shared" si="8"/>
        <v>1.395</v>
      </c>
      <c r="I366" s="7"/>
      <c r="J366" s="7"/>
      <c r="K366" s="1"/>
      <c r="L366" s="1"/>
      <c r="M366" s="1"/>
      <c r="N366" s="1"/>
      <c r="O366" s="1"/>
      <c r="P366" s="1"/>
      <c r="Q366" s="1"/>
      <c r="R366" s="1"/>
    </row>
    <row r="367">
      <c r="A367" s="16" t="s">
        <v>381</v>
      </c>
      <c r="B367" s="26" t="s">
        <v>367</v>
      </c>
      <c r="C367" s="16">
        <v>1.0</v>
      </c>
      <c r="D367" s="18">
        <v>8.99</v>
      </c>
      <c r="E367" s="18">
        <v>2.99</v>
      </c>
      <c r="F367" s="18">
        <f t="shared" si="7"/>
        <v>6</v>
      </c>
      <c r="G367" s="16">
        <v>2.0</v>
      </c>
      <c r="H367" s="18">
        <f t="shared" si="8"/>
        <v>1.495</v>
      </c>
      <c r="I367" s="7"/>
      <c r="J367" s="7"/>
      <c r="K367" s="1"/>
      <c r="L367" s="1"/>
      <c r="M367" s="1"/>
      <c r="N367" s="1"/>
      <c r="O367" s="1"/>
      <c r="P367" s="1"/>
      <c r="Q367" s="1"/>
      <c r="R367" s="1"/>
    </row>
    <row r="368">
      <c r="A368" s="16" t="s">
        <v>493</v>
      </c>
      <c r="B368" s="26" t="s">
        <v>494</v>
      </c>
      <c r="C368" s="16">
        <v>1.0</v>
      </c>
      <c r="D368" s="18">
        <v>4.99</v>
      </c>
      <c r="E368" s="18">
        <v>3.49</v>
      </c>
      <c r="F368" s="18">
        <f t="shared" si="7"/>
        <v>1.5</v>
      </c>
      <c r="G368" s="16">
        <v>2.0</v>
      </c>
      <c r="H368" s="18">
        <f t="shared" si="8"/>
        <v>1.745</v>
      </c>
      <c r="I368" s="7"/>
      <c r="J368" s="7"/>
      <c r="K368" s="1"/>
      <c r="L368" s="1"/>
      <c r="M368" s="1"/>
      <c r="N368" s="1"/>
      <c r="O368" s="1"/>
      <c r="P368" s="1"/>
      <c r="Q368" s="1"/>
      <c r="R368" s="1"/>
    </row>
    <row r="369">
      <c r="A369" s="16" t="s">
        <v>299</v>
      </c>
      <c r="B369" s="26" t="s">
        <v>36</v>
      </c>
      <c r="C369" s="16">
        <v>1.0</v>
      </c>
      <c r="D369" s="18">
        <v>4.49</v>
      </c>
      <c r="E369" s="18">
        <v>3.49</v>
      </c>
      <c r="F369" s="18">
        <f t="shared" si="7"/>
        <v>1</v>
      </c>
      <c r="G369" s="26">
        <v>2.0</v>
      </c>
      <c r="H369" s="18">
        <f t="shared" si="8"/>
        <v>1.745</v>
      </c>
      <c r="I369" s="7"/>
      <c r="J369" s="7"/>
      <c r="K369" s="1"/>
      <c r="L369" s="1"/>
      <c r="M369" s="1"/>
      <c r="N369" s="1"/>
      <c r="O369" s="1"/>
      <c r="P369" s="1"/>
      <c r="Q369" s="1"/>
      <c r="R369" s="1"/>
    </row>
    <row r="370">
      <c r="A370" s="16" t="s">
        <v>301</v>
      </c>
      <c r="B370" s="26" t="s">
        <v>36</v>
      </c>
      <c r="C370" s="16">
        <v>1.0</v>
      </c>
      <c r="D370" s="18">
        <v>5.99</v>
      </c>
      <c r="E370" s="18">
        <v>3.59</v>
      </c>
      <c r="F370" s="18">
        <f t="shared" si="7"/>
        <v>2.4</v>
      </c>
      <c r="G370" s="16">
        <v>2.0</v>
      </c>
      <c r="H370" s="18">
        <f t="shared" si="8"/>
        <v>1.795</v>
      </c>
      <c r="I370" s="7"/>
      <c r="J370" s="7"/>
      <c r="K370" s="1"/>
      <c r="L370" s="1"/>
      <c r="M370" s="1"/>
      <c r="N370" s="1"/>
      <c r="O370" s="1"/>
      <c r="P370" s="1"/>
      <c r="Q370" s="1"/>
      <c r="R370" s="1"/>
    </row>
    <row r="371">
      <c r="A371" s="16" t="s">
        <v>580</v>
      </c>
      <c r="B371" s="26" t="s">
        <v>56</v>
      </c>
      <c r="C371" s="16">
        <v>1.0</v>
      </c>
      <c r="D371" s="18">
        <v>14.49</v>
      </c>
      <c r="E371" s="18">
        <v>3.62</v>
      </c>
      <c r="F371" s="18">
        <f t="shared" si="7"/>
        <v>10.87</v>
      </c>
      <c r="G371" s="16">
        <v>2.0</v>
      </c>
      <c r="H371" s="18">
        <f t="shared" si="8"/>
        <v>1.81</v>
      </c>
      <c r="I371" s="7"/>
      <c r="J371" s="7"/>
      <c r="K371" s="1"/>
      <c r="L371" s="1"/>
      <c r="M371" s="1"/>
      <c r="N371" s="1"/>
      <c r="O371" s="1"/>
      <c r="P371" s="1"/>
      <c r="Q371" s="1"/>
      <c r="R371" s="1"/>
    </row>
    <row r="372">
      <c r="A372" s="16" t="s">
        <v>374</v>
      </c>
      <c r="B372" s="26" t="s">
        <v>367</v>
      </c>
      <c r="C372" s="16">
        <v>1.0</v>
      </c>
      <c r="D372" s="18">
        <v>39.99</v>
      </c>
      <c r="E372" s="18">
        <v>3.99</v>
      </c>
      <c r="F372" s="18">
        <f t="shared" si="7"/>
        <v>36</v>
      </c>
      <c r="G372" s="26">
        <v>2.0</v>
      </c>
      <c r="H372" s="18">
        <f t="shared" si="8"/>
        <v>1.995</v>
      </c>
      <c r="I372" s="7"/>
      <c r="J372" s="7"/>
      <c r="K372" s="1"/>
      <c r="L372" s="1"/>
      <c r="M372" s="1"/>
      <c r="N372" s="1"/>
      <c r="O372" s="1"/>
      <c r="P372" s="1"/>
      <c r="Q372" s="1"/>
      <c r="R372" s="1"/>
    </row>
    <row r="373">
      <c r="A373" s="16" t="s">
        <v>160</v>
      </c>
      <c r="B373" s="26" t="s">
        <v>159</v>
      </c>
      <c r="C373" s="16">
        <v>1.0</v>
      </c>
      <c r="D373" s="18">
        <v>9.99</v>
      </c>
      <c r="E373" s="18">
        <v>3.99</v>
      </c>
      <c r="F373" s="18">
        <f t="shared" si="7"/>
        <v>6</v>
      </c>
      <c r="G373" s="26">
        <v>2.0</v>
      </c>
      <c r="H373" s="18">
        <f t="shared" si="8"/>
        <v>1.995</v>
      </c>
      <c r="I373" s="7"/>
      <c r="J373" s="7"/>
      <c r="K373" s="1"/>
      <c r="L373" s="1"/>
      <c r="M373" s="1"/>
      <c r="N373" s="1"/>
      <c r="O373" s="1"/>
      <c r="P373" s="1"/>
      <c r="Q373" s="1"/>
      <c r="R373" s="1"/>
    </row>
    <row r="374">
      <c r="A374" s="16" t="s">
        <v>278</v>
      </c>
      <c r="B374" s="26" t="s">
        <v>36</v>
      </c>
      <c r="C374" s="16">
        <v>1.0</v>
      </c>
      <c r="D374" s="18">
        <v>3.99</v>
      </c>
      <c r="E374" s="18">
        <v>3.99</v>
      </c>
      <c r="F374" s="18">
        <f t="shared" si="7"/>
        <v>0</v>
      </c>
      <c r="G374" s="16">
        <v>2.0</v>
      </c>
      <c r="H374" s="18">
        <f t="shared" si="8"/>
        <v>1.995</v>
      </c>
      <c r="I374" s="7"/>
      <c r="J374" s="7"/>
      <c r="K374" s="1"/>
      <c r="L374" s="1"/>
      <c r="M374" s="1"/>
      <c r="N374" s="1"/>
      <c r="O374" s="1"/>
      <c r="P374" s="1"/>
      <c r="Q374" s="1"/>
      <c r="R374" s="1"/>
    </row>
    <row r="375">
      <c r="A375" s="16" t="s">
        <v>540</v>
      </c>
      <c r="B375" s="26" t="s">
        <v>527</v>
      </c>
      <c r="C375" s="16">
        <v>1.0</v>
      </c>
      <c r="D375" s="18">
        <v>14.99</v>
      </c>
      <c r="E375" s="18">
        <v>4.49</v>
      </c>
      <c r="F375" s="18">
        <f t="shared" si="7"/>
        <v>10.5</v>
      </c>
      <c r="G375" s="26">
        <v>2.0</v>
      </c>
      <c r="H375" s="18">
        <f t="shared" si="8"/>
        <v>2.245</v>
      </c>
      <c r="I375" s="7"/>
      <c r="J375" s="7"/>
      <c r="K375" s="1"/>
      <c r="L375" s="1"/>
      <c r="M375" s="1"/>
      <c r="N375" s="1"/>
      <c r="O375" s="1"/>
      <c r="P375" s="1"/>
      <c r="Q375" s="1"/>
      <c r="R375" s="1"/>
    </row>
    <row r="376">
      <c r="A376" s="16" t="s">
        <v>238</v>
      </c>
      <c r="B376" s="26" t="s">
        <v>237</v>
      </c>
      <c r="C376" s="16">
        <v>1.0</v>
      </c>
      <c r="D376" s="18">
        <v>9.99</v>
      </c>
      <c r="E376" s="18">
        <v>4.49</v>
      </c>
      <c r="F376" s="18">
        <f t="shared" si="7"/>
        <v>5.5</v>
      </c>
      <c r="G376" s="26">
        <v>2.0</v>
      </c>
      <c r="H376" s="18">
        <f t="shared" si="8"/>
        <v>2.245</v>
      </c>
      <c r="I376" s="7"/>
      <c r="J376" s="7"/>
      <c r="K376" s="1"/>
      <c r="L376" s="1"/>
      <c r="M376" s="1"/>
      <c r="N376" s="1"/>
      <c r="O376" s="1"/>
      <c r="P376" s="1"/>
      <c r="Q376" s="1"/>
      <c r="R376" s="1"/>
    </row>
    <row r="377">
      <c r="A377" s="16" t="s">
        <v>296</v>
      </c>
      <c r="B377" s="26" t="s">
        <v>36</v>
      </c>
      <c r="C377" s="16">
        <v>1.0</v>
      </c>
      <c r="D377" s="18">
        <v>24.99</v>
      </c>
      <c r="E377" s="18">
        <v>4.99</v>
      </c>
      <c r="F377" s="18">
        <f t="shared" si="7"/>
        <v>20</v>
      </c>
      <c r="G377" s="16">
        <v>2.0</v>
      </c>
      <c r="H377" s="18">
        <f t="shared" si="8"/>
        <v>2.495</v>
      </c>
      <c r="I377" s="7"/>
      <c r="J377" s="7"/>
      <c r="K377" s="1"/>
      <c r="L377" s="1"/>
      <c r="M377" s="1"/>
      <c r="N377" s="1"/>
      <c r="O377" s="1"/>
      <c r="P377" s="1"/>
      <c r="Q377" s="1"/>
      <c r="R377" s="1"/>
    </row>
    <row r="378">
      <c r="A378" s="16" t="s">
        <v>421</v>
      </c>
      <c r="B378" s="26" t="s">
        <v>50</v>
      </c>
      <c r="C378" s="16">
        <v>1.0</v>
      </c>
      <c r="D378" s="18">
        <v>14.99</v>
      </c>
      <c r="E378" s="18">
        <v>4.99</v>
      </c>
      <c r="F378" s="18">
        <f t="shared" si="7"/>
        <v>10</v>
      </c>
      <c r="G378" s="26">
        <v>2.0</v>
      </c>
      <c r="H378" s="18">
        <f t="shared" si="8"/>
        <v>2.495</v>
      </c>
      <c r="I378" s="7"/>
      <c r="J378" s="7"/>
      <c r="K378" s="1"/>
      <c r="L378" s="1"/>
      <c r="M378" s="1"/>
      <c r="N378" s="1"/>
      <c r="O378" s="1"/>
      <c r="P378" s="1"/>
      <c r="Q378" s="1"/>
      <c r="R378" s="1"/>
    </row>
    <row r="379">
      <c r="A379" s="16" t="s">
        <v>218</v>
      </c>
      <c r="B379" s="26" t="s">
        <v>219</v>
      </c>
      <c r="C379" s="16">
        <v>1.0</v>
      </c>
      <c r="D379" s="18">
        <v>14.99</v>
      </c>
      <c r="E379" s="18">
        <v>4.99</v>
      </c>
      <c r="F379" s="18">
        <f t="shared" si="7"/>
        <v>10</v>
      </c>
      <c r="G379" s="26">
        <v>2.0</v>
      </c>
      <c r="H379" s="18">
        <f t="shared" si="8"/>
        <v>2.495</v>
      </c>
      <c r="I379" s="7"/>
      <c r="J379" s="7"/>
      <c r="K379" s="1"/>
      <c r="L379" s="1"/>
      <c r="M379" s="1"/>
      <c r="N379" s="1"/>
      <c r="O379" s="1"/>
      <c r="P379" s="1"/>
      <c r="Q379" s="1"/>
      <c r="R379" s="1"/>
    </row>
    <row r="380">
      <c r="A380" s="16" t="s">
        <v>339</v>
      </c>
      <c r="B380" s="26" t="s">
        <v>333</v>
      </c>
      <c r="C380" s="16">
        <v>1.0</v>
      </c>
      <c r="D380" s="18">
        <v>11.99</v>
      </c>
      <c r="E380" s="18">
        <v>4.99</v>
      </c>
      <c r="F380" s="18">
        <f t="shared" si="7"/>
        <v>7</v>
      </c>
      <c r="G380" s="26">
        <v>2.0</v>
      </c>
      <c r="H380" s="18">
        <f t="shared" si="8"/>
        <v>2.495</v>
      </c>
      <c r="I380" s="7"/>
      <c r="J380" s="7"/>
      <c r="K380" s="1"/>
      <c r="L380" s="1"/>
      <c r="M380" s="1"/>
      <c r="N380" s="1"/>
      <c r="O380" s="1"/>
      <c r="P380" s="1"/>
      <c r="Q380" s="1"/>
      <c r="R380" s="1"/>
    </row>
    <row r="381">
      <c r="A381" s="16" t="s">
        <v>158</v>
      </c>
      <c r="B381" s="26" t="s">
        <v>159</v>
      </c>
      <c r="C381" s="16">
        <v>1.0</v>
      </c>
      <c r="D381" s="18">
        <v>9.99</v>
      </c>
      <c r="E381" s="18">
        <v>4.99</v>
      </c>
      <c r="F381" s="18">
        <f t="shared" si="7"/>
        <v>5</v>
      </c>
      <c r="G381" s="16">
        <v>2.0</v>
      </c>
      <c r="H381" s="18">
        <f t="shared" si="8"/>
        <v>2.495</v>
      </c>
      <c r="I381" s="7"/>
      <c r="J381" s="7"/>
      <c r="K381" s="1"/>
      <c r="L381" s="1"/>
      <c r="M381" s="1"/>
      <c r="N381" s="1"/>
      <c r="O381" s="1"/>
      <c r="P381" s="1"/>
      <c r="Q381" s="1"/>
      <c r="R381" s="1"/>
    </row>
    <row r="382">
      <c r="A382" s="16" t="s">
        <v>396</v>
      </c>
      <c r="B382" s="26" t="s">
        <v>394</v>
      </c>
      <c r="C382" s="16">
        <v>2.0</v>
      </c>
      <c r="D382" s="115">
        <v>19.98</v>
      </c>
      <c r="E382" s="115">
        <v>5.98</v>
      </c>
      <c r="F382" s="18">
        <f t="shared" si="7"/>
        <v>14</v>
      </c>
      <c r="G382" s="26">
        <v>2.0</v>
      </c>
      <c r="H382" s="18">
        <f t="shared" si="8"/>
        <v>2.99</v>
      </c>
      <c r="I382" s="7"/>
      <c r="J382" s="7"/>
      <c r="K382" s="1"/>
      <c r="L382" s="1"/>
      <c r="M382" s="1"/>
      <c r="N382" s="1"/>
      <c r="O382" s="1"/>
      <c r="P382" s="1"/>
      <c r="Q382" s="1"/>
      <c r="R382" s="1"/>
    </row>
    <row r="383">
      <c r="A383" s="16" t="s">
        <v>462</v>
      </c>
      <c r="B383" s="26" t="s">
        <v>53</v>
      </c>
      <c r="C383" s="16">
        <v>1.0</v>
      </c>
      <c r="D383" s="18">
        <v>14.99</v>
      </c>
      <c r="E383" s="18">
        <v>5.99</v>
      </c>
      <c r="F383" s="18">
        <f t="shared" si="7"/>
        <v>9</v>
      </c>
      <c r="G383" s="16">
        <v>2.0</v>
      </c>
      <c r="H383" s="18">
        <f t="shared" si="8"/>
        <v>2.995</v>
      </c>
      <c r="I383" s="7"/>
      <c r="J383" s="7"/>
      <c r="K383" s="1"/>
      <c r="L383" s="1"/>
      <c r="M383" s="1"/>
      <c r="N383" s="1"/>
      <c r="O383" s="1"/>
      <c r="P383" s="1"/>
      <c r="Q383" s="1"/>
      <c r="R383" s="1"/>
    </row>
    <row r="384">
      <c r="A384" s="16" t="s">
        <v>572</v>
      </c>
      <c r="B384" s="26" t="s">
        <v>56</v>
      </c>
      <c r="C384" s="16">
        <v>1.0</v>
      </c>
      <c r="D384" s="18">
        <v>21.99</v>
      </c>
      <c r="E384" s="18">
        <v>6.99</v>
      </c>
      <c r="F384" s="18">
        <f t="shared" si="7"/>
        <v>15</v>
      </c>
      <c r="G384" s="26">
        <v>2.0</v>
      </c>
      <c r="H384" s="18">
        <f t="shared" si="8"/>
        <v>3.495</v>
      </c>
      <c r="I384" s="7"/>
      <c r="J384" s="7"/>
      <c r="K384" s="1"/>
      <c r="L384" s="1"/>
      <c r="M384" s="1"/>
      <c r="N384" s="1"/>
      <c r="O384" s="1"/>
      <c r="P384" s="1"/>
      <c r="Q384" s="1"/>
      <c r="R384" s="1"/>
    </row>
    <row r="385">
      <c r="A385" s="16" t="s">
        <v>229</v>
      </c>
      <c r="B385" s="26" t="s">
        <v>228</v>
      </c>
      <c r="C385" s="16">
        <v>1.0</v>
      </c>
      <c r="D385" s="18">
        <v>14.99</v>
      </c>
      <c r="E385" s="18">
        <v>7.49</v>
      </c>
      <c r="F385" s="18">
        <f t="shared" si="7"/>
        <v>7.5</v>
      </c>
      <c r="G385" s="26">
        <v>2.0</v>
      </c>
      <c r="H385" s="18">
        <f t="shared" si="8"/>
        <v>3.745</v>
      </c>
      <c r="I385" s="7"/>
      <c r="J385" s="7"/>
      <c r="K385" s="1"/>
      <c r="L385" s="1"/>
      <c r="M385" s="1"/>
      <c r="N385" s="1"/>
      <c r="O385" s="1"/>
      <c r="P385" s="1"/>
      <c r="Q385" s="1"/>
      <c r="R385" s="1"/>
    </row>
    <row r="386">
      <c r="A386" s="470" t="s">
        <v>497</v>
      </c>
      <c r="B386" s="26" t="s">
        <v>494</v>
      </c>
      <c r="C386" s="16">
        <v>1.0</v>
      </c>
      <c r="D386" s="18">
        <v>14.99</v>
      </c>
      <c r="E386" s="18">
        <v>9.74</v>
      </c>
      <c r="F386" s="18">
        <f t="shared" si="7"/>
        <v>5.25</v>
      </c>
      <c r="G386" s="26">
        <v>2.0</v>
      </c>
      <c r="H386" s="18">
        <f t="shared" si="8"/>
        <v>4.87</v>
      </c>
      <c r="I386" s="7"/>
      <c r="J386" s="7"/>
      <c r="K386" s="1"/>
      <c r="L386" s="1"/>
      <c r="M386" s="1"/>
      <c r="N386" s="1"/>
      <c r="O386" s="1"/>
      <c r="P386" s="1"/>
      <c r="Q386" s="1"/>
      <c r="R386" s="1"/>
    </row>
    <row r="387">
      <c r="A387" s="16" t="s">
        <v>485</v>
      </c>
      <c r="B387" s="26" t="s">
        <v>472</v>
      </c>
      <c r="C387" s="16">
        <v>1.0</v>
      </c>
      <c r="D387" s="18">
        <v>24.99</v>
      </c>
      <c r="E387" s="18">
        <v>9.9</v>
      </c>
      <c r="F387" s="18">
        <f t="shared" si="7"/>
        <v>15.09</v>
      </c>
      <c r="G387" s="26">
        <v>2.0</v>
      </c>
      <c r="H387" s="18">
        <f t="shared" si="8"/>
        <v>4.95</v>
      </c>
      <c r="I387" s="7"/>
      <c r="J387" s="7"/>
      <c r="K387" s="1"/>
      <c r="L387" s="1"/>
      <c r="M387" s="1"/>
      <c r="N387" s="1"/>
      <c r="O387" s="1"/>
      <c r="P387" s="1"/>
      <c r="Q387" s="1"/>
      <c r="R387" s="1"/>
    </row>
    <row r="388">
      <c r="A388" s="16" t="s">
        <v>184</v>
      </c>
      <c r="B388" s="26" t="s">
        <v>39</v>
      </c>
      <c r="C388" s="16">
        <v>1.0</v>
      </c>
      <c r="D388" s="18">
        <v>14.99</v>
      </c>
      <c r="E388" s="18">
        <v>9.89</v>
      </c>
      <c r="F388" s="18">
        <f t="shared" si="7"/>
        <v>5.1</v>
      </c>
      <c r="G388" s="26">
        <v>2.0</v>
      </c>
      <c r="H388" s="18">
        <f t="shared" si="8"/>
        <v>4.945</v>
      </c>
      <c r="I388" s="7"/>
      <c r="J388" s="7"/>
      <c r="K388" s="1"/>
      <c r="L388" s="1"/>
      <c r="M388" s="1"/>
      <c r="N388" s="1"/>
      <c r="O388" s="1"/>
      <c r="P388" s="1"/>
      <c r="Q388" s="1"/>
      <c r="R388" s="1"/>
    </row>
    <row r="389">
      <c r="A389" s="16" t="s">
        <v>361</v>
      </c>
      <c r="B389" s="26" t="s">
        <v>47</v>
      </c>
      <c r="C389" s="16">
        <v>1.0</v>
      </c>
      <c r="D389" s="18">
        <v>39.99</v>
      </c>
      <c r="E389" s="18">
        <v>9.99</v>
      </c>
      <c r="F389" s="18">
        <f t="shared" si="7"/>
        <v>30</v>
      </c>
      <c r="G389" s="26">
        <v>2.0</v>
      </c>
      <c r="H389" s="18">
        <f t="shared" si="8"/>
        <v>4.995</v>
      </c>
      <c r="I389" s="7"/>
      <c r="J389" s="7"/>
      <c r="K389" s="1"/>
      <c r="L389" s="1"/>
      <c r="M389" s="1"/>
      <c r="N389" s="1"/>
      <c r="O389" s="1"/>
      <c r="P389" s="1"/>
      <c r="Q389" s="1"/>
      <c r="R389" s="1"/>
    </row>
    <row r="390">
      <c r="A390" s="16" t="s">
        <v>271</v>
      </c>
      <c r="B390" s="26" t="s">
        <v>36</v>
      </c>
      <c r="C390" s="16">
        <v>1.0</v>
      </c>
      <c r="D390" s="18">
        <v>9.99</v>
      </c>
      <c r="E390" s="18">
        <v>9.99</v>
      </c>
      <c r="F390" s="18">
        <f t="shared" si="7"/>
        <v>0</v>
      </c>
      <c r="G390" s="16">
        <v>2.0</v>
      </c>
      <c r="H390" s="18">
        <f t="shared" si="8"/>
        <v>4.995</v>
      </c>
      <c r="I390" s="7"/>
      <c r="J390" s="7"/>
      <c r="K390" s="1"/>
      <c r="L390" s="1"/>
      <c r="M390" s="1"/>
      <c r="N390" s="1"/>
      <c r="O390" s="1"/>
      <c r="P390" s="1"/>
      <c r="Q390" s="1"/>
      <c r="R390" s="1"/>
    </row>
    <row r="391">
      <c r="A391" s="16" t="s">
        <v>328</v>
      </c>
      <c r="B391" s="26" t="s">
        <v>36</v>
      </c>
      <c r="C391" s="16">
        <v>1.0</v>
      </c>
      <c r="D391" s="18">
        <v>18.99</v>
      </c>
      <c r="E391" s="18">
        <v>11.39</v>
      </c>
      <c r="F391" s="18">
        <f t="shared" si="7"/>
        <v>7.6</v>
      </c>
      <c r="G391" s="26">
        <v>2.0</v>
      </c>
      <c r="H391" s="18">
        <f t="shared" si="8"/>
        <v>5.695</v>
      </c>
      <c r="I391" s="7"/>
      <c r="J391" s="7"/>
      <c r="K391" s="1"/>
      <c r="L391" s="1"/>
      <c r="M391" s="1"/>
      <c r="N391" s="1"/>
      <c r="O391" s="1"/>
      <c r="P391" s="1"/>
      <c r="Q391" s="1"/>
      <c r="R391" s="1"/>
    </row>
    <row r="392">
      <c r="A392" s="16" t="s">
        <v>285</v>
      </c>
      <c r="B392" s="26" t="s">
        <v>36</v>
      </c>
      <c r="C392" s="16">
        <v>2.0</v>
      </c>
      <c r="D392" s="115">
        <v>23.98</v>
      </c>
      <c r="E392" s="115">
        <v>11.98</v>
      </c>
      <c r="F392" s="18">
        <f t="shared" si="7"/>
        <v>12</v>
      </c>
      <c r="G392" s="26">
        <v>2.0</v>
      </c>
      <c r="H392" s="18">
        <f t="shared" si="8"/>
        <v>5.99</v>
      </c>
      <c r="I392" s="7"/>
      <c r="J392" s="7"/>
      <c r="K392" s="1"/>
      <c r="L392" s="1"/>
      <c r="M392" s="1"/>
      <c r="N392" s="1"/>
      <c r="O392" s="1"/>
      <c r="P392" s="1"/>
      <c r="Q392" s="1"/>
      <c r="R392" s="1"/>
    </row>
    <row r="393">
      <c r="A393" s="16" t="s">
        <v>196</v>
      </c>
      <c r="B393" s="26" t="s">
        <v>39</v>
      </c>
      <c r="C393" s="16">
        <v>1.0</v>
      </c>
      <c r="D393" s="18">
        <v>19.99</v>
      </c>
      <c r="E393" s="18">
        <v>11.99</v>
      </c>
      <c r="F393" s="18">
        <f t="shared" si="7"/>
        <v>8</v>
      </c>
      <c r="G393" s="16">
        <v>2.0</v>
      </c>
      <c r="H393" s="18">
        <f t="shared" si="8"/>
        <v>5.995</v>
      </c>
      <c r="I393" s="7"/>
      <c r="J393" s="7"/>
      <c r="K393" s="1"/>
      <c r="L393" s="1"/>
      <c r="M393" s="1"/>
      <c r="N393" s="1"/>
      <c r="O393" s="1"/>
      <c r="P393" s="1"/>
      <c r="Q393" s="1"/>
      <c r="R393" s="1"/>
    </row>
    <row r="394">
      <c r="A394" s="16" t="s">
        <v>487</v>
      </c>
      <c r="B394" s="26" t="s">
        <v>488</v>
      </c>
      <c r="C394" s="26">
        <v>1.0</v>
      </c>
      <c r="D394" s="14">
        <v>19.99</v>
      </c>
      <c r="E394" s="141">
        <v>11.99</v>
      </c>
      <c r="F394" s="14">
        <f t="shared" si="7"/>
        <v>8</v>
      </c>
      <c r="G394" s="26">
        <v>2.0</v>
      </c>
      <c r="H394" s="14">
        <f t="shared" si="8"/>
        <v>5.995</v>
      </c>
      <c r="I394" s="7"/>
      <c r="J394" s="7"/>
      <c r="K394" s="1"/>
      <c r="L394" s="1"/>
      <c r="M394" s="1"/>
      <c r="N394" s="1"/>
      <c r="O394" s="1"/>
      <c r="P394" s="1"/>
      <c r="Q394" s="1"/>
      <c r="R394" s="1"/>
    </row>
    <row r="395">
      <c r="A395" s="16" t="s">
        <v>668</v>
      </c>
      <c r="B395" s="26" t="s">
        <v>56</v>
      </c>
      <c r="C395" s="16">
        <v>2.0</v>
      </c>
      <c r="D395" s="115">
        <v>49.98</v>
      </c>
      <c r="E395" s="115">
        <v>12.49</v>
      </c>
      <c r="F395" s="18">
        <f t="shared" si="7"/>
        <v>37.49</v>
      </c>
      <c r="G395" s="26">
        <v>2.0</v>
      </c>
      <c r="H395" s="18">
        <f t="shared" si="8"/>
        <v>6.245</v>
      </c>
      <c r="I395" s="7"/>
      <c r="J395" s="7"/>
      <c r="K395" s="1"/>
      <c r="L395" s="1"/>
      <c r="M395" s="1"/>
      <c r="N395" s="1"/>
      <c r="O395" s="1"/>
      <c r="P395" s="1"/>
      <c r="Q395" s="1"/>
      <c r="R395" s="1"/>
    </row>
    <row r="396">
      <c r="A396" s="26" t="s">
        <v>587</v>
      </c>
      <c r="B396" s="26" t="s">
        <v>56</v>
      </c>
      <c r="C396" s="16">
        <v>2.0</v>
      </c>
      <c r="D396" s="115">
        <v>24.99</v>
      </c>
      <c r="E396" s="115">
        <v>12.49</v>
      </c>
      <c r="F396" s="18">
        <f t="shared" si="7"/>
        <v>12.5</v>
      </c>
      <c r="G396" s="26">
        <v>2.0</v>
      </c>
      <c r="H396" s="18">
        <f t="shared" si="8"/>
        <v>6.245</v>
      </c>
      <c r="I396" s="7"/>
      <c r="J396" s="7"/>
      <c r="K396" s="1"/>
      <c r="L396" s="1"/>
      <c r="M396" s="1"/>
      <c r="N396" s="1"/>
      <c r="O396" s="1"/>
      <c r="P396" s="1"/>
      <c r="Q396" s="1"/>
      <c r="R396" s="1"/>
    </row>
    <row r="397">
      <c r="A397" s="16" t="s">
        <v>545</v>
      </c>
      <c r="B397" s="26" t="s">
        <v>527</v>
      </c>
      <c r="C397" s="16">
        <v>1.0</v>
      </c>
      <c r="D397" s="115">
        <v>16.99</v>
      </c>
      <c r="E397" s="18">
        <v>12.99</v>
      </c>
      <c r="F397" s="18">
        <f t="shared" si="7"/>
        <v>4</v>
      </c>
      <c r="G397" s="16">
        <v>2.0</v>
      </c>
      <c r="H397" s="18">
        <f t="shared" si="8"/>
        <v>6.495</v>
      </c>
      <c r="I397" s="7"/>
      <c r="J397" s="7"/>
      <c r="K397" s="1"/>
      <c r="L397" s="1"/>
      <c r="M397" s="1"/>
      <c r="N397" s="1"/>
      <c r="O397" s="1"/>
      <c r="P397" s="1"/>
      <c r="Q397" s="1"/>
      <c r="R397" s="1"/>
    </row>
    <row r="398">
      <c r="A398" s="16" t="s">
        <v>415</v>
      </c>
      <c r="B398" s="26" t="s">
        <v>50</v>
      </c>
      <c r="C398" s="16">
        <v>1.0</v>
      </c>
      <c r="D398" s="18">
        <v>16.99</v>
      </c>
      <c r="E398" s="18">
        <v>13.59</v>
      </c>
      <c r="F398" s="18">
        <f t="shared" si="7"/>
        <v>3.4</v>
      </c>
      <c r="G398" s="26">
        <v>2.0</v>
      </c>
      <c r="H398" s="18">
        <f t="shared" si="8"/>
        <v>6.795</v>
      </c>
      <c r="I398" s="7"/>
      <c r="J398" s="7"/>
      <c r="K398" s="1"/>
      <c r="L398" s="1"/>
      <c r="M398" s="1"/>
      <c r="N398" s="1"/>
      <c r="O398" s="1"/>
      <c r="P398" s="1"/>
      <c r="Q398" s="1"/>
      <c r="R398" s="1"/>
    </row>
    <row r="399">
      <c r="A399" s="16" t="s">
        <v>627</v>
      </c>
      <c r="B399" s="26" t="s">
        <v>56</v>
      </c>
      <c r="C399" s="16">
        <v>2.0</v>
      </c>
      <c r="D399" s="115">
        <v>13.98</v>
      </c>
      <c r="E399" s="115">
        <v>13.98</v>
      </c>
      <c r="F399" s="18">
        <f t="shared" si="7"/>
        <v>0</v>
      </c>
      <c r="G399" s="26">
        <v>2.0</v>
      </c>
      <c r="H399" s="18">
        <f t="shared" si="8"/>
        <v>6.99</v>
      </c>
      <c r="I399" s="7"/>
      <c r="J399" s="7"/>
      <c r="K399" s="1"/>
      <c r="L399" s="1"/>
      <c r="M399" s="1"/>
      <c r="N399" s="1"/>
      <c r="O399" s="1"/>
      <c r="P399" s="1"/>
      <c r="Q399" s="1"/>
      <c r="R399" s="1"/>
    </row>
    <row r="400">
      <c r="A400" s="16" t="s">
        <v>370</v>
      </c>
      <c r="B400" s="26" t="s">
        <v>367</v>
      </c>
      <c r="C400" s="16">
        <v>1.0</v>
      </c>
      <c r="D400" s="18">
        <v>21.99</v>
      </c>
      <c r="E400" s="18">
        <v>14.73</v>
      </c>
      <c r="F400" s="18">
        <f t="shared" si="7"/>
        <v>7.26</v>
      </c>
      <c r="G400" s="26">
        <v>2.0</v>
      </c>
      <c r="H400" s="18">
        <f t="shared" si="8"/>
        <v>7.365</v>
      </c>
      <c r="I400" s="7"/>
      <c r="J400" s="7"/>
      <c r="K400" s="1"/>
      <c r="L400" s="1"/>
      <c r="M400" s="1"/>
      <c r="N400" s="1"/>
      <c r="O400" s="1"/>
      <c r="P400" s="1"/>
      <c r="Q400" s="1"/>
      <c r="R400" s="1"/>
    </row>
    <row r="401">
      <c r="A401" s="16" t="s">
        <v>635</v>
      </c>
      <c r="B401" s="26" t="s">
        <v>56</v>
      </c>
      <c r="C401" s="16">
        <v>1.0</v>
      </c>
      <c r="D401" s="18">
        <v>29.99</v>
      </c>
      <c r="E401" s="18">
        <v>14.99</v>
      </c>
      <c r="F401" s="18">
        <f t="shared" si="7"/>
        <v>15</v>
      </c>
      <c r="G401" s="26">
        <v>2.0</v>
      </c>
      <c r="H401" s="18">
        <f t="shared" si="8"/>
        <v>7.495</v>
      </c>
      <c r="I401" s="7"/>
      <c r="J401" s="7"/>
      <c r="K401" s="1"/>
      <c r="L401" s="1"/>
      <c r="M401" s="1"/>
      <c r="N401" s="1"/>
      <c r="O401" s="1"/>
      <c r="P401" s="1"/>
      <c r="Q401" s="1"/>
      <c r="R401" s="1"/>
    </row>
    <row r="402">
      <c r="A402" s="16" t="s">
        <v>595</v>
      </c>
      <c r="B402" s="26" t="s">
        <v>56</v>
      </c>
      <c r="C402" s="16">
        <v>1.0</v>
      </c>
      <c r="D402" s="18">
        <v>29.99</v>
      </c>
      <c r="E402" s="18">
        <v>14.99</v>
      </c>
      <c r="F402" s="18">
        <f t="shared" si="7"/>
        <v>15</v>
      </c>
      <c r="G402" s="26">
        <v>2.0</v>
      </c>
      <c r="H402" s="18">
        <f t="shared" si="8"/>
        <v>7.495</v>
      </c>
      <c r="I402" s="7"/>
      <c r="J402" s="7"/>
      <c r="K402" s="1"/>
      <c r="L402" s="1"/>
      <c r="M402" s="1"/>
      <c r="N402" s="1"/>
      <c r="O402" s="1"/>
      <c r="P402" s="1"/>
      <c r="Q402" s="1"/>
      <c r="R402" s="1"/>
    </row>
    <row r="403">
      <c r="A403" s="16" t="s">
        <v>205</v>
      </c>
      <c r="B403" s="26" t="s">
        <v>39</v>
      </c>
      <c r="C403" s="16">
        <v>2.0</v>
      </c>
      <c r="D403" s="115">
        <v>49.98</v>
      </c>
      <c r="E403" s="115">
        <v>15.98</v>
      </c>
      <c r="F403" s="18">
        <f t="shared" si="7"/>
        <v>34</v>
      </c>
      <c r="G403" s="26">
        <v>2.0</v>
      </c>
      <c r="H403" s="18">
        <f t="shared" si="8"/>
        <v>7.99</v>
      </c>
      <c r="I403" s="7"/>
      <c r="J403" s="7"/>
      <c r="K403" s="1"/>
      <c r="L403" s="1"/>
      <c r="M403" s="1"/>
      <c r="N403" s="1"/>
      <c r="O403" s="1"/>
      <c r="P403" s="1"/>
      <c r="Q403" s="1"/>
      <c r="R403" s="1"/>
    </row>
    <row r="404">
      <c r="A404" s="16" t="s">
        <v>660</v>
      </c>
      <c r="B404" s="26" t="s">
        <v>56</v>
      </c>
      <c r="C404" s="16">
        <v>2.0</v>
      </c>
      <c r="D404" s="115">
        <v>49.99</v>
      </c>
      <c r="E404" s="115">
        <v>17.49</v>
      </c>
      <c r="F404" s="18">
        <f t="shared" si="7"/>
        <v>32.5</v>
      </c>
      <c r="G404" s="26">
        <v>2.0</v>
      </c>
      <c r="H404" s="18">
        <f t="shared" si="8"/>
        <v>8.745</v>
      </c>
      <c r="I404" s="7"/>
      <c r="J404" s="7"/>
      <c r="K404" s="1"/>
      <c r="L404" s="1"/>
      <c r="M404" s="1"/>
      <c r="N404" s="1"/>
      <c r="O404" s="1"/>
      <c r="P404" s="1"/>
      <c r="Q404" s="1"/>
      <c r="R404" s="1"/>
    </row>
    <row r="405">
      <c r="A405" s="16" t="s">
        <v>345</v>
      </c>
      <c r="B405" s="26" t="s">
        <v>47</v>
      </c>
      <c r="C405" s="16">
        <v>1.0</v>
      </c>
      <c r="D405" s="18">
        <v>29.99</v>
      </c>
      <c r="E405" s="18">
        <v>17.49</v>
      </c>
      <c r="F405" s="18">
        <f t="shared" si="7"/>
        <v>12.5</v>
      </c>
      <c r="G405" s="26">
        <v>2.0</v>
      </c>
      <c r="H405" s="18">
        <f t="shared" si="8"/>
        <v>8.745</v>
      </c>
      <c r="I405" s="7"/>
      <c r="J405" s="7"/>
      <c r="K405" s="1"/>
      <c r="L405" s="1"/>
      <c r="M405" s="1"/>
      <c r="N405" s="1"/>
      <c r="O405" s="1"/>
      <c r="P405" s="1"/>
      <c r="Q405" s="1"/>
      <c r="R405" s="1"/>
    </row>
    <row r="406">
      <c r="A406" s="16" t="s">
        <v>601</v>
      </c>
      <c r="B406" s="26" t="s">
        <v>56</v>
      </c>
      <c r="C406" s="16">
        <v>1.0</v>
      </c>
      <c r="D406" s="18">
        <v>29.99</v>
      </c>
      <c r="E406" s="18">
        <v>17.99</v>
      </c>
      <c r="F406" s="18">
        <f t="shared" si="7"/>
        <v>12</v>
      </c>
      <c r="G406" s="16">
        <v>2.0</v>
      </c>
      <c r="H406" s="18">
        <f t="shared" si="8"/>
        <v>8.995</v>
      </c>
      <c r="I406" s="7"/>
      <c r="J406" s="7"/>
      <c r="K406" s="1"/>
      <c r="L406" s="1"/>
      <c r="M406" s="1"/>
      <c r="N406" s="1"/>
      <c r="O406" s="1"/>
      <c r="P406" s="1"/>
      <c r="Q406" s="1"/>
      <c r="R406" s="1"/>
    </row>
    <row r="407">
      <c r="A407" s="16" t="s">
        <v>652</v>
      </c>
      <c r="B407" s="26" t="s">
        <v>56</v>
      </c>
      <c r="C407" s="16">
        <v>1.0</v>
      </c>
      <c r="D407" s="18">
        <v>29.99</v>
      </c>
      <c r="E407" s="18">
        <v>17.99</v>
      </c>
      <c r="F407" s="18">
        <f t="shared" si="7"/>
        <v>12</v>
      </c>
      <c r="G407" s="16">
        <v>2.0</v>
      </c>
      <c r="H407" s="18">
        <f t="shared" si="8"/>
        <v>8.995</v>
      </c>
      <c r="I407" s="7"/>
      <c r="J407" s="7"/>
      <c r="K407" s="1"/>
      <c r="L407" s="1"/>
      <c r="M407" s="1"/>
      <c r="N407" s="1"/>
      <c r="O407" s="1"/>
      <c r="P407" s="1"/>
      <c r="Q407" s="1"/>
      <c r="R407" s="1"/>
    </row>
    <row r="408">
      <c r="A408" s="16" t="s">
        <v>455</v>
      </c>
      <c r="B408" s="26" t="s">
        <v>456</v>
      </c>
      <c r="C408" s="16">
        <v>1.0</v>
      </c>
      <c r="D408" s="216">
        <v>39.99</v>
      </c>
      <c r="E408" s="216">
        <v>19.99</v>
      </c>
      <c r="F408" s="216">
        <f t="shared" si="7"/>
        <v>20</v>
      </c>
      <c r="G408" s="129">
        <v>2.0</v>
      </c>
      <c r="H408" s="216">
        <f t="shared" si="8"/>
        <v>9.995</v>
      </c>
      <c r="I408" s="7"/>
      <c r="J408" s="7"/>
      <c r="K408" s="1"/>
      <c r="L408" s="1"/>
      <c r="M408" s="1"/>
      <c r="N408" s="1"/>
      <c r="O408" s="1"/>
      <c r="P408" s="1"/>
      <c r="Q408" s="1"/>
      <c r="R408" s="1"/>
    </row>
    <row r="409">
      <c r="A409" s="16" t="s">
        <v>521</v>
      </c>
      <c r="B409" s="26" t="s">
        <v>515</v>
      </c>
      <c r="C409" s="16">
        <v>1.0</v>
      </c>
      <c r="D409" s="18">
        <v>19.99</v>
      </c>
      <c r="E409" s="18">
        <v>19.99</v>
      </c>
      <c r="F409" s="18">
        <f t="shared" si="7"/>
        <v>0</v>
      </c>
      <c r="G409" s="16">
        <v>2.0</v>
      </c>
      <c r="H409" s="18">
        <f t="shared" si="8"/>
        <v>9.995</v>
      </c>
      <c r="I409" s="7"/>
      <c r="J409" s="7"/>
      <c r="K409" s="1"/>
      <c r="L409" s="1"/>
      <c r="M409" s="1"/>
      <c r="N409" s="1"/>
      <c r="O409" s="1"/>
      <c r="P409" s="1"/>
      <c r="Q409" s="1"/>
      <c r="R409" s="1"/>
    </row>
    <row r="410">
      <c r="A410" s="16" t="s">
        <v>459</v>
      </c>
      <c r="B410" s="26" t="s">
        <v>53</v>
      </c>
      <c r="C410" s="16">
        <v>2.0</v>
      </c>
      <c r="D410" s="115">
        <v>39.98</v>
      </c>
      <c r="E410" s="115">
        <v>21.98</v>
      </c>
      <c r="F410" s="18">
        <f t="shared" si="7"/>
        <v>18</v>
      </c>
      <c r="G410" s="26">
        <v>2.0</v>
      </c>
      <c r="H410" s="18">
        <f t="shared" si="8"/>
        <v>10.99</v>
      </c>
      <c r="I410" s="7"/>
      <c r="J410" s="7"/>
      <c r="K410" s="1"/>
      <c r="L410" s="1"/>
      <c r="M410" s="1"/>
      <c r="N410" s="1"/>
      <c r="O410" s="1"/>
      <c r="P410" s="1"/>
      <c r="Q410" s="1"/>
      <c r="R410" s="1"/>
    </row>
    <row r="411">
      <c r="A411" s="16" t="s">
        <v>407</v>
      </c>
      <c r="B411" s="26" t="s">
        <v>50</v>
      </c>
      <c r="C411" s="16">
        <v>2.0</v>
      </c>
      <c r="D411" s="115">
        <v>35.98</v>
      </c>
      <c r="E411" s="115">
        <v>24.98</v>
      </c>
      <c r="F411" s="18">
        <f t="shared" si="7"/>
        <v>11</v>
      </c>
      <c r="G411" s="26">
        <v>2.0</v>
      </c>
      <c r="H411" s="18">
        <f t="shared" si="8"/>
        <v>12.49</v>
      </c>
      <c r="I411" s="7"/>
      <c r="J411" s="7"/>
      <c r="K411" s="1"/>
      <c r="L411" s="1"/>
      <c r="M411" s="1"/>
      <c r="N411" s="1"/>
      <c r="O411" s="1"/>
      <c r="P411" s="1"/>
      <c r="Q411" s="1"/>
      <c r="R411" s="1"/>
    </row>
    <row r="412">
      <c r="A412" s="16" t="s">
        <v>380</v>
      </c>
      <c r="B412" s="26" t="s">
        <v>367</v>
      </c>
      <c r="C412" s="16">
        <v>1.0</v>
      </c>
      <c r="D412" s="18">
        <v>49.99</v>
      </c>
      <c r="E412" s="18">
        <v>29.99</v>
      </c>
      <c r="F412" s="18">
        <f t="shared" si="7"/>
        <v>20</v>
      </c>
      <c r="G412" s="26">
        <v>2.0</v>
      </c>
      <c r="H412" s="18">
        <f t="shared" si="8"/>
        <v>14.995</v>
      </c>
      <c r="I412" s="7"/>
      <c r="J412" s="7"/>
      <c r="K412" s="1"/>
      <c r="L412" s="1"/>
      <c r="M412" s="1"/>
      <c r="N412" s="1"/>
      <c r="O412" s="1"/>
      <c r="P412" s="1"/>
      <c r="Q412" s="1"/>
      <c r="R412" s="1"/>
    </row>
    <row r="413">
      <c r="A413" s="16" t="s">
        <v>586</v>
      </c>
      <c r="B413" s="26" t="s">
        <v>56</v>
      </c>
      <c r="C413" s="16">
        <v>2.0</v>
      </c>
      <c r="D413" s="115">
        <v>34.99</v>
      </c>
      <c r="E413" s="115">
        <v>34.99</v>
      </c>
      <c r="F413" s="18">
        <f t="shared" si="7"/>
        <v>0</v>
      </c>
      <c r="G413" s="26">
        <v>2.0</v>
      </c>
      <c r="H413" s="18">
        <f t="shared" si="8"/>
        <v>17.495</v>
      </c>
      <c r="I413" s="7"/>
      <c r="J413" s="7"/>
      <c r="K413" s="1"/>
      <c r="L413" s="1"/>
      <c r="M413" s="1"/>
      <c r="N413" s="1"/>
      <c r="O413" s="1"/>
      <c r="P413" s="1"/>
      <c r="Q413" s="1"/>
      <c r="R413" s="1"/>
    </row>
    <row r="414">
      <c r="A414" s="16" t="s">
        <v>335</v>
      </c>
      <c r="B414" s="26" t="s">
        <v>333</v>
      </c>
      <c r="C414" s="16">
        <v>1.0</v>
      </c>
      <c r="D414" s="18">
        <v>139.98</v>
      </c>
      <c r="E414" s="18">
        <v>84.98</v>
      </c>
      <c r="F414" s="18">
        <f t="shared" si="7"/>
        <v>55</v>
      </c>
      <c r="G414" s="26">
        <v>2.0</v>
      </c>
      <c r="H414" s="18">
        <f t="shared" si="8"/>
        <v>42.49</v>
      </c>
      <c r="I414" s="7"/>
      <c r="J414" s="7"/>
      <c r="K414" s="1"/>
      <c r="L414" s="1"/>
      <c r="M414" s="1"/>
      <c r="N414" s="1"/>
      <c r="O414" s="1"/>
      <c r="P414" s="1"/>
      <c r="Q414" s="1"/>
      <c r="R414" s="1"/>
    </row>
    <row r="415">
      <c r="A415" s="26" t="s">
        <v>596</v>
      </c>
      <c r="B415" s="26" t="s">
        <v>56</v>
      </c>
      <c r="C415" s="16">
        <v>1.0</v>
      </c>
      <c r="D415" s="18">
        <v>0.0</v>
      </c>
      <c r="E415" s="18">
        <v>0.0</v>
      </c>
      <c r="F415" s="18">
        <f t="shared" si="7"/>
        <v>0</v>
      </c>
      <c r="G415" s="16">
        <v>1.0</v>
      </c>
      <c r="H415" s="18">
        <f t="shared" si="8"/>
        <v>0</v>
      </c>
      <c r="I415" s="7"/>
      <c r="J415" s="7"/>
      <c r="K415" s="7"/>
      <c r="L415" s="1"/>
      <c r="M415" s="1"/>
      <c r="N415" s="1"/>
      <c r="O415" s="1"/>
      <c r="P415" s="1"/>
      <c r="Q415" s="1"/>
      <c r="R415" s="1"/>
    </row>
    <row r="416">
      <c r="A416" s="26" t="s">
        <v>600</v>
      </c>
      <c r="B416" s="26" t="s">
        <v>56</v>
      </c>
      <c r="C416" s="16">
        <v>1.0</v>
      </c>
      <c r="D416" s="18">
        <v>0.0</v>
      </c>
      <c r="E416" s="18">
        <v>0.0</v>
      </c>
      <c r="F416" s="18">
        <f t="shared" si="7"/>
        <v>0</v>
      </c>
      <c r="G416" s="16">
        <v>1.0</v>
      </c>
      <c r="H416" s="18">
        <f t="shared" si="8"/>
        <v>0</v>
      </c>
      <c r="I416" s="7"/>
      <c r="J416" s="7"/>
      <c r="K416" s="7"/>
      <c r="L416" s="1"/>
      <c r="M416" s="1"/>
      <c r="N416" s="1"/>
      <c r="O416" s="1"/>
      <c r="P416" s="1"/>
      <c r="Q416" s="1"/>
      <c r="R416" s="1"/>
    </row>
    <row r="417">
      <c r="A417" s="26" t="s">
        <v>327</v>
      </c>
      <c r="B417" s="26" t="s">
        <v>36</v>
      </c>
      <c r="C417" s="16">
        <v>1.0</v>
      </c>
      <c r="D417" s="18">
        <v>0.0</v>
      </c>
      <c r="E417" s="18">
        <v>0.0</v>
      </c>
      <c r="F417" s="18">
        <f t="shared" si="7"/>
        <v>0</v>
      </c>
      <c r="G417" s="16">
        <v>1.0</v>
      </c>
      <c r="H417" s="18">
        <f t="shared" si="8"/>
        <v>0</v>
      </c>
      <c r="I417" s="7"/>
      <c r="J417" s="7"/>
      <c r="K417" s="7"/>
      <c r="L417" s="1"/>
      <c r="M417" s="1"/>
      <c r="N417" s="1"/>
      <c r="O417" s="1"/>
      <c r="P417" s="1"/>
      <c r="Q417" s="1"/>
      <c r="R417" s="1"/>
    </row>
    <row r="418">
      <c r="A418" s="26" t="s">
        <v>471</v>
      </c>
      <c r="B418" s="26" t="s">
        <v>472</v>
      </c>
      <c r="C418" s="16">
        <v>1.0</v>
      </c>
      <c r="D418" s="18">
        <v>0.0</v>
      </c>
      <c r="E418" s="18">
        <v>0.0</v>
      </c>
      <c r="F418" s="18">
        <f t="shared" si="7"/>
        <v>0</v>
      </c>
      <c r="G418" s="16">
        <v>1.0</v>
      </c>
      <c r="H418" s="18">
        <f t="shared" si="8"/>
        <v>0</v>
      </c>
      <c r="I418" s="7"/>
      <c r="J418" s="7"/>
      <c r="K418" s="7"/>
      <c r="L418" s="1"/>
      <c r="M418" s="1"/>
      <c r="N418" s="1"/>
      <c r="O418" s="1"/>
      <c r="P418" s="1"/>
      <c r="Q418" s="1"/>
      <c r="R418" s="1"/>
    </row>
    <row r="419">
      <c r="A419" s="26" t="s">
        <v>506</v>
      </c>
      <c r="B419" s="26" t="s">
        <v>502</v>
      </c>
      <c r="C419" s="16">
        <v>1.0</v>
      </c>
      <c r="D419" s="18">
        <v>0.0</v>
      </c>
      <c r="E419" s="18">
        <v>0.0</v>
      </c>
      <c r="F419" s="18">
        <f t="shared" si="7"/>
        <v>0</v>
      </c>
      <c r="G419" s="16">
        <v>1.0</v>
      </c>
      <c r="H419" s="18">
        <f t="shared" si="8"/>
        <v>0</v>
      </c>
      <c r="I419" s="7"/>
      <c r="J419" s="7"/>
      <c r="K419" s="7"/>
      <c r="L419" s="1"/>
      <c r="M419" s="1"/>
      <c r="N419" s="1"/>
      <c r="O419" s="1"/>
      <c r="P419" s="1"/>
      <c r="Q419" s="1"/>
      <c r="R419" s="1"/>
    </row>
    <row r="420">
      <c r="A420" s="26" t="s">
        <v>220</v>
      </c>
      <c r="B420" s="26" t="s">
        <v>219</v>
      </c>
      <c r="C420" s="16">
        <v>1.0</v>
      </c>
      <c r="D420" s="18">
        <v>0.0</v>
      </c>
      <c r="E420" s="18">
        <v>0.0</v>
      </c>
      <c r="F420" s="18">
        <f t="shared" si="7"/>
        <v>0</v>
      </c>
      <c r="G420" s="16">
        <v>1.0</v>
      </c>
      <c r="H420" s="18">
        <f t="shared" si="8"/>
        <v>0</v>
      </c>
      <c r="I420" s="7"/>
      <c r="J420" s="7"/>
      <c r="K420" s="7"/>
      <c r="L420" s="1"/>
      <c r="M420" s="1"/>
      <c r="N420" s="1"/>
      <c r="O420" s="1"/>
      <c r="P420" s="1"/>
      <c r="Q420" s="1"/>
      <c r="R420" s="1"/>
    </row>
    <row r="421">
      <c r="A421" s="26" t="s">
        <v>677</v>
      </c>
      <c r="B421" s="26" t="s">
        <v>56</v>
      </c>
      <c r="C421" s="16">
        <v>1.0</v>
      </c>
      <c r="D421" s="18">
        <v>69.99</v>
      </c>
      <c r="E421" s="18">
        <v>0.0</v>
      </c>
      <c r="F421" s="18">
        <f t="shared" si="7"/>
        <v>69.99</v>
      </c>
      <c r="G421" s="16">
        <v>1.0</v>
      </c>
      <c r="H421" s="18">
        <f t="shared" si="8"/>
        <v>0</v>
      </c>
      <c r="I421" s="7"/>
      <c r="J421" s="7"/>
      <c r="K421" s="7"/>
      <c r="L421" s="1"/>
      <c r="M421" s="1"/>
      <c r="N421" s="1"/>
      <c r="O421" s="1"/>
      <c r="P421" s="1"/>
      <c r="Q421" s="1"/>
      <c r="R421" s="1"/>
    </row>
    <row r="422">
      <c r="A422" s="26" t="s">
        <v>428</v>
      </c>
      <c r="B422" s="26" t="s">
        <v>50</v>
      </c>
      <c r="C422" s="16">
        <v>1.0</v>
      </c>
      <c r="D422" s="18">
        <v>59.99</v>
      </c>
      <c r="E422" s="18">
        <v>0.0</v>
      </c>
      <c r="F422" s="18">
        <f t="shared" si="7"/>
        <v>59.99</v>
      </c>
      <c r="G422" s="16">
        <v>1.0</v>
      </c>
      <c r="H422" s="18">
        <f t="shared" si="8"/>
        <v>0</v>
      </c>
      <c r="I422" s="7"/>
      <c r="J422" s="7"/>
      <c r="K422" s="7"/>
      <c r="L422" s="1"/>
      <c r="M422" s="1"/>
      <c r="N422" s="1"/>
      <c r="O422" s="1"/>
      <c r="P422" s="1"/>
      <c r="Q422" s="1"/>
      <c r="R422" s="1"/>
    </row>
    <row r="423">
      <c r="A423" s="26" t="s">
        <v>192</v>
      </c>
      <c r="B423" s="26" t="s">
        <v>39</v>
      </c>
      <c r="C423" s="16">
        <v>1.0</v>
      </c>
      <c r="D423" s="18">
        <v>59.99</v>
      </c>
      <c r="E423" s="18">
        <v>0.0</v>
      </c>
      <c r="F423" s="18">
        <f t="shared" si="7"/>
        <v>59.99</v>
      </c>
      <c r="G423" s="16">
        <v>1.0</v>
      </c>
      <c r="H423" s="18">
        <f t="shared" si="8"/>
        <v>0</v>
      </c>
      <c r="I423" s="7"/>
      <c r="J423" s="7"/>
      <c r="K423" s="7"/>
      <c r="L423" s="1"/>
      <c r="M423" s="1"/>
      <c r="N423" s="1"/>
      <c r="O423" s="1"/>
      <c r="P423" s="1"/>
      <c r="Q423" s="1"/>
      <c r="R423" s="1"/>
    </row>
    <row r="424">
      <c r="A424" s="26" t="s">
        <v>363</v>
      </c>
      <c r="B424" s="26" t="s">
        <v>47</v>
      </c>
      <c r="C424" s="16">
        <v>1.0</v>
      </c>
      <c r="D424" s="18">
        <v>59.99</v>
      </c>
      <c r="E424" s="18">
        <v>0.0</v>
      </c>
      <c r="F424" s="18">
        <f t="shared" si="7"/>
        <v>59.99</v>
      </c>
      <c r="G424" s="16">
        <v>1.0</v>
      </c>
      <c r="H424" s="18">
        <f t="shared" si="8"/>
        <v>0</v>
      </c>
      <c r="I424" s="7"/>
      <c r="J424" s="7"/>
      <c r="K424" s="7"/>
      <c r="L424" s="1"/>
      <c r="M424" s="1"/>
      <c r="N424" s="1"/>
      <c r="O424" s="1"/>
      <c r="P424" s="1"/>
      <c r="Q424" s="1"/>
      <c r="R424" s="1"/>
    </row>
    <row r="425">
      <c r="A425" s="26" t="s">
        <v>573</v>
      </c>
      <c r="B425" s="26" t="s">
        <v>56</v>
      </c>
      <c r="C425" s="16">
        <v>1.0</v>
      </c>
      <c r="D425" s="18">
        <v>59.98</v>
      </c>
      <c r="E425" s="18">
        <v>0.0</v>
      </c>
      <c r="F425" s="18">
        <f t="shared" si="7"/>
        <v>59.98</v>
      </c>
      <c r="G425" s="16">
        <v>1.0</v>
      </c>
      <c r="H425" s="18">
        <f t="shared" si="8"/>
        <v>0</v>
      </c>
      <c r="I425" s="7"/>
      <c r="J425" s="7"/>
      <c r="K425" s="7"/>
      <c r="L425" s="1"/>
      <c r="M425" s="1"/>
      <c r="N425" s="1"/>
      <c r="O425" s="1"/>
      <c r="P425" s="1"/>
      <c r="Q425" s="1"/>
      <c r="R425" s="1"/>
    </row>
    <row r="426">
      <c r="A426" s="26" t="s">
        <v>140</v>
      </c>
      <c r="B426" s="26" t="s">
        <v>137</v>
      </c>
      <c r="C426" s="16">
        <v>1.0</v>
      </c>
      <c r="D426" s="18">
        <v>49.99</v>
      </c>
      <c r="E426" s="18">
        <v>0.0</v>
      </c>
      <c r="F426" s="18">
        <f t="shared" si="7"/>
        <v>49.99</v>
      </c>
      <c r="G426" s="26">
        <v>1.0</v>
      </c>
      <c r="H426" s="18">
        <f t="shared" si="8"/>
        <v>0</v>
      </c>
      <c r="I426" s="7"/>
      <c r="J426" s="7"/>
      <c r="K426" s="7"/>
      <c r="L426" s="1"/>
      <c r="M426" s="1"/>
      <c r="N426" s="1"/>
      <c r="O426" s="1"/>
      <c r="P426" s="1"/>
      <c r="Q426" s="1"/>
      <c r="R426" s="1"/>
    </row>
    <row r="427">
      <c r="A427" s="26" t="s">
        <v>571</v>
      </c>
      <c r="B427" s="26" t="s">
        <v>56</v>
      </c>
      <c r="C427" s="16">
        <v>1.0</v>
      </c>
      <c r="D427" s="18">
        <v>39.99</v>
      </c>
      <c r="E427" s="18">
        <v>0.0</v>
      </c>
      <c r="F427" s="18">
        <f t="shared" si="7"/>
        <v>39.99</v>
      </c>
      <c r="G427" s="16">
        <v>1.0</v>
      </c>
      <c r="H427" s="18">
        <f t="shared" si="8"/>
        <v>0</v>
      </c>
      <c r="I427" s="7"/>
      <c r="J427" s="7"/>
      <c r="K427" s="7"/>
      <c r="L427" s="1"/>
      <c r="M427" s="1"/>
      <c r="N427" s="1"/>
      <c r="O427" s="1"/>
      <c r="P427" s="1"/>
      <c r="Q427" s="1"/>
      <c r="R427" s="1"/>
    </row>
    <row r="428">
      <c r="A428" s="26" t="s">
        <v>672</v>
      </c>
      <c r="B428" s="26" t="s">
        <v>56</v>
      </c>
      <c r="C428" s="16">
        <v>1.0</v>
      </c>
      <c r="D428" s="18">
        <v>39.99</v>
      </c>
      <c r="E428" s="18">
        <v>0.0</v>
      </c>
      <c r="F428" s="18">
        <f t="shared" si="7"/>
        <v>39.99</v>
      </c>
      <c r="G428" s="16">
        <v>1.0</v>
      </c>
      <c r="H428" s="18">
        <f t="shared" si="8"/>
        <v>0</v>
      </c>
      <c r="I428" s="7"/>
      <c r="J428" s="7"/>
      <c r="K428" s="7"/>
      <c r="L428" s="1"/>
      <c r="M428" s="1"/>
      <c r="N428" s="1"/>
      <c r="O428" s="1"/>
      <c r="P428" s="1"/>
      <c r="Q428" s="1"/>
      <c r="R428" s="1"/>
    </row>
    <row r="429">
      <c r="A429" s="26" t="s">
        <v>362</v>
      </c>
      <c r="B429" s="26" t="s">
        <v>47</v>
      </c>
      <c r="C429" s="16">
        <v>1.0</v>
      </c>
      <c r="D429" s="18">
        <v>39.99</v>
      </c>
      <c r="E429" s="18">
        <v>0.0</v>
      </c>
      <c r="F429" s="18">
        <f t="shared" si="7"/>
        <v>39.99</v>
      </c>
      <c r="G429" s="16">
        <v>1.0</v>
      </c>
      <c r="H429" s="18">
        <f t="shared" si="8"/>
        <v>0</v>
      </c>
      <c r="I429" s="7"/>
      <c r="J429" s="7"/>
      <c r="K429" s="7"/>
      <c r="L429" s="1"/>
      <c r="M429" s="1"/>
      <c r="N429" s="1"/>
      <c r="O429" s="1"/>
      <c r="P429" s="1"/>
      <c r="Q429" s="1"/>
      <c r="R429" s="1"/>
    </row>
    <row r="430">
      <c r="A430" s="26" t="s">
        <v>141</v>
      </c>
      <c r="B430" s="26" t="s">
        <v>137</v>
      </c>
      <c r="C430" s="16">
        <v>1.0</v>
      </c>
      <c r="D430" s="18">
        <v>39.99</v>
      </c>
      <c r="E430" s="18">
        <v>0.0</v>
      </c>
      <c r="F430" s="18">
        <f t="shared" si="7"/>
        <v>39.99</v>
      </c>
      <c r="G430" s="16">
        <v>1.0</v>
      </c>
      <c r="H430" s="18">
        <f t="shared" si="8"/>
        <v>0</v>
      </c>
      <c r="I430" s="7"/>
      <c r="J430" s="7"/>
      <c r="K430" s="7"/>
      <c r="L430" s="1"/>
      <c r="M430" s="1"/>
      <c r="N430" s="1"/>
      <c r="O430" s="1"/>
      <c r="P430" s="1"/>
      <c r="Q430" s="1"/>
      <c r="R430" s="1"/>
    </row>
    <row r="431">
      <c r="A431" s="26" t="s">
        <v>427</v>
      </c>
      <c r="B431" s="26" t="s">
        <v>50</v>
      </c>
      <c r="C431" s="26">
        <v>1.0</v>
      </c>
      <c r="D431" s="18">
        <v>39.99</v>
      </c>
      <c r="E431" s="18">
        <v>0.0</v>
      </c>
      <c r="F431" s="18">
        <f t="shared" si="7"/>
        <v>39.99</v>
      </c>
      <c r="G431" s="16">
        <v>1.0</v>
      </c>
      <c r="H431" s="18">
        <f t="shared" si="8"/>
        <v>0</v>
      </c>
      <c r="I431" s="7"/>
      <c r="J431" s="7"/>
      <c r="K431" s="7"/>
      <c r="L431" s="1"/>
      <c r="M431" s="1"/>
      <c r="N431" s="1"/>
      <c r="O431" s="1"/>
      <c r="P431" s="1"/>
      <c r="Q431" s="1"/>
      <c r="R431" s="1"/>
    </row>
    <row r="432">
      <c r="A432" s="26" t="s">
        <v>552</v>
      </c>
      <c r="B432" s="26" t="s">
        <v>553</v>
      </c>
      <c r="C432" s="16">
        <v>1.0</v>
      </c>
      <c r="D432" s="18">
        <v>39.99</v>
      </c>
      <c r="E432" s="18">
        <v>0.0</v>
      </c>
      <c r="F432" s="18">
        <f t="shared" si="7"/>
        <v>39.99</v>
      </c>
      <c r="G432" s="16">
        <v>1.0</v>
      </c>
      <c r="H432" s="18">
        <f t="shared" si="8"/>
        <v>0</v>
      </c>
      <c r="I432" s="7"/>
      <c r="J432" s="7"/>
      <c r="K432" s="7"/>
      <c r="L432" s="1"/>
      <c r="M432" s="1"/>
      <c r="N432" s="1"/>
      <c r="O432" s="1"/>
      <c r="P432" s="1"/>
      <c r="Q432" s="1"/>
      <c r="R432" s="1"/>
    </row>
    <row r="433">
      <c r="A433" s="26" t="s">
        <v>330</v>
      </c>
      <c r="B433" s="26" t="s">
        <v>331</v>
      </c>
      <c r="C433" s="16">
        <v>1.0</v>
      </c>
      <c r="D433" s="18">
        <v>39.99</v>
      </c>
      <c r="E433" s="18">
        <v>0.0</v>
      </c>
      <c r="F433" s="18">
        <f t="shared" si="7"/>
        <v>39.99</v>
      </c>
      <c r="G433" s="16">
        <v>1.0</v>
      </c>
      <c r="H433" s="18">
        <f t="shared" si="8"/>
        <v>0</v>
      </c>
      <c r="I433" s="7"/>
      <c r="J433" s="7"/>
      <c r="K433" s="7"/>
      <c r="L433" s="1"/>
      <c r="M433" s="1"/>
      <c r="N433" s="1"/>
      <c r="O433" s="1"/>
      <c r="P433" s="1"/>
      <c r="Q433" s="1"/>
      <c r="R433" s="1"/>
    </row>
    <row r="434">
      <c r="A434" s="26" t="s">
        <v>576</v>
      </c>
      <c r="B434" s="26" t="s">
        <v>56</v>
      </c>
      <c r="C434" s="16">
        <v>1.0</v>
      </c>
      <c r="D434" s="18">
        <v>29.99</v>
      </c>
      <c r="E434" s="18">
        <v>0.0</v>
      </c>
      <c r="F434" s="18">
        <f t="shared" si="7"/>
        <v>29.99</v>
      </c>
      <c r="G434" s="16">
        <v>1.0</v>
      </c>
      <c r="H434" s="18">
        <f t="shared" si="8"/>
        <v>0</v>
      </c>
      <c r="I434" s="7"/>
      <c r="J434" s="7"/>
      <c r="K434" s="7"/>
      <c r="L434" s="1"/>
      <c r="M434" s="1"/>
      <c r="N434" s="1"/>
      <c r="O434" s="1"/>
      <c r="P434" s="1"/>
      <c r="Q434" s="1"/>
      <c r="R434" s="1"/>
    </row>
    <row r="435">
      <c r="A435" s="26" t="s">
        <v>577</v>
      </c>
      <c r="B435" s="26" t="s">
        <v>56</v>
      </c>
      <c r="C435" s="16">
        <v>1.0</v>
      </c>
      <c r="D435" s="18">
        <v>29.99</v>
      </c>
      <c r="E435" s="18">
        <v>0.0</v>
      </c>
      <c r="F435" s="18">
        <f t="shared" si="7"/>
        <v>29.99</v>
      </c>
      <c r="G435" s="16">
        <v>1.0</v>
      </c>
      <c r="H435" s="18">
        <f t="shared" si="8"/>
        <v>0</v>
      </c>
      <c r="I435" s="7"/>
      <c r="J435" s="7"/>
      <c r="K435" s="7"/>
      <c r="L435" s="1"/>
      <c r="M435" s="1"/>
      <c r="N435" s="1"/>
      <c r="O435" s="1"/>
      <c r="P435" s="1"/>
      <c r="Q435" s="1"/>
      <c r="R435" s="1"/>
    </row>
    <row r="436">
      <c r="A436" s="26" t="s">
        <v>678</v>
      </c>
      <c r="B436" s="26" t="s">
        <v>56</v>
      </c>
      <c r="C436" s="16">
        <v>1.0</v>
      </c>
      <c r="D436" s="18">
        <v>29.99</v>
      </c>
      <c r="E436" s="18">
        <v>0.0</v>
      </c>
      <c r="F436" s="18">
        <f t="shared" si="7"/>
        <v>29.99</v>
      </c>
      <c r="G436" s="16">
        <v>1.0</v>
      </c>
      <c r="H436" s="18">
        <f t="shared" si="8"/>
        <v>0</v>
      </c>
      <c r="I436" s="7"/>
      <c r="J436" s="7"/>
      <c r="K436" s="7"/>
      <c r="L436" s="1"/>
      <c r="M436" s="1"/>
      <c r="N436" s="1"/>
      <c r="O436" s="1"/>
      <c r="P436" s="1"/>
      <c r="Q436" s="1"/>
      <c r="R436" s="1"/>
    </row>
    <row r="437">
      <c r="A437" s="26" t="s">
        <v>401</v>
      </c>
      <c r="B437" s="26" t="s">
        <v>50</v>
      </c>
      <c r="C437" s="16">
        <v>1.0</v>
      </c>
      <c r="D437" s="18">
        <v>29.99</v>
      </c>
      <c r="E437" s="18">
        <v>0.0</v>
      </c>
      <c r="F437" s="18">
        <f t="shared" si="7"/>
        <v>29.99</v>
      </c>
      <c r="G437" s="16">
        <v>1.0</v>
      </c>
      <c r="H437" s="18">
        <f t="shared" si="8"/>
        <v>0</v>
      </c>
      <c r="I437" s="7"/>
      <c r="J437" s="7"/>
      <c r="K437" s="7"/>
      <c r="L437" s="1"/>
      <c r="M437" s="1"/>
      <c r="N437" s="1"/>
      <c r="O437" s="1"/>
      <c r="P437" s="1"/>
      <c r="Q437" s="1"/>
      <c r="R437" s="1"/>
    </row>
    <row r="438">
      <c r="A438" s="26" t="s">
        <v>266</v>
      </c>
      <c r="B438" s="26" t="s">
        <v>36</v>
      </c>
      <c r="C438" s="16">
        <v>1.0</v>
      </c>
      <c r="D438" s="18">
        <v>29.99</v>
      </c>
      <c r="E438" s="18">
        <v>0.0</v>
      </c>
      <c r="F438" s="18">
        <f t="shared" si="7"/>
        <v>29.99</v>
      </c>
      <c r="G438" s="16">
        <v>1.0</v>
      </c>
      <c r="H438" s="18">
        <f t="shared" si="8"/>
        <v>0</v>
      </c>
      <c r="I438" s="7"/>
      <c r="J438" s="7"/>
      <c r="K438" s="7"/>
      <c r="L438" s="1"/>
      <c r="M438" s="1"/>
      <c r="N438" s="1"/>
      <c r="O438" s="1"/>
      <c r="P438" s="1"/>
      <c r="Q438" s="1"/>
      <c r="R438" s="1"/>
    </row>
    <row r="439">
      <c r="A439" s="26" t="s">
        <v>549</v>
      </c>
      <c r="B439" s="26" t="s">
        <v>527</v>
      </c>
      <c r="C439" s="16">
        <v>1.0</v>
      </c>
      <c r="D439" s="18">
        <v>29.99</v>
      </c>
      <c r="E439" s="18">
        <v>0.0</v>
      </c>
      <c r="F439" s="18">
        <f t="shared" si="7"/>
        <v>29.99</v>
      </c>
      <c r="G439" s="16">
        <v>1.0</v>
      </c>
      <c r="H439" s="18">
        <f t="shared" si="8"/>
        <v>0</v>
      </c>
      <c r="I439" s="7"/>
      <c r="J439" s="7"/>
      <c r="K439" s="7"/>
      <c r="L439" s="1"/>
      <c r="M439" s="1"/>
      <c r="N439" s="1"/>
      <c r="O439" s="1"/>
      <c r="P439" s="1"/>
      <c r="Q439" s="1"/>
      <c r="R439" s="1"/>
    </row>
    <row r="440">
      <c r="A440" s="26" t="s">
        <v>517</v>
      </c>
      <c r="B440" s="26" t="s">
        <v>515</v>
      </c>
      <c r="C440" s="16">
        <v>1.0</v>
      </c>
      <c r="D440" s="18">
        <v>29.99</v>
      </c>
      <c r="E440" s="18">
        <v>0.0</v>
      </c>
      <c r="F440" s="18">
        <f t="shared" si="7"/>
        <v>29.99</v>
      </c>
      <c r="G440" s="16">
        <v>1.0</v>
      </c>
      <c r="H440" s="18">
        <f t="shared" si="8"/>
        <v>0</v>
      </c>
      <c r="I440" s="7"/>
      <c r="J440" s="7"/>
      <c r="K440" s="7"/>
      <c r="L440" s="1"/>
      <c r="M440" s="1"/>
      <c r="N440" s="1"/>
      <c r="O440" s="1"/>
      <c r="P440" s="1"/>
      <c r="Q440" s="1"/>
      <c r="R440" s="1"/>
    </row>
    <row r="441">
      <c r="A441" s="26" t="s">
        <v>240</v>
      </c>
      <c r="B441" s="26" t="s">
        <v>237</v>
      </c>
      <c r="C441" s="16">
        <v>1.0</v>
      </c>
      <c r="D441" s="18">
        <v>29.99</v>
      </c>
      <c r="E441" s="18">
        <v>0.0</v>
      </c>
      <c r="F441" s="18">
        <f t="shared" si="7"/>
        <v>29.99</v>
      </c>
      <c r="G441" s="16">
        <v>1.0</v>
      </c>
      <c r="H441" s="18">
        <f t="shared" si="8"/>
        <v>0</v>
      </c>
      <c r="I441" s="7"/>
      <c r="J441" s="7"/>
      <c r="K441" s="7"/>
      <c r="L441" s="1"/>
      <c r="M441" s="1"/>
      <c r="N441" s="1"/>
      <c r="O441" s="1"/>
      <c r="P441" s="1"/>
      <c r="Q441" s="1"/>
      <c r="R441" s="1"/>
    </row>
    <row r="442">
      <c r="A442" s="26" t="s">
        <v>669</v>
      </c>
      <c r="B442" s="26" t="s">
        <v>56</v>
      </c>
      <c r="C442" s="16">
        <v>1.0</v>
      </c>
      <c r="D442" s="14">
        <v>24.99</v>
      </c>
      <c r="E442" s="14">
        <v>0.0</v>
      </c>
      <c r="F442" s="18">
        <f t="shared" si="7"/>
        <v>24.99</v>
      </c>
      <c r="G442" s="16">
        <v>1.0</v>
      </c>
      <c r="H442" s="18">
        <f t="shared" si="8"/>
        <v>0</v>
      </c>
      <c r="I442" s="7"/>
      <c r="J442" s="7"/>
      <c r="K442" s="7"/>
      <c r="L442" s="1"/>
      <c r="M442" s="1"/>
      <c r="N442" s="1"/>
      <c r="O442" s="1"/>
      <c r="P442" s="1"/>
      <c r="Q442" s="1"/>
      <c r="R442" s="1"/>
    </row>
    <row r="443">
      <c r="A443" s="26" t="s">
        <v>709</v>
      </c>
      <c r="B443" s="26" t="s">
        <v>56</v>
      </c>
      <c r="C443" s="16">
        <v>1.0</v>
      </c>
      <c r="D443" s="14">
        <v>24.99</v>
      </c>
      <c r="E443" s="14">
        <v>0.0</v>
      </c>
      <c r="F443" s="18">
        <f t="shared" si="7"/>
        <v>24.99</v>
      </c>
      <c r="G443" s="16">
        <v>1.0</v>
      </c>
      <c r="H443" s="18">
        <f t="shared" si="8"/>
        <v>0</v>
      </c>
      <c r="I443" s="7"/>
      <c r="J443" s="7"/>
      <c r="K443" s="7"/>
      <c r="L443" s="1"/>
      <c r="M443" s="1"/>
      <c r="N443" s="1"/>
      <c r="O443" s="1"/>
      <c r="P443" s="1"/>
      <c r="Q443" s="1"/>
      <c r="R443" s="1"/>
    </row>
    <row r="444">
      <c r="A444" s="26" t="s">
        <v>306</v>
      </c>
      <c r="B444" s="26" t="s">
        <v>36</v>
      </c>
      <c r="C444" s="16">
        <v>1.0</v>
      </c>
      <c r="D444" s="14">
        <v>24.99</v>
      </c>
      <c r="E444" s="14">
        <v>0.0</v>
      </c>
      <c r="F444" s="18">
        <f t="shared" si="7"/>
        <v>24.99</v>
      </c>
      <c r="G444" s="16">
        <v>1.0</v>
      </c>
      <c r="H444" s="18">
        <f t="shared" si="8"/>
        <v>0</v>
      </c>
      <c r="I444" s="7"/>
      <c r="J444" s="7"/>
      <c r="K444" s="7"/>
      <c r="L444" s="1"/>
      <c r="M444" s="1"/>
      <c r="N444" s="1"/>
      <c r="O444" s="1"/>
      <c r="P444" s="1"/>
      <c r="Q444" s="1"/>
      <c r="R444" s="1"/>
    </row>
    <row r="445">
      <c r="A445" s="26" t="s">
        <v>544</v>
      </c>
      <c r="B445" s="26" t="s">
        <v>527</v>
      </c>
      <c r="C445" s="16">
        <v>1.0</v>
      </c>
      <c r="D445" s="14">
        <v>24.99</v>
      </c>
      <c r="E445" s="14">
        <v>0.0</v>
      </c>
      <c r="F445" s="18">
        <f t="shared" si="7"/>
        <v>24.99</v>
      </c>
      <c r="G445" s="16">
        <v>1.0</v>
      </c>
      <c r="H445" s="18">
        <f t="shared" si="8"/>
        <v>0</v>
      </c>
      <c r="I445" s="7"/>
      <c r="J445" s="7"/>
      <c r="K445" s="7"/>
      <c r="L445" s="1"/>
      <c r="M445" s="1"/>
      <c r="N445" s="1"/>
      <c r="O445" s="1"/>
      <c r="P445" s="1"/>
      <c r="Q445" s="1"/>
      <c r="R445" s="1"/>
    </row>
    <row r="446">
      <c r="A446" s="26" t="s">
        <v>239</v>
      </c>
      <c r="B446" s="26" t="s">
        <v>237</v>
      </c>
      <c r="C446" s="16">
        <v>1.0</v>
      </c>
      <c r="D446" s="14">
        <v>24.99</v>
      </c>
      <c r="E446" s="14">
        <v>0.0</v>
      </c>
      <c r="F446" s="18">
        <f t="shared" si="7"/>
        <v>24.99</v>
      </c>
      <c r="G446" s="16">
        <v>1.0</v>
      </c>
      <c r="H446" s="18">
        <f t="shared" si="8"/>
        <v>0</v>
      </c>
      <c r="I446" s="7"/>
      <c r="J446" s="7"/>
      <c r="K446" s="7"/>
      <c r="L446" s="1"/>
      <c r="M446" s="1"/>
      <c r="N446" s="1"/>
      <c r="O446" s="1"/>
      <c r="P446" s="1"/>
      <c r="Q446" s="1"/>
      <c r="R446" s="1"/>
    </row>
    <row r="447">
      <c r="A447" s="26" t="s">
        <v>138</v>
      </c>
      <c r="B447" s="26" t="s">
        <v>137</v>
      </c>
      <c r="C447" s="16">
        <v>1.0</v>
      </c>
      <c r="D447" s="18">
        <v>20.99</v>
      </c>
      <c r="E447" s="18">
        <v>0.0</v>
      </c>
      <c r="F447" s="18">
        <f t="shared" si="7"/>
        <v>20.99</v>
      </c>
      <c r="G447" s="26">
        <v>1.0</v>
      </c>
      <c r="H447" s="18">
        <f t="shared" si="8"/>
        <v>0</v>
      </c>
      <c r="I447" s="7"/>
      <c r="J447" s="7"/>
      <c r="K447" s="7"/>
      <c r="L447" s="1"/>
      <c r="M447" s="1"/>
      <c r="N447" s="1"/>
      <c r="O447" s="1"/>
      <c r="P447" s="1"/>
      <c r="Q447" s="1"/>
      <c r="R447" s="1"/>
    </row>
    <row r="448">
      <c r="A448" s="26" t="s">
        <v>704</v>
      </c>
      <c r="B448" s="26" t="s">
        <v>56</v>
      </c>
      <c r="C448" s="16">
        <v>1.0</v>
      </c>
      <c r="D448" s="18">
        <v>19.99</v>
      </c>
      <c r="E448" s="18">
        <v>0.0</v>
      </c>
      <c r="F448" s="18">
        <f t="shared" si="7"/>
        <v>19.99</v>
      </c>
      <c r="G448" s="16">
        <v>1.0</v>
      </c>
      <c r="H448" s="18">
        <f t="shared" si="8"/>
        <v>0</v>
      </c>
      <c r="I448" s="7"/>
      <c r="J448" s="7"/>
      <c r="K448" s="7"/>
      <c r="L448" s="1"/>
      <c r="M448" s="1"/>
      <c r="N448" s="1"/>
      <c r="O448" s="1"/>
      <c r="P448" s="1"/>
      <c r="Q448" s="1"/>
      <c r="R448" s="1"/>
    </row>
    <row r="449">
      <c r="A449" s="26" t="s">
        <v>404</v>
      </c>
      <c r="B449" s="26" t="s">
        <v>50</v>
      </c>
      <c r="C449" s="16">
        <v>1.0</v>
      </c>
      <c r="D449" s="18">
        <v>19.99</v>
      </c>
      <c r="E449" s="18">
        <v>0.0</v>
      </c>
      <c r="F449" s="18">
        <f t="shared" si="7"/>
        <v>19.99</v>
      </c>
      <c r="G449" s="16">
        <v>1.0</v>
      </c>
      <c r="H449" s="18">
        <f t="shared" si="8"/>
        <v>0</v>
      </c>
      <c r="I449" s="7"/>
      <c r="J449" s="7"/>
      <c r="K449" s="7"/>
      <c r="L449" s="1"/>
      <c r="M449" s="1"/>
      <c r="N449" s="1"/>
      <c r="O449" s="1"/>
      <c r="P449" s="1"/>
      <c r="Q449" s="1"/>
      <c r="R449" s="1"/>
    </row>
    <row r="450">
      <c r="A450" s="26" t="s">
        <v>199</v>
      </c>
      <c r="B450" s="26" t="s">
        <v>39</v>
      </c>
      <c r="C450" s="16">
        <v>1.0</v>
      </c>
      <c r="D450" s="18">
        <v>19.99</v>
      </c>
      <c r="E450" s="18">
        <v>0.0</v>
      </c>
      <c r="F450" s="18">
        <f t="shared" si="7"/>
        <v>19.99</v>
      </c>
      <c r="G450" s="16">
        <v>1.0</v>
      </c>
      <c r="H450" s="18">
        <f t="shared" si="8"/>
        <v>0</v>
      </c>
      <c r="I450" s="7"/>
      <c r="J450" s="7"/>
      <c r="K450" s="7"/>
      <c r="L450" s="1"/>
      <c r="M450" s="1"/>
      <c r="N450" s="1"/>
      <c r="O450" s="1"/>
      <c r="P450" s="1"/>
      <c r="Q450" s="1"/>
      <c r="R450" s="1"/>
    </row>
    <row r="451">
      <c r="A451" s="26" t="s">
        <v>355</v>
      </c>
      <c r="B451" s="26" t="s">
        <v>47</v>
      </c>
      <c r="C451" s="16">
        <v>1.0</v>
      </c>
      <c r="D451" s="18">
        <v>19.99</v>
      </c>
      <c r="E451" s="18">
        <v>0.0</v>
      </c>
      <c r="F451" s="18">
        <f t="shared" si="7"/>
        <v>19.99</v>
      </c>
      <c r="G451" s="16">
        <v>1.0</v>
      </c>
      <c r="H451" s="18">
        <f t="shared" si="8"/>
        <v>0</v>
      </c>
      <c r="I451" s="7"/>
      <c r="J451" s="7"/>
      <c r="K451" s="7"/>
      <c r="L451" s="1"/>
      <c r="M451" s="1"/>
      <c r="N451" s="1"/>
      <c r="O451" s="1"/>
      <c r="P451" s="1"/>
      <c r="Q451" s="1"/>
      <c r="R451" s="1"/>
    </row>
    <row r="452">
      <c r="A452" s="26" t="s">
        <v>474</v>
      </c>
      <c r="B452" s="26" t="s">
        <v>472</v>
      </c>
      <c r="C452" s="16">
        <v>1.0</v>
      </c>
      <c r="D452" s="18">
        <v>19.99</v>
      </c>
      <c r="E452" s="18">
        <v>0.0</v>
      </c>
      <c r="F452" s="18">
        <f t="shared" si="7"/>
        <v>19.99</v>
      </c>
      <c r="G452" s="16">
        <v>1.0</v>
      </c>
      <c r="H452" s="18">
        <f t="shared" si="8"/>
        <v>0</v>
      </c>
      <c r="I452" s="7"/>
      <c r="J452" s="7"/>
      <c r="K452" s="7"/>
      <c r="L452" s="1"/>
      <c r="M452" s="1"/>
      <c r="N452" s="1"/>
      <c r="O452" s="1"/>
      <c r="P452" s="1"/>
      <c r="Q452" s="1"/>
      <c r="R452" s="1"/>
    </row>
    <row r="453">
      <c r="A453" s="26" t="s">
        <v>475</v>
      </c>
      <c r="B453" s="26" t="s">
        <v>472</v>
      </c>
      <c r="C453" s="16">
        <v>1.0</v>
      </c>
      <c r="D453" s="18">
        <v>19.99</v>
      </c>
      <c r="E453" s="18">
        <v>0.0</v>
      </c>
      <c r="F453" s="18">
        <f t="shared" si="7"/>
        <v>19.99</v>
      </c>
      <c r="G453" s="16">
        <v>1.0</v>
      </c>
      <c r="H453" s="18">
        <f t="shared" si="8"/>
        <v>0</v>
      </c>
      <c r="I453" s="7"/>
      <c r="J453" s="7"/>
      <c r="K453" s="7"/>
      <c r="L453" s="1"/>
      <c r="M453" s="1"/>
      <c r="N453" s="1"/>
      <c r="O453" s="1"/>
      <c r="P453" s="1"/>
      <c r="Q453" s="1"/>
      <c r="R453" s="1"/>
    </row>
    <row r="454">
      <c r="A454" s="26" t="s">
        <v>241</v>
      </c>
      <c r="B454" s="26" t="s">
        <v>237</v>
      </c>
      <c r="C454" s="16">
        <v>1.0</v>
      </c>
      <c r="D454" s="18">
        <v>19.99</v>
      </c>
      <c r="E454" s="18">
        <v>0.0</v>
      </c>
      <c r="F454" s="18">
        <f t="shared" si="7"/>
        <v>19.99</v>
      </c>
      <c r="G454" s="16">
        <v>1.0</v>
      </c>
      <c r="H454" s="18">
        <f t="shared" si="8"/>
        <v>0</v>
      </c>
      <c r="I454" s="7"/>
      <c r="J454" s="7"/>
      <c r="K454" s="7"/>
      <c r="L454" s="1"/>
      <c r="M454" s="1"/>
      <c r="N454" s="1"/>
      <c r="O454" s="1"/>
      <c r="P454" s="1"/>
      <c r="Q454" s="1"/>
      <c r="R454" s="1"/>
    </row>
    <row r="455">
      <c r="A455" s="26" t="s">
        <v>692</v>
      </c>
      <c r="B455" s="26" t="s">
        <v>56</v>
      </c>
      <c r="C455" s="16">
        <v>1.0</v>
      </c>
      <c r="D455" s="18">
        <v>17.99</v>
      </c>
      <c r="E455" s="18">
        <v>0.0</v>
      </c>
      <c r="F455" s="18">
        <f t="shared" si="7"/>
        <v>17.99</v>
      </c>
      <c r="G455" s="16">
        <v>1.0</v>
      </c>
      <c r="H455" s="18">
        <f t="shared" si="8"/>
        <v>0</v>
      </c>
      <c r="I455" s="7"/>
      <c r="J455" s="7"/>
      <c r="K455" s="7"/>
      <c r="L455" s="1"/>
      <c r="M455" s="1"/>
      <c r="N455" s="1"/>
      <c r="O455" s="1"/>
      <c r="P455" s="1"/>
      <c r="Q455" s="1"/>
      <c r="R455" s="1"/>
    </row>
    <row r="456">
      <c r="A456" s="26" t="s">
        <v>450</v>
      </c>
      <c r="B456" s="26" t="s">
        <v>449</v>
      </c>
      <c r="C456" s="16">
        <v>1.0</v>
      </c>
      <c r="D456" s="18">
        <v>16.99</v>
      </c>
      <c r="E456" s="18">
        <v>0.0</v>
      </c>
      <c r="F456" s="18">
        <f t="shared" si="7"/>
        <v>16.99</v>
      </c>
      <c r="G456" s="16">
        <v>1.0</v>
      </c>
      <c r="H456" s="18">
        <f t="shared" si="8"/>
        <v>0</v>
      </c>
      <c r="I456" s="7"/>
      <c r="J456" s="7"/>
      <c r="K456" s="7"/>
      <c r="L456" s="1"/>
      <c r="M456" s="1"/>
      <c r="N456" s="1"/>
      <c r="O456" s="1"/>
      <c r="P456" s="1"/>
      <c r="Q456" s="1"/>
      <c r="R456" s="1"/>
    </row>
    <row r="457">
      <c r="A457" s="26" t="s">
        <v>579</v>
      </c>
      <c r="B457" s="26" t="s">
        <v>56</v>
      </c>
      <c r="C457" s="16">
        <v>1.0</v>
      </c>
      <c r="D457" s="14">
        <v>14.99</v>
      </c>
      <c r="E457" s="14">
        <v>0.0</v>
      </c>
      <c r="F457" s="18">
        <f t="shared" si="7"/>
        <v>14.99</v>
      </c>
      <c r="G457" s="16">
        <v>1.0</v>
      </c>
      <c r="H457" s="18">
        <f t="shared" si="8"/>
        <v>0</v>
      </c>
      <c r="I457" s="7"/>
      <c r="J457" s="7"/>
      <c r="K457" s="7"/>
      <c r="L457" s="1"/>
      <c r="M457" s="1"/>
      <c r="N457" s="1"/>
      <c r="O457" s="1"/>
      <c r="P457" s="1"/>
      <c r="Q457" s="1"/>
      <c r="R457" s="1"/>
    </row>
    <row r="458">
      <c r="A458" s="26" t="s">
        <v>356</v>
      </c>
      <c r="B458" s="26" t="s">
        <v>47</v>
      </c>
      <c r="C458" s="16">
        <v>1.0</v>
      </c>
      <c r="D458" s="14">
        <v>14.99</v>
      </c>
      <c r="E458" s="14">
        <v>0.0</v>
      </c>
      <c r="F458" s="18">
        <f t="shared" si="7"/>
        <v>14.99</v>
      </c>
      <c r="G458" s="16">
        <v>1.0</v>
      </c>
      <c r="H458" s="18">
        <f t="shared" si="8"/>
        <v>0</v>
      </c>
      <c r="I458" s="7"/>
      <c r="J458" s="7"/>
      <c r="K458" s="7"/>
      <c r="L458" s="1"/>
      <c r="M458" s="1"/>
      <c r="N458" s="1"/>
      <c r="O458" s="1"/>
      <c r="P458" s="1"/>
      <c r="Q458" s="1"/>
      <c r="R458" s="1"/>
    </row>
    <row r="459">
      <c r="A459" s="26" t="s">
        <v>500</v>
      </c>
      <c r="B459" s="26" t="s">
        <v>494</v>
      </c>
      <c r="C459" s="16">
        <v>1.0</v>
      </c>
      <c r="D459" s="18">
        <v>6.99</v>
      </c>
      <c r="E459" s="18">
        <v>0.0</v>
      </c>
      <c r="F459" s="18">
        <f t="shared" si="7"/>
        <v>6.99</v>
      </c>
      <c r="G459" s="16">
        <v>1.0</v>
      </c>
      <c r="H459" s="18">
        <f t="shared" si="8"/>
        <v>0</v>
      </c>
      <c r="I459" s="7"/>
      <c r="J459" s="7"/>
      <c r="K459" s="7"/>
      <c r="L459" s="1"/>
      <c r="M459" s="1"/>
      <c r="N459" s="1"/>
      <c r="O459" s="1"/>
      <c r="P459" s="1"/>
      <c r="Q459" s="1"/>
      <c r="R459" s="1"/>
    </row>
    <row r="460">
      <c r="A460" s="26" t="s">
        <v>698</v>
      </c>
      <c r="B460" s="26" t="s">
        <v>56</v>
      </c>
      <c r="C460" s="16">
        <v>1.0</v>
      </c>
      <c r="D460" s="18">
        <v>5.99</v>
      </c>
      <c r="E460" s="18">
        <v>0.0</v>
      </c>
      <c r="F460" s="18">
        <f t="shared" si="7"/>
        <v>5.99</v>
      </c>
      <c r="G460" s="16">
        <v>1.0</v>
      </c>
      <c r="H460" s="18">
        <f t="shared" si="8"/>
        <v>0</v>
      </c>
      <c r="I460" s="7"/>
      <c r="J460" s="7"/>
      <c r="K460" s="7"/>
      <c r="L460" s="1"/>
      <c r="M460" s="1"/>
      <c r="N460" s="1"/>
      <c r="O460" s="1"/>
      <c r="P460" s="1"/>
      <c r="Q460" s="1"/>
      <c r="R460" s="1"/>
    </row>
    <row r="461">
      <c r="A461" s="26" t="s">
        <v>248</v>
      </c>
      <c r="B461" s="26" t="s">
        <v>36</v>
      </c>
      <c r="C461" s="16">
        <v>1.0</v>
      </c>
      <c r="D461" s="18">
        <v>10.99</v>
      </c>
      <c r="E461" s="18">
        <v>0.54</v>
      </c>
      <c r="F461" s="18">
        <f t="shared" si="7"/>
        <v>10.45</v>
      </c>
      <c r="G461" s="16">
        <v>1.0</v>
      </c>
      <c r="H461" s="18">
        <f t="shared" si="8"/>
        <v>0.54</v>
      </c>
      <c r="I461" s="7"/>
      <c r="J461" s="7"/>
      <c r="K461" s="7"/>
      <c r="L461" s="1"/>
      <c r="M461" s="1"/>
      <c r="N461" s="1"/>
      <c r="O461" s="1"/>
      <c r="P461" s="1"/>
      <c r="Q461" s="1"/>
      <c r="R461" s="1"/>
    </row>
    <row r="462">
      <c r="A462" s="26" t="s">
        <v>176</v>
      </c>
      <c r="B462" s="26" t="s">
        <v>39</v>
      </c>
      <c r="C462" s="16">
        <v>1.0</v>
      </c>
      <c r="D462" s="18">
        <v>9.99</v>
      </c>
      <c r="E462" s="18">
        <v>1.49</v>
      </c>
      <c r="F462" s="18">
        <f t="shared" si="7"/>
        <v>8.5</v>
      </c>
      <c r="G462" s="16">
        <v>1.0</v>
      </c>
      <c r="H462" s="18">
        <f t="shared" si="8"/>
        <v>1.49</v>
      </c>
      <c r="I462" s="7"/>
      <c r="J462" s="7"/>
      <c r="K462" s="7"/>
      <c r="L462" s="1"/>
      <c r="M462" s="1"/>
      <c r="N462" s="1"/>
      <c r="O462" s="1"/>
      <c r="P462" s="1"/>
      <c r="Q462" s="1"/>
      <c r="R462" s="1"/>
    </row>
    <row r="463">
      <c r="A463" s="26" t="s">
        <v>317</v>
      </c>
      <c r="B463" s="26" t="s">
        <v>36</v>
      </c>
      <c r="C463" s="16">
        <v>1.0</v>
      </c>
      <c r="D463" s="18">
        <v>14.24</v>
      </c>
      <c r="E463" s="18">
        <v>1.56</v>
      </c>
      <c r="F463" s="18">
        <f t="shared" si="7"/>
        <v>12.68</v>
      </c>
      <c r="G463" s="16">
        <v>1.0</v>
      </c>
      <c r="H463" s="18">
        <f t="shared" si="8"/>
        <v>1.56</v>
      </c>
      <c r="I463" s="7"/>
      <c r="J463" s="7"/>
      <c r="K463" s="7"/>
      <c r="L463" s="1"/>
      <c r="M463" s="1"/>
      <c r="N463" s="1"/>
      <c r="O463" s="1"/>
      <c r="P463" s="1"/>
      <c r="Q463" s="1"/>
      <c r="R463" s="1"/>
    </row>
    <row r="464">
      <c r="A464" s="26" t="s">
        <v>536</v>
      </c>
      <c r="B464" s="26" t="s">
        <v>527</v>
      </c>
      <c r="C464" s="16">
        <v>1.0</v>
      </c>
      <c r="D464" s="18">
        <v>14.25</v>
      </c>
      <c r="E464" s="18">
        <v>1.57</v>
      </c>
      <c r="F464" s="18">
        <f t="shared" si="7"/>
        <v>12.68</v>
      </c>
      <c r="G464" s="16">
        <v>1.0</v>
      </c>
      <c r="H464" s="18">
        <f t="shared" si="8"/>
        <v>1.57</v>
      </c>
      <c r="I464" s="7"/>
      <c r="J464" s="7"/>
      <c r="K464" s="7"/>
      <c r="L464" s="1"/>
      <c r="M464" s="1"/>
      <c r="N464" s="1"/>
      <c r="O464" s="1"/>
      <c r="P464" s="1"/>
      <c r="Q464" s="1"/>
      <c r="R464" s="1"/>
    </row>
    <row r="465">
      <c r="A465" s="26" t="s">
        <v>282</v>
      </c>
      <c r="B465" s="26" t="s">
        <v>36</v>
      </c>
      <c r="C465" s="16">
        <v>1.0</v>
      </c>
      <c r="D465" s="18">
        <v>6.99</v>
      </c>
      <c r="E465" s="18">
        <v>1.99</v>
      </c>
      <c r="F465" s="18">
        <f t="shared" si="7"/>
        <v>5</v>
      </c>
      <c r="G465" s="16">
        <v>1.0</v>
      </c>
      <c r="H465" s="18">
        <f t="shared" si="8"/>
        <v>1.99</v>
      </c>
      <c r="I465" s="7"/>
      <c r="J465" s="7"/>
      <c r="K465" s="7"/>
      <c r="L465" s="1"/>
      <c r="M465" s="1"/>
      <c r="N465" s="1"/>
      <c r="O465" s="1"/>
      <c r="P465" s="1"/>
      <c r="Q465" s="1"/>
      <c r="R465" s="1"/>
    </row>
    <row r="466">
      <c r="A466" s="26" t="s">
        <v>211</v>
      </c>
      <c r="B466" s="26" t="s">
        <v>39</v>
      </c>
      <c r="C466" s="16">
        <v>1.0</v>
      </c>
      <c r="D466" s="18">
        <v>5.99</v>
      </c>
      <c r="E466" s="18">
        <v>1.99</v>
      </c>
      <c r="F466" s="18">
        <f t="shared" si="7"/>
        <v>4</v>
      </c>
      <c r="G466" s="16">
        <v>1.0</v>
      </c>
      <c r="H466" s="18">
        <f t="shared" si="8"/>
        <v>1.99</v>
      </c>
      <c r="I466" s="7"/>
      <c r="J466" s="7"/>
      <c r="K466" s="7"/>
      <c r="L466" s="1"/>
      <c r="M466" s="1"/>
      <c r="N466" s="1"/>
      <c r="O466" s="1"/>
      <c r="P466" s="1"/>
      <c r="Q466" s="1"/>
      <c r="R466" s="1"/>
    </row>
    <row r="467">
      <c r="A467" s="26" t="s">
        <v>670</v>
      </c>
      <c r="B467" s="26" t="s">
        <v>56</v>
      </c>
      <c r="C467" s="16">
        <v>1.0</v>
      </c>
      <c r="D467" s="18">
        <v>4.99</v>
      </c>
      <c r="E467" s="18">
        <v>1.99</v>
      </c>
      <c r="F467" s="18">
        <f t="shared" si="7"/>
        <v>3</v>
      </c>
      <c r="G467" s="16">
        <v>1.0</v>
      </c>
      <c r="H467" s="18">
        <f t="shared" si="8"/>
        <v>1.99</v>
      </c>
      <c r="I467" s="7"/>
      <c r="J467" s="7"/>
      <c r="K467" s="7"/>
      <c r="L467" s="1"/>
      <c r="M467" s="1"/>
      <c r="N467" s="1"/>
      <c r="O467" s="1"/>
      <c r="P467" s="1"/>
      <c r="Q467" s="1"/>
      <c r="R467" s="1"/>
    </row>
    <row r="468">
      <c r="A468" s="26" t="s">
        <v>675</v>
      </c>
      <c r="B468" s="26" t="s">
        <v>56</v>
      </c>
      <c r="C468" s="16">
        <v>1.0</v>
      </c>
      <c r="D468" s="18">
        <v>4.99</v>
      </c>
      <c r="E468" s="18">
        <v>1.99</v>
      </c>
      <c r="F468" s="18">
        <f t="shared" si="7"/>
        <v>3</v>
      </c>
      <c r="G468" s="16">
        <v>1.0</v>
      </c>
      <c r="H468" s="18">
        <f t="shared" si="8"/>
        <v>1.99</v>
      </c>
      <c r="I468" s="7"/>
      <c r="J468" s="7"/>
      <c r="K468" s="7"/>
      <c r="L468" s="1"/>
      <c r="M468" s="1"/>
      <c r="N468" s="1"/>
      <c r="O468" s="1"/>
      <c r="P468" s="1"/>
      <c r="Q468" s="1"/>
      <c r="R468" s="1"/>
    </row>
    <row r="469">
      <c r="A469" s="26" t="s">
        <v>174</v>
      </c>
      <c r="B469" s="26" t="s">
        <v>39</v>
      </c>
      <c r="C469" s="16">
        <v>1.0</v>
      </c>
      <c r="D469" s="18">
        <v>4.99</v>
      </c>
      <c r="E469" s="18">
        <v>1.99</v>
      </c>
      <c r="F469" s="18">
        <f t="shared" si="7"/>
        <v>3</v>
      </c>
      <c r="G469" s="16">
        <v>1.0</v>
      </c>
      <c r="H469" s="18">
        <f t="shared" si="8"/>
        <v>1.99</v>
      </c>
      <c r="I469" s="7"/>
      <c r="J469" s="7"/>
      <c r="K469" s="7"/>
      <c r="L469" s="1"/>
      <c r="M469" s="1"/>
      <c r="N469" s="1"/>
      <c r="O469" s="1"/>
      <c r="P469" s="1"/>
      <c r="Q469" s="1"/>
      <c r="R469" s="1"/>
    </row>
    <row r="470">
      <c r="A470" s="26" t="s">
        <v>346</v>
      </c>
      <c r="B470" s="26" t="s">
        <v>47</v>
      </c>
      <c r="C470" s="16">
        <v>1.0</v>
      </c>
      <c r="D470" s="18">
        <v>4.99</v>
      </c>
      <c r="E470" s="18">
        <v>1.99</v>
      </c>
      <c r="F470" s="18">
        <f t="shared" si="7"/>
        <v>3</v>
      </c>
      <c r="G470" s="16">
        <v>1.0</v>
      </c>
      <c r="H470" s="18">
        <f t="shared" si="8"/>
        <v>1.99</v>
      </c>
      <c r="I470" s="7"/>
      <c r="J470" s="7"/>
      <c r="K470" s="7"/>
      <c r="L470" s="1"/>
      <c r="M470" s="1"/>
      <c r="N470" s="1"/>
      <c r="O470" s="1"/>
      <c r="P470" s="1"/>
      <c r="Q470" s="1"/>
      <c r="R470" s="1"/>
    </row>
    <row r="471">
      <c r="A471" s="26" t="s">
        <v>164</v>
      </c>
      <c r="B471" s="26" t="s">
        <v>163</v>
      </c>
      <c r="C471" s="16">
        <v>1.0</v>
      </c>
      <c r="D471" s="18">
        <v>19.99</v>
      </c>
      <c r="E471" s="18">
        <v>2.99</v>
      </c>
      <c r="F471" s="18">
        <f t="shared" si="7"/>
        <v>17</v>
      </c>
      <c r="G471" s="16">
        <v>1.0</v>
      </c>
      <c r="H471" s="18">
        <f t="shared" si="8"/>
        <v>2.99</v>
      </c>
      <c r="I471" s="7"/>
      <c r="J471" s="7"/>
      <c r="K471" s="7"/>
      <c r="L471" s="1"/>
      <c r="M471" s="1"/>
      <c r="N471" s="1"/>
      <c r="O471" s="1"/>
      <c r="P471" s="1"/>
      <c r="Q471" s="1"/>
      <c r="R471" s="1"/>
    </row>
    <row r="472">
      <c r="A472" s="26" t="s">
        <v>397</v>
      </c>
      <c r="B472" s="26" t="s">
        <v>394</v>
      </c>
      <c r="C472" s="16">
        <v>1.0</v>
      </c>
      <c r="D472" s="18">
        <v>14.99</v>
      </c>
      <c r="E472" s="18">
        <v>2.99</v>
      </c>
      <c r="F472" s="18">
        <f t="shared" si="7"/>
        <v>12</v>
      </c>
      <c r="G472" s="16">
        <v>1.0</v>
      </c>
      <c r="H472" s="18">
        <f t="shared" si="8"/>
        <v>2.99</v>
      </c>
      <c r="I472" s="7"/>
      <c r="J472" s="7"/>
      <c r="K472" s="7"/>
      <c r="L472" s="1"/>
      <c r="M472" s="1"/>
      <c r="N472" s="1"/>
      <c r="O472" s="1"/>
      <c r="P472" s="1"/>
      <c r="Q472" s="1"/>
      <c r="R472" s="1"/>
    </row>
    <row r="473">
      <c r="A473" s="26" t="s">
        <v>433</v>
      </c>
      <c r="B473" s="26" t="s">
        <v>50</v>
      </c>
      <c r="C473" s="16">
        <v>1.0</v>
      </c>
      <c r="D473" s="18">
        <v>11.99</v>
      </c>
      <c r="E473" s="18">
        <v>2.99</v>
      </c>
      <c r="F473" s="18">
        <f t="shared" si="7"/>
        <v>9</v>
      </c>
      <c r="G473" s="16">
        <v>1.0</v>
      </c>
      <c r="H473" s="18">
        <f t="shared" si="8"/>
        <v>2.99</v>
      </c>
      <c r="I473" s="7"/>
      <c r="J473" s="7"/>
      <c r="K473" s="7"/>
      <c r="L473" s="1"/>
      <c r="M473" s="1"/>
      <c r="N473" s="1"/>
      <c r="O473" s="1"/>
      <c r="P473" s="1"/>
      <c r="Q473" s="1"/>
      <c r="R473" s="1"/>
    </row>
    <row r="474">
      <c r="A474" s="26" t="s">
        <v>321</v>
      </c>
      <c r="B474" s="26" t="s">
        <v>36</v>
      </c>
      <c r="C474" s="16">
        <v>1.0</v>
      </c>
      <c r="D474" s="18">
        <v>9.99</v>
      </c>
      <c r="E474" s="18">
        <v>2.99</v>
      </c>
      <c r="F474" s="18">
        <f t="shared" si="7"/>
        <v>7</v>
      </c>
      <c r="G474" s="16">
        <v>1.0</v>
      </c>
      <c r="H474" s="18">
        <f t="shared" si="8"/>
        <v>2.99</v>
      </c>
      <c r="I474" s="7"/>
      <c r="J474" s="7"/>
      <c r="K474" s="7"/>
      <c r="L474" s="1"/>
      <c r="M474" s="1"/>
      <c r="N474" s="1"/>
      <c r="O474" s="1"/>
      <c r="P474" s="1"/>
      <c r="Q474" s="1"/>
      <c r="R474" s="1"/>
    </row>
    <row r="475">
      <c r="A475" s="26" t="s">
        <v>329</v>
      </c>
      <c r="B475" s="26" t="s">
        <v>36</v>
      </c>
      <c r="C475" s="16">
        <v>1.0</v>
      </c>
      <c r="D475" s="18">
        <v>9.99</v>
      </c>
      <c r="E475" s="18">
        <v>2.99</v>
      </c>
      <c r="F475" s="18">
        <f t="shared" si="7"/>
        <v>7</v>
      </c>
      <c r="G475" s="16">
        <v>1.0</v>
      </c>
      <c r="H475" s="18">
        <f t="shared" si="8"/>
        <v>2.99</v>
      </c>
      <c r="I475" s="7"/>
      <c r="J475" s="7"/>
      <c r="K475" s="7"/>
      <c r="L475" s="1"/>
      <c r="M475" s="1"/>
      <c r="N475" s="1"/>
      <c r="O475" s="1"/>
      <c r="P475" s="1"/>
      <c r="Q475" s="1"/>
      <c r="R475" s="1"/>
    </row>
    <row r="476">
      <c r="A476" s="26" t="s">
        <v>594</v>
      </c>
      <c r="B476" s="26" t="s">
        <v>56</v>
      </c>
      <c r="C476" s="16">
        <v>1.0</v>
      </c>
      <c r="D476" s="18">
        <v>4.99</v>
      </c>
      <c r="E476" s="18">
        <v>2.99</v>
      </c>
      <c r="F476" s="18">
        <f t="shared" si="7"/>
        <v>2</v>
      </c>
      <c r="G476" s="16">
        <v>1.0</v>
      </c>
      <c r="H476" s="18">
        <f t="shared" si="8"/>
        <v>2.99</v>
      </c>
      <c r="I476" s="7"/>
      <c r="J476" s="7"/>
      <c r="K476" s="7"/>
      <c r="L476" s="1"/>
      <c r="M476" s="1"/>
      <c r="N476" s="1"/>
      <c r="O476" s="1"/>
      <c r="P476" s="1"/>
      <c r="Q476" s="1"/>
      <c r="R476" s="1"/>
    </row>
    <row r="477">
      <c r="A477" s="26" t="s">
        <v>195</v>
      </c>
      <c r="B477" s="26" t="s">
        <v>39</v>
      </c>
      <c r="C477" s="16">
        <v>1.0</v>
      </c>
      <c r="D477" s="18">
        <v>13.99</v>
      </c>
      <c r="E477" s="18">
        <v>3.49</v>
      </c>
      <c r="F477" s="18">
        <f t="shared" si="7"/>
        <v>10.5</v>
      </c>
      <c r="G477" s="16">
        <v>1.0</v>
      </c>
      <c r="H477" s="18">
        <f t="shared" si="8"/>
        <v>3.49</v>
      </c>
      <c r="I477" s="7"/>
      <c r="J477" s="7"/>
      <c r="K477" s="7"/>
      <c r="L477" s="1"/>
      <c r="M477" s="1"/>
      <c r="N477" s="1"/>
      <c r="O477" s="1"/>
      <c r="P477" s="1"/>
      <c r="Q477" s="1"/>
      <c r="R477" s="1"/>
    </row>
    <row r="478">
      <c r="A478" s="26" t="s">
        <v>206</v>
      </c>
      <c r="B478" s="26" t="s">
        <v>39</v>
      </c>
      <c r="C478" s="16">
        <v>1.0</v>
      </c>
      <c r="D478" s="18">
        <v>18.99</v>
      </c>
      <c r="E478" s="18">
        <v>3.79</v>
      </c>
      <c r="F478" s="18">
        <f t="shared" si="7"/>
        <v>15.2</v>
      </c>
      <c r="G478" s="16">
        <v>1.0</v>
      </c>
      <c r="H478" s="18">
        <f t="shared" si="8"/>
        <v>3.79</v>
      </c>
      <c r="I478" s="7"/>
      <c r="J478" s="7"/>
      <c r="K478" s="7"/>
      <c r="L478" s="1"/>
      <c r="M478" s="1"/>
      <c r="N478" s="1"/>
      <c r="O478" s="1"/>
      <c r="P478" s="1"/>
      <c r="Q478" s="1"/>
      <c r="R478" s="1"/>
    </row>
    <row r="479">
      <c r="A479" s="26" t="s">
        <v>201</v>
      </c>
      <c r="B479" s="26" t="s">
        <v>39</v>
      </c>
      <c r="C479" s="16">
        <v>1.0</v>
      </c>
      <c r="D479" s="18">
        <v>19.99</v>
      </c>
      <c r="E479" s="18">
        <v>3.99</v>
      </c>
      <c r="F479" s="18">
        <f t="shared" si="7"/>
        <v>16</v>
      </c>
      <c r="G479" s="16">
        <v>1.0</v>
      </c>
      <c r="H479" s="18">
        <f t="shared" si="8"/>
        <v>3.99</v>
      </c>
      <c r="I479" s="7"/>
      <c r="J479" s="7"/>
      <c r="K479" s="7"/>
      <c r="L479" s="1"/>
      <c r="M479" s="1"/>
      <c r="N479" s="1"/>
      <c r="O479" s="1"/>
      <c r="P479" s="1"/>
      <c r="Q479" s="1"/>
      <c r="R479" s="1"/>
    </row>
    <row r="480">
      <c r="A480" s="26" t="s">
        <v>142</v>
      </c>
      <c r="B480" s="26" t="s">
        <v>137</v>
      </c>
      <c r="C480" s="16">
        <v>1.0</v>
      </c>
      <c r="D480" s="18">
        <v>19.99</v>
      </c>
      <c r="E480" s="18">
        <v>3.99</v>
      </c>
      <c r="F480" s="18">
        <f t="shared" si="7"/>
        <v>16</v>
      </c>
      <c r="G480" s="26">
        <v>1.0</v>
      </c>
      <c r="H480" s="18">
        <f t="shared" si="8"/>
        <v>3.99</v>
      </c>
      <c r="I480" s="7"/>
      <c r="J480" s="7"/>
      <c r="K480" s="7"/>
      <c r="L480" s="1"/>
      <c r="M480" s="1"/>
      <c r="N480" s="1"/>
      <c r="O480" s="1"/>
      <c r="P480" s="1"/>
      <c r="Q480" s="1"/>
      <c r="R480" s="1"/>
    </row>
    <row r="481">
      <c r="A481" s="26" t="s">
        <v>276</v>
      </c>
      <c r="B481" s="26" t="s">
        <v>36</v>
      </c>
      <c r="C481" s="16">
        <v>1.0</v>
      </c>
      <c r="D481" s="18">
        <v>12.99</v>
      </c>
      <c r="E481" s="18">
        <v>3.99</v>
      </c>
      <c r="F481" s="18">
        <f t="shared" si="7"/>
        <v>9</v>
      </c>
      <c r="G481" s="16">
        <v>1.0</v>
      </c>
      <c r="H481" s="18">
        <f t="shared" si="8"/>
        <v>3.99</v>
      </c>
      <c r="I481" s="7"/>
      <c r="J481" s="7"/>
      <c r="K481" s="7"/>
      <c r="L481" s="1"/>
      <c r="M481" s="1"/>
      <c r="N481" s="1"/>
      <c r="O481" s="1"/>
      <c r="P481" s="1"/>
      <c r="Q481" s="1"/>
      <c r="R481" s="1"/>
    </row>
    <row r="482">
      <c r="A482" s="26" t="s">
        <v>460</v>
      </c>
      <c r="B482" s="26" t="s">
        <v>53</v>
      </c>
      <c r="C482" s="16">
        <v>1.0</v>
      </c>
      <c r="D482" s="18">
        <v>12.99</v>
      </c>
      <c r="E482" s="18">
        <v>3.99</v>
      </c>
      <c r="F482" s="18">
        <f t="shared" si="7"/>
        <v>9</v>
      </c>
      <c r="G482" s="16">
        <v>1.0</v>
      </c>
      <c r="H482" s="18">
        <f t="shared" si="8"/>
        <v>3.99</v>
      </c>
      <c r="I482" s="7"/>
      <c r="J482" s="7"/>
      <c r="K482" s="7"/>
      <c r="L482" s="1"/>
      <c r="M482" s="1"/>
      <c r="N482" s="1"/>
      <c r="O482" s="1"/>
      <c r="P482" s="1"/>
      <c r="Q482" s="1"/>
      <c r="R482" s="1"/>
    </row>
    <row r="483">
      <c r="A483" s="26" t="s">
        <v>250</v>
      </c>
      <c r="B483" s="26" t="s">
        <v>36</v>
      </c>
      <c r="C483" s="16">
        <v>1.0</v>
      </c>
      <c r="D483" s="18">
        <v>10.99</v>
      </c>
      <c r="E483" s="18">
        <v>3.99</v>
      </c>
      <c r="F483" s="18">
        <f t="shared" si="7"/>
        <v>7</v>
      </c>
      <c r="G483" s="16">
        <v>1.0</v>
      </c>
      <c r="H483" s="18">
        <f t="shared" si="8"/>
        <v>3.99</v>
      </c>
      <c r="I483" s="7"/>
      <c r="J483" s="7"/>
      <c r="K483" s="7"/>
      <c r="L483" s="1"/>
      <c r="M483" s="1"/>
      <c r="N483" s="1"/>
      <c r="O483" s="1"/>
      <c r="P483" s="1"/>
      <c r="Q483" s="1"/>
      <c r="R483" s="1"/>
    </row>
    <row r="484">
      <c r="A484" s="26" t="s">
        <v>498</v>
      </c>
      <c r="B484" s="26" t="s">
        <v>494</v>
      </c>
      <c r="C484" s="26">
        <v>1.0</v>
      </c>
      <c r="D484" s="115">
        <v>9.99</v>
      </c>
      <c r="E484" s="115">
        <v>3.99</v>
      </c>
      <c r="F484" s="18">
        <f t="shared" si="7"/>
        <v>6</v>
      </c>
      <c r="G484" s="26">
        <v>1.0</v>
      </c>
      <c r="H484" s="18">
        <f t="shared" si="8"/>
        <v>3.99</v>
      </c>
      <c r="I484" s="7"/>
      <c r="J484" s="7"/>
      <c r="K484" s="7"/>
      <c r="L484" s="1"/>
      <c r="M484" s="1"/>
      <c r="N484" s="1"/>
      <c r="O484" s="1"/>
      <c r="P484" s="1"/>
      <c r="Q484" s="1"/>
      <c r="R484" s="1"/>
    </row>
    <row r="485">
      <c r="A485" s="26" t="s">
        <v>616</v>
      </c>
      <c r="B485" s="26" t="s">
        <v>56</v>
      </c>
      <c r="C485" s="16">
        <v>1.0</v>
      </c>
      <c r="D485" s="18">
        <v>8.99</v>
      </c>
      <c r="E485" s="18">
        <v>3.99</v>
      </c>
      <c r="F485" s="18">
        <f t="shared" si="7"/>
        <v>5</v>
      </c>
      <c r="G485" s="16">
        <v>1.0</v>
      </c>
      <c r="H485" s="18">
        <f t="shared" si="8"/>
        <v>3.99</v>
      </c>
      <c r="I485" s="7"/>
      <c r="J485" s="7"/>
      <c r="K485" s="7"/>
      <c r="L485" s="1"/>
      <c r="M485" s="1"/>
      <c r="N485" s="1"/>
      <c r="O485" s="1"/>
      <c r="P485" s="1"/>
      <c r="Q485" s="1"/>
      <c r="R485" s="1"/>
    </row>
    <row r="486">
      <c r="A486" s="26" t="s">
        <v>408</v>
      </c>
      <c r="B486" s="26" t="s">
        <v>50</v>
      </c>
      <c r="C486" s="16">
        <v>1.0</v>
      </c>
      <c r="D486" s="14">
        <v>49.99</v>
      </c>
      <c r="E486" s="14">
        <v>4.99</v>
      </c>
      <c r="F486" s="18">
        <f t="shared" si="7"/>
        <v>45</v>
      </c>
      <c r="G486" s="16">
        <v>1.0</v>
      </c>
      <c r="H486" s="18">
        <f t="shared" si="8"/>
        <v>4.99</v>
      </c>
      <c r="I486" s="7"/>
      <c r="J486" s="7"/>
      <c r="K486" s="7"/>
      <c r="L486" s="1"/>
      <c r="M486" s="1"/>
      <c r="N486" s="1"/>
      <c r="O486" s="1"/>
      <c r="P486" s="1"/>
      <c r="Q486" s="1"/>
      <c r="R486" s="1"/>
    </row>
    <row r="487">
      <c r="A487" s="26" t="s">
        <v>575</v>
      </c>
      <c r="B487" s="26" t="s">
        <v>56</v>
      </c>
      <c r="C487" s="16">
        <v>1.0</v>
      </c>
      <c r="D487" s="18">
        <v>19.99</v>
      </c>
      <c r="E487" s="18">
        <v>4.99</v>
      </c>
      <c r="F487" s="18">
        <f t="shared" si="7"/>
        <v>15</v>
      </c>
      <c r="G487" s="16">
        <v>1.0</v>
      </c>
      <c r="H487" s="18">
        <f t="shared" si="8"/>
        <v>4.99</v>
      </c>
      <c r="I487" s="7"/>
      <c r="J487" s="7"/>
      <c r="K487" s="7"/>
      <c r="L487" s="1"/>
      <c r="M487" s="1"/>
      <c r="N487" s="1"/>
      <c r="O487" s="1"/>
      <c r="P487" s="1"/>
      <c r="Q487" s="1"/>
      <c r="R487" s="1"/>
    </row>
    <row r="488">
      <c r="A488" s="26" t="s">
        <v>235</v>
      </c>
      <c r="B488" s="26" t="s">
        <v>1747</v>
      </c>
      <c r="C488" s="16">
        <v>1.0</v>
      </c>
      <c r="D488" s="14">
        <v>19.99</v>
      </c>
      <c r="E488" s="14">
        <v>4.99</v>
      </c>
      <c r="F488" s="14">
        <f t="shared" si="7"/>
        <v>15</v>
      </c>
      <c r="G488" s="16">
        <v>1.0</v>
      </c>
      <c r="H488" s="14">
        <f t="shared" si="8"/>
        <v>4.99</v>
      </c>
      <c r="I488" s="7"/>
      <c r="J488" s="7"/>
      <c r="K488" s="7"/>
      <c r="L488" s="1"/>
      <c r="M488" s="1"/>
      <c r="N488" s="1"/>
      <c r="O488" s="1"/>
      <c r="P488" s="1"/>
      <c r="Q488" s="1"/>
      <c r="R488" s="1"/>
    </row>
    <row r="489">
      <c r="A489" s="26" t="s">
        <v>609</v>
      </c>
      <c r="B489" s="26" t="s">
        <v>56</v>
      </c>
      <c r="C489" s="16">
        <v>1.0</v>
      </c>
      <c r="D489" s="18">
        <v>16.99</v>
      </c>
      <c r="E489" s="18">
        <v>4.99</v>
      </c>
      <c r="F489" s="18">
        <f t="shared" si="7"/>
        <v>12</v>
      </c>
      <c r="G489" s="16">
        <v>1.0</v>
      </c>
      <c r="H489" s="18">
        <f t="shared" si="8"/>
        <v>4.99</v>
      </c>
      <c r="I489" s="7"/>
      <c r="J489" s="7"/>
      <c r="K489" s="7"/>
      <c r="L489" s="1"/>
      <c r="M489" s="1"/>
      <c r="N489" s="1"/>
      <c r="O489" s="1"/>
      <c r="P489" s="1"/>
      <c r="Q489" s="1"/>
      <c r="R489" s="1"/>
    </row>
    <row r="490">
      <c r="A490" s="26" t="s">
        <v>217</v>
      </c>
      <c r="B490" s="26" t="s">
        <v>39</v>
      </c>
      <c r="C490" s="16">
        <v>1.0</v>
      </c>
      <c r="D490" s="18">
        <v>15.99</v>
      </c>
      <c r="E490" s="18">
        <v>4.99</v>
      </c>
      <c r="F490" s="18">
        <f t="shared" si="7"/>
        <v>11</v>
      </c>
      <c r="G490" s="16">
        <v>1.0</v>
      </c>
      <c r="H490" s="18">
        <f t="shared" si="8"/>
        <v>4.99</v>
      </c>
      <c r="I490" s="7"/>
      <c r="J490" s="7"/>
      <c r="K490" s="7"/>
      <c r="L490" s="1"/>
      <c r="M490" s="1"/>
      <c r="N490" s="1"/>
      <c r="O490" s="1"/>
      <c r="P490" s="1"/>
      <c r="Q490" s="1"/>
      <c r="R490" s="1"/>
    </row>
    <row r="491">
      <c r="A491" s="26" t="s">
        <v>619</v>
      </c>
      <c r="B491" s="26" t="s">
        <v>56</v>
      </c>
      <c r="C491" s="16">
        <v>1.0</v>
      </c>
      <c r="D491" s="18">
        <v>9.99</v>
      </c>
      <c r="E491" s="18">
        <v>4.99</v>
      </c>
      <c r="F491" s="18">
        <f t="shared" si="7"/>
        <v>5</v>
      </c>
      <c r="G491" s="16">
        <v>1.0</v>
      </c>
      <c r="H491" s="18">
        <f t="shared" si="8"/>
        <v>4.99</v>
      </c>
      <c r="I491" s="7"/>
      <c r="J491" s="7"/>
      <c r="K491" s="7"/>
      <c r="L491" s="1"/>
      <c r="M491" s="1"/>
      <c r="N491" s="1"/>
      <c r="O491" s="1"/>
      <c r="P491" s="1"/>
      <c r="Q491" s="1"/>
      <c r="R491" s="1"/>
    </row>
    <row r="492">
      <c r="A492" s="26" t="s">
        <v>267</v>
      </c>
      <c r="B492" s="26" t="s">
        <v>36</v>
      </c>
      <c r="C492" s="16">
        <v>1.0</v>
      </c>
      <c r="D492" s="18">
        <v>9.99</v>
      </c>
      <c r="E492" s="18">
        <v>4.99</v>
      </c>
      <c r="F492" s="18">
        <f t="shared" si="7"/>
        <v>5</v>
      </c>
      <c r="G492" s="16">
        <v>1.0</v>
      </c>
      <c r="H492" s="18">
        <f t="shared" si="8"/>
        <v>4.99</v>
      </c>
      <c r="I492" s="7"/>
      <c r="J492" s="7"/>
      <c r="K492" s="7"/>
      <c r="L492" s="1"/>
      <c r="M492" s="1"/>
      <c r="N492" s="1"/>
      <c r="O492" s="1"/>
      <c r="P492" s="1"/>
      <c r="Q492" s="1"/>
      <c r="R492" s="1"/>
    </row>
    <row r="493">
      <c r="A493" s="26" t="s">
        <v>495</v>
      </c>
      <c r="B493" s="26" t="s">
        <v>494</v>
      </c>
      <c r="C493" s="16">
        <v>1.0</v>
      </c>
      <c r="D493" s="18">
        <v>9.99</v>
      </c>
      <c r="E493" s="18">
        <v>4.99</v>
      </c>
      <c r="F493" s="18">
        <f t="shared" si="7"/>
        <v>5</v>
      </c>
      <c r="G493" s="16">
        <v>1.0</v>
      </c>
      <c r="H493" s="18">
        <f t="shared" si="8"/>
        <v>4.99</v>
      </c>
      <c r="I493" s="7"/>
      <c r="J493" s="7"/>
      <c r="K493" s="7"/>
      <c r="L493" s="1"/>
      <c r="M493" s="1"/>
      <c r="N493" s="1"/>
      <c r="O493" s="1"/>
      <c r="P493" s="1"/>
      <c r="Q493" s="1"/>
      <c r="R493" s="1"/>
    </row>
    <row r="494">
      <c r="A494" s="26" t="s">
        <v>510</v>
      </c>
      <c r="B494" s="26" t="s">
        <v>511</v>
      </c>
      <c r="C494" s="16">
        <v>1.0</v>
      </c>
      <c r="D494" s="18">
        <v>9.99</v>
      </c>
      <c r="E494" s="18">
        <v>4.99</v>
      </c>
      <c r="F494" s="18">
        <f t="shared" si="7"/>
        <v>5</v>
      </c>
      <c r="G494" s="26">
        <v>1.0</v>
      </c>
      <c r="H494" s="18">
        <f t="shared" si="8"/>
        <v>4.99</v>
      </c>
      <c r="I494" s="7"/>
      <c r="J494" s="7"/>
      <c r="K494" s="7"/>
      <c r="L494" s="1"/>
      <c r="M494" s="1"/>
      <c r="N494" s="1"/>
      <c r="O494" s="1"/>
      <c r="P494" s="1"/>
      <c r="Q494" s="1"/>
      <c r="R494" s="1"/>
    </row>
    <row r="495">
      <c r="A495" s="26" t="s">
        <v>422</v>
      </c>
      <c r="B495" s="26" t="s">
        <v>50</v>
      </c>
      <c r="C495" s="16">
        <v>1.0</v>
      </c>
      <c r="D495" s="18">
        <v>4.99</v>
      </c>
      <c r="E495" s="18">
        <v>4.99</v>
      </c>
      <c r="F495" s="18">
        <f t="shared" si="7"/>
        <v>0</v>
      </c>
      <c r="G495" s="16">
        <v>1.0</v>
      </c>
      <c r="H495" s="18">
        <f t="shared" si="8"/>
        <v>4.99</v>
      </c>
      <c r="I495" s="7"/>
      <c r="J495" s="7"/>
      <c r="K495" s="7"/>
      <c r="L495" s="1"/>
      <c r="M495" s="1"/>
      <c r="N495" s="1"/>
      <c r="O495" s="1"/>
      <c r="P495" s="1"/>
      <c r="Q495" s="1"/>
      <c r="R495" s="1"/>
    </row>
    <row r="496">
      <c r="A496" s="26" t="s">
        <v>281</v>
      </c>
      <c r="B496" s="26" t="s">
        <v>36</v>
      </c>
      <c r="C496" s="16">
        <v>1.0</v>
      </c>
      <c r="D496" s="18">
        <v>4.99</v>
      </c>
      <c r="E496" s="18">
        <v>4.99</v>
      </c>
      <c r="F496" s="18">
        <f t="shared" si="7"/>
        <v>0</v>
      </c>
      <c r="G496" s="16">
        <v>1.0</v>
      </c>
      <c r="H496" s="18">
        <f t="shared" si="8"/>
        <v>4.99</v>
      </c>
      <c r="I496" s="7"/>
      <c r="J496" s="7"/>
      <c r="K496" s="7"/>
      <c r="L496" s="1"/>
      <c r="M496" s="1"/>
      <c r="N496" s="1"/>
      <c r="O496" s="1"/>
      <c r="P496" s="1"/>
      <c r="Q496" s="1"/>
      <c r="R496" s="1"/>
    </row>
    <row r="497">
      <c r="A497" s="26" t="s">
        <v>592</v>
      </c>
      <c r="B497" s="26" t="s">
        <v>56</v>
      </c>
      <c r="C497" s="16">
        <v>1.0</v>
      </c>
      <c r="D497" s="18">
        <v>24.99</v>
      </c>
      <c r="E497" s="18">
        <v>5.0</v>
      </c>
      <c r="F497" s="18">
        <f t="shared" si="7"/>
        <v>19.99</v>
      </c>
      <c r="G497" s="16">
        <v>1.0</v>
      </c>
      <c r="H497" s="18">
        <f t="shared" si="8"/>
        <v>5</v>
      </c>
      <c r="I497" s="7"/>
      <c r="J497" s="7"/>
      <c r="K497" s="7"/>
      <c r="L497" s="1"/>
      <c r="M497" s="1"/>
      <c r="N497" s="1"/>
      <c r="O497" s="1"/>
      <c r="P497" s="1"/>
      <c r="Q497" s="1"/>
      <c r="R497" s="1"/>
    </row>
    <row r="498">
      <c r="A498" s="26" t="s">
        <v>674</v>
      </c>
      <c r="B498" s="26" t="s">
        <v>56</v>
      </c>
      <c r="C498" s="16">
        <v>1.0</v>
      </c>
      <c r="D498" s="18">
        <v>39.99</v>
      </c>
      <c r="E498" s="18">
        <v>5.99</v>
      </c>
      <c r="F498" s="18">
        <f t="shared" si="7"/>
        <v>34</v>
      </c>
      <c r="G498" s="16">
        <v>1.0</v>
      </c>
      <c r="H498" s="18">
        <f t="shared" si="8"/>
        <v>5.99</v>
      </c>
      <c r="I498" s="7"/>
      <c r="J498" s="7"/>
      <c r="K498" s="7"/>
      <c r="L498" s="1"/>
      <c r="M498" s="1"/>
      <c r="N498" s="1"/>
      <c r="O498" s="1"/>
      <c r="P498" s="1"/>
      <c r="Q498" s="1"/>
      <c r="R498" s="1"/>
    </row>
    <row r="499">
      <c r="A499" s="26" t="s">
        <v>525</v>
      </c>
      <c r="B499" s="26" t="s">
        <v>515</v>
      </c>
      <c r="C499" s="16">
        <v>1.0</v>
      </c>
      <c r="D499" s="18">
        <v>19.99</v>
      </c>
      <c r="E499" s="18">
        <v>5.99</v>
      </c>
      <c r="F499" s="18">
        <f t="shared" si="7"/>
        <v>14</v>
      </c>
      <c r="G499" s="16">
        <v>1.0</v>
      </c>
      <c r="H499" s="18">
        <f t="shared" si="8"/>
        <v>5.99</v>
      </c>
      <c r="I499" s="7"/>
      <c r="J499" s="7"/>
      <c r="K499" s="7"/>
      <c r="L499" s="1"/>
      <c r="M499" s="1"/>
      <c r="N499" s="1"/>
      <c r="O499" s="1"/>
      <c r="P499" s="1"/>
      <c r="Q499" s="1"/>
      <c r="R499" s="1"/>
    </row>
    <row r="500">
      <c r="A500" s="26" t="s">
        <v>209</v>
      </c>
      <c r="B500" s="26" t="s">
        <v>39</v>
      </c>
      <c r="C500" s="16">
        <v>1.0</v>
      </c>
      <c r="D500" s="18">
        <v>14.99</v>
      </c>
      <c r="E500" s="18">
        <v>5.99</v>
      </c>
      <c r="F500" s="18">
        <f t="shared" si="7"/>
        <v>9</v>
      </c>
      <c r="G500" s="16">
        <v>1.0</v>
      </c>
      <c r="H500" s="18">
        <f t="shared" si="8"/>
        <v>5.99</v>
      </c>
      <c r="I500" s="7"/>
      <c r="J500" s="7"/>
      <c r="K500" s="7"/>
      <c r="L500" s="1"/>
      <c r="M500" s="1"/>
      <c r="N500" s="1"/>
      <c r="O500" s="1"/>
      <c r="P500" s="1"/>
      <c r="Q500" s="1"/>
      <c r="R500" s="1"/>
    </row>
    <row r="501">
      <c r="A501" s="26" t="s">
        <v>551</v>
      </c>
      <c r="B501" s="26" t="s">
        <v>527</v>
      </c>
      <c r="C501" s="16">
        <v>1.0</v>
      </c>
      <c r="D501" s="18">
        <v>14.99</v>
      </c>
      <c r="E501" s="18">
        <v>5.99</v>
      </c>
      <c r="F501" s="18">
        <f t="shared" si="7"/>
        <v>9</v>
      </c>
      <c r="G501" s="16">
        <v>1.0</v>
      </c>
      <c r="H501" s="18">
        <f t="shared" si="8"/>
        <v>5.99</v>
      </c>
      <c r="I501" s="7"/>
      <c r="J501" s="7"/>
      <c r="K501" s="7"/>
      <c r="L501" s="1"/>
      <c r="M501" s="1"/>
      <c r="N501" s="1"/>
      <c r="O501" s="1"/>
      <c r="P501" s="1"/>
      <c r="Q501" s="1"/>
      <c r="R501" s="1"/>
    </row>
    <row r="502">
      <c r="A502" s="26" t="s">
        <v>524</v>
      </c>
      <c r="B502" s="26" t="s">
        <v>515</v>
      </c>
      <c r="C502" s="16">
        <v>1.0</v>
      </c>
      <c r="D502" s="18">
        <v>19.99</v>
      </c>
      <c r="E502" s="18">
        <v>6.99</v>
      </c>
      <c r="F502" s="18">
        <f t="shared" si="7"/>
        <v>13</v>
      </c>
      <c r="G502" s="16">
        <v>1.0</v>
      </c>
      <c r="H502" s="18">
        <f t="shared" si="8"/>
        <v>6.99</v>
      </c>
      <c r="I502" s="7"/>
      <c r="J502" s="7"/>
      <c r="K502" s="7"/>
      <c r="L502" s="1"/>
      <c r="M502" s="1"/>
      <c r="N502" s="1"/>
      <c r="O502" s="1"/>
      <c r="P502" s="1"/>
      <c r="Q502" s="1"/>
      <c r="R502" s="1"/>
    </row>
    <row r="503">
      <c r="A503" s="26" t="s">
        <v>368</v>
      </c>
      <c r="B503" s="26" t="s">
        <v>367</v>
      </c>
      <c r="C503" s="16">
        <v>1.0</v>
      </c>
      <c r="D503" s="18">
        <v>9.99</v>
      </c>
      <c r="E503" s="18">
        <v>6.99</v>
      </c>
      <c r="F503" s="18">
        <f t="shared" si="7"/>
        <v>3</v>
      </c>
      <c r="G503" s="16">
        <v>1.0</v>
      </c>
      <c r="H503" s="18">
        <f t="shared" si="8"/>
        <v>6.99</v>
      </c>
      <c r="I503" s="7"/>
      <c r="J503" s="7"/>
      <c r="K503" s="7"/>
      <c r="L503" s="1"/>
      <c r="M503" s="1"/>
      <c r="N503" s="1"/>
      <c r="O503" s="1"/>
      <c r="P503" s="1"/>
      <c r="Q503" s="1"/>
      <c r="R503" s="1"/>
    </row>
    <row r="504">
      <c r="A504" s="26" t="s">
        <v>398</v>
      </c>
      <c r="B504" s="26" t="s">
        <v>394</v>
      </c>
      <c r="C504" s="16">
        <v>1.0</v>
      </c>
      <c r="D504" s="18">
        <v>9.99</v>
      </c>
      <c r="E504" s="18">
        <v>6.99</v>
      </c>
      <c r="F504" s="18">
        <f t="shared" si="7"/>
        <v>3</v>
      </c>
      <c r="G504" s="16">
        <v>1.0</v>
      </c>
      <c r="H504" s="18">
        <f t="shared" si="8"/>
        <v>6.99</v>
      </c>
      <c r="I504" s="7"/>
      <c r="J504" s="7"/>
      <c r="K504" s="7"/>
      <c r="L504" s="1"/>
      <c r="M504" s="1"/>
      <c r="N504" s="1"/>
      <c r="O504" s="1"/>
      <c r="P504" s="1"/>
      <c r="Q504" s="1"/>
      <c r="R504" s="1"/>
    </row>
    <row r="505">
      <c r="A505" s="26" t="s">
        <v>210</v>
      </c>
      <c r="B505" s="26" t="s">
        <v>39</v>
      </c>
      <c r="C505" s="16">
        <v>1.0</v>
      </c>
      <c r="D505" s="18">
        <v>14.99</v>
      </c>
      <c r="E505" s="18">
        <v>7.49</v>
      </c>
      <c r="F505" s="18">
        <f t="shared" si="7"/>
        <v>7.5</v>
      </c>
      <c r="G505" s="16">
        <v>1.0</v>
      </c>
      <c r="H505" s="18">
        <f t="shared" si="8"/>
        <v>7.49</v>
      </c>
      <c r="I505" s="7"/>
      <c r="J505" s="7"/>
      <c r="K505" s="7"/>
      <c r="L505" s="1"/>
      <c r="M505" s="1"/>
      <c r="N505" s="1"/>
      <c r="O505" s="1"/>
      <c r="P505" s="1"/>
      <c r="Q505" s="1"/>
      <c r="R505" s="1"/>
    </row>
    <row r="506">
      <c r="A506" s="26" t="s">
        <v>519</v>
      </c>
      <c r="B506" s="26" t="s">
        <v>515</v>
      </c>
      <c r="C506" s="16">
        <v>1.0</v>
      </c>
      <c r="D506" s="18">
        <v>39.99</v>
      </c>
      <c r="E506" s="18">
        <v>7.99</v>
      </c>
      <c r="F506" s="18">
        <f t="shared" si="7"/>
        <v>32</v>
      </c>
      <c r="G506" s="16">
        <v>1.0</v>
      </c>
      <c r="H506" s="18">
        <f t="shared" si="8"/>
        <v>7.99</v>
      </c>
      <c r="I506" s="7"/>
      <c r="J506" s="7"/>
      <c r="K506" s="7"/>
      <c r="L506" s="1"/>
      <c r="M506" s="1"/>
      <c r="N506" s="1"/>
      <c r="O506" s="1"/>
      <c r="P506" s="1"/>
      <c r="Q506" s="1"/>
      <c r="R506" s="1"/>
    </row>
    <row r="507">
      <c r="A507" s="26" t="s">
        <v>529</v>
      </c>
      <c r="B507" s="26" t="s">
        <v>527</v>
      </c>
      <c r="C507" s="16">
        <v>1.0</v>
      </c>
      <c r="D507" s="18">
        <v>19.99</v>
      </c>
      <c r="E507" s="18">
        <v>7.99</v>
      </c>
      <c r="F507" s="18">
        <f t="shared" si="7"/>
        <v>12</v>
      </c>
      <c r="G507" s="16">
        <v>1.0</v>
      </c>
      <c r="H507" s="18">
        <f t="shared" si="8"/>
        <v>7.99</v>
      </c>
      <c r="I507" s="7"/>
      <c r="J507" s="7"/>
      <c r="K507" s="7"/>
      <c r="L507" s="1"/>
      <c r="M507" s="1"/>
      <c r="N507" s="1"/>
      <c r="O507" s="1"/>
      <c r="P507" s="1"/>
      <c r="Q507" s="1"/>
      <c r="R507" s="1"/>
    </row>
    <row r="508">
      <c r="A508" s="26" t="s">
        <v>150</v>
      </c>
      <c r="B508" s="26" t="s">
        <v>137</v>
      </c>
      <c r="C508" s="16">
        <v>1.0</v>
      </c>
      <c r="D508" s="18">
        <v>19.99</v>
      </c>
      <c r="E508" s="18">
        <v>7.99</v>
      </c>
      <c r="F508" s="18">
        <f t="shared" si="7"/>
        <v>12</v>
      </c>
      <c r="G508" s="16">
        <v>1.0</v>
      </c>
      <c r="H508" s="18">
        <f t="shared" si="8"/>
        <v>7.99</v>
      </c>
      <c r="I508" s="7"/>
      <c r="J508" s="7"/>
      <c r="K508" s="7"/>
      <c r="L508" s="1"/>
      <c r="M508" s="1"/>
      <c r="N508" s="1"/>
      <c r="O508" s="1"/>
      <c r="P508" s="1"/>
      <c r="Q508" s="1"/>
      <c r="R508" s="1"/>
    </row>
    <row r="509">
      <c r="A509" s="26" t="s">
        <v>222</v>
      </c>
      <c r="B509" s="26" t="s">
        <v>219</v>
      </c>
      <c r="C509" s="16">
        <v>1.0</v>
      </c>
      <c r="D509" s="18">
        <v>19.99</v>
      </c>
      <c r="E509" s="18">
        <v>7.99</v>
      </c>
      <c r="F509" s="18">
        <f t="shared" si="7"/>
        <v>12</v>
      </c>
      <c r="G509" s="26">
        <v>1.0</v>
      </c>
      <c r="H509" s="18">
        <f t="shared" si="8"/>
        <v>7.99</v>
      </c>
      <c r="I509" s="7"/>
      <c r="J509" s="7"/>
      <c r="K509" s="7"/>
      <c r="L509" s="1"/>
      <c r="M509" s="1"/>
      <c r="N509" s="1"/>
      <c r="O509" s="1"/>
      <c r="P509" s="1"/>
      <c r="Q509" s="1"/>
      <c r="R509" s="1"/>
    </row>
    <row r="510">
      <c r="A510" s="26" t="s">
        <v>162</v>
      </c>
      <c r="B510" s="26" t="s">
        <v>163</v>
      </c>
      <c r="C510" s="16">
        <v>1.0</v>
      </c>
      <c r="D510" s="18">
        <v>19.99</v>
      </c>
      <c r="E510" s="18">
        <v>7.99</v>
      </c>
      <c r="F510" s="18">
        <f t="shared" si="7"/>
        <v>12</v>
      </c>
      <c r="G510" s="26">
        <v>1.0</v>
      </c>
      <c r="H510" s="18">
        <f t="shared" si="8"/>
        <v>7.99</v>
      </c>
      <c r="I510" s="7"/>
      <c r="J510" s="7"/>
      <c r="K510" s="7"/>
      <c r="L510" s="1"/>
      <c r="M510" s="1"/>
      <c r="N510" s="1"/>
      <c r="O510" s="1"/>
      <c r="P510" s="1"/>
      <c r="Q510" s="1"/>
      <c r="R510" s="1"/>
    </row>
    <row r="511">
      <c r="A511" s="26" t="s">
        <v>690</v>
      </c>
      <c r="B511" s="26" t="s">
        <v>56</v>
      </c>
      <c r="C511" s="16">
        <v>1.0</v>
      </c>
      <c r="D511" s="18">
        <v>17.99</v>
      </c>
      <c r="E511" s="18">
        <v>7.99</v>
      </c>
      <c r="F511" s="18">
        <f t="shared" si="7"/>
        <v>10</v>
      </c>
      <c r="G511" s="16">
        <v>1.0</v>
      </c>
      <c r="H511" s="18">
        <f t="shared" si="8"/>
        <v>7.99</v>
      </c>
      <c r="I511" s="7"/>
      <c r="J511" s="7"/>
      <c r="K511" s="7"/>
      <c r="L511" s="1"/>
      <c r="M511" s="1"/>
      <c r="N511" s="1"/>
      <c r="O511" s="1"/>
      <c r="P511" s="1"/>
      <c r="Q511" s="1"/>
      <c r="R511" s="1"/>
    </row>
    <row r="512">
      <c r="A512" s="26" t="s">
        <v>420</v>
      </c>
      <c r="B512" s="26" t="s">
        <v>50</v>
      </c>
      <c r="C512" s="16">
        <v>1.0</v>
      </c>
      <c r="D512" s="115">
        <v>15.99</v>
      </c>
      <c r="E512" s="18">
        <v>7.99</v>
      </c>
      <c r="F512" s="18">
        <f t="shared" si="7"/>
        <v>8</v>
      </c>
      <c r="G512" s="16">
        <v>1.0</v>
      </c>
      <c r="H512" s="18">
        <f t="shared" si="8"/>
        <v>7.99</v>
      </c>
      <c r="I512" s="7"/>
      <c r="J512" s="7"/>
      <c r="K512" s="7"/>
      <c r="L512" s="1"/>
      <c r="M512" s="1"/>
      <c r="N512" s="1"/>
      <c r="O512" s="1"/>
      <c r="P512" s="1"/>
      <c r="Q512" s="1"/>
      <c r="R512" s="1"/>
    </row>
    <row r="513">
      <c r="A513" s="26" t="s">
        <v>402</v>
      </c>
      <c r="B513" s="26" t="s">
        <v>50</v>
      </c>
      <c r="C513" s="16">
        <v>1.0</v>
      </c>
      <c r="D513" s="18">
        <v>7.99</v>
      </c>
      <c r="E513" s="18">
        <v>7.99</v>
      </c>
      <c r="F513" s="18">
        <f t="shared" si="7"/>
        <v>0</v>
      </c>
      <c r="G513" s="16">
        <v>1.0</v>
      </c>
      <c r="H513" s="18">
        <f t="shared" si="8"/>
        <v>7.99</v>
      </c>
      <c r="I513" s="7"/>
      <c r="J513" s="7"/>
      <c r="K513" s="7"/>
      <c r="L513" s="1"/>
      <c r="M513" s="1"/>
      <c r="N513" s="1"/>
      <c r="O513" s="1"/>
      <c r="P513" s="1"/>
      <c r="Q513" s="1"/>
      <c r="R513" s="1"/>
    </row>
    <row r="514">
      <c r="A514" s="26" t="s">
        <v>691</v>
      </c>
      <c r="B514" s="26" t="s">
        <v>56</v>
      </c>
      <c r="C514" s="16">
        <v>1.0</v>
      </c>
      <c r="D514" s="18">
        <v>36.99</v>
      </c>
      <c r="E514" s="18">
        <v>8.44</v>
      </c>
      <c r="F514" s="18">
        <f t="shared" si="7"/>
        <v>28.55</v>
      </c>
      <c r="G514" s="16">
        <v>1.0</v>
      </c>
      <c r="H514" s="18">
        <f t="shared" si="8"/>
        <v>8.44</v>
      </c>
      <c r="I514" s="7"/>
      <c r="J514" s="7"/>
      <c r="K514" s="7"/>
      <c r="L514" s="1"/>
      <c r="M514" s="1"/>
      <c r="N514" s="1"/>
      <c r="O514" s="1"/>
      <c r="P514" s="1"/>
      <c r="Q514" s="1"/>
      <c r="R514" s="1"/>
    </row>
    <row r="515">
      <c r="A515" s="26" t="s">
        <v>236</v>
      </c>
      <c r="B515" s="26" t="s">
        <v>237</v>
      </c>
      <c r="C515" s="16">
        <v>1.0</v>
      </c>
      <c r="D515" s="18">
        <v>22.98</v>
      </c>
      <c r="E515" s="18">
        <v>8.98</v>
      </c>
      <c r="F515" s="18">
        <f t="shared" si="7"/>
        <v>14</v>
      </c>
      <c r="G515" s="16">
        <v>1.0</v>
      </c>
      <c r="H515" s="18">
        <f t="shared" si="8"/>
        <v>8.98</v>
      </c>
      <c r="I515" s="7"/>
      <c r="J515" s="7"/>
      <c r="K515" s="7"/>
      <c r="L515" s="1"/>
      <c r="M515" s="1"/>
      <c r="N515" s="1"/>
      <c r="O515" s="1"/>
      <c r="P515" s="1"/>
      <c r="Q515" s="1"/>
      <c r="R515" s="1"/>
    </row>
    <row r="516">
      <c r="A516" s="26" t="s">
        <v>694</v>
      </c>
      <c r="B516" s="26" t="s">
        <v>56</v>
      </c>
      <c r="C516" s="16">
        <v>1.0</v>
      </c>
      <c r="D516" s="18">
        <v>14.99</v>
      </c>
      <c r="E516" s="18">
        <v>8.99</v>
      </c>
      <c r="F516" s="18">
        <f t="shared" si="7"/>
        <v>6</v>
      </c>
      <c r="G516" s="16">
        <v>1.0</v>
      </c>
      <c r="H516" s="18">
        <f t="shared" si="8"/>
        <v>8.99</v>
      </c>
      <c r="I516" s="7"/>
      <c r="J516" s="7"/>
      <c r="K516" s="7"/>
      <c r="L516" s="1"/>
      <c r="M516" s="1"/>
      <c r="N516" s="1"/>
      <c r="O516" s="1"/>
      <c r="P516" s="1"/>
      <c r="Q516" s="1"/>
      <c r="R516" s="1"/>
    </row>
    <row r="517">
      <c r="A517" s="26" t="s">
        <v>518</v>
      </c>
      <c r="B517" s="26" t="s">
        <v>515</v>
      </c>
      <c r="C517" s="16">
        <v>1.0</v>
      </c>
      <c r="D517" s="18">
        <v>12.99</v>
      </c>
      <c r="E517" s="18">
        <v>9.09</v>
      </c>
      <c r="F517" s="18">
        <f t="shared" si="7"/>
        <v>3.9</v>
      </c>
      <c r="G517" s="16">
        <v>1.0</v>
      </c>
      <c r="H517" s="18">
        <f t="shared" si="8"/>
        <v>9.09</v>
      </c>
      <c r="I517" s="7"/>
      <c r="J517" s="7"/>
      <c r="K517" s="7"/>
      <c r="L517" s="1"/>
      <c r="M517" s="1"/>
      <c r="N517" s="1"/>
      <c r="O517" s="1"/>
      <c r="P517" s="1"/>
      <c r="Q517" s="1"/>
      <c r="R517" s="1"/>
    </row>
    <row r="518">
      <c r="A518" s="26" t="s">
        <v>325</v>
      </c>
      <c r="B518" s="26" t="s">
        <v>36</v>
      </c>
      <c r="C518" s="16">
        <v>1.0</v>
      </c>
      <c r="D518" s="18">
        <v>24.99</v>
      </c>
      <c r="E518" s="18">
        <v>9.99</v>
      </c>
      <c r="F518" s="18">
        <f t="shared" si="7"/>
        <v>15</v>
      </c>
      <c r="G518" s="16">
        <v>1.0</v>
      </c>
      <c r="H518" s="18">
        <f t="shared" si="8"/>
        <v>9.99</v>
      </c>
      <c r="I518" s="7"/>
      <c r="J518" s="7"/>
      <c r="K518" s="7"/>
      <c r="L518" s="1"/>
      <c r="M518" s="1"/>
      <c r="N518" s="1"/>
      <c r="O518" s="1"/>
      <c r="P518" s="1"/>
      <c r="Q518" s="1"/>
      <c r="R518" s="1"/>
    </row>
    <row r="519">
      <c r="A519" s="26" t="s">
        <v>326</v>
      </c>
      <c r="B519" s="26" t="s">
        <v>36</v>
      </c>
      <c r="C519" s="16">
        <v>1.0</v>
      </c>
      <c r="D519" s="18">
        <v>19.99</v>
      </c>
      <c r="E519" s="18">
        <v>9.99</v>
      </c>
      <c r="F519" s="18">
        <f t="shared" si="7"/>
        <v>10</v>
      </c>
      <c r="G519" s="16">
        <v>1.0</v>
      </c>
      <c r="H519" s="18">
        <f t="shared" si="8"/>
        <v>9.99</v>
      </c>
      <c r="I519" s="7"/>
      <c r="J519" s="7"/>
      <c r="K519" s="7"/>
      <c r="L519" s="1"/>
      <c r="M519" s="1"/>
      <c r="N519" s="1"/>
      <c r="O519" s="1"/>
      <c r="P519" s="1"/>
      <c r="Q519" s="1"/>
      <c r="R519" s="1"/>
    </row>
    <row r="520">
      <c r="A520" s="26" t="s">
        <v>623</v>
      </c>
      <c r="B520" s="26" t="s">
        <v>56</v>
      </c>
      <c r="C520" s="16">
        <v>1.0</v>
      </c>
      <c r="D520" s="18">
        <v>9.99</v>
      </c>
      <c r="E520" s="18">
        <v>9.99</v>
      </c>
      <c r="F520" s="18">
        <f t="shared" si="7"/>
        <v>0</v>
      </c>
      <c r="G520" s="16">
        <v>1.0</v>
      </c>
      <c r="H520" s="18">
        <f t="shared" si="8"/>
        <v>9.99</v>
      </c>
      <c r="I520" s="7"/>
      <c r="J520" s="7"/>
      <c r="K520" s="7"/>
      <c r="L520" s="1"/>
      <c r="M520" s="1"/>
      <c r="N520" s="1"/>
      <c r="O520" s="1"/>
      <c r="P520" s="1"/>
      <c r="Q520" s="1"/>
      <c r="R520" s="1"/>
    </row>
    <row r="521">
      <c r="A521" s="26" t="s">
        <v>648</v>
      </c>
      <c r="B521" s="26" t="s">
        <v>56</v>
      </c>
      <c r="C521" s="16">
        <v>1.0</v>
      </c>
      <c r="D521" s="18">
        <v>9.99</v>
      </c>
      <c r="E521" s="18">
        <v>9.99</v>
      </c>
      <c r="F521" s="18">
        <f t="shared" si="7"/>
        <v>0</v>
      </c>
      <c r="G521" s="16">
        <v>1.0</v>
      </c>
      <c r="H521" s="18">
        <f t="shared" si="8"/>
        <v>9.99</v>
      </c>
      <c r="I521" s="7"/>
      <c r="J521" s="7"/>
      <c r="K521" s="7"/>
      <c r="L521" s="1"/>
      <c r="M521" s="1"/>
      <c r="N521" s="1"/>
      <c r="O521" s="1"/>
      <c r="P521" s="1"/>
      <c r="Q521" s="1"/>
      <c r="R521" s="1"/>
    </row>
    <row r="522">
      <c r="A522" s="26" t="s">
        <v>283</v>
      </c>
      <c r="B522" s="26" t="s">
        <v>36</v>
      </c>
      <c r="C522" s="16">
        <v>1.0</v>
      </c>
      <c r="D522" s="18">
        <v>9.99</v>
      </c>
      <c r="E522" s="18">
        <v>9.99</v>
      </c>
      <c r="F522" s="18">
        <f t="shared" si="7"/>
        <v>0</v>
      </c>
      <c r="G522" s="16">
        <v>1.0</v>
      </c>
      <c r="H522" s="18">
        <f t="shared" si="8"/>
        <v>9.99</v>
      </c>
      <c r="I522" s="7"/>
      <c r="J522" s="7"/>
      <c r="K522" s="7"/>
      <c r="L522" s="1"/>
      <c r="M522" s="1"/>
      <c r="N522" s="1"/>
      <c r="O522" s="1"/>
      <c r="P522" s="1"/>
      <c r="Q522" s="1"/>
      <c r="R522" s="1"/>
    </row>
    <row r="523">
      <c r="A523" s="26" t="s">
        <v>312</v>
      </c>
      <c r="B523" s="26" t="s">
        <v>36</v>
      </c>
      <c r="C523" s="16">
        <v>1.0</v>
      </c>
      <c r="D523" s="18">
        <v>9.99</v>
      </c>
      <c r="E523" s="18">
        <v>9.99</v>
      </c>
      <c r="F523" s="18">
        <f t="shared" si="7"/>
        <v>0</v>
      </c>
      <c r="G523" s="16">
        <v>1.0</v>
      </c>
      <c r="H523" s="18">
        <f t="shared" si="8"/>
        <v>9.99</v>
      </c>
      <c r="I523" s="7"/>
      <c r="J523" s="7"/>
      <c r="K523" s="7"/>
      <c r="L523" s="1"/>
      <c r="M523" s="1"/>
      <c r="N523" s="1"/>
      <c r="O523" s="1"/>
      <c r="P523" s="1"/>
      <c r="Q523" s="1"/>
      <c r="R523" s="1"/>
    </row>
    <row r="524">
      <c r="A524" s="26" t="s">
        <v>357</v>
      </c>
      <c r="B524" s="26" t="s">
        <v>47</v>
      </c>
      <c r="C524" s="16">
        <v>1.0</v>
      </c>
      <c r="D524" s="18">
        <v>9.99</v>
      </c>
      <c r="E524" s="18">
        <v>9.99</v>
      </c>
      <c r="F524" s="18">
        <f t="shared" si="7"/>
        <v>0</v>
      </c>
      <c r="G524" s="16">
        <v>1.0</v>
      </c>
      <c r="H524" s="18">
        <f t="shared" si="8"/>
        <v>9.99</v>
      </c>
      <c r="I524" s="7"/>
      <c r="J524" s="7"/>
      <c r="K524" s="7"/>
      <c r="L524" s="1"/>
      <c r="M524" s="1"/>
      <c r="N524" s="1"/>
      <c r="O524" s="1"/>
      <c r="P524" s="1"/>
      <c r="Q524" s="1"/>
      <c r="R524" s="1"/>
    </row>
    <row r="525">
      <c r="A525" s="26" t="s">
        <v>386</v>
      </c>
      <c r="B525" s="26" t="s">
        <v>387</v>
      </c>
      <c r="C525" s="16">
        <v>1.0</v>
      </c>
      <c r="D525" s="18">
        <v>29.99</v>
      </c>
      <c r="E525" s="18">
        <v>10.99</v>
      </c>
      <c r="F525" s="18">
        <f t="shared" si="7"/>
        <v>19</v>
      </c>
      <c r="G525" s="26">
        <v>1.0</v>
      </c>
      <c r="H525" s="18">
        <f t="shared" si="8"/>
        <v>10.99</v>
      </c>
      <c r="I525" s="7"/>
      <c r="J525" s="7"/>
      <c r="K525" s="7"/>
      <c r="L525" s="1"/>
      <c r="M525" s="1"/>
      <c r="N525" s="1"/>
      <c r="O525" s="1"/>
      <c r="P525" s="1"/>
      <c r="Q525" s="1"/>
      <c r="R525" s="1"/>
    </row>
    <row r="526">
      <c r="A526" s="26" t="s">
        <v>224</v>
      </c>
      <c r="B526" s="26" t="s">
        <v>219</v>
      </c>
      <c r="C526" s="16">
        <v>1.0</v>
      </c>
      <c r="D526" s="14">
        <v>16.99</v>
      </c>
      <c r="E526" s="14">
        <v>11.04</v>
      </c>
      <c r="F526" s="14">
        <f t="shared" si="7"/>
        <v>5.95</v>
      </c>
      <c r="G526" s="16">
        <v>1.0</v>
      </c>
      <c r="H526" s="14">
        <f t="shared" si="8"/>
        <v>11.04</v>
      </c>
      <c r="I526" s="7"/>
      <c r="J526" s="7"/>
      <c r="K526" s="7"/>
      <c r="L526" s="1"/>
      <c r="M526" s="1"/>
      <c r="N526" s="1"/>
      <c r="O526" s="1"/>
      <c r="P526" s="1"/>
      <c r="Q526" s="1"/>
      <c r="R526" s="1"/>
    </row>
    <row r="527">
      <c r="A527" s="26" t="s">
        <v>461</v>
      </c>
      <c r="B527" s="26" t="s">
        <v>53</v>
      </c>
      <c r="C527" s="16">
        <v>1.0</v>
      </c>
      <c r="D527" s="18">
        <v>44.99</v>
      </c>
      <c r="E527" s="18">
        <v>11.24</v>
      </c>
      <c r="F527" s="18">
        <f t="shared" si="7"/>
        <v>33.75</v>
      </c>
      <c r="G527" s="16">
        <v>1.0</v>
      </c>
      <c r="H527" s="18">
        <f t="shared" si="8"/>
        <v>11.24</v>
      </c>
      <c r="I527" s="7"/>
      <c r="J527" s="7"/>
      <c r="K527" s="7"/>
      <c r="L527" s="1"/>
      <c r="M527" s="1"/>
      <c r="N527" s="1"/>
      <c r="O527" s="1"/>
      <c r="P527" s="1"/>
      <c r="Q527" s="1"/>
      <c r="R527" s="1"/>
    </row>
    <row r="528">
      <c r="A528" s="26" t="s">
        <v>165</v>
      </c>
      <c r="B528" s="26" t="s">
        <v>166</v>
      </c>
      <c r="C528" s="16">
        <v>1.0</v>
      </c>
      <c r="D528" s="18">
        <v>14.49</v>
      </c>
      <c r="E528" s="18">
        <v>11.59</v>
      </c>
      <c r="F528" s="18">
        <f t="shared" si="7"/>
        <v>2.9</v>
      </c>
      <c r="G528" s="16">
        <v>1.0</v>
      </c>
      <c r="H528" s="18">
        <f t="shared" si="8"/>
        <v>11.59</v>
      </c>
      <c r="I528" s="7"/>
      <c r="J528" s="7"/>
      <c r="K528" s="7"/>
      <c r="L528" s="1"/>
      <c r="M528" s="1"/>
      <c r="N528" s="1"/>
      <c r="O528" s="1"/>
      <c r="P528" s="1"/>
      <c r="Q528" s="1"/>
      <c r="R528" s="1"/>
    </row>
    <row r="529">
      <c r="A529" s="26" t="s">
        <v>358</v>
      </c>
      <c r="B529" s="26" t="s">
        <v>47</v>
      </c>
      <c r="C529" s="16">
        <v>1.0</v>
      </c>
      <c r="D529" s="18">
        <v>29.99</v>
      </c>
      <c r="E529" s="18">
        <v>11.99</v>
      </c>
      <c r="F529" s="18">
        <f t="shared" si="7"/>
        <v>18</v>
      </c>
      <c r="G529" s="16">
        <v>1.0</v>
      </c>
      <c r="H529" s="18">
        <f t="shared" si="8"/>
        <v>11.99</v>
      </c>
      <c r="I529" s="7"/>
      <c r="J529" s="7"/>
      <c r="K529" s="7"/>
      <c r="L529" s="1"/>
      <c r="M529" s="1"/>
      <c r="N529" s="1"/>
      <c r="O529" s="1"/>
      <c r="P529" s="1"/>
      <c r="Q529" s="1"/>
      <c r="R529" s="1"/>
    </row>
    <row r="530">
      <c r="A530" s="26" t="s">
        <v>633</v>
      </c>
      <c r="B530" s="26" t="s">
        <v>56</v>
      </c>
      <c r="C530" s="16">
        <v>1.0</v>
      </c>
      <c r="D530" s="18">
        <v>12.0</v>
      </c>
      <c r="E530" s="18">
        <v>12.0</v>
      </c>
      <c r="F530" s="18">
        <f t="shared" si="7"/>
        <v>0</v>
      </c>
      <c r="G530" s="16">
        <v>1.0</v>
      </c>
      <c r="H530" s="18">
        <f t="shared" si="8"/>
        <v>12</v>
      </c>
      <c r="I530" s="7"/>
      <c r="J530" s="7"/>
      <c r="K530" s="7"/>
      <c r="L530" s="1"/>
      <c r="M530" s="1"/>
      <c r="N530" s="1"/>
      <c r="O530" s="1"/>
      <c r="P530" s="1"/>
      <c r="Q530" s="1"/>
      <c r="R530" s="1"/>
    </row>
    <row r="531">
      <c r="A531" s="26" t="s">
        <v>156</v>
      </c>
      <c r="B531" s="26" t="s">
        <v>137</v>
      </c>
      <c r="C531" s="16">
        <v>1.0</v>
      </c>
      <c r="D531" s="18">
        <v>24.99</v>
      </c>
      <c r="E531" s="18">
        <v>12.49</v>
      </c>
      <c r="F531" s="18">
        <f t="shared" si="7"/>
        <v>12.5</v>
      </c>
      <c r="G531" s="26">
        <v>1.0</v>
      </c>
      <c r="H531" s="18">
        <f t="shared" si="8"/>
        <v>12.49</v>
      </c>
      <c r="I531" s="7"/>
      <c r="J531" s="7"/>
      <c r="K531" s="7"/>
      <c r="L531" s="1"/>
      <c r="M531" s="1"/>
      <c r="N531" s="1"/>
      <c r="O531" s="1"/>
      <c r="P531" s="1"/>
      <c r="Q531" s="1"/>
      <c r="R531" s="1"/>
    </row>
    <row r="532">
      <c r="A532" s="26" t="s">
        <v>486</v>
      </c>
      <c r="B532" s="26" t="s">
        <v>472</v>
      </c>
      <c r="C532" s="16">
        <v>1.0</v>
      </c>
      <c r="D532" s="18">
        <v>19.99</v>
      </c>
      <c r="E532" s="18">
        <v>12.99</v>
      </c>
      <c r="F532" s="18">
        <f t="shared" si="7"/>
        <v>7</v>
      </c>
      <c r="G532" s="16">
        <v>1.0</v>
      </c>
      <c r="H532" s="18">
        <f t="shared" si="8"/>
        <v>12.99</v>
      </c>
      <c r="I532" s="7"/>
      <c r="J532" s="7"/>
      <c r="K532" s="7"/>
      <c r="L532" s="1"/>
      <c r="M532" s="1"/>
      <c r="N532" s="1"/>
      <c r="O532" s="1"/>
      <c r="P532" s="1"/>
      <c r="Q532" s="1"/>
      <c r="R532" s="1"/>
    </row>
    <row r="533">
      <c r="A533" s="26" t="s">
        <v>611</v>
      </c>
      <c r="B533" s="26" t="s">
        <v>56</v>
      </c>
      <c r="C533" s="16">
        <v>1.0</v>
      </c>
      <c r="D533" s="18">
        <v>19.99</v>
      </c>
      <c r="E533" s="18">
        <v>13.99</v>
      </c>
      <c r="F533" s="18">
        <f t="shared" si="7"/>
        <v>6</v>
      </c>
      <c r="G533" s="16">
        <v>1.0</v>
      </c>
      <c r="H533" s="18">
        <f t="shared" si="8"/>
        <v>13.99</v>
      </c>
      <c r="I533" s="7"/>
      <c r="J533" s="7"/>
      <c r="K533" s="7"/>
      <c r="L533" s="1"/>
      <c r="M533" s="1"/>
      <c r="N533" s="1"/>
      <c r="O533" s="1"/>
      <c r="P533" s="1"/>
      <c r="Q533" s="1"/>
      <c r="R533" s="1"/>
    </row>
    <row r="534">
      <c r="A534" s="26" t="s">
        <v>385</v>
      </c>
      <c r="B534" s="26" t="s">
        <v>384</v>
      </c>
      <c r="C534" s="16">
        <v>1.0</v>
      </c>
      <c r="D534" s="18">
        <v>19.99</v>
      </c>
      <c r="E534" s="18">
        <v>13.99</v>
      </c>
      <c r="F534" s="18">
        <f t="shared" si="7"/>
        <v>6</v>
      </c>
      <c r="G534" s="16">
        <v>1.0</v>
      </c>
      <c r="H534" s="18">
        <f t="shared" si="8"/>
        <v>13.99</v>
      </c>
      <c r="I534" s="7"/>
      <c r="J534" s="7"/>
      <c r="K534" s="7"/>
      <c r="L534" s="1"/>
      <c r="M534" s="1"/>
      <c r="N534" s="1"/>
      <c r="O534" s="1"/>
      <c r="P534" s="1"/>
      <c r="Q534" s="1"/>
      <c r="R534" s="1"/>
    </row>
    <row r="535">
      <c r="A535" s="26" t="s">
        <v>482</v>
      </c>
      <c r="B535" s="26" t="s">
        <v>472</v>
      </c>
      <c r="C535" s="16">
        <v>1.0</v>
      </c>
      <c r="D535" s="18">
        <v>24.99</v>
      </c>
      <c r="E535" s="18">
        <v>14.99</v>
      </c>
      <c r="F535" s="18">
        <f t="shared" si="7"/>
        <v>10</v>
      </c>
      <c r="G535" s="16">
        <v>1.0</v>
      </c>
      <c r="H535" s="18">
        <f t="shared" si="8"/>
        <v>14.99</v>
      </c>
      <c r="I535" s="7"/>
      <c r="J535" s="7"/>
      <c r="K535" s="7"/>
      <c r="L535" s="1"/>
      <c r="M535" s="1"/>
      <c r="N535" s="1"/>
      <c r="O535" s="1"/>
      <c r="P535" s="1"/>
      <c r="Q535" s="1"/>
      <c r="R535" s="1"/>
    </row>
    <row r="536">
      <c r="A536" s="26" t="s">
        <v>607</v>
      </c>
      <c r="B536" s="26" t="s">
        <v>56</v>
      </c>
      <c r="C536" s="16">
        <v>1.0</v>
      </c>
      <c r="D536" s="18">
        <v>19.99</v>
      </c>
      <c r="E536" s="18">
        <v>14.99</v>
      </c>
      <c r="F536" s="18">
        <f t="shared" si="7"/>
        <v>5</v>
      </c>
      <c r="G536" s="16">
        <v>1.0</v>
      </c>
      <c r="H536" s="18">
        <f t="shared" si="8"/>
        <v>14.99</v>
      </c>
      <c r="I536" s="7"/>
      <c r="J536" s="7"/>
      <c r="K536" s="7"/>
      <c r="L536" s="1"/>
      <c r="M536" s="1"/>
      <c r="N536" s="1"/>
      <c r="O536" s="1"/>
      <c r="P536" s="1"/>
      <c r="Q536" s="1"/>
      <c r="R536" s="1"/>
    </row>
    <row r="537">
      <c r="A537" s="26" t="s">
        <v>535</v>
      </c>
      <c r="B537" s="26" t="s">
        <v>527</v>
      </c>
      <c r="C537" s="16">
        <v>1.0</v>
      </c>
      <c r="D537" s="18">
        <v>19.99</v>
      </c>
      <c r="E537" s="18">
        <v>14.99</v>
      </c>
      <c r="F537" s="18">
        <f t="shared" si="7"/>
        <v>5</v>
      </c>
      <c r="G537" s="16">
        <v>1.0</v>
      </c>
      <c r="H537" s="18">
        <f t="shared" si="8"/>
        <v>14.99</v>
      </c>
      <c r="I537" s="7"/>
      <c r="J537" s="7"/>
      <c r="K537" s="7"/>
      <c r="L537" s="1"/>
      <c r="M537" s="1"/>
      <c r="N537" s="1"/>
      <c r="O537" s="1"/>
      <c r="P537" s="1"/>
      <c r="Q537" s="1"/>
      <c r="R537" s="1"/>
    </row>
    <row r="538">
      <c r="A538" s="26" t="s">
        <v>657</v>
      </c>
      <c r="B538" s="26" t="s">
        <v>56</v>
      </c>
      <c r="C538" s="16">
        <v>1.0</v>
      </c>
      <c r="D538" s="18">
        <v>33.98</v>
      </c>
      <c r="E538" s="18">
        <v>15.49</v>
      </c>
      <c r="F538" s="18">
        <f t="shared" si="7"/>
        <v>18.49</v>
      </c>
      <c r="G538" s="16">
        <v>1.0</v>
      </c>
      <c r="H538" s="18">
        <f t="shared" si="8"/>
        <v>15.49</v>
      </c>
      <c r="I538" s="7"/>
      <c r="J538" s="7"/>
      <c r="K538" s="7"/>
      <c r="L538" s="1"/>
      <c r="M538" s="1"/>
      <c r="N538" s="1"/>
      <c r="O538" s="1"/>
      <c r="P538" s="1"/>
      <c r="Q538" s="1"/>
      <c r="R538" s="1"/>
    </row>
    <row r="539">
      <c r="A539" s="26" t="s">
        <v>379</v>
      </c>
      <c r="B539" s="26" t="s">
        <v>367</v>
      </c>
      <c r="C539" s="16">
        <v>1.0</v>
      </c>
      <c r="D539" s="18">
        <v>24.99</v>
      </c>
      <c r="E539" s="18">
        <v>16.24</v>
      </c>
      <c r="F539" s="18">
        <f t="shared" si="7"/>
        <v>8.75</v>
      </c>
      <c r="G539" s="16">
        <v>1.0</v>
      </c>
      <c r="H539" s="18">
        <f t="shared" si="8"/>
        <v>16.24</v>
      </c>
      <c r="I539" s="7"/>
      <c r="J539" s="7"/>
      <c r="K539" s="7"/>
      <c r="L539" s="1"/>
      <c r="M539" s="1"/>
      <c r="N539" s="1"/>
      <c r="O539" s="1"/>
      <c r="P539" s="1"/>
      <c r="Q539" s="1"/>
      <c r="R539" s="1"/>
    </row>
    <row r="540">
      <c r="A540" s="26" t="s">
        <v>625</v>
      </c>
      <c r="B540" s="26" t="s">
        <v>56</v>
      </c>
      <c r="C540" s="16">
        <v>1.0</v>
      </c>
      <c r="D540" s="14">
        <v>29.99</v>
      </c>
      <c r="E540" s="14">
        <v>17.99</v>
      </c>
      <c r="F540" s="18">
        <f t="shared" si="7"/>
        <v>12</v>
      </c>
      <c r="G540" s="16">
        <v>1.0</v>
      </c>
      <c r="H540" s="18">
        <f t="shared" si="8"/>
        <v>17.99</v>
      </c>
      <c r="I540" s="7"/>
      <c r="J540" s="7"/>
      <c r="K540" s="7"/>
      <c r="L540" s="1"/>
      <c r="M540" s="1"/>
      <c r="N540" s="1"/>
      <c r="O540" s="1"/>
      <c r="P540" s="1"/>
      <c r="Q540" s="1"/>
      <c r="R540" s="1"/>
    </row>
    <row r="541">
      <c r="A541" s="26" t="s">
        <v>414</v>
      </c>
      <c r="B541" s="26" t="s">
        <v>50</v>
      </c>
      <c r="C541" s="16">
        <v>1.0</v>
      </c>
      <c r="D541" s="18">
        <v>79.98</v>
      </c>
      <c r="E541" s="18">
        <v>18.98</v>
      </c>
      <c r="F541" s="18">
        <f t="shared" si="7"/>
        <v>61</v>
      </c>
      <c r="G541" s="16">
        <v>1.0</v>
      </c>
      <c r="H541" s="18">
        <f t="shared" si="8"/>
        <v>18.98</v>
      </c>
      <c r="I541" s="7"/>
      <c r="J541" s="7"/>
      <c r="K541" s="7"/>
      <c r="L541" s="1"/>
      <c r="M541" s="1"/>
      <c r="N541" s="1"/>
      <c r="O541" s="1"/>
      <c r="P541" s="1"/>
      <c r="Q541" s="1"/>
      <c r="R541" s="1"/>
    </row>
    <row r="542">
      <c r="A542" s="26" t="s">
        <v>538</v>
      </c>
      <c r="B542" s="26" t="s">
        <v>527</v>
      </c>
      <c r="C542" s="16">
        <v>1.0</v>
      </c>
      <c r="D542" s="18">
        <v>39.99</v>
      </c>
      <c r="E542" s="18">
        <v>19.99</v>
      </c>
      <c r="F542" s="18">
        <f t="shared" si="7"/>
        <v>20</v>
      </c>
      <c r="G542" s="16">
        <v>1.0</v>
      </c>
      <c r="H542" s="18">
        <f t="shared" si="8"/>
        <v>19.99</v>
      </c>
      <c r="I542" s="7"/>
      <c r="J542" s="7"/>
      <c r="K542" s="7"/>
      <c r="L542" s="1"/>
      <c r="M542" s="1"/>
      <c r="N542" s="1"/>
      <c r="O542" s="1"/>
      <c r="P542" s="1"/>
      <c r="Q542" s="1"/>
      <c r="R542" s="1"/>
    </row>
    <row r="543">
      <c r="A543" s="26" t="s">
        <v>463</v>
      </c>
      <c r="B543" s="26" t="s">
        <v>464</v>
      </c>
      <c r="C543" s="16">
        <v>1.0</v>
      </c>
      <c r="D543" s="18">
        <v>39.99</v>
      </c>
      <c r="E543" s="18">
        <v>19.99</v>
      </c>
      <c r="F543" s="18">
        <f t="shared" si="7"/>
        <v>20</v>
      </c>
      <c r="G543" s="26">
        <v>1.0</v>
      </c>
      <c r="H543" s="18">
        <f t="shared" si="8"/>
        <v>19.99</v>
      </c>
      <c r="I543" s="7"/>
      <c r="J543" s="7"/>
      <c r="K543" s="7"/>
      <c r="L543" s="1"/>
      <c r="M543" s="1"/>
      <c r="N543" s="1"/>
      <c r="O543" s="1"/>
      <c r="P543" s="1"/>
      <c r="Q543" s="1"/>
      <c r="R543" s="1"/>
    </row>
    <row r="544">
      <c r="A544" s="26" t="s">
        <v>659</v>
      </c>
      <c r="B544" s="26" t="s">
        <v>56</v>
      </c>
      <c r="C544" s="16">
        <v>1.0</v>
      </c>
      <c r="D544" s="18">
        <v>24.99</v>
      </c>
      <c r="E544" s="18">
        <v>19.99</v>
      </c>
      <c r="F544" s="18">
        <f t="shared" si="7"/>
        <v>5</v>
      </c>
      <c r="G544" s="16">
        <v>1.0</v>
      </c>
      <c r="H544" s="18">
        <f t="shared" si="8"/>
        <v>19.99</v>
      </c>
      <c r="I544" s="7"/>
      <c r="J544" s="7"/>
      <c r="K544" s="7"/>
      <c r="L544" s="1"/>
      <c r="M544" s="1"/>
      <c r="N544" s="1"/>
      <c r="O544" s="1"/>
      <c r="P544" s="1"/>
      <c r="Q544" s="1"/>
      <c r="R544" s="1"/>
    </row>
    <row r="545">
      <c r="A545" s="26" t="s">
        <v>377</v>
      </c>
      <c r="B545" s="26" t="s">
        <v>367</v>
      </c>
      <c r="C545" s="16">
        <v>1.0</v>
      </c>
      <c r="D545" s="18">
        <v>19.99</v>
      </c>
      <c r="E545" s="18">
        <v>19.99</v>
      </c>
      <c r="F545" s="18">
        <f t="shared" si="7"/>
        <v>0</v>
      </c>
      <c r="G545" s="16">
        <v>1.0</v>
      </c>
      <c r="H545" s="18">
        <f t="shared" si="8"/>
        <v>19.99</v>
      </c>
      <c r="I545" s="7"/>
      <c r="J545" s="7"/>
      <c r="K545" s="7"/>
      <c r="L545" s="1"/>
      <c r="M545" s="1"/>
      <c r="N545" s="1"/>
      <c r="O545" s="1"/>
      <c r="P545" s="1"/>
      <c r="Q545" s="1"/>
      <c r="R545" s="1"/>
    </row>
    <row r="546">
      <c r="A546" s="26" t="s">
        <v>305</v>
      </c>
      <c r="B546" s="26" t="s">
        <v>36</v>
      </c>
      <c r="C546" s="16">
        <v>1.0</v>
      </c>
      <c r="D546" s="18">
        <v>28.49</v>
      </c>
      <c r="E546" s="18">
        <v>28.49</v>
      </c>
      <c r="F546" s="18">
        <f t="shared" si="7"/>
        <v>0</v>
      </c>
      <c r="G546" s="16">
        <v>1.0</v>
      </c>
      <c r="H546" s="18">
        <f t="shared" si="8"/>
        <v>28.49</v>
      </c>
      <c r="I546" s="7"/>
      <c r="J546" s="7"/>
      <c r="K546" s="7"/>
      <c r="L546" s="1"/>
      <c r="M546" s="1"/>
      <c r="N546" s="1"/>
      <c r="O546" s="1"/>
      <c r="P546" s="1"/>
      <c r="Q546" s="1"/>
      <c r="R546" s="1"/>
    </row>
    <row r="547">
      <c r="A547" s="26" t="s">
        <v>232</v>
      </c>
      <c r="B547" s="26" t="s">
        <v>1747</v>
      </c>
      <c r="C547" s="16">
        <v>1.0</v>
      </c>
      <c r="D547" s="18">
        <v>29.99</v>
      </c>
      <c r="E547" s="18">
        <v>29.99</v>
      </c>
      <c r="F547" s="18">
        <f t="shared" si="7"/>
        <v>0</v>
      </c>
      <c r="G547" s="16">
        <v>1.0</v>
      </c>
      <c r="H547" s="18">
        <f t="shared" si="8"/>
        <v>29.99</v>
      </c>
      <c r="I547" s="7"/>
      <c r="J547" s="7"/>
      <c r="K547" s="7"/>
      <c r="L547" s="1"/>
      <c r="M547" s="1"/>
      <c r="N547" s="1"/>
      <c r="O547" s="1"/>
      <c r="P547" s="1"/>
      <c r="Q547" s="1"/>
      <c r="R547" s="1"/>
    </row>
  </sheetData>
  <autoFilter ref="$A$1:$H$547"/>
  <hyperlinks>
    <hyperlink r:id="rId1" ref="A335"/>
    <hyperlink r:id="rId2" ref="A386"/>
  </hyperlinks>
  <drawing r:id="rId3"/>
</worksheet>
</file>